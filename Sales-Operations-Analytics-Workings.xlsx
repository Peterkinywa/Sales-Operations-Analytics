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1.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6.xml" ContentType="application/vnd.openxmlformats-officedocument.drawing+xml"/>
  <Override PartName="/xl/slicers/slicer4.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slicers/slicer5.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24226"/>
  <mc:AlternateContent xmlns:mc="http://schemas.openxmlformats.org/markup-compatibility/2006">
    <mc:Choice Requires="x15">
      <x15ac:absPath xmlns:x15ac="http://schemas.microsoft.com/office/spreadsheetml/2010/11/ac" url="C:\Users\USER\Desktop\Data analytics\Sales-Operations-Analytics\"/>
    </mc:Choice>
  </mc:AlternateContent>
  <xr:revisionPtr revIDLastSave="0" documentId="13_ncr:1_{73346EA5-1818-48B2-80DA-6FD8C0E7AA7B}" xr6:coauthVersionLast="41" xr6:coauthVersionMax="41" xr10:uidLastSave="{00000000-0000-0000-0000-000000000000}"/>
  <bookViews>
    <workbookView xWindow="20370" yWindow="-120" windowWidth="29040" windowHeight="17520" tabRatio="970" firstSheet="5" activeTab="17" xr2:uid="{00000000-000D-0000-FFFF-FFFF00000000}"/>
  </bookViews>
  <sheets>
    <sheet name="Original Data" sheetId="8" r:id="rId1"/>
    <sheet name="Sales by country &amp; Month" sheetId="32" r:id="rId2"/>
    <sheet name="SLA &lt;7 days" sheetId="16" r:id="rId3"/>
    <sheet name="Cannibalization" sheetId="17" r:id="rId4"/>
    <sheet name="Revenue by Month" sheetId="27" r:id="rId5"/>
    <sheet name="Total Revenue" sheetId="28" r:id="rId6"/>
    <sheet name="On-Time %" sheetId="29" r:id="rId7"/>
    <sheet name="Price compliance" sheetId="33" r:id="rId8"/>
    <sheet name="Price band" sheetId="37" r:id="rId9"/>
    <sheet name="Top 5 bottom 5 salespersons" sheetId="38" r:id="rId10"/>
    <sheet name="Profit by region" sheetId="39" r:id="rId11"/>
    <sheet name="ABC Analysis" sheetId="40" r:id="rId12"/>
    <sheet name="Region hierarchy" sheetId="41" r:id="rId13"/>
    <sheet name="Sheet1" sheetId="42" r:id="rId14"/>
    <sheet name="Scenario" sheetId="43" r:id="rId15"/>
    <sheet name="What If" sheetId="44" r:id="rId16"/>
    <sheet name="Sheet4" sheetId="45" r:id="rId17"/>
    <sheet name="Sheet5" sheetId="46" r:id="rId18"/>
    <sheet name="Staging data" sheetId="6" r:id="rId19"/>
    <sheet name="Staging data 2" sheetId="10" r:id="rId20"/>
    <sheet name="Dashboard" sheetId="30" r:id="rId21"/>
    <sheet name="Staging worksheet" sheetId="3" state="hidden" r:id="rId22"/>
  </sheets>
  <definedNames>
    <definedName name="_xlnm._FilterDatabase" localSheetId="11" hidden="1">'ABC Analysis'!$D$3:$F$3</definedName>
    <definedName name="_xlnm._FilterDatabase" localSheetId="18" hidden="1">'Staging data'!$A$1:$AD$632</definedName>
    <definedName name="_xlnm._FilterDatabase" localSheetId="19" hidden="1">'Staging data 2'!$A$1:$O$633</definedName>
    <definedName name="_xlnm._FilterDatabase" localSheetId="21" hidden="1">'Staging worksheet'!$A$1:$W$632</definedName>
    <definedName name="_xlnm._FilterDatabase" localSheetId="9" hidden="1">'Top 5 bottom 5 salespersons'!$A$24:$F$24</definedName>
    <definedName name="Slicer_Channel">#N/A</definedName>
    <definedName name="Slicer_Country">#N/A</definedName>
    <definedName name="Slicer_LeadTimeDays_≤_7">#N/A</definedName>
    <definedName name="Slicer_OrderDate">#N/A</definedName>
    <definedName name="Slicer_PriceBand">#N/A</definedName>
    <definedName name="Slicer_ProductCategory">#N/A</definedName>
    <definedName name="Slicer_Region">#N/A</definedName>
    <definedName name="Slicer_Salesperson">#N/A</definedName>
  </definedNames>
  <calcPr calcId="191029"/>
  <pivotCaches>
    <pivotCache cacheId="0" r:id="rId23"/>
    <pivotCache cacheId="1" r:id="rId24"/>
    <pivotCache cacheId="9" r:id="rId25"/>
  </pivotCaches>
  <extLst>
    <ext xmlns:x14="http://schemas.microsoft.com/office/spreadsheetml/2009/9/main" uri="{BBE1A952-AA13-448e-AADC-164F8A28A991}">
      <x14:slicerCaches>
        <x14:slicerCache r:id="rId26"/>
        <x14:slicerCache r:id="rId27"/>
        <x14:slicerCache r:id="rId28"/>
        <x14:slicerCache r:id="rId29"/>
        <x14:slicerCache r:id="rId30"/>
        <x14:slicerCache r:id="rId31"/>
        <x14:slicerCache r:id="rId32"/>
        <x14:slicerCache r:id="rId33"/>
      </x14:slicerCaches>
    </ext>
    <ext xmlns:x14="http://schemas.microsoft.com/office/spreadsheetml/2009/9/main" uri="{79F54976-1DA5-4618-B147-4CDE4B953A38}">
      <x14:workbookPr/>
    </ext>
  </extLst>
</workbook>
</file>

<file path=xl/calcChain.xml><?xml version="1.0" encoding="utf-8"?>
<calcChain xmlns="http://schemas.openxmlformats.org/spreadsheetml/2006/main">
  <c r="AG3" i="6" l="1"/>
  <c r="AG4" i="6"/>
  <c r="AG5" i="6"/>
  <c r="AG6" i="6"/>
  <c r="AG7" i="6"/>
  <c r="AG8" i="6"/>
  <c r="AG9" i="6"/>
  <c r="AG10" i="6"/>
  <c r="AG11" i="6"/>
  <c r="AG12" i="6"/>
  <c r="AG13" i="6"/>
  <c r="AG14" i="6"/>
  <c r="AG15" i="6"/>
  <c r="AG16" i="6"/>
  <c r="AG17" i="6"/>
  <c r="AG18" i="6"/>
  <c r="AG19" i="6"/>
  <c r="AG20" i="6"/>
  <c r="AG21" i="6"/>
  <c r="AG22" i="6"/>
  <c r="AG23" i="6"/>
  <c r="AG24" i="6"/>
  <c r="AG25" i="6"/>
  <c r="AG26" i="6"/>
  <c r="AG27" i="6"/>
  <c r="AG28" i="6"/>
  <c r="AG29" i="6"/>
  <c r="AG30" i="6"/>
  <c r="AG31" i="6"/>
  <c r="AG32" i="6"/>
  <c r="AG33" i="6"/>
  <c r="AG34" i="6"/>
  <c r="AG35" i="6"/>
  <c r="AG36" i="6"/>
  <c r="AG37" i="6"/>
  <c r="AG38" i="6"/>
  <c r="AG39" i="6"/>
  <c r="AG40" i="6"/>
  <c r="AG41" i="6"/>
  <c r="AG42" i="6"/>
  <c r="AG43" i="6"/>
  <c r="AG44" i="6"/>
  <c r="AG45" i="6"/>
  <c r="AG46" i="6"/>
  <c r="AG47" i="6"/>
  <c r="AG48" i="6"/>
  <c r="AG49" i="6"/>
  <c r="AG50" i="6"/>
  <c r="AG51" i="6"/>
  <c r="AG52" i="6"/>
  <c r="AG53" i="6"/>
  <c r="AG54" i="6"/>
  <c r="AG55" i="6"/>
  <c r="AG56" i="6"/>
  <c r="AG57" i="6"/>
  <c r="AG58" i="6"/>
  <c r="AG59" i="6"/>
  <c r="AG60" i="6"/>
  <c r="AG61" i="6"/>
  <c r="AG62" i="6"/>
  <c r="AG63" i="6"/>
  <c r="AG64" i="6"/>
  <c r="AG65" i="6"/>
  <c r="AG66" i="6"/>
  <c r="AG67" i="6"/>
  <c r="AG68" i="6"/>
  <c r="AG69" i="6"/>
  <c r="AG70" i="6"/>
  <c r="AG71" i="6"/>
  <c r="AG72" i="6"/>
  <c r="AG73" i="6"/>
  <c r="AG74" i="6"/>
  <c r="AG75" i="6"/>
  <c r="AG76" i="6"/>
  <c r="AG77" i="6"/>
  <c r="AG78" i="6"/>
  <c r="AG79" i="6"/>
  <c r="AG80" i="6"/>
  <c r="AG81" i="6"/>
  <c r="AG82" i="6"/>
  <c r="AG83" i="6"/>
  <c r="AG84" i="6"/>
  <c r="AG85" i="6"/>
  <c r="AG86" i="6"/>
  <c r="AG87" i="6"/>
  <c r="AG88" i="6"/>
  <c r="AG89" i="6"/>
  <c r="AG90" i="6"/>
  <c r="AG91" i="6"/>
  <c r="AG92" i="6"/>
  <c r="AG93" i="6"/>
  <c r="AG94" i="6"/>
  <c r="AG95" i="6"/>
  <c r="AG96" i="6"/>
  <c r="AG97" i="6"/>
  <c r="AG98" i="6"/>
  <c r="AG99" i="6"/>
  <c r="AG100" i="6"/>
  <c r="AG101" i="6"/>
  <c r="AG102" i="6"/>
  <c r="AG103" i="6"/>
  <c r="AG104" i="6"/>
  <c r="AG105" i="6"/>
  <c r="AG106" i="6"/>
  <c r="AG107" i="6"/>
  <c r="AG108" i="6"/>
  <c r="AG109" i="6"/>
  <c r="AG110" i="6"/>
  <c r="AG111" i="6"/>
  <c r="AG112" i="6"/>
  <c r="AG113" i="6"/>
  <c r="AG114" i="6"/>
  <c r="AG115" i="6"/>
  <c r="AG116" i="6"/>
  <c r="AG117" i="6"/>
  <c r="AG118" i="6"/>
  <c r="AG119" i="6"/>
  <c r="AG120" i="6"/>
  <c r="AG121" i="6"/>
  <c r="AG122" i="6"/>
  <c r="AG123" i="6"/>
  <c r="AG124" i="6"/>
  <c r="AG125" i="6"/>
  <c r="AG126" i="6"/>
  <c r="AG127" i="6"/>
  <c r="AG128" i="6"/>
  <c r="AG129" i="6"/>
  <c r="AG130" i="6"/>
  <c r="AG131" i="6"/>
  <c r="AG132" i="6"/>
  <c r="AG133" i="6"/>
  <c r="AG134" i="6"/>
  <c r="AG135" i="6"/>
  <c r="AG136" i="6"/>
  <c r="AG137" i="6"/>
  <c r="AG138" i="6"/>
  <c r="AG139" i="6"/>
  <c r="AG140" i="6"/>
  <c r="AG141" i="6"/>
  <c r="AG142" i="6"/>
  <c r="AG143" i="6"/>
  <c r="AG144" i="6"/>
  <c r="AG145" i="6"/>
  <c r="AG146" i="6"/>
  <c r="AG147" i="6"/>
  <c r="AG148" i="6"/>
  <c r="AG149" i="6"/>
  <c r="AG150" i="6"/>
  <c r="AG151" i="6"/>
  <c r="AG152" i="6"/>
  <c r="AG153" i="6"/>
  <c r="AG154" i="6"/>
  <c r="AG155" i="6"/>
  <c r="AG156" i="6"/>
  <c r="AG157" i="6"/>
  <c r="AG158" i="6"/>
  <c r="AG159" i="6"/>
  <c r="AG160" i="6"/>
  <c r="AG161" i="6"/>
  <c r="AG162" i="6"/>
  <c r="AG163" i="6"/>
  <c r="AG164" i="6"/>
  <c r="AG165" i="6"/>
  <c r="AG166" i="6"/>
  <c r="AG167" i="6"/>
  <c r="AG168" i="6"/>
  <c r="AG169" i="6"/>
  <c r="AG170" i="6"/>
  <c r="AG171" i="6"/>
  <c r="AG172" i="6"/>
  <c r="AG173" i="6"/>
  <c r="AG174" i="6"/>
  <c r="AG175" i="6"/>
  <c r="AG176" i="6"/>
  <c r="AG177" i="6"/>
  <c r="AG178" i="6"/>
  <c r="AG179" i="6"/>
  <c r="AG180" i="6"/>
  <c r="AG181" i="6"/>
  <c r="AG182" i="6"/>
  <c r="AG183" i="6"/>
  <c r="AG184" i="6"/>
  <c r="AG185" i="6"/>
  <c r="AG186" i="6"/>
  <c r="AG187" i="6"/>
  <c r="AG188" i="6"/>
  <c r="AG189" i="6"/>
  <c r="AG190" i="6"/>
  <c r="AG191" i="6"/>
  <c r="AG192" i="6"/>
  <c r="AG193" i="6"/>
  <c r="AG194" i="6"/>
  <c r="AG195" i="6"/>
  <c r="AG196" i="6"/>
  <c r="AG197" i="6"/>
  <c r="AG198" i="6"/>
  <c r="AG199" i="6"/>
  <c r="AG200" i="6"/>
  <c r="AG201" i="6"/>
  <c r="AG202" i="6"/>
  <c r="AG203" i="6"/>
  <c r="AG204" i="6"/>
  <c r="AG205" i="6"/>
  <c r="AG206" i="6"/>
  <c r="AG207" i="6"/>
  <c r="AG208" i="6"/>
  <c r="AG209" i="6"/>
  <c r="AG210" i="6"/>
  <c r="AG211" i="6"/>
  <c r="AG212" i="6"/>
  <c r="AG213" i="6"/>
  <c r="AG214" i="6"/>
  <c r="AG215" i="6"/>
  <c r="AG216" i="6"/>
  <c r="AG217" i="6"/>
  <c r="AG218" i="6"/>
  <c r="AG219" i="6"/>
  <c r="AG220" i="6"/>
  <c r="AG221" i="6"/>
  <c r="AG222" i="6"/>
  <c r="AG223" i="6"/>
  <c r="AG224" i="6"/>
  <c r="AG225" i="6"/>
  <c r="AG226" i="6"/>
  <c r="AG227" i="6"/>
  <c r="AG228" i="6"/>
  <c r="AG229" i="6"/>
  <c r="AG230" i="6"/>
  <c r="AG231" i="6"/>
  <c r="AG232" i="6"/>
  <c r="AG233" i="6"/>
  <c r="AG234" i="6"/>
  <c r="AG235" i="6"/>
  <c r="AG236" i="6"/>
  <c r="AG237" i="6"/>
  <c r="AG238" i="6"/>
  <c r="AG239" i="6"/>
  <c r="AG240" i="6"/>
  <c r="AG241" i="6"/>
  <c r="AG242" i="6"/>
  <c r="AG243" i="6"/>
  <c r="AG244" i="6"/>
  <c r="AG245" i="6"/>
  <c r="AG246" i="6"/>
  <c r="AG247" i="6"/>
  <c r="AG248" i="6"/>
  <c r="AG249" i="6"/>
  <c r="AG250" i="6"/>
  <c r="AG251" i="6"/>
  <c r="AG252" i="6"/>
  <c r="AG253" i="6"/>
  <c r="AG254" i="6"/>
  <c r="AG255" i="6"/>
  <c r="AG256" i="6"/>
  <c r="AG257" i="6"/>
  <c r="AG258" i="6"/>
  <c r="AG259" i="6"/>
  <c r="AG260" i="6"/>
  <c r="AG261" i="6"/>
  <c r="AG262" i="6"/>
  <c r="AG263" i="6"/>
  <c r="AG264" i="6"/>
  <c r="AG265" i="6"/>
  <c r="AG266" i="6"/>
  <c r="AG267" i="6"/>
  <c r="AG268" i="6"/>
  <c r="AG269" i="6"/>
  <c r="AG270" i="6"/>
  <c r="AG271" i="6"/>
  <c r="AG272" i="6"/>
  <c r="AG273" i="6"/>
  <c r="AG274" i="6"/>
  <c r="AG275" i="6"/>
  <c r="AG276" i="6"/>
  <c r="AG277" i="6"/>
  <c r="AG278" i="6"/>
  <c r="AG279" i="6"/>
  <c r="AG280" i="6"/>
  <c r="AG281" i="6"/>
  <c r="AG282" i="6"/>
  <c r="AG283" i="6"/>
  <c r="AG284" i="6"/>
  <c r="AG285" i="6"/>
  <c r="AG286" i="6"/>
  <c r="AG287" i="6"/>
  <c r="AG288" i="6"/>
  <c r="AG289" i="6"/>
  <c r="AG290" i="6"/>
  <c r="AG291" i="6"/>
  <c r="AG292" i="6"/>
  <c r="AG293" i="6"/>
  <c r="AG294" i="6"/>
  <c r="AG295" i="6"/>
  <c r="AG296" i="6"/>
  <c r="AG297" i="6"/>
  <c r="AG298" i="6"/>
  <c r="AG299" i="6"/>
  <c r="AG300" i="6"/>
  <c r="AG301" i="6"/>
  <c r="AG302" i="6"/>
  <c r="AG303" i="6"/>
  <c r="AG304" i="6"/>
  <c r="AG305" i="6"/>
  <c r="AG306" i="6"/>
  <c r="AG307" i="6"/>
  <c r="AG308" i="6"/>
  <c r="AG309" i="6"/>
  <c r="AG310" i="6"/>
  <c r="AG311" i="6"/>
  <c r="AG312" i="6"/>
  <c r="AG313" i="6"/>
  <c r="AG314" i="6"/>
  <c r="AG315" i="6"/>
  <c r="AG316" i="6"/>
  <c r="AG317" i="6"/>
  <c r="AG318" i="6"/>
  <c r="AG319" i="6"/>
  <c r="AG320" i="6"/>
  <c r="AG321" i="6"/>
  <c r="AG322" i="6"/>
  <c r="AG323" i="6"/>
  <c r="AG324" i="6"/>
  <c r="AG325" i="6"/>
  <c r="AG326" i="6"/>
  <c r="AG327" i="6"/>
  <c r="AG328" i="6"/>
  <c r="AG329" i="6"/>
  <c r="AG330" i="6"/>
  <c r="AG331" i="6"/>
  <c r="AG332" i="6"/>
  <c r="AG333" i="6"/>
  <c r="AG334" i="6"/>
  <c r="AG335" i="6"/>
  <c r="AG336" i="6"/>
  <c r="AG337" i="6"/>
  <c r="AG338" i="6"/>
  <c r="AG339" i="6"/>
  <c r="AG340" i="6"/>
  <c r="AG341" i="6"/>
  <c r="AG342" i="6"/>
  <c r="AG343" i="6"/>
  <c r="AG344" i="6"/>
  <c r="AG345" i="6"/>
  <c r="AG346" i="6"/>
  <c r="AG347" i="6"/>
  <c r="AG348" i="6"/>
  <c r="AG349" i="6"/>
  <c r="AG350" i="6"/>
  <c r="AG351" i="6"/>
  <c r="AG352" i="6"/>
  <c r="AG353" i="6"/>
  <c r="AG354" i="6"/>
  <c r="AG355" i="6"/>
  <c r="AG356" i="6"/>
  <c r="AG357" i="6"/>
  <c r="AG358" i="6"/>
  <c r="AG359" i="6"/>
  <c r="AG360" i="6"/>
  <c r="AG361" i="6"/>
  <c r="AG362" i="6"/>
  <c r="AG363" i="6"/>
  <c r="AG364" i="6"/>
  <c r="AG365" i="6"/>
  <c r="AG366" i="6"/>
  <c r="AG367" i="6"/>
  <c r="AG368" i="6"/>
  <c r="AG369" i="6"/>
  <c r="AG370" i="6"/>
  <c r="AG371" i="6"/>
  <c r="AG372" i="6"/>
  <c r="AG373" i="6"/>
  <c r="AG374" i="6"/>
  <c r="AG375" i="6"/>
  <c r="AG376" i="6"/>
  <c r="AG377" i="6"/>
  <c r="AG378" i="6"/>
  <c r="AG379" i="6"/>
  <c r="AG380" i="6"/>
  <c r="AG381" i="6"/>
  <c r="AG382" i="6"/>
  <c r="AG383" i="6"/>
  <c r="AG384" i="6"/>
  <c r="AG385" i="6"/>
  <c r="AG386" i="6"/>
  <c r="AG387" i="6"/>
  <c r="AG388" i="6"/>
  <c r="AG389" i="6"/>
  <c r="AG390" i="6"/>
  <c r="AG391" i="6"/>
  <c r="AG392" i="6"/>
  <c r="AG393" i="6"/>
  <c r="AG394" i="6"/>
  <c r="AG395" i="6"/>
  <c r="AG396" i="6"/>
  <c r="AG397" i="6"/>
  <c r="AG398" i="6"/>
  <c r="AG399" i="6"/>
  <c r="AG400" i="6"/>
  <c r="AG401" i="6"/>
  <c r="AG402" i="6"/>
  <c r="AG403" i="6"/>
  <c r="AG404" i="6"/>
  <c r="AG405" i="6"/>
  <c r="AG406" i="6"/>
  <c r="AG407" i="6"/>
  <c r="AG408" i="6"/>
  <c r="AG409" i="6"/>
  <c r="AG410" i="6"/>
  <c r="AG411" i="6"/>
  <c r="AG412" i="6"/>
  <c r="AG413" i="6"/>
  <c r="AG414" i="6"/>
  <c r="AG415" i="6"/>
  <c r="AG416" i="6"/>
  <c r="AG417" i="6"/>
  <c r="AG418" i="6"/>
  <c r="AG419" i="6"/>
  <c r="AG420" i="6"/>
  <c r="AG421" i="6"/>
  <c r="AG422" i="6"/>
  <c r="AG423" i="6"/>
  <c r="AG424" i="6"/>
  <c r="AG425" i="6"/>
  <c r="AG426" i="6"/>
  <c r="AG427" i="6"/>
  <c r="AG428" i="6"/>
  <c r="AG429" i="6"/>
  <c r="AG430" i="6"/>
  <c r="AG431" i="6"/>
  <c r="AG432" i="6"/>
  <c r="AG433" i="6"/>
  <c r="AG434" i="6"/>
  <c r="AG435" i="6"/>
  <c r="AG436" i="6"/>
  <c r="AG437" i="6"/>
  <c r="AG438" i="6"/>
  <c r="AG439" i="6"/>
  <c r="AG440" i="6"/>
  <c r="AG441" i="6"/>
  <c r="AG442" i="6"/>
  <c r="AG443" i="6"/>
  <c r="AG444" i="6"/>
  <c r="AG445" i="6"/>
  <c r="AG446" i="6"/>
  <c r="AG447" i="6"/>
  <c r="AG448" i="6"/>
  <c r="AG449" i="6"/>
  <c r="AG450" i="6"/>
  <c r="AG451" i="6"/>
  <c r="AG452" i="6"/>
  <c r="AG453" i="6"/>
  <c r="AG454" i="6"/>
  <c r="AG455" i="6"/>
  <c r="AG456" i="6"/>
  <c r="AG457" i="6"/>
  <c r="AG458" i="6"/>
  <c r="AG459" i="6"/>
  <c r="AG460" i="6"/>
  <c r="AG461" i="6"/>
  <c r="AG462" i="6"/>
  <c r="AG463" i="6"/>
  <c r="AG464" i="6"/>
  <c r="AG465" i="6"/>
  <c r="AG466" i="6"/>
  <c r="AG467" i="6"/>
  <c r="AG468" i="6"/>
  <c r="AG469" i="6"/>
  <c r="AG470" i="6"/>
  <c r="AG471" i="6"/>
  <c r="AG472" i="6"/>
  <c r="AG473" i="6"/>
  <c r="AG474" i="6"/>
  <c r="AG475" i="6"/>
  <c r="AG476" i="6"/>
  <c r="AG477" i="6"/>
  <c r="AG478" i="6"/>
  <c r="AG479" i="6"/>
  <c r="AG480" i="6"/>
  <c r="AG481" i="6"/>
  <c r="AG482" i="6"/>
  <c r="AG483" i="6"/>
  <c r="AG484" i="6"/>
  <c r="AG485" i="6"/>
  <c r="AG486" i="6"/>
  <c r="AG487" i="6"/>
  <c r="AG488" i="6"/>
  <c r="AG489" i="6"/>
  <c r="AG490" i="6"/>
  <c r="AG491" i="6"/>
  <c r="AG492" i="6"/>
  <c r="AG493" i="6"/>
  <c r="AG494" i="6"/>
  <c r="AG495" i="6"/>
  <c r="AG496" i="6"/>
  <c r="AG497" i="6"/>
  <c r="AG498" i="6"/>
  <c r="AG499" i="6"/>
  <c r="AG500" i="6"/>
  <c r="AG501" i="6"/>
  <c r="AG502" i="6"/>
  <c r="AG503" i="6"/>
  <c r="AG504" i="6"/>
  <c r="AG505" i="6"/>
  <c r="AG506" i="6"/>
  <c r="AG507" i="6"/>
  <c r="AG508" i="6"/>
  <c r="AG509" i="6"/>
  <c r="AG510" i="6"/>
  <c r="AG511" i="6"/>
  <c r="AG512" i="6"/>
  <c r="AG513" i="6"/>
  <c r="AG514" i="6"/>
  <c r="AG515" i="6"/>
  <c r="AG516" i="6"/>
  <c r="AG517" i="6"/>
  <c r="AG518" i="6"/>
  <c r="AG519" i="6"/>
  <c r="AG520" i="6"/>
  <c r="AG521" i="6"/>
  <c r="AG522" i="6"/>
  <c r="AG523" i="6"/>
  <c r="AG524" i="6"/>
  <c r="AG525" i="6"/>
  <c r="AG526" i="6"/>
  <c r="AG527" i="6"/>
  <c r="AG528" i="6"/>
  <c r="AG529" i="6"/>
  <c r="AG530" i="6"/>
  <c r="AG531" i="6"/>
  <c r="AG532" i="6"/>
  <c r="AG533" i="6"/>
  <c r="AG534" i="6"/>
  <c r="AG535" i="6"/>
  <c r="AG536" i="6"/>
  <c r="AG537" i="6"/>
  <c r="AG538" i="6"/>
  <c r="AG539" i="6"/>
  <c r="AG540" i="6"/>
  <c r="AG541" i="6"/>
  <c r="AG542" i="6"/>
  <c r="AG543" i="6"/>
  <c r="AG544" i="6"/>
  <c r="AG545" i="6"/>
  <c r="AG546" i="6"/>
  <c r="AG547" i="6"/>
  <c r="AG548" i="6"/>
  <c r="AG549" i="6"/>
  <c r="AG550" i="6"/>
  <c r="AG551" i="6"/>
  <c r="AG552" i="6"/>
  <c r="AG553" i="6"/>
  <c r="AG554" i="6"/>
  <c r="AG555" i="6"/>
  <c r="AG556" i="6"/>
  <c r="AG557" i="6"/>
  <c r="AG558" i="6"/>
  <c r="AG559" i="6"/>
  <c r="AG560" i="6"/>
  <c r="AG561" i="6"/>
  <c r="AG562" i="6"/>
  <c r="AG563" i="6"/>
  <c r="AG564" i="6"/>
  <c r="AG565" i="6"/>
  <c r="AG566" i="6"/>
  <c r="AG567" i="6"/>
  <c r="AG568" i="6"/>
  <c r="AG569" i="6"/>
  <c r="AG570" i="6"/>
  <c r="AG571" i="6"/>
  <c r="AG572" i="6"/>
  <c r="AG573" i="6"/>
  <c r="AG574" i="6"/>
  <c r="AG575" i="6"/>
  <c r="AG576" i="6"/>
  <c r="AG577" i="6"/>
  <c r="AG578" i="6"/>
  <c r="AG579" i="6"/>
  <c r="AG580" i="6"/>
  <c r="AG581" i="6"/>
  <c r="AG582" i="6"/>
  <c r="AG583" i="6"/>
  <c r="AG584" i="6"/>
  <c r="AG585" i="6"/>
  <c r="AG586" i="6"/>
  <c r="AG587" i="6"/>
  <c r="AG588" i="6"/>
  <c r="AG589" i="6"/>
  <c r="AG590" i="6"/>
  <c r="AG591" i="6"/>
  <c r="AG592" i="6"/>
  <c r="AG593" i="6"/>
  <c r="AG594" i="6"/>
  <c r="AG595" i="6"/>
  <c r="AG596" i="6"/>
  <c r="AG597" i="6"/>
  <c r="AG598" i="6"/>
  <c r="AG599" i="6"/>
  <c r="AG600" i="6"/>
  <c r="AG601" i="6"/>
  <c r="AG602" i="6"/>
  <c r="AG603" i="6"/>
  <c r="AG604" i="6"/>
  <c r="AG605" i="6"/>
  <c r="AG606" i="6"/>
  <c r="AG607" i="6"/>
  <c r="AG608" i="6"/>
  <c r="AG609" i="6"/>
  <c r="AG610" i="6"/>
  <c r="AG611" i="6"/>
  <c r="AG612" i="6"/>
  <c r="AG613" i="6"/>
  <c r="AG614" i="6"/>
  <c r="AG615" i="6"/>
  <c r="AG616" i="6"/>
  <c r="AG617" i="6"/>
  <c r="AG618" i="6"/>
  <c r="AG619" i="6"/>
  <c r="AG620" i="6"/>
  <c r="AG621" i="6"/>
  <c r="AG622" i="6"/>
  <c r="AG623" i="6"/>
  <c r="AG624" i="6"/>
  <c r="AG625" i="6"/>
  <c r="AG626" i="6"/>
  <c r="AG627" i="6"/>
  <c r="AG628" i="6"/>
  <c r="AG629" i="6"/>
  <c r="AG630" i="6"/>
  <c r="AG631" i="6"/>
  <c r="AG632" i="6"/>
  <c r="AG2" i="6"/>
  <c r="AF3" i="6"/>
  <c r="AF4" i="6"/>
  <c r="AI4" i="6" s="1"/>
  <c r="AF5" i="6"/>
  <c r="AF6" i="6"/>
  <c r="AF7" i="6"/>
  <c r="AF8" i="6"/>
  <c r="AI8" i="6" s="1"/>
  <c r="AF9" i="6"/>
  <c r="AF10" i="6"/>
  <c r="AF11" i="6"/>
  <c r="AF12" i="6"/>
  <c r="AI12" i="6" s="1"/>
  <c r="AF13" i="6"/>
  <c r="AF14" i="6"/>
  <c r="AF15" i="6"/>
  <c r="AF16" i="6"/>
  <c r="AI16" i="6" s="1"/>
  <c r="AF17" i="6"/>
  <c r="AF18" i="6"/>
  <c r="AF19" i="6"/>
  <c r="AF20" i="6"/>
  <c r="AI20" i="6" s="1"/>
  <c r="AF21" i="6"/>
  <c r="AF22" i="6"/>
  <c r="AF23" i="6"/>
  <c r="AF24" i="6"/>
  <c r="AI24" i="6" s="1"/>
  <c r="AF25" i="6"/>
  <c r="AF26" i="6"/>
  <c r="AF27" i="6"/>
  <c r="AF28" i="6"/>
  <c r="AI28" i="6" s="1"/>
  <c r="AF29" i="6"/>
  <c r="AF30" i="6"/>
  <c r="AF31" i="6"/>
  <c r="AF32" i="6"/>
  <c r="AI32" i="6" s="1"/>
  <c r="AF33" i="6"/>
  <c r="AF34" i="6"/>
  <c r="AF35" i="6"/>
  <c r="AF36" i="6"/>
  <c r="AI36" i="6" s="1"/>
  <c r="AF37" i="6"/>
  <c r="AF38" i="6"/>
  <c r="AF39" i="6"/>
  <c r="AF40" i="6"/>
  <c r="AI40" i="6" s="1"/>
  <c r="AF41" i="6"/>
  <c r="AF42" i="6"/>
  <c r="AF43" i="6"/>
  <c r="AF44" i="6"/>
  <c r="AI44" i="6" s="1"/>
  <c r="AF45" i="6"/>
  <c r="AF46" i="6"/>
  <c r="AF47" i="6"/>
  <c r="AF48" i="6"/>
  <c r="AI48" i="6" s="1"/>
  <c r="AF49" i="6"/>
  <c r="AF50" i="6"/>
  <c r="AF51" i="6"/>
  <c r="AF52" i="6"/>
  <c r="AI52" i="6" s="1"/>
  <c r="AF53" i="6"/>
  <c r="AF54" i="6"/>
  <c r="AF55" i="6"/>
  <c r="AF56" i="6"/>
  <c r="AI56" i="6" s="1"/>
  <c r="AF57" i="6"/>
  <c r="AF58" i="6"/>
  <c r="AF59" i="6"/>
  <c r="AF60" i="6"/>
  <c r="AI60" i="6" s="1"/>
  <c r="AF61" i="6"/>
  <c r="AF62" i="6"/>
  <c r="AF63" i="6"/>
  <c r="AF64" i="6"/>
  <c r="AI64" i="6" s="1"/>
  <c r="AF65" i="6"/>
  <c r="AF66" i="6"/>
  <c r="AF67" i="6"/>
  <c r="AF68" i="6"/>
  <c r="AI68" i="6" s="1"/>
  <c r="AF69" i="6"/>
  <c r="AF70" i="6"/>
  <c r="AF71" i="6"/>
  <c r="AF72" i="6"/>
  <c r="AI72" i="6" s="1"/>
  <c r="AF73" i="6"/>
  <c r="AF74" i="6"/>
  <c r="AF75" i="6"/>
  <c r="AF76" i="6"/>
  <c r="AI76" i="6" s="1"/>
  <c r="AF77" i="6"/>
  <c r="AF78" i="6"/>
  <c r="AF79" i="6"/>
  <c r="AF80" i="6"/>
  <c r="AI80" i="6" s="1"/>
  <c r="AF81" i="6"/>
  <c r="AF82" i="6"/>
  <c r="AF83" i="6"/>
  <c r="AF84" i="6"/>
  <c r="AI84" i="6" s="1"/>
  <c r="AF85" i="6"/>
  <c r="AF86" i="6"/>
  <c r="AF87" i="6"/>
  <c r="AF88" i="6"/>
  <c r="AI88" i="6" s="1"/>
  <c r="AF89" i="6"/>
  <c r="AF90" i="6"/>
  <c r="AF91" i="6"/>
  <c r="AF92" i="6"/>
  <c r="AI92" i="6" s="1"/>
  <c r="AF93" i="6"/>
  <c r="AF94" i="6"/>
  <c r="AF95" i="6"/>
  <c r="AF96" i="6"/>
  <c r="AI96" i="6" s="1"/>
  <c r="AF97" i="6"/>
  <c r="AF98" i="6"/>
  <c r="AF99" i="6"/>
  <c r="AF100" i="6"/>
  <c r="AI100" i="6" s="1"/>
  <c r="AF101" i="6"/>
  <c r="AF102" i="6"/>
  <c r="AF103" i="6"/>
  <c r="AF104" i="6"/>
  <c r="AI104" i="6" s="1"/>
  <c r="AF105" i="6"/>
  <c r="AF106" i="6"/>
  <c r="AF107" i="6"/>
  <c r="AF108" i="6"/>
  <c r="AI108" i="6" s="1"/>
  <c r="AF109" i="6"/>
  <c r="AF110" i="6"/>
  <c r="AF111" i="6"/>
  <c r="AF112" i="6"/>
  <c r="AI112" i="6" s="1"/>
  <c r="AF113" i="6"/>
  <c r="AF114" i="6"/>
  <c r="AF115" i="6"/>
  <c r="AF116" i="6"/>
  <c r="AI116" i="6" s="1"/>
  <c r="AF117" i="6"/>
  <c r="AF118" i="6"/>
  <c r="AF119" i="6"/>
  <c r="AF120" i="6"/>
  <c r="AI120" i="6" s="1"/>
  <c r="AF121" i="6"/>
  <c r="AF122" i="6"/>
  <c r="AF123" i="6"/>
  <c r="AF124" i="6"/>
  <c r="AI124" i="6" s="1"/>
  <c r="AF125" i="6"/>
  <c r="AF126" i="6"/>
  <c r="AF127" i="6"/>
  <c r="AF128" i="6"/>
  <c r="AI128" i="6" s="1"/>
  <c r="AF129" i="6"/>
  <c r="AF130" i="6"/>
  <c r="AF131" i="6"/>
  <c r="AF132" i="6"/>
  <c r="AI132" i="6" s="1"/>
  <c r="AF133" i="6"/>
  <c r="AF134" i="6"/>
  <c r="AF135" i="6"/>
  <c r="AF136" i="6"/>
  <c r="AI136" i="6" s="1"/>
  <c r="AF137" i="6"/>
  <c r="AF138" i="6"/>
  <c r="AF139" i="6"/>
  <c r="AF140" i="6"/>
  <c r="AI140" i="6" s="1"/>
  <c r="AF141" i="6"/>
  <c r="AF142" i="6"/>
  <c r="AF143" i="6"/>
  <c r="AF144" i="6"/>
  <c r="AI144" i="6" s="1"/>
  <c r="AF145" i="6"/>
  <c r="AF146" i="6"/>
  <c r="AF147" i="6"/>
  <c r="AF148" i="6"/>
  <c r="AI148" i="6" s="1"/>
  <c r="AF149" i="6"/>
  <c r="AF150" i="6"/>
  <c r="AF151" i="6"/>
  <c r="AF152" i="6"/>
  <c r="AI152" i="6" s="1"/>
  <c r="AF153" i="6"/>
  <c r="AF154" i="6"/>
  <c r="AF155" i="6"/>
  <c r="AF156" i="6"/>
  <c r="AI156" i="6" s="1"/>
  <c r="AF157" i="6"/>
  <c r="AF158" i="6"/>
  <c r="AF159" i="6"/>
  <c r="AF160" i="6"/>
  <c r="AI160" i="6" s="1"/>
  <c r="AF161" i="6"/>
  <c r="AF162" i="6"/>
  <c r="AF163" i="6"/>
  <c r="AF164" i="6"/>
  <c r="AI164" i="6" s="1"/>
  <c r="AF165" i="6"/>
  <c r="AF166" i="6"/>
  <c r="AF167" i="6"/>
  <c r="AF168" i="6"/>
  <c r="AI168" i="6" s="1"/>
  <c r="AF169" i="6"/>
  <c r="AF170" i="6"/>
  <c r="AF171" i="6"/>
  <c r="AF172" i="6"/>
  <c r="AI172" i="6" s="1"/>
  <c r="AF173" i="6"/>
  <c r="AF174" i="6"/>
  <c r="AF175" i="6"/>
  <c r="AF176" i="6"/>
  <c r="AI176" i="6" s="1"/>
  <c r="AF177" i="6"/>
  <c r="AF178" i="6"/>
  <c r="AF179" i="6"/>
  <c r="AF180" i="6"/>
  <c r="AI180" i="6" s="1"/>
  <c r="AF181" i="6"/>
  <c r="AF182" i="6"/>
  <c r="AF183" i="6"/>
  <c r="AF184" i="6"/>
  <c r="AI184" i="6" s="1"/>
  <c r="AF185" i="6"/>
  <c r="AF186" i="6"/>
  <c r="AF187" i="6"/>
  <c r="AF188" i="6"/>
  <c r="AI188" i="6" s="1"/>
  <c r="AF189" i="6"/>
  <c r="AF190" i="6"/>
  <c r="AF191" i="6"/>
  <c r="AF192" i="6"/>
  <c r="AI192" i="6" s="1"/>
  <c r="AF193" i="6"/>
  <c r="AF194" i="6"/>
  <c r="AF195" i="6"/>
  <c r="AF196" i="6"/>
  <c r="AI196" i="6" s="1"/>
  <c r="AF197" i="6"/>
  <c r="AF198" i="6"/>
  <c r="AF199" i="6"/>
  <c r="AF200" i="6"/>
  <c r="AI200" i="6" s="1"/>
  <c r="AF201" i="6"/>
  <c r="AF202" i="6"/>
  <c r="AF203" i="6"/>
  <c r="AF204" i="6"/>
  <c r="AI204" i="6" s="1"/>
  <c r="AF205" i="6"/>
  <c r="AF206" i="6"/>
  <c r="AF207" i="6"/>
  <c r="AF208" i="6"/>
  <c r="AI208" i="6" s="1"/>
  <c r="AF209" i="6"/>
  <c r="AF210" i="6"/>
  <c r="AF211" i="6"/>
  <c r="AF212" i="6"/>
  <c r="AI212" i="6" s="1"/>
  <c r="AF213" i="6"/>
  <c r="AF214" i="6"/>
  <c r="AF215" i="6"/>
  <c r="AF216" i="6"/>
  <c r="AI216" i="6" s="1"/>
  <c r="AF217" i="6"/>
  <c r="AF218" i="6"/>
  <c r="AF219" i="6"/>
  <c r="AF220" i="6"/>
  <c r="AI220" i="6" s="1"/>
  <c r="AF221" i="6"/>
  <c r="AF222" i="6"/>
  <c r="AF223" i="6"/>
  <c r="AF224" i="6"/>
  <c r="AI224" i="6" s="1"/>
  <c r="AF225" i="6"/>
  <c r="AF226" i="6"/>
  <c r="AF227" i="6"/>
  <c r="AF228" i="6"/>
  <c r="AI228" i="6" s="1"/>
  <c r="AF229" i="6"/>
  <c r="AF230" i="6"/>
  <c r="AF231" i="6"/>
  <c r="AF232" i="6"/>
  <c r="AI232" i="6" s="1"/>
  <c r="AF233" i="6"/>
  <c r="AF234" i="6"/>
  <c r="AF235" i="6"/>
  <c r="AF236" i="6"/>
  <c r="AI236" i="6" s="1"/>
  <c r="AF237" i="6"/>
  <c r="AF238" i="6"/>
  <c r="AF239" i="6"/>
  <c r="AF240" i="6"/>
  <c r="AI240" i="6" s="1"/>
  <c r="AF241" i="6"/>
  <c r="AF242" i="6"/>
  <c r="AF243" i="6"/>
  <c r="AF244" i="6"/>
  <c r="AI244" i="6" s="1"/>
  <c r="AF245" i="6"/>
  <c r="AF246" i="6"/>
  <c r="AF247" i="6"/>
  <c r="AF248" i="6"/>
  <c r="AI248" i="6" s="1"/>
  <c r="AF249" i="6"/>
  <c r="AF250" i="6"/>
  <c r="AF251" i="6"/>
  <c r="AF252" i="6"/>
  <c r="AI252" i="6" s="1"/>
  <c r="AF253" i="6"/>
  <c r="AF254" i="6"/>
  <c r="AF255" i="6"/>
  <c r="AF256" i="6"/>
  <c r="AI256" i="6" s="1"/>
  <c r="AF257" i="6"/>
  <c r="AF258" i="6"/>
  <c r="AF259" i="6"/>
  <c r="AF260" i="6"/>
  <c r="AI260" i="6" s="1"/>
  <c r="AF261" i="6"/>
  <c r="AF262" i="6"/>
  <c r="AF263" i="6"/>
  <c r="AF264" i="6"/>
  <c r="AI264" i="6" s="1"/>
  <c r="AF265" i="6"/>
  <c r="AF266" i="6"/>
  <c r="AF267" i="6"/>
  <c r="AF268" i="6"/>
  <c r="AI268" i="6" s="1"/>
  <c r="AF269" i="6"/>
  <c r="AF270" i="6"/>
  <c r="AF271" i="6"/>
  <c r="AF272" i="6"/>
  <c r="AI272" i="6" s="1"/>
  <c r="AF273" i="6"/>
  <c r="AF274" i="6"/>
  <c r="AF275" i="6"/>
  <c r="AF276" i="6"/>
  <c r="AI276" i="6" s="1"/>
  <c r="AF277" i="6"/>
  <c r="AF278" i="6"/>
  <c r="AF279" i="6"/>
  <c r="AF280" i="6"/>
  <c r="AI280" i="6" s="1"/>
  <c r="AF281" i="6"/>
  <c r="AF282" i="6"/>
  <c r="AF283" i="6"/>
  <c r="AF284" i="6"/>
  <c r="AI284" i="6" s="1"/>
  <c r="AF285" i="6"/>
  <c r="AF286" i="6"/>
  <c r="AF287" i="6"/>
  <c r="AF288" i="6"/>
  <c r="AI288" i="6" s="1"/>
  <c r="AF289" i="6"/>
  <c r="AF290" i="6"/>
  <c r="AF291" i="6"/>
  <c r="AF292" i="6"/>
  <c r="AI292" i="6" s="1"/>
  <c r="AF293" i="6"/>
  <c r="AF294" i="6"/>
  <c r="AF295" i="6"/>
  <c r="AF296" i="6"/>
  <c r="AI296" i="6" s="1"/>
  <c r="AF297" i="6"/>
  <c r="AF298" i="6"/>
  <c r="AF299" i="6"/>
  <c r="AF300" i="6"/>
  <c r="AI300" i="6" s="1"/>
  <c r="AF301" i="6"/>
  <c r="AF302" i="6"/>
  <c r="AF303" i="6"/>
  <c r="AF304" i="6"/>
  <c r="AI304" i="6" s="1"/>
  <c r="AF305" i="6"/>
  <c r="AF306" i="6"/>
  <c r="AF307" i="6"/>
  <c r="AF308" i="6"/>
  <c r="AI308" i="6" s="1"/>
  <c r="AF309" i="6"/>
  <c r="AF310" i="6"/>
  <c r="AF311" i="6"/>
  <c r="AF312" i="6"/>
  <c r="AI312" i="6" s="1"/>
  <c r="AF313" i="6"/>
  <c r="AF314" i="6"/>
  <c r="AF315" i="6"/>
  <c r="AF316" i="6"/>
  <c r="AI316" i="6" s="1"/>
  <c r="AF317" i="6"/>
  <c r="AF318" i="6"/>
  <c r="AF319" i="6"/>
  <c r="AF320" i="6"/>
  <c r="AI320" i="6" s="1"/>
  <c r="AF321" i="6"/>
  <c r="AF322" i="6"/>
  <c r="AF323" i="6"/>
  <c r="AF324" i="6"/>
  <c r="AI324" i="6" s="1"/>
  <c r="AF325" i="6"/>
  <c r="AF326" i="6"/>
  <c r="AF327" i="6"/>
  <c r="AF328" i="6"/>
  <c r="AI328" i="6" s="1"/>
  <c r="AF329" i="6"/>
  <c r="AF330" i="6"/>
  <c r="AF331" i="6"/>
  <c r="AF332" i="6"/>
  <c r="AI332" i="6" s="1"/>
  <c r="AF333" i="6"/>
  <c r="AF334" i="6"/>
  <c r="AF335" i="6"/>
  <c r="AF336" i="6"/>
  <c r="AI336" i="6" s="1"/>
  <c r="AF337" i="6"/>
  <c r="AF338" i="6"/>
  <c r="AF339" i="6"/>
  <c r="AF340" i="6"/>
  <c r="AI340" i="6" s="1"/>
  <c r="AF341" i="6"/>
  <c r="AF342" i="6"/>
  <c r="AF343" i="6"/>
  <c r="AI343" i="6" s="1"/>
  <c r="AF344" i="6"/>
  <c r="AI344" i="6" s="1"/>
  <c r="AF345" i="6"/>
  <c r="AF346" i="6"/>
  <c r="AF347" i="6"/>
  <c r="AI347" i="6" s="1"/>
  <c r="AF348" i="6"/>
  <c r="AI348" i="6" s="1"/>
  <c r="AF349" i="6"/>
  <c r="AF350" i="6"/>
  <c r="AF351" i="6"/>
  <c r="AI351" i="6" s="1"/>
  <c r="AF352" i="6"/>
  <c r="AI352" i="6" s="1"/>
  <c r="AF353" i="6"/>
  <c r="AF354" i="6"/>
  <c r="AF355" i="6"/>
  <c r="AI355" i="6" s="1"/>
  <c r="AF356" i="6"/>
  <c r="AI356" i="6" s="1"/>
  <c r="AF357" i="6"/>
  <c r="AF358" i="6"/>
  <c r="AF359" i="6"/>
  <c r="AI359" i="6" s="1"/>
  <c r="AF360" i="6"/>
  <c r="AI360" i="6" s="1"/>
  <c r="AF361" i="6"/>
  <c r="AF362" i="6"/>
  <c r="AF363" i="6"/>
  <c r="AI363" i="6" s="1"/>
  <c r="AF364" i="6"/>
  <c r="AI364" i="6" s="1"/>
  <c r="AF365" i="6"/>
  <c r="AF366" i="6"/>
  <c r="AF367" i="6"/>
  <c r="AI367" i="6" s="1"/>
  <c r="AF368" i="6"/>
  <c r="AI368" i="6" s="1"/>
  <c r="AF369" i="6"/>
  <c r="AF370" i="6"/>
  <c r="AF371" i="6"/>
  <c r="AI371" i="6" s="1"/>
  <c r="AF372" i="6"/>
  <c r="AI372" i="6" s="1"/>
  <c r="AF373" i="6"/>
  <c r="AF374" i="6"/>
  <c r="AF375" i="6"/>
  <c r="AI375" i="6" s="1"/>
  <c r="AF376" i="6"/>
  <c r="AI376" i="6" s="1"/>
  <c r="AF377" i="6"/>
  <c r="AF378" i="6"/>
  <c r="AF379" i="6"/>
  <c r="AI379" i="6" s="1"/>
  <c r="AF380" i="6"/>
  <c r="AI380" i="6" s="1"/>
  <c r="AF381" i="6"/>
  <c r="AF382" i="6"/>
  <c r="AF383" i="6"/>
  <c r="AI383" i="6" s="1"/>
  <c r="AF384" i="6"/>
  <c r="AI384" i="6" s="1"/>
  <c r="AF385" i="6"/>
  <c r="AF386" i="6"/>
  <c r="AF387" i="6"/>
  <c r="AI387" i="6" s="1"/>
  <c r="AF388" i="6"/>
  <c r="AI388" i="6" s="1"/>
  <c r="AF389" i="6"/>
  <c r="AF390" i="6"/>
  <c r="AF391" i="6"/>
  <c r="AI391" i="6" s="1"/>
  <c r="AF392" i="6"/>
  <c r="AI392" i="6" s="1"/>
  <c r="AF393" i="6"/>
  <c r="AF394" i="6"/>
  <c r="AF395" i="6"/>
  <c r="AI395" i="6" s="1"/>
  <c r="AF396" i="6"/>
  <c r="AI396" i="6" s="1"/>
  <c r="AF397" i="6"/>
  <c r="AF398" i="6"/>
  <c r="AF399" i="6"/>
  <c r="AI399" i="6" s="1"/>
  <c r="AF400" i="6"/>
  <c r="AI400" i="6" s="1"/>
  <c r="AF401" i="6"/>
  <c r="AF402" i="6"/>
  <c r="AF403" i="6"/>
  <c r="AI403" i="6" s="1"/>
  <c r="AF404" i="6"/>
  <c r="AI404" i="6" s="1"/>
  <c r="AF405" i="6"/>
  <c r="AF406" i="6"/>
  <c r="AF407" i="6"/>
  <c r="AI407" i="6" s="1"/>
  <c r="AF408" i="6"/>
  <c r="AI408" i="6" s="1"/>
  <c r="AF409" i="6"/>
  <c r="AF410" i="6"/>
  <c r="AF411" i="6"/>
  <c r="AI411" i="6" s="1"/>
  <c r="AF412" i="6"/>
  <c r="AI412" i="6" s="1"/>
  <c r="AF413" i="6"/>
  <c r="AF414" i="6"/>
  <c r="AF415" i="6"/>
  <c r="AI415" i="6" s="1"/>
  <c r="AF416" i="6"/>
  <c r="AI416" i="6" s="1"/>
  <c r="AF417" i="6"/>
  <c r="AF418" i="6"/>
  <c r="AF419" i="6"/>
  <c r="AI419" i="6" s="1"/>
  <c r="AF420" i="6"/>
  <c r="AI420" i="6" s="1"/>
  <c r="AF421" i="6"/>
  <c r="AF422" i="6"/>
  <c r="AF423" i="6"/>
  <c r="AI423" i="6" s="1"/>
  <c r="AF424" i="6"/>
  <c r="AI424" i="6" s="1"/>
  <c r="AF425" i="6"/>
  <c r="AF426" i="6"/>
  <c r="AF427" i="6"/>
  <c r="AI427" i="6" s="1"/>
  <c r="AF428" i="6"/>
  <c r="AI428" i="6" s="1"/>
  <c r="AF429" i="6"/>
  <c r="AF430" i="6"/>
  <c r="AF431" i="6"/>
  <c r="AI431" i="6" s="1"/>
  <c r="AF432" i="6"/>
  <c r="AI432" i="6" s="1"/>
  <c r="AF433" i="6"/>
  <c r="AF434" i="6"/>
  <c r="AF435" i="6"/>
  <c r="AI435" i="6" s="1"/>
  <c r="AF436" i="6"/>
  <c r="AI436" i="6" s="1"/>
  <c r="AF437" i="6"/>
  <c r="AF438" i="6"/>
  <c r="AF439" i="6"/>
  <c r="AI439" i="6" s="1"/>
  <c r="AF440" i="6"/>
  <c r="AI440" i="6" s="1"/>
  <c r="AF441" i="6"/>
  <c r="AF442" i="6"/>
  <c r="AF443" i="6"/>
  <c r="AI443" i="6" s="1"/>
  <c r="AF444" i="6"/>
  <c r="AI444" i="6" s="1"/>
  <c r="AF445" i="6"/>
  <c r="AF446" i="6"/>
  <c r="AF447" i="6"/>
  <c r="AI447" i="6" s="1"/>
  <c r="AF448" i="6"/>
  <c r="AI448" i="6" s="1"/>
  <c r="AF449" i="6"/>
  <c r="AF450" i="6"/>
  <c r="AF451" i="6"/>
  <c r="AI451" i="6" s="1"/>
  <c r="AF452" i="6"/>
  <c r="AI452" i="6" s="1"/>
  <c r="AF453" i="6"/>
  <c r="AF454" i="6"/>
  <c r="AF455" i="6"/>
  <c r="AI455" i="6" s="1"/>
  <c r="AF456" i="6"/>
  <c r="AI456" i="6" s="1"/>
  <c r="AF457" i="6"/>
  <c r="AF458" i="6"/>
  <c r="AF459" i="6"/>
  <c r="AI459" i="6" s="1"/>
  <c r="AF460" i="6"/>
  <c r="AI460" i="6" s="1"/>
  <c r="AF461" i="6"/>
  <c r="AF462" i="6"/>
  <c r="AF463" i="6"/>
  <c r="AI463" i="6" s="1"/>
  <c r="AF464" i="6"/>
  <c r="AI464" i="6" s="1"/>
  <c r="AF465" i="6"/>
  <c r="AF466" i="6"/>
  <c r="AF467" i="6"/>
  <c r="AI467" i="6" s="1"/>
  <c r="AF468" i="6"/>
  <c r="AI468" i="6" s="1"/>
  <c r="AF469" i="6"/>
  <c r="AF470" i="6"/>
  <c r="AF471" i="6"/>
  <c r="AI471" i="6" s="1"/>
  <c r="AF472" i="6"/>
  <c r="AI472" i="6" s="1"/>
  <c r="AF473" i="6"/>
  <c r="AF474" i="6"/>
  <c r="AF475" i="6"/>
  <c r="AI475" i="6" s="1"/>
  <c r="AF476" i="6"/>
  <c r="AI476" i="6" s="1"/>
  <c r="AF477" i="6"/>
  <c r="AF478" i="6"/>
  <c r="AF479" i="6"/>
  <c r="AI479" i="6" s="1"/>
  <c r="AF480" i="6"/>
  <c r="AI480" i="6" s="1"/>
  <c r="AF481" i="6"/>
  <c r="AF482" i="6"/>
  <c r="AF483" i="6"/>
  <c r="AI483" i="6" s="1"/>
  <c r="AF484" i="6"/>
  <c r="AI484" i="6" s="1"/>
  <c r="AF485" i="6"/>
  <c r="AF486" i="6"/>
  <c r="AF487" i="6"/>
  <c r="AI487" i="6" s="1"/>
  <c r="AF488" i="6"/>
  <c r="AI488" i="6" s="1"/>
  <c r="AF489" i="6"/>
  <c r="AF490" i="6"/>
  <c r="AF491" i="6"/>
  <c r="AI491" i="6" s="1"/>
  <c r="AF492" i="6"/>
  <c r="AI492" i="6" s="1"/>
  <c r="AF493" i="6"/>
  <c r="AF494" i="6"/>
  <c r="AF495" i="6"/>
  <c r="AI495" i="6" s="1"/>
  <c r="AF496" i="6"/>
  <c r="AI496" i="6" s="1"/>
  <c r="AF497" i="6"/>
  <c r="AF498" i="6"/>
  <c r="AF499" i="6"/>
  <c r="AI499" i="6" s="1"/>
  <c r="AF500" i="6"/>
  <c r="AI500" i="6" s="1"/>
  <c r="AF501" i="6"/>
  <c r="AF502" i="6"/>
  <c r="AF503" i="6"/>
  <c r="AI503" i="6" s="1"/>
  <c r="AF504" i="6"/>
  <c r="AI504" i="6" s="1"/>
  <c r="AF505" i="6"/>
  <c r="AF506" i="6"/>
  <c r="AF507" i="6"/>
  <c r="AI507" i="6" s="1"/>
  <c r="AF508" i="6"/>
  <c r="AI508" i="6" s="1"/>
  <c r="AF509" i="6"/>
  <c r="AF510" i="6"/>
  <c r="AF511" i="6"/>
  <c r="AI511" i="6" s="1"/>
  <c r="AF512" i="6"/>
  <c r="AI512" i="6" s="1"/>
  <c r="AF513" i="6"/>
  <c r="AF514" i="6"/>
  <c r="AF515" i="6"/>
  <c r="AI515" i="6" s="1"/>
  <c r="AF516" i="6"/>
  <c r="AI516" i="6" s="1"/>
  <c r="AF517" i="6"/>
  <c r="AF518" i="6"/>
  <c r="AF519" i="6"/>
  <c r="AI519" i="6" s="1"/>
  <c r="AF520" i="6"/>
  <c r="AI520" i="6" s="1"/>
  <c r="AF521" i="6"/>
  <c r="AF522" i="6"/>
  <c r="AF523" i="6"/>
  <c r="AI523" i="6" s="1"/>
  <c r="AF524" i="6"/>
  <c r="AI524" i="6" s="1"/>
  <c r="AF525" i="6"/>
  <c r="AF526" i="6"/>
  <c r="AF527" i="6"/>
  <c r="AI527" i="6" s="1"/>
  <c r="AF528" i="6"/>
  <c r="AI528" i="6" s="1"/>
  <c r="AF529" i="6"/>
  <c r="AF530" i="6"/>
  <c r="AF531" i="6"/>
  <c r="AI531" i="6" s="1"/>
  <c r="AF532" i="6"/>
  <c r="AI532" i="6" s="1"/>
  <c r="AF533" i="6"/>
  <c r="AF534" i="6"/>
  <c r="AF535" i="6"/>
  <c r="AI535" i="6" s="1"/>
  <c r="AF536" i="6"/>
  <c r="AI536" i="6" s="1"/>
  <c r="AF537" i="6"/>
  <c r="AF538" i="6"/>
  <c r="AF539" i="6"/>
  <c r="AI539" i="6" s="1"/>
  <c r="AF540" i="6"/>
  <c r="AI540" i="6" s="1"/>
  <c r="AF541" i="6"/>
  <c r="AF542" i="6"/>
  <c r="AF543" i="6"/>
  <c r="AI543" i="6" s="1"/>
  <c r="AF544" i="6"/>
  <c r="AI544" i="6" s="1"/>
  <c r="AF545" i="6"/>
  <c r="AF546" i="6"/>
  <c r="AF547" i="6"/>
  <c r="AI547" i="6" s="1"/>
  <c r="AF548" i="6"/>
  <c r="AI548" i="6" s="1"/>
  <c r="AF549" i="6"/>
  <c r="AF550" i="6"/>
  <c r="AF551" i="6"/>
  <c r="AI551" i="6" s="1"/>
  <c r="AF552" i="6"/>
  <c r="AI552" i="6" s="1"/>
  <c r="AF553" i="6"/>
  <c r="AF554" i="6"/>
  <c r="AF555" i="6"/>
  <c r="AI555" i="6" s="1"/>
  <c r="AF556" i="6"/>
  <c r="AI556" i="6" s="1"/>
  <c r="AF557" i="6"/>
  <c r="AF558" i="6"/>
  <c r="AF559" i="6"/>
  <c r="AI559" i="6" s="1"/>
  <c r="AF560" i="6"/>
  <c r="AI560" i="6" s="1"/>
  <c r="AF561" i="6"/>
  <c r="AF562" i="6"/>
  <c r="AF563" i="6"/>
  <c r="AI563" i="6" s="1"/>
  <c r="AF564" i="6"/>
  <c r="AI564" i="6" s="1"/>
  <c r="AF565" i="6"/>
  <c r="AF566" i="6"/>
  <c r="AF567" i="6"/>
  <c r="AI567" i="6" s="1"/>
  <c r="AF568" i="6"/>
  <c r="AI568" i="6" s="1"/>
  <c r="AF569" i="6"/>
  <c r="AF570" i="6"/>
  <c r="AF571" i="6"/>
  <c r="AI571" i="6" s="1"/>
  <c r="AF572" i="6"/>
  <c r="AI572" i="6" s="1"/>
  <c r="AF573" i="6"/>
  <c r="AF574" i="6"/>
  <c r="AF575" i="6"/>
  <c r="AI575" i="6" s="1"/>
  <c r="AF576" i="6"/>
  <c r="AI576" i="6" s="1"/>
  <c r="AF577" i="6"/>
  <c r="AF578" i="6"/>
  <c r="AF579" i="6"/>
  <c r="AI579" i="6" s="1"/>
  <c r="AF580" i="6"/>
  <c r="AI580" i="6" s="1"/>
  <c r="AF581" i="6"/>
  <c r="AF582" i="6"/>
  <c r="AF583" i="6"/>
  <c r="AI583" i="6" s="1"/>
  <c r="AF584" i="6"/>
  <c r="AI584" i="6" s="1"/>
  <c r="AF585" i="6"/>
  <c r="AF586" i="6"/>
  <c r="AF587" i="6"/>
  <c r="AI587" i="6" s="1"/>
  <c r="AF588" i="6"/>
  <c r="AI588" i="6" s="1"/>
  <c r="AF589" i="6"/>
  <c r="AF590" i="6"/>
  <c r="AF591" i="6"/>
  <c r="AI591" i="6" s="1"/>
  <c r="AF592" i="6"/>
  <c r="AI592" i="6" s="1"/>
  <c r="AF593" i="6"/>
  <c r="AF594" i="6"/>
  <c r="AF595" i="6"/>
  <c r="AI595" i="6" s="1"/>
  <c r="AF596" i="6"/>
  <c r="AI596" i="6" s="1"/>
  <c r="AF597" i="6"/>
  <c r="AF598" i="6"/>
  <c r="AF599" i="6"/>
  <c r="AI599" i="6" s="1"/>
  <c r="AF600" i="6"/>
  <c r="AI600" i="6" s="1"/>
  <c r="AF601" i="6"/>
  <c r="AF602" i="6"/>
  <c r="AF603" i="6"/>
  <c r="AI603" i="6" s="1"/>
  <c r="AF604" i="6"/>
  <c r="AI604" i="6" s="1"/>
  <c r="AF605" i="6"/>
  <c r="AF606" i="6"/>
  <c r="AF607" i="6"/>
  <c r="AI607" i="6" s="1"/>
  <c r="AF608" i="6"/>
  <c r="AI608" i="6" s="1"/>
  <c r="AF609" i="6"/>
  <c r="AF610" i="6"/>
  <c r="AF611" i="6"/>
  <c r="AI611" i="6" s="1"/>
  <c r="AF612" i="6"/>
  <c r="AI612" i="6" s="1"/>
  <c r="AF613" i="6"/>
  <c r="AF614" i="6"/>
  <c r="AF615" i="6"/>
  <c r="AI615" i="6" s="1"/>
  <c r="AF616" i="6"/>
  <c r="AI616" i="6" s="1"/>
  <c r="AF617" i="6"/>
  <c r="AF618" i="6"/>
  <c r="AF619" i="6"/>
  <c r="AI619" i="6" s="1"/>
  <c r="AF620" i="6"/>
  <c r="AI620" i="6" s="1"/>
  <c r="AF621" i="6"/>
  <c r="AF622" i="6"/>
  <c r="AF623" i="6"/>
  <c r="AI623" i="6" s="1"/>
  <c r="AF624" i="6"/>
  <c r="AI624" i="6" s="1"/>
  <c r="AF625" i="6"/>
  <c r="AF626" i="6"/>
  <c r="AF627" i="6"/>
  <c r="AI627" i="6" s="1"/>
  <c r="AF628" i="6"/>
  <c r="AI628" i="6" s="1"/>
  <c r="AF629" i="6"/>
  <c r="AF630" i="6"/>
  <c r="AF631" i="6"/>
  <c r="AI631" i="6" s="1"/>
  <c r="AF632" i="6"/>
  <c r="AI632" i="6" s="1"/>
  <c r="AF2" i="6"/>
  <c r="AE4" i="6"/>
  <c r="AE592" i="6"/>
  <c r="T2" i="6"/>
  <c r="Q4" i="6"/>
  <c r="G4" i="44"/>
  <c r="F4" i="44"/>
  <c r="AI339" i="6" l="1"/>
  <c r="AI335" i="6"/>
  <c r="AI331" i="6"/>
  <c r="AI327" i="6"/>
  <c r="AI323" i="6"/>
  <c r="AI319" i="6"/>
  <c r="AI315" i="6"/>
  <c r="AI311" i="6"/>
  <c r="AI307" i="6"/>
  <c r="AI303" i="6"/>
  <c r="AI299" i="6"/>
  <c r="AI295" i="6"/>
  <c r="AI291" i="6"/>
  <c r="AI287" i="6"/>
  <c r="AI283" i="6"/>
  <c r="AI279" i="6"/>
  <c r="AI275" i="6"/>
  <c r="AI271" i="6"/>
  <c r="AI267" i="6"/>
  <c r="AI263" i="6"/>
  <c r="AI259" i="6"/>
  <c r="AI255" i="6"/>
  <c r="AI251" i="6"/>
  <c r="AI247" i="6"/>
  <c r="AI243" i="6"/>
  <c r="AI239" i="6"/>
  <c r="AI235" i="6"/>
  <c r="AI231" i="6"/>
  <c r="AI227" i="6"/>
  <c r="AI223" i="6"/>
  <c r="AI219" i="6"/>
  <c r="AI215" i="6"/>
  <c r="AI211" i="6"/>
  <c r="AI207" i="6"/>
  <c r="AI203" i="6"/>
  <c r="AI199" i="6"/>
  <c r="AI195" i="6"/>
  <c r="AI191" i="6"/>
  <c r="AI187" i="6"/>
  <c r="AI183" i="6"/>
  <c r="AI179" i="6"/>
  <c r="AI175" i="6"/>
  <c r="AI171" i="6"/>
  <c r="AI167" i="6"/>
  <c r="AI163" i="6"/>
  <c r="AI159" i="6"/>
  <c r="AI155" i="6"/>
  <c r="AI151" i="6"/>
  <c r="AI147" i="6"/>
  <c r="AI143" i="6"/>
  <c r="AI139" i="6"/>
  <c r="AI135" i="6"/>
  <c r="AI131" i="6"/>
  <c r="AI127" i="6"/>
  <c r="AI123" i="6"/>
  <c r="AI119" i="6"/>
  <c r="AI115" i="6"/>
  <c r="AI111" i="6"/>
  <c r="AI107" i="6"/>
  <c r="AI103" i="6"/>
  <c r="AI99" i="6"/>
  <c r="AI95" i="6"/>
  <c r="AI91" i="6"/>
  <c r="AI87" i="6"/>
  <c r="AI83" i="6"/>
  <c r="AI79" i="6"/>
  <c r="AI75" i="6"/>
  <c r="AI71" i="6"/>
  <c r="AI67" i="6"/>
  <c r="AI63" i="6"/>
  <c r="AI59" i="6"/>
  <c r="AI55" i="6"/>
  <c r="AI51" i="6"/>
  <c r="AI47" i="6"/>
  <c r="AI43" i="6"/>
  <c r="AI39" i="6"/>
  <c r="AI35" i="6"/>
  <c r="AI31" i="6"/>
  <c r="AI27" i="6"/>
  <c r="AI23" i="6"/>
  <c r="AI19" i="6"/>
  <c r="AI15" i="6"/>
  <c r="AI11" i="6"/>
  <c r="AI7" i="6"/>
  <c r="AI3" i="6"/>
  <c r="AI2" i="6"/>
  <c r="AI629" i="6"/>
  <c r="AI625" i="6"/>
  <c r="AI621" i="6"/>
  <c r="AI617" i="6"/>
  <c r="AI613" i="6"/>
  <c r="AI609" i="6"/>
  <c r="AI605" i="6"/>
  <c r="AI601" i="6"/>
  <c r="AI597" i="6"/>
  <c r="AI593" i="6"/>
  <c r="AI589" i="6"/>
  <c r="AI585" i="6"/>
  <c r="AI581" i="6"/>
  <c r="AI577" i="6"/>
  <c r="AI573" i="6"/>
  <c r="AI569" i="6"/>
  <c r="AI565" i="6"/>
  <c r="AI561" i="6"/>
  <c r="AI557" i="6"/>
  <c r="AI553" i="6"/>
  <c r="AI549" i="6"/>
  <c r="AI545" i="6"/>
  <c r="AI541" i="6"/>
  <c r="AI537" i="6"/>
  <c r="AI533" i="6"/>
  <c r="AI529" i="6"/>
  <c r="AI525" i="6"/>
  <c r="AI521" i="6"/>
  <c r="AI517" i="6"/>
  <c r="AI513" i="6"/>
  <c r="AI509" i="6"/>
  <c r="AI505" i="6"/>
  <c r="AI501" i="6"/>
  <c r="AI497" i="6"/>
  <c r="AI493" i="6"/>
  <c r="AI489" i="6"/>
  <c r="AI485" i="6"/>
  <c r="AI481" i="6"/>
  <c r="AI477" i="6"/>
  <c r="AI473" i="6"/>
  <c r="AI469" i="6"/>
  <c r="AI465" i="6"/>
  <c r="AI461" i="6"/>
  <c r="AI457" i="6"/>
  <c r="AI453" i="6"/>
  <c r="AI449" i="6"/>
  <c r="AI445" i="6"/>
  <c r="AI441" i="6"/>
  <c r="AI437" i="6"/>
  <c r="AI433" i="6"/>
  <c r="AI429" i="6"/>
  <c r="AI425" i="6"/>
  <c r="AI421" i="6"/>
  <c r="AI417" i="6"/>
  <c r="AI413" i="6"/>
  <c r="AI409" i="6"/>
  <c r="AI405" i="6"/>
  <c r="AI401" i="6"/>
  <c r="AI397" i="6"/>
  <c r="AI393" i="6"/>
  <c r="AI389" i="6"/>
  <c r="AI385" i="6"/>
  <c r="AI381" i="6"/>
  <c r="AI377" i="6"/>
  <c r="AI373" i="6"/>
  <c r="AI369" i="6"/>
  <c r="AI365" i="6"/>
  <c r="AI361" i="6"/>
  <c r="AI357" i="6"/>
  <c r="AI353" i="6"/>
  <c r="AI349" i="6"/>
  <c r="AI345" i="6"/>
  <c r="AI341" i="6"/>
  <c r="AI337" i="6"/>
  <c r="AI333" i="6"/>
  <c r="AI329" i="6"/>
  <c r="AI325" i="6"/>
  <c r="AI321" i="6"/>
  <c r="AI317" i="6"/>
  <c r="AI313" i="6"/>
  <c r="AI309" i="6"/>
  <c r="AI305" i="6"/>
  <c r="AI301" i="6"/>
  <c r="AI297" i="6"/>
  <c r="AI293" i="6"/>
  <c r="AI289" i="6"/>
  <c r="AI285" i="6"/>
  <c r="AI281" i="6"/>
  <c r="AI277" i="6"/>
  <c r="AI273" i="6"/>
  <c r="AI269" i="6"/>
  <c r="AI265" i="6"/>
  <c r="AI261" i="6"/>
  <c r="AI257" i="6"/>
  <c r="AI253" i="6"/>
  <c r="AI249" i="6"/>
  <c r="AI245" i="6"/>
  <c r="AI241" i="6"/>
  <c r="AI237" i="6"/>
  <c r="AI233" i="6"/>
  <c r="AI229" i="6"/>
  <c r="AI225" i="6"/>
  <c r="AI221" i="6"/>
  <c r="AI217" i="6"/>
  <c r="AI213" i="6"/>
  <c r="AI209" i="6"/>
  <c r="AI205" i="6"/>
  <c r="AI201" i="6"/>
  <c r="AI197" i="6"/>
  <c r="AI193" i="6"/>
  <c r="AI189" i="6"/>
  <c r="AI185" i="6"/>
  <c r="AI181" i="6"/>
  <c r="AI177" i="6"/>
  <c r="AI173" i="6"/>
  <c r="AI169" i="6"/>
  <c r="AI165" i="6"/>
  <c r="AI161" i="6"/>
  <c r="AI157" i="6"/>
  <c r="AI153" i="6"/>
  <c r="AI149" i="6"/>
  <c r="AI145" i="6"/>
  <c r="AI141" i="6"/>
  <c r="AI137" i="6"/>
  <c r="AI133" i="6"/>
  <c r="AI129" i="6"/>
  <c r="AI125" i="6"/>
  <c r="AI121" i="6"/>
  <c r="AI117" i="6"/>
  <c r="AI113" i="6"/>
  <c r="AI109" i="6"/>
  <c r="AI105" i="6"/>
  <c r="AI101" i="6"/>
  <c r="AI97" i="6"/>
  <c r="AI93" i="6"/>
  <c r="AI89" i="6"/>
  <c r="AI85" i="6"/>
  <c r="AI81" i="6"/>
  <c r="AI77" i="6"/>
  <c r="AI73" i="6"/>
  <c r="AI69" i="6"/>
  <c r="AI65" i="6"/>
  <c r="AI61" i="6"/>
  <c r="AI57" i="6"/>
  <c r="AI53" i="6"/>
  <c r="AI49" i="6"/>
  <c r="AI45" i="6"/>
  <c r="AI41" i="6"/>
  <c r="AI37" i="6"/>
  <c r="AI33" i="6"/>
  <c r="AI29" i="6"/>
  <c r="AI25" i="6"/>
  <c r="AI21" i="6"/>
  <c r="AI17" i="6"/>
  <c r="AI13" i="6"/>
  <c r="AI9" i="6"/>
  <c r="AI5" i="6"/>
  <c r="AI630" i="6"/>
  <c r="AI626" i="6"/>
  <c r="AI622" i="6"/>
  <c r="AI618" i="6"/>
  <c r="AI614" i="6"/>
  <c r="AI610" i="6"/>
  <c r="AI606" i="6"/>
  <c r="AI602" i="6"/>
  <c r="AI598" i="6"/>
  <c r="AI594" i="6"/>
  <c r="AI590" i="6"/>
  <c r="AI586" i="6"/>
  <c r="AI582" i="6"/>
  <c r="AI578" i="6"/>
  <c r="AI574" i="6"/>
  <c r="AI570" i="6"/>
  <c r="AI566" i="6"/>
  <c r="AI562" i="6"/>
  <c r="AI558" i="6"/>
  <c r="AI554" i="6"/>
  <c r="AI550" i="6"/>
  <c r="AI546" i="6"/>
  <c r="AI542" i="6"/>
  <c r="AI538" i="6"/>
  <c r="AI534" i="6"/>
  <c r="AI530" i="6"/>
  <c r="AI526" i="6"/>
  <c r="AI522" i="6"/>
  <c r="AI518" i="6"/>
  <c r="AI514" i="6"/>
  <c r="AI510" i="6"/>
  <c r="AI506" i="6"/>
  <c r="AI502" i="6"/>
  <c r="AI498" i="6"/>
  <c r="AI494" i="6"/>
  <c r="AI490" i="6"/>
  <c r="AI486" i="6"/>
  <c r="AI482" i="6"/>
  <c r="AI478" i="6"/>
  <c r="AI474" i="6"/>
  <c r="AI470" i="6"/>
  <c r="AI466" i="6"/>
  <c r="AI462" i="6"/>
  <c r="AI458" i="6"/>
  <c r="AI454" i="6"/>
  <c r="AI450" i="6"/>
  <c r="AI446" i="6"/>
  <c r="AI442" i="6"/>
  <c r="AI438" i="6"/>
  <c r="AI434" i="6"/>
  <c r="AI430" i="6"/>
  <c r="AI426" i="6"/>
  <c r="AI422" i="6"/>
  <c r="AI418" i="6"/>
  <c r="AI414" i="6"/>
  <c r="AI410" i="6"/>
  <c r="AI406" i="6"/>
  <c r="AI402" i="6"/>
  <c r="AI398" i="6"/>
  <c r="AI394" i="6"/>
  <c r="AI390" i="6"/>
  <c r="AI386" i="6"/>
  <c r="AI382" i="6"/>
  <c r="AI378" i="6"/>
  <c r="AI374" i="6"/>
  <c r="AI370" i="6"/>
  <c r="AI366" i="6"/>
  <c r="AI362" i="6"/>
  <c r="AI358" i="6"/>
  <c r="AI354" i="6"/>
  <c r="AI350" i="6"/>
  <c r="AI346" i="6"/>
  <c r="AI342" i="6"/>
  <c r="AI338" i="6"/>
  <c r="AI334" i="6"/>
  <c r="AI330" i="6"/>
  <c r="AI326" i="6"/>
  <c r="AI322" i="6"/>
  <c r="AI318" i="6"/>
  <c r="AI314" i="6"/>
  <c r="AI310" i="6"/>
  <c r="AI306" i="6"/>
  <c r="AI302" i="6"/>
  <c r="AI298" i="6"/>
  <c r="AI294" i="6"/>
  <c r="AI290" i="6"/>
  <c r="AI286" i="6"/>
  <c r="AI282" i="6"/>
  <c r="AI278" i="6"/>
  <c r="AI274" i="6"/>
  <c r="AI270" i="6"/>
  <c r="AI266" i="6"/>
  <c r="AI262" i="6"/>
  <c r="AI258" i="6"/>
  <c r="AI254" i="6"/>
  <c r="AI250" i="6"/>
  <c r="AI246" i="6"/>
  <c r="AI242" i="6"/>
  <c r="AI238" i="6"/>
  <c r="AI234" i="6"/>
  <c r="AI230" i="6"/>
  <c r="AI226" i="6"/>
  <c r="AI222" i="6"/>
  <c r="AI218" i="6"/>
  <c r="AI214" i="6"/>
  <c r="AI210" i="6"/>
  <c r="AI206" i="6"/>
  <c r="AI202" i="6"/>
  <c r="AI198" i="6"/>
  <c r="AI194" i="6"/>
  <c r="AI190" i="6"/>
  <c r="AI186" i="6"/>
  <c r="AI182" i="6"/>
  <c r="AI178" i="6"/>
  <c r="AI174" i="6"/>
  <c r="AI170" i="6"/>
  <c r="AI166" i="6"/>
  <c r="AI162" i="6"/>
  <c r="AI158" i="6"/>
  <c r="AI154" i="6"/>
  <c r="AI150" i="6"/>
  <c r="AI146" i="6"/>
  <c r="AI142" i="6"/>
  <c r="AI138" i="6"/>
  <c r="AI134" i="6"/>
  <c r="AI130" i="6"/>
  <c r="AI126" i="6"/>
  <c r="AI122" i="6"/>
  <c r="AI118" i="6"/>
  <c r="AI114" i="6"/>
  <c r="AI110" i="6"/>
  <c r="AI106" i="6"/>
  <c r="AI102" i="6"/>
  <c r="AI98" i="6"/>
  <c r="AI94" i="6"/>
  <c r="AI90" i="6"/>
  <c r="AI86" i="6"/>
  <c r="AI82" i="6"/>
  <c r="AI78" i="6"/>
  <c r="AI74" i="6"/>
  <c r="AI70" i="6"/>
  <c r="AI66" i="6"/>
  <c r="AI62" i="6"/>
  <c r="AI58" i="6"/>
  <c r="AI54" i="6"/>
  <c r="AI50" i="6"/>
  <c r="AI46" i="6"/>
  <c r="AI42" i="6"/>
  <c r="AI38" i="6"/>
  <c r="AI34" i="6"/>
  <c r="AI30" i="6"/>
  <c r="AI26" i="6"/>
  <c r="AI22" i="6"/>
  <c r="AI18" i="6"/>
  <c r="AI14" i="6"/>
  <c r="AI10" i="6"/>
  <c r="AI6" i="6"/>
  <c r="G5" i="42"/>
  <c r="G6" i="42"/>
  <c r="G7" i="42"/>
  <c r="G8" i="42"/>
  <c r="G9" i="42"/>
  <c r="G10" i="42"/>
  <c r="G11" i="42"/>
  <c r="G12" i="42"/>
  <c r="G13" i="42"/>
  <c r="G14" i="42"/>
  <c r="G15" i="42"/>
  <c r="G4" i="42"/>
  <c r="J15" i="42"/>
  <c r="J11" i="42"/>
  <c r="J7" i="42"/>
  <c r="I15" i="42"/>
  <c r="I11" i="42"/>
  <c r="I7" i="42"/>
  <c r="H15" i="42"/>
  <c r="H11" i="42"/>
  <c r="H7" i="42"/>
  <c r="H4" i="42"/>
  <c r="J14" i="42"/>
  <c r="J10" i="42"/>
  <c r="J6" i="42"/>
  <c r="I14" i="42"/>
  <c r="I10" i="42"/>
  <c r="I6" i="42"/>
  <c r="H14" i="42"/>
  <c r="H10" i="42"/>
  <c r="H6" i="42"/>
  <c r="H12" i="42"/>
  <c r="J13" i="42"/>
  <c r="J9" i="42"/>
  <c r="J5" i="42"/>
  <c r="I13" i="42"/>
  <c r="I9" i="42"/>
  <c r="I5" i="42"/>
  <c r="H13" i="42"/>
  <c r="H9" i="42"/>
  <c r="H5" i="42"/>
  <c r="H8" i="42"/>
  <c r="J12" i="42"/>
  <c r="J8" i="42"/>
  <c r="J4" i="42"/>
  <c r="I12" i="42"/>
  <c r="I8" i="42"/>
  <c r="I4" i="42"/>
  <c r="H4" i="40" l="1"/>
  <c r="F4" i="40"/>
  <c r="F5" i="40" s="1"/>
  <c r="F6" i="40" s="1"/>
  <c r="F7" i="40" s="1"/>
  <c r="F8" i="40" s="1"/>
  <c r="F9" i="40" s="1"/>
  <c r="F10" i="40" s="1"/>
  <c r="F11" i="40" s="1"/>
  <c r="F12" i="40" s="1"/>
  <c r="F13" i="40" s="1"/>
  <c r="F14" i="40" s="1"/>
  <c r="F15" i="40" s="1"/>
  <c r="F16" i="40" s="1"/>
  <c r="F17" i="40" s="1"/>
  <c r="F18" i="40" s="1"/>
  <c r="F19" i="40" s="1"/>
  <c r="F20" i="40" s="1"/>
  <c r="F21" i="40" s="1"/>
  <c r="F22" i="40" s="1"/>
  <c r="F23" i="40" s="1"/>
  <c r="F24" i="40" s="1"/>
  <c r="F25" i="40" s="1"/>
  <c r="F26" i="40" s="1"/>
  <c r="F27" i="40" s="1"/>
  <c r="F28" i="40" s="1"/>
  <c r="F29" i="40" s="1"/>
  <c r="F30" i="40" s="1"/>
  <c r="F31" i="40" s="1"/>
  <c r="F32" i="40" s="1"/>
  <c r="F33" i="40" s="1"/>
  <c r="F34" i="40" s="1"/>
  <c r="F35" i="40" s="1"/>
  <c r="F36" i="40" s="1"/>
  <c r="F37" i="40" s="1"/>
  <c r="F38" i="40" s="1"/>
  <c r="F39" i="40" s="1"/>
  <c r="F40" i="40" s="1"/>
  <c r="F41" i="40" s="1"/>
  <c r="F42" i="40" s="1"/>
  <c r="F43" i="40" s="1"/>
  <c r="F44" i="40" s="1"/>
  <c r="F45" i="40" s="1"/>
  <c r="F46" i="40" s="1"/>
  <c r="F47" i="40" s="1"/>
  <c r="F48" i="40" s="1"/>
  <c r="F49" i="40" s="1"/>
  <c r="F50" i="40" s="1"/>
  <c r="F51" i="40" s="1"/>
  <c r="F52" i="40" s="1"/>
  <c r="F53" i="40" s="1"/>
  <c r="F54" i="40" s="1"/>
  <c r="F55" i="40" s="1"/>
  <c r="F56" i="40" s="1"/>
  <c r="F57" i="40" s="1"/>
  <c r="F58" i="40" s="1"/>
  <c r="F59" i="40" s="1"/>
  <c r="F60" i="40" s="1"/>
  <c r="F61" i="40" s="1"/>
  <c r="F62" i="40" s="1"/>
  <c r="F63" i="40" s="1"/>
  <c r="F64" i="40" s="1"/>
  <c r="F65" i="40" s="1"/>
  <c r="F66" i="40" s="1"/>
  <c r="F67" i="40" s="1"/>
  <c r="F68" i="40" s="1"/>
  <c r="F69" i="40" s="1"/>
  <c r="F70" i="40" s="1"/>
  <c r="F71" i="40" s="1"/>
  <c r="F72" i="40" s="1"/>
  <c r="F73" i="40" s="1"/>
  <c r="F74" i="40" s="1"/>
  <c r="F75" i="40" s="1"/>
  <c r="F76" i="40" s="1"/>
  <c r="F77" i="40" s="1"/>
  <c r="F78" i="40" s="1"/>
  <c r="F79" i="40" s="1"/>
  <c r="F80" i="40" s="1"/>
  <c r="F81" i="40" s="1"/>
  <c r="F82" i="40" s="1"/>
  <c r="F83" i="40" s="1"/>
  <c r="F84" i="40" s="1"/>
  <c r="F85" i="40" s="1"/>
  <c r="F86" i="40" s="1"/>
  <c r="F87" i="40" s="1"/>
  <c r="F88" i="40" s="1"/>
  <c r="F89" i="40" s="1"/>
  <c r="F90" i="40" s="1"/>
  <c r="F91" i="40" s="1"/>
  <c r="F92" i="40" s="1"/>
  <c r="F93" i="40" s="1"/>
  <c r="F94" i="40" s="1"/>
  <c r="F95" i="40" s="1"/>
  <c r="F96" i="40" s="1"/>
  <c r="F97" i="40" s="1"/>
  <c r="F98" i="40" s="1"/>
  <c r="F99" i="40" s="1"/>
  <c r="F100" i="40" s="1"/>
  <c r="F101" i="40" s="1"/>
  <c r="F102" i="40" s="1"/>
  <c r="F103" i="40" s="1"/>
  <c r="F104" i="40" s="1"/>
  <c r="F105" i="40" s="1"/>
  <c r="F106" i="40" s="1"/>
  <c r="F107" i="40" s="1"/>
  <c r="F108" i="40" s="1"/>
  <c r="F109" i="40" s="1"/>
  <c r="F110" i="40" s="1"/>
  <c r="F111" i="40" s="1"/>
  <c r="F112" i="40" s="1"/>
  <c r="F113" i="40" s="1"/>
  <c r="F114" i="40" s="1"/>
  <c r="F115" i="40" s="1"/>
  <c r="F116" i="40" s="1"/>
  <c r="F117" i="40" s="1"/>
  <c r="F118" i="40" s="1"/>
  <c r="F119" i="40" s="1"/>
  <c r="F120" i="40" s="1"/>
  <c r="F121" i="40" s="1"/>
  <c r="F122" i="40" s="1"/>
  <c r="F123" i="40" s="1"/>
  <c r="F124" i="40" s="1"/>
  <c r="F125" i="40" s="1"/>
  <c r="F126" i="40" s="1"/>
  <c r="F127" i="40" s="1"/>
  <c r="F128" i="40" s="1"/>
  <c r="F129" i="40" s="1"/>
  <c r="F130" i="40" s="1"/>
  <c r="F131" i="40" s="1"/>
  <c r="F132" i="40" s="1"/>
  <c r="F133" i="40" s="1"/>
  <c r="F134" i="40" s="1"/>
  <c r="F135" i="40" s="1"/>
  <c r="F136" i="40" s="1"/>
  <c r="F137" i="40" s="1"/>
  <c r="F138" i="40" s="1"/>
  <c r="F139" i="40" s="1"/>
  <c r="F140" i="40" s="1"/>
  <c r="F141" i="40" s="1"/>
  <c r="F142" i="40" s="1"/>
  <c r="F143" i="40" s="1"/>
  <c r="F144" i="40" s="1"/>
  <c r="F145" i="40" s="1"/>
  <c r="F146" i="40" s="1"/>
  <c r="F147" i="40" s="1"/>
  <c r="F148" i="40" s="1"/>
  <c r="F149" i="40" s="1"/>
  <c r="F150" i="40" s="1"/>
  <c r="F151" i="40" s="1"/>
  <c r="F152" i="40" s="1"/>
  <c r="F153" i="40" s="1"/>
  <c r="F154" i="40" s="1"/>
  <c r="F155" i="40" s="1"/>
  <c r="F156" i="40" s="1"/>
  <c r="F157" i="40" s="1"/>
  <c r="F158" i="40" s="1"/>
  <c r="F159" i="40" s="1"/>
  <c r="F160" i="40" s="1"/>
  <c r="F161" i="40" s="1"/>
  <c r="F162" i="40" s="1"/>
  <c r="F163" i="40" s="1"/>
  <c r="F164" i="40" s="1"/>
  <c r="F165" i="40" s="1"/>
  <c r="F166" i="40" s="1"/>
  <c r="F167" i="40" s="1"/>
  <c r="F168" i="40" s="1"/>
  <c r="F169" i="40" s="1"/>
  <c r="F170" i="40" s="1"/>
  <c r="F171" i="40" s="1"/>
  <c r="F172" i="40" s="1"/>
  <c r="F173" i="40" s="1"/>
  <c r="F174" i="40" s="1"/>
  <c r="F175" i="40" s="1"/>
  <c r="F176" i="40" s="1"/>
  <c r="F177" i="40" s="1"/>
  <c r="F178" i="40" s="1"/>
  <c r="F179" i="40" s="1"/>
  <c r="F180" i="40" s="1"/>
  <c r="F181" i="40" s="1"/>
  <c r="F182" i="40" s="1"/>
  <c r="F183" i="40" s="1"/>
  <c r="F184" i="40" s="1"/>
  <c r="F185" i="40" s="1"/>
  <c r="F186" i="40" s="1"/>
  <c r="F187" i="40" s="1"/>
  <c r="F188" i="40" s="1"/>
  <c r="F189" i="40" s="1"/>
  <c r="F190" i="40" s="1"/>
  <c r="F191" i="40" s="1"/>
  <c r="F192" i="40" s="1"/>
  <c r="F193" i="40" s="1"/>
  <c r="F194" i="40" s="1"/>
  <c r="F195" i="40" s="1"/>
  <c r="F196" i="40" s="1"/>
  <c r="F197" i="40" s="1"/>
  <c r="F198" i="40" s="1"/>
  <c r="F199" i="40" s="1"/>
  <c r="F200" i="40" s="1"/>
  <c r="F201" i="40" s="1"/>
  <c r="F202" i="40" s="1"/>
  <c r="F203" i="40" s="1"/>
  <c r="F204" i="40" s="1"/>
  <c r="F205" i="40" s="1"/>
  <c r="F206" i="40" s="1"/>
  <c r="F207" i="40" s="1"/>
  <c r="F208" i="40" s="1"/>
  <c r="F209" i="40" s="1"/>
  <c r="F210" i="40" s="1"/>
  <c r="F211" i="40" s="1"/>
  <c r="F212" i="40" s="1"/>
  <c r="F213" i="40" s="1"/>
  <c r="F214" i="40" s="1"/>
  <c r="F215" i="40" s="1"/>
  <c r="F216" i="40" s="1"/>
  <c r="F217" i="40" s="1"/>
  <c r="F218" i="40" s="1"/>
  <c r="F219" i="40" s="1"/>
  <c r="F220" i="40" s="1"/>
  <c r="F221" i="40" s="1"/>
  <c r="F222" i="40" s="1"/>
  <c r="F223" i="40" s="1"/>
  <c r="F224" i="40" s="1"/>
  <c r="F225" i="40" s="1"/>
  <c r="F226" i="40" s="1"/>
  <c r="F227" i="40" s="1"/>
  <c r="F228" i="40" s="1"/>
  <c r="F229" i="40" s="1"/>
  <c r="F230" i="40" s="1"/>
  <c r="F231" i="40" s="1"/>
  <c r="F232" i="40" s="1"/>
  <c r="F233" i="40" s="1"/>
  <c r="F234" i="40" s="1"/>
  <c r="F235" i="40" s="1"/>
  <c r="F236" i="40" s="1"/>
  <c r="F237" i="40" s="1"/>
  <c r="F238" i="40" s="1"/>
  <c r="F239" i="40" s="1"/>
  <c r="F240" i="40" s="1"/>
  <c r="F241" i="40" s="1"/>
  <c r="F242" i="40" s="1"/>
  <c r="F243" i="40" s="1"/>
  <c r="F244" i="40" s="1"/>
  <c r="F245" i="40" s="1"/>
  <c r="F246" i="40" s="1"/>
  <c r="F247" i="40" s="1"/>
  <c r="F248" i="40" s="1"/>
  <c r="F249" i="40" s="1"/>
  <c r="F250" i="40" s="1"/>
  <c r="F251" i="40" s="1"/>
  <c r="F252" i="40" s="1"/>
  <c r="F253" i="40" s="1"/>
  <c r="F254" i="40" s="1"/>
  <c r="F255" i="40" s="1"/>
  <c r="F256" i="40" s="1"/>
  <c r="F257" i="40" s="1"/>
  <c r="F258" i="40" s="1"/>
  <c r="F259" i="40" s="1"/>
  <c r="F260" i="40" s="1"/>
  <c r="F261" i="40" s="1"/>
  <c r="F262" i="40" s="1"/>
  <c r="F263" i="40" s="1"/>
  <c r="F264" i="40" s="1"/>
  <c r="F265" i="40" s="1"/>
  <c r="F266" i="40" s="1"/>
  <c r="F267" i="40" s="1"/>
  <c r="F268" i="40" s="1"/>
  <c r="F269" i="40" s="1"/>
  <c r="F270" i="40" s="1"/>
  <c r="F271" i="40" s="1"/>
  <c r="F272" i="40" s="1"/>
  <c r="F273" i="40" s="1"/>
  <c r="F274" i="40" s="1"/>
  <c r="F275" i="40" s="1"/>
  <c r="F276" i="40" s="1"/>
  <c r="F277" i="40" s="1"/>
  <c r="F278" i="40" s="1"/>
  <c r="F279" i="40" s="1"/>
  <c r="F280" i="40" s="1"/>
  <c r="F281" i="40" s="1"/>
  <c r="F282" i="40" s="1"/>
  <c r="F283" i="40" s="1"/>
  <c r="F284" i="40" s="1"/>
  <c r="F285" i="40" s="1"/>
  <c r="F286" i="40" s="1"/>
  <c r="F287" i="40" s="1"/>
  <c r="F288" i="40" s="1"/>
  <c r="F289" i="40" s="1"/>
  <c r="F290" i="40" s="1"/>
  <c r="F291" i="40" s="1"/>
  <c r="F292" i="40" s="1"/>
  <c r="F293" i="40" s="1"/>
  <c r="F294" i="40" s="1"/>
  <c r="F295" i="40" s="1"/>
  <c r="F296" i="40" s="1"/>
  <c r="F297" i="40" s="1"/>
  <c r="F298" i="40" s="1"/>
  <c r="F299" i="40" s="1"/>
  <c r="F300" i="40" s="1"/>
  <c r="F301" i="40" s="1"/>
  <c r="F302" i="40" s="1"/>
  <c r="F303" i="40" s="1"/>
  <c r="F304" i="40" s="1"/>
  <c r="F305" i="40" s="1"/>
  <c r="F306" i="40" s="1"/>
  <c r="F307" i="40" s="1"/>
  <c r="F308" i="40" s="1"/>
  <c r="F309" i="40" s="1"/>
  <c r="F310" i="40" s="1"/>
  <c r="F311" i="40" s="1"/>
  <c r="F312" i="40" s="1"/>
  <c r="F313" i="40" s="1"/>
  <c r="F314" i="40" s="1"/>
  <c r="F315" i="40" s="1"/>
  <c r="F316" i="40" s="1"/>
  <c r="F317" i="40" s="1"/>
  <c r="F318" i="40" s="1"/>
  <c r="F319" i="40" s="1"/>
  <c r="F320" i="40" s="1"/>
  <c r="F321" i="40" s="1"/>
  <c r="F322" i="40" s="1"/>
  <c r="F323" i="40" s="1"/>
  <c r="F324" i="40" s="1"/>
  <c r="F325" i="40" s="1"/>
  <c r="F326" i="40" s="1"/>
  <c r="F327" i="40" s="1"/>
  <c r="F328" i="40" s="1"/>
  <c r="F329" i="40" s="1"/>
  <c r="F330" i="40" s="1"/>
  <c r="F331" i="40" s="1"/>
  <c r="F332" i="40" s="1"/>
  <c r="F333" i="40" s="1"/>
  <c r="F334" i="40" s="1"/>
  <c r="F335" i="40" s="1"/>
  <c r="F336" i="40" s="1"/>
  <c r="F337" i="40" s="1"/>
  <c r="F338" i="40" s="1"/>
  <c r="F339" i="40" s="1"/>
  <c r="F340" i="40" s="1"/>
  <c r="F341" i="40" s="1"/>
  <c r="F342" i="40" s="1"/>
  <c r="F343" i="40" s="1"/>
  <c r="F344" i="40" s="1"/>
  <c r="F345" i="40" s="1"/>
  <c r="F346" i="40" s="1"/>
  <c r="F347" i="40" s="1"/>
  <c r="F348" i="40" s="1"/>
  <c r="F349" i="40" s="1"/>
  <c r="F350" i="40" s="1"/>
  <c r="F351" i="40" s="1"/>
  <c r="F352" i="40" s="1"/>
  <c r="F353" i="40" s="1"/>
  <c r="F354" i="40" s="1"/>
  <c r="F355" i="40" s="1"/>
  <c r="F356" i="40" s="1"/>
  <c r="F357" i="40" s="1"/>
  <c r="F358" i="40" s="1"/>
  <c r="F359" i="40" s="1"/>
  <c r="F360" i="40" s="1"/>
  <c r="F361" i="40" s="1"/>
  <c r="F362" i="40" s="1"/>
  <c r="F363" i="40" s="1"/>
  <c r="F364" i="40" s="1"/>
  <c r="F365" i="40" s="1"/>
  <c r="F366" i="40" s="1"/>
  <c r="F367" i="40" s="1"/>
  <c r="F368" i="40" s="1"/>
  <c r="F369" i="40" s="1"/>
  <c r="F370" i="40" s="1"/>
  <c r="F371" i="40" s="1"/>
  <c r="F372" i="40" s="1"/>
  <c r="F373" i="40" s="1"/>
  <c r="F374" i="40" s="1"/>
  <c r="F375" i="40" s="1"/>
  <c r="F376" i="40" s="1"/>
  <c r="F377" i="40" s="1"/>
  <c r="F378" i="40" s="1"/>
  <c r="F379" i="40" s="1"/>
  <c r="F380" i="40" s="1"/>
  <c r="F381" i="40" s="1"/>
  <c r="F382" i="40" s="1"/>
  <c r="F383" i="40" s="1"/>
  <c r="F384" i="40" s="1"/>
  <c r="F385" i="40" s="1"/>
  <c r="F386" i="40" s="1"/>
  <c r="F387" i="40" s="1"/>
  <c r="F388" i="40" s="1"/>
  <c r="F389" i="40" s="1"/>
  <c r="F390" i="40" s="1"/>
  <c r="F391" i="40" s="1"/>
  <c r="F392" i="40" s="1"/>
  <c r="F393" i="40" s="1"/>
  <c r="F394" i="40" s="1"/>
  <c r="F395" i="40" s="1"/>
  <c r="F396" i="40" s="1"/>
  <c r="F397" i="40" s="1"/>
  <c r="F398" i="40" s="1"/>
  <c r="F399" i="40" s="1"/>
  <c r="F400" i="40" s="1"/>
  <c r="F401" i="40" s="1"/>
  <c r="F402" i="40" s="1"/>
  <c r="F403" i="40" s="1"/>
  <c r="F404" i="40" s="1"/>
  <c r="F405" i="40" s="1"/>
  <c r="F406" i="40" s="1"/>
  <c r="F407" i="40" s="1"/>
  <c r="F408" i="40" s="1"/>
  <c r="F409" i="40" s="1"/>
  <c r="F410" i="40" s="1"/>
  <c r="F411" i="40" s="1"/>
  <c r="F412" i="40" s="1"/>
  <c r="F413" i="40" s="1"/>
  <c r="F414" i="40" s="1"/>
  <c r="F415" i="40" s="1"/>
  <c r="F416" i="40" s="1"/>
  <c r="F417" i="40" s="1"/>
  <c r="F418" i="40" s="1"/>
  <c r="F419" i="40" s="1"/>
  <c r="F420" i="40" s="1"/>
  <c r="F421" i="40" s="1"/>
  <c r="F422" i="40" s="1"/>
  <c r="F423" i="40" s="1"/>
  <c r="F424" i="40" s="1"/>
  <c r="F425" i="40" s="1"/>
  <c r="F426" i="40" s="1"/>
  <c r="F427" i="40" s="1"/>
  <c r="F428" i="40" s="1"/>
  <c r="F429" i="40" s="1"/>
  <c r="F430" i="40" s="1"/>
  <c r="F431" i="40" s="1"/>
  <c r="F432" i="40" s="1"/>
  <c r="F433" i="40" s="1"/>
  <c r="F434" i="40" s="1"/>
  <c r="F435" i="40" s="1"/>
  <c r="F436" i="40" s="1"/>
  <c r="F437" i="40" s="1"/>
  <c r="F438" i="40" s="1"/>
  <c r="F439" i="40" s="1"/>
  <c r="F440" i="40" s="1"/>
  <c r="F441" i="40" s="1"/>
  <c r="F442" i="40" s="1"/>
  <c r="F443" i="40" s="1"/>
  <c r="F444" i="40" s="1"/>
  <c r="F445" i="40" s="1"/>
  <c r="F446" i="40" s="1"/>
  <c r="F447" i="40" s="1"/>
  <c r="F448" i="40" s="1"/>
  <c r="F449" i="40" s="1"/>
  <c r="F450" i="40" s="1"/>
  <c r="F451" i="40" s="1"/>
  <c r="F452" i="40" s="1"/>
  <c r="F453" i="40" s="1"/>
  <c r="F454" i="40" s="1"/>
  <c r="F455" i="40" s="1"/>
  <c r="F456" i="40" s="1"/>
  <c r="F457" i="40" s="1"/>
  <c r="F458" i="40" s="1"/>
  <c r="F459" i="40" s="1"/>
  <c r="F460" i="40" s="1"/>
  <c r="F461" i="40" s="1"/>
  <c r="F462" i="40" s="1"/>
  <c r="F463" i="40" s="1"/>
  <c r="F464" i="40" s="1"/>
  <c r="F465" i="40" s="1"/>
  <c r="F466" i="40" s="1"/>
  <c r="F467" i="40" s="1"/>
  <c r="F468" i="40" s="1"/>
  <c r="F469" i="40" s="1"/>
  <c r="F470" i="40" s="1"/>
  <c r="F471" i="40" s="1"/>
  <c r="F472" i="40" s="1"/>
  <c r="F473" i="40" s="1"/>
  <c r="F474" i="40" s="1"/>
  <c r="F475" i="40" s="1"/>
  <c r="F476" i="40" s="1"/>
  <c r="F477" i="40" s="1"/>
  <c r="F478" i="40" s="1"/>
  <c r="F479" i="40" s="1"/>
  <c r="F480" i="40" s="1"/>
  <c r="F481" i="40" s="1"/>
  <c r="F482" i="40" s="1"/>
  <c r="F483" i="40" s="1"/>
  <c r="F484" i="40" s="1"/>
  <c r="F485" i="40" s="1"/>
  <c r="F486" i="40" s="1"/>
  <c r="F487" i="40" s="1"/>
  <c r="F488" i="40" s="1"/>
  <c r="F489" i="40" s="1"/>
  <c r="F490" i="40" s="1"/>
  <c r="F491" i="40" s="1"/>
  <c r="F492" i="40" s="1"/>
  <c r="F493" i="40" s="1"/>
  <c r="F494" i="40" s="1"/>
  <c r="F495" i="40" s="1"/>
  <c r="F496" i="40" s="1"/>
  <c r="F497" i="40" s="1"/>
  <c r="F498" i="40" s="1"/>
  <c r="F499" i="40" s="1"/>
  <c r="F500" i="40" s="1"/>
  <c r="F501" i="40" s="1"/>
  <c r="F502" i="40" s="1"/>
  <c r="F503" i="40" s="1"/>
  <c r="F504" i="40" s="1"/>
  <c r="F505" i="40" s="1"/>
  <c r="F506" i="40" s="1"/>
  <c r="F507" i="40" s="1"/>
  <c r="F508" i="40" s="1"/>
  <c r="F509" i="40" s="1"/>
  <c r="F510" i="40" s="1"/>
  <c r="F511" i="40" s="1"/>
  <c r="F512" i="40" s="1"/>
  <c r="F513" i="40" s="1"/>
  <c r="F514" i="40" s="1"/>
  <c r="F515" i="40" s="1"/>
  <c r="F516" i="40" s="1"/>
  <c r="F517" i="40" s="1"/>
  <c r="F518" i="40" s="1"/>
  <c r="F519" i="40" s="1"/>
  <c r="F520" i="40" s="1"/>
  <c r="F521" i="40" s="1"/>
  <c r="F522" i="40" s="1"/>
  <c r="F523" i="40" s="1"/>
  <c r="F524" i="40" s="1"/>
  <c r="F525" i="40" s="1"/>
  <c r="F526" i="40" s="1"/>
  <c r="F527" i="40" s="1"/>
  <c r="F528" i="40" s="1"/>
  <c r="F529" i="40" s="1"/>
  <c r="F530" i="40" s="1"/>
  <c r="F531" i="40" s="1"/>
  <c r="F532" i="40" s="1"/>
  <c r="F533" i="40" s="1"/>
  <c r="F534" i="40" s="1"/>
  <c r="F535" i="40" s="1"/>
  <c r="F536" i="40" s="1"/>
  <c r="F537" i="40" s="1"/>
  <c r="F538" i="40" s="1"/>
  <c r="F539" i="40" s="1"/>
  <c r="F540" i="40" s="1"/>
  <c r="F541" i="40" s="1"/>
  <c r="F542" i="40" s="1"/>
  <c r="F543" i="40" s="1"/>
  <c r="F544" i="40" s="1"/>
  <c r="F545" i="40" s="1"/>
  <c r="F546" i="40" s="1"/>
  <c r="F547" i="40" s="1"/>
  <c r="F548" i="40" s="1"/>
  <c r="F549" i="40" s="1"/>
  <c r="F550" i="40" s="1"/>
  <c r="F551" i="40" s="1"/>
  <c r="F552" i="40" s="1"/>
  <c r="F553" i="40" s="1"/>
  <c r="F554" i="40" s="1"/>
  <c r="F555" i="40" s="1"/>
  <c r="F556" i="40" s="1"/>
  <c r="F557" i="40" s="1"/>
  <c r="F558" i="40" s="1"/>
  <c r="F559" i="40" s="1"/>
  <c r="F560" i="40" s="1"/>
  <c r="F561" i="40" s="1"/>
  <c r="F562" i="40" s="1"/>
  <c r="F563" i="40" s="1"/>
  <c r="F564" i="40" s="1"/>
  <c r="F565" i="40" s="1"/>
  <c r="F566" i="40" s="1"/>
  <c r="F567" i="40" s="1"/>
  <c r="F568" i="40" s="1"/>
  <c r="F569" i="40" s="1"/>
  <c r="F570" i="40" s="1"/>
  <c r="F571" i="40" s="1"/>
  <c r="F572" i="40" s="1"/>
  <c r="F573" i="40" s="1"/>
  <c r="F574" i="40" s="1"/>
  <c r="F575" i="40" s="1"/>
  <c r="F576" i="40" s="1"/>
  <c r="F577" i="40" s="1"/>
  <c r="F578" i="40" s="1"/>
  <c r="F579" i="40" s="1"/>
  <c r="F580" i="40" s="1"/>
  <c r="F581" i="40" s="1"/>
  <c r="F582" i="40" s="1"/>
  <c r="F583" i="40" s="1"/>
  <c r="F584" i="40" s="1"/>
  <c r="F585" i="40" s="1"/>
  <c r="F586" i="40" s="1"/>
  <c r="F587" i="40" s="1"/>
  <c r="F588" i="40" s="1"/>
  <c r="F589" i="40" s="1"/>
  <c r="F590" i="40" s="1"/>
  <c r="F591" i="40" s="1"/>
  <c r="F592" i="40" s="1"/>
  <c r="F593" i="40" s="1"/>
  <c r="F594" i="40" s="1"/>
  <c r="F595" i="40" s="1"/>
  <c r="F596" i="40" s="1"/>
  <c r="F597" i="40" s="1"/>
  <c r="F598" i="40" s="1"/>
  <c r="F599" i="40" s="1"/>
  <c r="F600" i="40" s="1"/>
  <c r="F601" i="40" s="1"/>
  <c r="F602" i="40" s="1"/>
  <c r="F603" i="40" s="1"/>
  <c r="F604" i="40" s="1"/>
  <c r="F605" i="40" s="1"/>
  <c r="F606" i="40" s="1"/>
  <c r="F607" i="40" s="1"/>
  <c r="F608" i="40" s="1"/>
  <c r="F609" i="40" s="1"/>
  <c r="F610" i="40" s="1"/>
  <c r="F611" i="40" s="1"/>
  <c r="F612" i="40" s="1"/>
  <c r="F613" i="40" s="1"/>
  <c r="F614" i="40" s="1"/>
  <c r="F615" i="40" s="1"/>
  <c r="F616" i="40" s="1"/>
  <c r="F617" i="40" s="1"/>
  <c r="F618" i="40" s="1"/>
  <c r="F619" i="40" s="1"/>
  <c r="F620" i="40" s="1"/>
  <c r="F621" i="40" s="1"/>
  <c r="F622" i="40" s="1"/>
  <c r="F623" i="40" s="1"/>
  <c r="F624" i="40" s="1"/>
  <c r="F625" i="40" s="1"/>
  <c r="F626" i="40" s="1"/>
  <c r="F627" i="40" s="1"/>
  <c r="F628" i="40" s="1"/>
  <c r="F629" i="40" s="1"/>
  <c r="F630" i="40" s="1"/>
  <c r="F631" i="40" s="1"/>
  <c r="F632" i="40" s="1"/>
  <c r="D643" i="40"/>
  <c r="C643" i="40"/>
  <c r="C644" i="40" s="1"/>
  <c r="C645" i="40" s="1"/>
  <c r="C646" i="40" s="1"/>
  <c r="C647" i="40" s="1"/>
  <c r="C648" i="40" s="1"/>
  <c r="C649" i="40" s="1"/>
  <c r="C650" i="40" s="1"/>
  <c r="C651" i="40" s="1"/>
  <c r="C652" i="40" s="1"/>
  <c r="C653" i="40" s="1"/>
  <c r="C654" i="40" s="1"/>
  <c r="C655" i="40" s="1"/>
  <c r="C656" i="40" s="1"/>
  <c r="C657" i="40" s="1"/>
  <c r="C658" i="40" s="1"/>
  <c r="C659" i="40" s="1"/>
  <c r="C660" i="40" s="1"/>
  <c r="C661" i="40" s="1"/>
  <c r="C662" i="40" s="1"/>
  <c r="C663" i="40" s="1"/>
  <c r="C664" i="40" s="1"/>
  <c r="C665" i="40" s="1"/>
  <c r="C666" i="40" s="1"/>
  <c r="C667" i="40" s="1"/>
  <c r="C668" i="40" s="1"/>
  <c r="C669" i="40" s="1"/>
  <c r="C670" i="40" s="1"/>
  <c r="C671" i="40" s="1"/>
  <c r="C672" i="40" s="1"/>
  <c r="C673" i="40" s="1"/>
  <c r="C674" i="40" s="1"/>
  <c r="C675" i="40" s="1"/>
  <c r="C676" i="40" s="1"/>
  <c r="C677" i="40" s="1"/>
  <c r="C678" i="40" s="1"/>
  <c r="C679" i="40" s="1"/>
  <c r="C680" i="40" s="1"/>
  <c r="C681" i="40" s="1"/>
  <c r="C682" i="40" s="1"/>
  <c r="C683" i="40" s="1"/>
  <c r="C684" i="40" s="1"/>
  <c r="C685" i="40" s="1"/>
  <c r="C686" i="40" s="1"/>
  <c r="C687" i="40" s="1"/>
  <c r="C688" i="40" s="1"/>
  <c r="C689" i="40" s="1"/>
  <c r="C690" i="40" s="1"/>
  <c r="C691" i="40" s="1"/>
  <c r="C692" i="40" s="1"/>
  <c r="C693" i="40" s="1"/>
  <c r="C694" i="40" s="1"/>
  <c r="C695" i="40" s="1"/>
  <c r="C696" i="40" s="1"/>
  <c r="C697" i="40" s="1"/>
  <c r="C698" i="40" s="1"/>
  <c r="C699" i="40" s="1"/>
  <c r="C700" i="40" s="1"/>
  <c r="C701" i="40" s="1"/>
  <c r="C702" i="40" s="1"/>
  <c r="C703" i="40" s="1"/>
  <c r="C704" i="40" s="1"/>
  <c r="C705" i="40" s="1"/>
  <c r="C706" i="40" s="1"/>
  <c r="C707" i="40" s="1"/>
  <c r="C708" i="40" s="1"/>
  <c r="C709" i="40" s="1"/>
  <c r="C710" i="40" s="1"/>
  <c r="C711" i="40" s="1"/>
  <c r="C712" i="40" s="1"/>
  <c r="C713" i="40" s="1"/>
  <c r="C714" i="40" s="1"/>
  <c r="C715" i="40" s="1"/>
  <c r="C716" i="40" s="1"/>
  <c r="C717" i="40" s="1"/>
  <c r="C718" i="40" s="1"/>
  <c r="C719" i="40" s="1"/>
  <c r="C720" i="40" s="1"/>
  <c r="C721" i="40" s="1"/>
  <c r="C722" i="40" s="1"/>
  <c r="C723" i="40" s="1"/>
  <c r="C724" i="40" s="1"/>
  <c r="C725" i="40" s="1"/>
  <c r="C726" i="40" s="1"/>
  <c r="C727" i="40" s="1"/>
  <c r="C728" i="40" s="1"/>
  <c r="C729" i="40" s="1"/>
  <c r="C730" i="40" s="1"/>
  <c r="C731" i="40" s="1"/>
  <c r="C732" i="40" s="1"/>
  <c r="C733" i="40" s="1"/>
  <c r="C734" i="40" s="1"/>
  <c r="C735" i="40" s="1"/>
  <c r="C736" i="40" s="1"/>
  <c r="C737" i="40" s="1"/>
  <c r="C738" i="40" s="1"/>
  <c r="C739" i="40" s="1"/>
  <c r="C740" i="40" s="1"/>
  <c r="C741" i="40" s="1"/>
  <c r="C742" i="40" s="1"/>
  <c r="C743" i="40" s="1"/>
  <c r="C744" i="40" s="1"/>
  <c r="C745" i="40" s="1"/>
  <c r="C746" i="40" s="1"/>
  <c r="C747" i="40" s="1"/>
  <c r="C748" i="40" s="1"/>
  <c r="C749" i="40" s="1"/>
  <c r="C750" i="40" s="1"/>
  <c r="C751" i="40" s="1"/>
  <c r="C752" i="40" s="1"/>
  <c r="C753" i="40" s="1"/>
  <c r="C754" i="40" s="1"/>
  <c r="C755" i="40" s="1"/>
  <c r="C756" i="40" s="1"/>
  <c r="C757" i="40" s="1"/>
  <c r="C758" i="40" s="1"/>
  <c r="C759" i="40" s="1"/>
  <c r="C760" i="40" s="1"/>
  <c r="C761" i="40" s="1"/>
  <c r="C762" i="40" s="1"/>
  <c r="C763" i="40" s="1"/>
  <c r="C764" i="40" s="1"/>
  <c r="C765" i="40" s="1"/>
  <c r="C766" i="40" s="1"/>
  <c r="C767" i="40" s="1"/>
  <c r="C768" i="40" s="1"/>
  <c r="C769" i="40" s="1"/>
  <c r="C770" i="40" s="1"/>
  <c r="C771" i="40" s="1"/>
  <c r="C772" i="40" s="1"/>
  <c r="C773" i="40" s="1"/>
  <c r="C774" i="40" s="1"/>
  <c r="C775" i="40" s="1"/>
  <c r="C776" i="40" s="1"/>
  <c r="C777" i="40" s="1"/>
  <c r="C778" i="40" s="1"/>
  <c r="C779" i="40" s="1"/>
  <c r="C780" i="40" s="1"/>
  <c r="C781" i="40" s="1"/>
  <c r="C782" i="40" s="1"/>
  <c r="C783" i="40" s="1"/>
  <c r="C784" i="40" s="1"/>
  <c r="C785" i="40" s="1"/>
  <c r="C786" i="40" s="1"/>
  <c r="C787" i="40" s="1"/>
  <c r="C788" i="40" s="1"/>
  <c r="C789" i="40" s="1"/>
  <c r="C790" i="40" s="1"/>
  <c r="C791" i="40" s="1"/>
  <c r="C792" i="40" s="1"/>
  <c r="C793" i="40" s="1"/>
  <c r="C794" i="40" s="1"/>
  <c r="C795" i="40" s="1"/>
  <c r="C796" i="40" s="1"/>
  <c r="C797" i="40" s="1"/>
  <c r="C798" i="40" s="1"/>
  <c r="C799" i="40" s="1"/>
  <c r="C800" i="40" s="1"/>
  <c r="C801" i="40" s="1"/>
  <c r="C802" i="40" s="1"/>
  <c r="C803" i="40" s="1"/>
  <c r="C804" i="40" s="1"/>
  <c r="C805" i="40" s="1"/>
  <c r="C806" i="40" s="1"/>
  <c r="C807" i="40" s="1"/>
  <c r="C808" i="40" s="1"/>
  <c r="C809" i="40" s="1"/>
  <c r="C810" i="40" s="1"/>
  <c r="C811" i="40" s="1"/>
  <c r="C812" i="40" s="1"/>
  <c r="C813" i="40" s="1"/>
  <c r="C814" i="40" s="1"/>
  <c r="C815" i="40" s="1"/>
  <c r="C816" i="40" s="1"/>
  <c r="C817" i="40" s="1"/>
  <c r="C818" i="40" s="1"/>
  <c r="C819" i="40" s="1"/>
  <c r="C820" i="40" s="1"/>
  <c r="C821" i="40" s="1"/>
  <c r="C822" i="40" s="1"/>
  <c r="C823" i="40" s="1"/>
  <c r="C824" i="40" s="1"/>
  <c r="C825" i="40" s="1"/>
  <c r="C826" i="40" s="1"/>
  <c r="C827" i="40" s="1"/>
  <c r="C828" i="40" s="1"/>
  <c r="C829" i="40" s="1"/>
  <c r="C830" i="40" s="1"/>
  <c r="C831" i="40" s="1"/>
  <c r="C832" i="40" s="1"/>
  <c r="C833" i="40" s="1"/>
  <c r="C834" i="40" s="1"/>
  <c r="C835" i="40" s="1"/>
  <c r="C836" i="40" s="1"/>
  <c r="C837" i="40" s="1"/>
  <c r="C838" i="40" s="1"/>
  <c r="C839" i="40" s="1"/>
  <c r="C840" i="40" s="1"/>
  <c r="C841" i="40" s="1"/>
  <c r="C842" i="40" s="1"/>
  <c r="C843" i="40" s="1"/>
  <c r="C844" i="40" s="1"/>
  <c r="C845" i="40" s="1"/>
  <c r="C846" i="40" s="1"/>
  <c r="C847" i="40" s="1"/>
  <c r="C848" i="40" s="1"/>
  <c r="C849" i="40" s="1"/>
  <c r="C850" i="40" s="1"/>
  <c r="C851" i="40" s="1"/>
  <c r="C852" i="40" s="1"/>
  <c r="C853" i="40" s="1"/>
  <c r="C854" i="40" s="1"/>
  <c r="C855" i="40" s="1"/>
  <c r="C856" i="40" s="1"/>
  <c r="C857" i="40" s="1"/>
  <c r="C858" i="40" s="1"/>
  <c r="C859" i="40" s="1"/>
  <c r="C860" i="40" s="1"/>
  <c r="C861" i="40" s="1"/>
  <c r="C862" i="40" s="1"/>
  <c r="C863" i="40" s="1"/>
  <c r="C864" i="40" s="1"/>
  <c r="C865" i="40" s="1"/>
  <c r="C866" i="40" s="1"/>
  <c r="C867" i="40" s="1"/>
  <c r="C868" i="40" s="1"/>
  <c r="C869" i="40" s="1"/>
  <c r="C870" i="40" s="1"/>
  <c r="C871" i="40" s="1"/>
  <c r="C872" i="40" s="1"/>
  <c r="C873" i="40" s="1"/>
  <c r="C874" i="40" s="1"/>
  <c r="C875" i="40" s="1"/>
  <c r="C876" i="40" s="1"/>
  <c r="C877" i="40" s="1"/>
  <c r="C878" i="40" s="1"/>
  <c r="C879" i="40" s="1"/>
  <c r="C880" i="40" s="1"/>
  <c r="C881" i="40" s="1"/>
  <c r="C882" i="40" s="1"/>
  <c r="C883" i="40" s="1"/>
  <c r="C884" i="40" s="1"/>
  <c r="C885" i="40" s="1"/>
  <c r="C886" i="40" s="1"/>
  <c r="C887" i="40" s="1"/>
  <c r="C888" i="40" s="1"/>
  <c r="C889" i="40" s="1"/>
  <c r="C890" i="40" s="1"/>
  <c r="C891" i="40" s="1"/>
  <c r="C892" i="40" s="1"/>
  <c r="C893" i="40" s="1"/>
  <c r="C894" i="40" s="1"/>
  <c r="C895" i="40" s="1"/>
  <c r="C896" i="40" s="1"/>
  <c r="C897" i="40" s="1"/>
  <c r="C898" i="40" s="1"/>
  <c r="C899" i="40" s="1"/>
  <c r="C900" i="40" s="1"/>
  <c r="C901" i="40" s="1"/>
  <c r="C902" i="40" s="1"/>
  <c r="C903" i="40" s="1"/>
  <c r="C904" i="40" s="1"/>
  <c r="C905" i="40" s="1"/>
  <c r="C906" i="40" s="1"/>
  <c r="C907" i="40" s="1"/>
  <c r="C908" i="40" s="1"/>
  <c r="C909" i="40" s="1"/>
  <c r="C910" i="40" s="1"/>
  <c r="C911" i="40" s="1"/>
  <c r="C912" i="40" s="1"/>
  <c r="C913" i="40" s="1"/>
  <c r="C914" i="40" s="1"/>
  <c r="C915" i="40" s="1"/>
  <c r="C916" i="40" s="1"/>
  <c r="C917" i="40" s="1"/>
  <c r="C918" i="40" s="1"/>
  <c r="C919" i="40" s="1"/>
  <c r="C920" i="40" s="1"/>
  <c r="C921" i="40" s="1"/>
  <c r="C922" i="40" s="1"/>
  <c r="C923" i="40" s="1"/>
  <c r="C924" i="40" s="1"/>
  <c r="C925" i="40" s="1"/>
  <c r="C926" i="40" s="1"/>
  <c r="C927" i="40" s="1"/>
  <c r="C928" i="40" s="1"/>
  <c r="C929" i="40" s="1"/>
  <c r="C930" i="40" s="1"/>
  <c r="C931" i="40" s="1"/>
  <c r="C932" i="40" s="1"/>
  <c r="C933" i="40" s="1"/>
  <c r="C934" i="40" s="1"/>
  <c r="C935" i="40" s="1"/>
  <c r="C936" i="40" s="1"/>
  <c r="C937" i="40" s="1"/>
  <c r="C938" i="40" s="1"/>
  <c r="C939" i="40" s="1"/>
  <c r="C940" i="40" s="1"/>
  <c r="C941" i="40" s="1"/>
  <c r="C942" i="40" s="1"/>
  <c r="C943" i="40" s="1"/>
  <c r="C944" i="40" s="1"/>
  <c r="C945" i="40" s="1"/>
  <c r="C946" i="40" s="1"/>
  <c r="C947" i="40" s="1"/>
  <c r="C948" i="40" s="1"/>
  <c r="C949" i="40" s="1"/>
  <c r="C950" i="40" s="1"/>
  <c r="C951" i="40" s="1"/>
  <c r="C952" i="40" s="1"/>
  <c r="C953" i="40" s="1"/>
  <c r="C954" i="40" s="1"/>
  <c r="C955" i="40" s="1"/>
  <c r="C956" i="40" s="1"/>
  <c r="C957" i="40" s="1"/>
  <c r="C958" i="40" s="1"/>
  <c r="C959" i="40" s="1"/>
  <c r="C960" i="40" s="1"/>
  <c r="C961" i="40" s="1"/>
  <c r="C962" i="40" s="1"/>
  <c r="C963" i="40" s="1"/>
  <c r="C964" i="40" s="1"/>
  <c r="C965" i="40" s="1"/>
  <c r="C966" i="40" s="1"/>
  <c r="C967" i="40" s="1"/>
  <c r="C968" i="40" s="1"/>
  <c r="C969" i="40" s="1"/>
  <c r="C970" i="40" s="1"/>
  <c r="C971" i="40" s="1"/>
  <c r="C972" i="40" s="1"/>
  <c r="C973" i="40" s="1"/>
  <c r="C974" i="40" s="1"/>
  <c r="C975" i="40" s="1"/>
  <c r="C976" i="40" s="1"/>
  <c r="C977" i="40" s="1"/>
  <c r="C978" i="40" s="1"/>
  <c r="C979" i="40" s="1"/>
  <c r="C980" i="40" s="1"/>
  <c r="C981" i="40" s="1"/>
  <c r="C982" i="40" s="1"/>
  <c r="C983" i="40" s="1"/>
  <c r="C984" i="40" s="1"/>
  <c r="C985" i="40" s="1"/>
  <c r="C986" i="40" s="1"/>
  <c r="C987" i="40" s="1"/>
  <c r="C988" i="40" s="1"/>
  <c r="C989" i="40" s="1"/>
  <c r="C990" i="40" s="1"/>
  <c r="C991" i="40" s="1"/>
  <c r="C992" i="40" s="1"/>
  <c r="C993" i="40" s="1"/>
  <c r="C994" i="40" s="1"/>
  <c r="C995" i="40" s="1"/>
  <c r="C996" i="40" s="1"/>
  <c r="C997" i="40" s="1"/>
  <c r="C998" i="40" s="1"/>
  <c r="C999" i="40" s="1"/>
  <c r="C1000" i="40" s="1"/>
  <c r="C1001" i="40" s="1"/>
  <c r="C1002" i="40" s="1"/>
  <c r="C1003" i="40" s="1"/>
  <c r="C1004" i="40" s="1"/>
  <c r="C1005" i="40" s="1"/>
  <c r="C1006" i="40" s="1"/>
  <c r="C1007" i="40" s="1"/>
  <c r="C1008" i="40" s="1"/>
  <c r="C1009" i="40" s="1"/>
  <c r="C1010" i="40" s="1"/>
  <c r="C1011" i="40" s="1"/>
  <c r="C1012" i="40" s="1"/>
  <c r="C1013" i="40" s="1"/>
  <c r="C1014" i="40" s="1"/>
  <c r="C1015" i="40" s="1"/>
  <c r="C1016" i="40" s="1"/>
  <c r="C1017" i="40" s="1"/>
  <c r="C1018" i="40" s="1"/>
  <c r="C1019" i="40" s="1"/>
  <c r="C1020" i="40" s="1"/>
  <c r="C1021" i="40" s="1"/>
  <c r="C1022" i="40" s="1"/>
  <c r="C1023" i="40" s="1"/>
  <c r="C1024" i="40" s="1"/>
  <c r="C1025" i="40" s="1"/>
  <c r="C1026" i="40" s="1"/>
  <c r="C1027" i="40" s="1"/>
  <c r="C1028" i="40" s="1"/>
  <c r="C1029" i="40" s="1"/>
  <c r="C1030" i="40" s="1"/>
  <c r="C1031" i="40" s="1"/>
  <c r="C1032" i="40" s="1"/>
  <c r="C1033" i="40" s="1"/>
  <c r="C1034" i="40" s="1"/>
  <c r="C1035" i="40" s="1"/>
  <c r="C1036" i="40" s="1"/>
  <c r="C1037" i="40" s="1"/>
  <c r="C1038" i="40" s="1"/>
  <c r="C1039" i="40" s="1"/>
  <c r="C1040" i="40" s="1"/>
  <c r="C1041" i="40" s="1"/>
  <c r="C1042" i="40" s="1"/>
  <c r="C1043" i="40" s="1"/>
  <c r="C1044" i="40" s="1"/>
  <c r="C1045" i="40" s="1"/>
  <c r="C1046" i="40" s="1"/>
  <c r="C1047" i="40" s="1"/>
  <c r="C1048" i="40" s="1"/>
  <c r="C1049" i="40" s="1"/>
  <c r="C1050" i="40" s="1"/>
  <c r="C1051" i="40" s="1"/>
  <c r="C1052" i="40" s="1"/>
  <c r="C1053" i="40" s="1"/>
  <c r="C1054" i="40" s="1"/>
  <c r="C1055" i="40" s="1"/>
  <c r="C1056" i="40" s="1"/>
  <c r="C1057" i="40" s="1"/>
  <c r="C1058" i="40" s="1"/>
  <c r="C1059" i="40" s="1"/>
  <c r="C1060" i="40" s="1"/>
  <c r="C1061" i="40" s="1"/>
  <c r="C1062" i="40" s="1"/>
  <c r="C1063" i="40" s="1"/>
  <c r="C1064" i="40" s="1"/>
  <c r="C1065" i="40" s="1"/>
  <c r="C1066" i="40" s="1"/>
  <c r="C1067" i="40" s="1"/>
  <c r="C1068" i="40" s="1"/>
  <c r="C1069" i="40" s="1"/>
  <c r="C1070" i="40" s="1"/>
  <c r="C1071" i="40" s="1"/>
  <c r="C1072" i="40" s="1"/>
  <c r="C1073" i="40" s="1"/>
  <c r="C1074" i="40" s="1"/>
  <c r="C1075" i="40" s="1"/>
  <c r="C1076" i="40" s="1"/>
  <c r="C1077" i="40" s="1"/>
  <c r="C1078" i="40" s="1"/>
  <c r="C1079" i="40" s="1"/>
  <c r="C1080" i="40" s="1"/>
  <c r="C1081" i="40" s="1"/>
  <c r="C1082" i="40" s="1"/>
  <c r="C1083" i="40" s="1"/>
  <c r="C1084" i="40" s="1"/>
  <c r="C1085" i="40" s="1"/>
  <c r="C1086" i="40" s="1"/>
  <c r="C1087" i="40" s="1"/>
  <c r="C1088" i="40" s="1"/>
  <c r="C1089" i="40" s="1"/>
  <c r="C1090" i="40" s="1"/>
  <c r="C1091" i="40" s="1"/>
  <c r="C1092" i="40" s="1"/>
  <c r="C1093" i="40" s="1"/>
  <c r="C1094" i="40" s="1"/>
  <c r="C1095" i="40" s="1"/>
  <c r="C1096" i="40" s="1"/>
  <c r="C1097" i="40" s="1"/>
  <c r="C1098" i="40" s="1"/>
  <c r="C1099" i="40" s="1"/>
  <c r="C1100" i="40" s="1"/>
  <c r="C1101" i="40" s="1"/>
  <c r="C1102" i="40" s="1"/>
  <c r="C1103" i="40" s="1"/>
  <c r="C1104" i="40" s="1"/>
  <c r="C1105" i="40" s="1"/>
  <c r="C1106" i="40" s="1"/>
  <c r="C1107" i="40" s="1"/>
  <c r="C1108" i="40" s="1"/>
  <c r="C1109" i="40" s="1"/>
  <c r="C1110" i="40" s="1"/>
  <c r="C1111" i="40" s="1"/>
  <c r="C1112" i="40" s="1"/>
  <c r="C1113" i="40" s="1"/>
  <c r="C1114" i="40" s="1"/>
  <c r="C1115" i="40" s="1"/>
  <c r="C1116" i="40" s="1"/>
  <c r="C1117" i="40" s="1"/>
  <c r="C1118" i="40" s="1"/>
  <c r="C1119" i="40" s="1"/>
  <c r="C1120" i="40" s="1"/>
  <c r="C1121" i="40" s="1"/>
  <c r="C1122" i="40" s="1"/>
  <c r="C1123" i="40" s="1"/>
  <c r="C1124" i="40" s="1"/>
  <c r="C1125" i="40" s="1"/>
  <c r="C1126" i="40" s="1"/>
  <c r="C1127" i="40" s="1"/>
  <c r="C1128" i="40" s="1"/>
  <c r="C1129" i="40" s="1"/>
  <c r="C1130" i="40" s="1"/>
  <c r="C1131" i="40" s="1"/>
  <c r="C1132" i="40" s="1"/>
  <c r="C1133" i="40" s="1"/>
  <c r="C1134" i="40" s="1"/>
  <c r="C1135" i="40" s="1"/>
  <c r="C1136" i="40" s="1"/>
  <c r="C1137" i="40" s="1"/>
  <c r="C1138" i="40" s="1"/>
  <c r="C1139" i="40" s="1"/>
  <c r="C1140" i="40" s="1"/>
  <c r="C1141" i="40" s="1"/>
  <c r="C1142" i="40" s="1"/>
  <c r="C1143" i="40" s="1"/>
  <c r="C1144" i="40" s="1"/>
  <c r="C1145" i="40" s="1"/>
  <c r="C1146" i="40" s="1"/>
  <c r="C1147" i="40" s="1"/>
  <c r="C1148" i="40" s="1"/>
  <c r="C1149" i="40" s="1"/>
  <c r="C1150" i="40" s="1"/>
  <c r="C1151" i="40" s="1"/>
  <c r="C1152" i="40" s="1"/>
  <c r="C1153" i="40" s="1"/>
  <c r="C1154" i="40" s="1"/>
  <c r="C1155" i="40" s="1"/>
  <c r="C1156" i="40" s="1"/>
  <c r="C1157" i="40" s="1"/>
  <c r="C1158" i="40" s="1"/>
  <c r="C1159" i="40" s="1"/>
  <c r="C1160" i="40" s="1"/>
  <c r="C1161" i="40" s="1"/>
  <c r="C1162" i="40" s="1"/>
  <c r="C1163" i="40" s="1"/>
  <c r="C1164" i="40" s="1"/>
  <c r="C1165" i="40" s="1"/>
  <c r="C1166" i="40" s="1"/>
  <c r="C1167" i="40" s="1"/>
  <c r="C1168" i="40" s="1"/>
  <c r="C1169" i="40" s="1"/>
  <c r="C1170" i="40" s="1"/>
  <c r="C1171" i="40" s="1"/>
  <c r="C1172" i="40" s="1"/>
  <c r="C1173" i="40" s="1"/>
  <c r="C1174" i="40" s="1"/>
  <c r="C1175" i="40" s="1"/>
  <c r="C1176" i="40" s="1"/>
  <c r="C1177" i="40" s="1"/>
  <c r="C1178" i="40" s="1"/>
  <c r="C1179" i="40" s="1"/>
  <c r="C1180" i="40" s="1"/>
  <c r="C1181" i="40" s="1"/>
  <c r="C1182" i="40" s="1"/>
  <c r="C1183" i="40" s="1"/>
  <c r="C1184" i="40" s="1"/>
  <c r="C1185" i="40" s="1"/>
  <c r="C1186" i="40" s="1"/>
  <c r="C1187" i="40" s="1"/>
  <c r="C1188" i="40" s="1"/>
  <c r="C1189" i="40" s="1"/>
  <c r="C1190" i="40" s="1"/>
  <c r="C1191" i="40" s="1"/>
  <c r="C1192" i="40" s="1"/>
  <c r="C1193" i="40" s="1"/>
  <c r="C1194" i="40" s="1"/>
  <c r="C1195" i="40" s="1"/>
  <c r="C1196" i="40" s="1"/>
  <c r="C1197" i="40" s="1"/>
  <c r="C1198" i="40" s="1"/>
  <c r="C1199" i="40" s="1"/>
  <c r="C1200" i="40" s="1"/>
  <c r="C1201" i="40" s="1"/>
  <c r="C1202" i="40" s="1"/>
  <c r="C1203" i="40" s="1"/>
  <c r="C1204" i="40" s="1"/>
  <c r="C1205" i="40" s="1"/>
  <c r="C1206" i="40" s="1"/>
  <c r="C1207" i="40" s="1"/>
  <c r="C1208" i="40" s="1"/>
  <c r="C1209" i="40" s="1"/>
  <c r="C1210" i="40" s="1"/>
  <c r="C1211" i="40" s="1"/>
  <c r="C1212" i="40" s="1"/>
  <c r="C1213" i="40" s="1"/>
  <c r="C1214" i="40" s="1"/>
  <c r="C1215" i="40" s="1"/>
  <c r="C1216" i="40" s="1"/>
  <c r="C1217" i="40" s="1"/>
  <c r="C1218" i="40" s="1"/>
  <c r="C1219" i="40" s="1"/>
  <c r="C1220" i="40" s="1"/>
  <c r="C1221" i="40" s="1"/>
  <c r="C1222" i="40" s="1"/>
  <c r="C1223" i="40" s="1"/>
  <c r="C1224" i="40" s="1"/>
  <c r="C1225" i="40" s="1"/>
  <c r="C1226" i="40" s="1"/>
  <c r="C1227" i="40" s="1"/>
  <c r="C1228" i="40" s="1"/>
  <c r="C1229" i="40" s="1"/>
  <c r="C1230" i="40" s="1"/>
  <c r="C1231" i="40" s="1"/>
  <c r="C1232" i="40" s="1"/>
  <c r="C1233" i="40" s="1"/>
  <c r="C1234" i="40" s="1"/>
  <c r="C1235" i="40" s="1"/>
  <c r="C1236" i="40" s="1"/>
  <c r="C1237" i="40" s="1"/>
  <c r="C1238" i="40" s="1"/>
  <c r="C1239" i="40" s="1"/>
  <c r="C1240" i="40" s="1"/>
  <c r="C1241" i="40" s="1"/>
  <c r="C1242" i="40" s="1"/>
  <c r="C1243" i="40" s="1"/>
  <c r="C1244" i="40" s="1"/>
  <c r="C1245" i="40" s="1"/>
  <c r="C1246" i="40" s="1"/>
  <c r="C1247" i="40" s="1"/>
  <c r="C1248" i="40" s="1"/>
  <c r="C1249" i="40" s="1"/>
  <c r="C1250" i="40" s="1"/>
  <c r="C1251" i="40" s="1"/>
  <c r="C1252" i="40" s="1"/>
  <c r="C1253" i="40" s="1"/>
  <c r="C1254" i="40" s="1"/>
  <c r="C1255" i="40" s="1"/>
  <c r="C1256" i="40" s="1"/>
  <c r="C1257" i="40" s="1"/>
  <c r="C1258" i="40" s="1"/>
  <c r="C1259" i="40" s="1"/>
  <c r="C1260" i="40" s="1"/>
  <c r="C1261" i="40" s="1"/>
  <c r="C1262" i="40" s="1"/>
  <c r="C1263" i="40" s="1"/>
  <c r="C1264" i="40" s="1"/>
  <c r="C1265" i="40" s="1"/>
  <c r="C1266" i="40" s="1"/>
  <c r="C1267" i="40" s="1"/>
  <c r="C1268" i="40" s="1"/>
  <c r="C1269" i="40" s="1"/>
  <c r="C1270" i="40" s="1"/>
  <c r="C1271" i="40" s="1"/>
  <c r="F31" i="38" l="1"/>
  <c r="F29" i="38"/>
  <c r="F39" i="38"/>
  <c r="F36" i="38"/>
  <c r="F37" i="38"/>
  <c r="F34" i="38"/>
  <c r="F38" i="38"/>
  <c r="F40" i="38"/>
  <c r="F35" i="38"/>
  <c r="F27" i="38"/>
  <c r="F30" i="38"/>
  <c r="F26" i="38"/>
  <c r="F41" i="38"/>
  <c r="F32" i="38"/>
  <c r="F25" i="38"/>
  <c r="F33" i="38"/>
  <c r="F28" i="38"/>
  <c r="E31" i="38"/>
  <c r="E29" i="38"/>
  <c r="E39" i="38"/>
  <c r="E36" i="38"/>
  <c r="E37" i="38"/>
  <c r="E34" i="38"/>
  <c r="E38" i="38"/>
  <c r="E40" i="38"/>
  <c r="E35" i="38"/>
  <c r="E27" i="38"/>
  <c r="E30" i="38"/>
  <c r="E26" i="38"/>
  <c r="E41" i="38"/>
  <c r="E32" i="38"/>
  <c r="E25" i="38"/>
  <c r="E33" i="38"/>
  <c r="E28" i="38"/>
  <c r="S400" i="6" l="1"/>
  <c r="F4" i="28"/>
  <c r="Z463" i="6" l="1"/>
  <c r="Z446" i="6"/>
  <c r="Z238" i="6"/>
  <c r="Z200" i="6"/>
  <c r="Z262" i="6"/>
  <c r="Z2" i="6"/>
  <c r="Z570" i="6"/>
  <c r="Z447" i="6"/>
  <c r="Z201" i="6"/>
  <c r="Z154" i="6"/>
  <c r="Z505" i="6"/>
  <c r="Z428" i="6"/>
  <c r="Z571" i="6"/>
  <c r="Z546" i="6"/>
  <c r="Z65" i="6"/>
  <c r="Z572" i="6"/>
  <c r="Z506" i="6"/>
  <c r="Z412" i="6"/>
  <c r="Z398" i="6"/>
  <c r="Z180" i="6"/>
  <c r="Z155" i="6"/>
  <c r="Z239" i="6"/>
  <c r="Z131" i="6"/>
  <c r="Z156" i="6"/>
  <c r="Z429" i="6"/>
  <c r="Z573" i="6"/>
  <c r="Z609" i="6"/>
  <c r="Z285" i="6"/>
  <c r="Z430" i="6"/>
  <c r="Z399" i="6"/>
  <c r="Z306" i="6"/>
  <c r="Z14" i="6"/>
  <c r="Z240" i="6"/>
  <c r="Z44" i="6"/>
  <c r="Z547" i="6"/>
  <c r="Z610" i="6"/>
  <c r="Z413" i="6"/>
  <c r="Z181" i="6"/>
  <c r="Z464" i="6"/>
  <c r="Z157" i="6"/>
  <c r="Z375" i="6"/>
  <c r="Z83" i="6"/>
  <c r="Z307" i="6"/>
  <c r="Z182" i="6"/>
  <c r="Z113" i="6"/>
  <c r="Z158" i="6"/>
  <c r="Z202" i="6"/>
  <c r="Z183" i="6"/>
  <c r="Z574" i="6"/>
  <c r="Z45" i="6"/>
  <c r="Z132" i="6"/>
  <c r="Z84" i="6"/>
  <c r="Z336" i="6"/>
  <c r="Z15" i="6"/>
  <c r="Z526" i="6"/>
  <c r="Z223" i="6"/>
  <c r="Z337" i="6"/>
  <c r="Z507" i="6"/>
  <c r="Z575" i="6"/>
  <c r="Z359" i="6"/>
  <c r="Z133" i="6"/>
  <c r="Z360" i="6"/>
  <c r="Z361" i="6"/>
  <c r="Z576" i="6"/>
  <c r="Z32" i="6"/>
  <c r="Z85" i="6"/>
  <c r="Z362" i="6"/>
  <c r="Z465" i="6"/>
  <c r="Z322" i="6"/>
  <c r="Z134" i="6"/>
  <c r="Z103" i="6"/>
  <c r="Z577" i="6"/>
  <c r="Z184" i="6"/>
  <c r="Z203" i="6"/>
  <c r="Z527" i="6"/>
  <c r="Z66" i="6"/>
  <c r="Z466" i="6"/>
  <c r="Z548" i="6"/>
  <c r="Z578" i="6"/>
  <c r="Z467" i="6"/>
  <c r="Z159" i="6"/>
  <c r="Z224" i="6"/>
  <c r="Z595" i="6"/>
  <c r="Z185" i="6"/>
  <c r="Z431" i="6"/>
  <c r="Z241" i="6"/>
  <c r="Z16" i="6"/>
  <c r="Z86" i="6"/>
  <c r="Z204" i="6"/>
  <c r="Z549" i="6"/>
  <c r="Z376" i="6"/>
  <c r="Z400" i="6"/>
  <c r="Z550" i="6"/>
  <c r="Z263" i="6"/>
  <c r="Z225" i="6"/>
  <c r="Z135" i="6"/>
  <c r="Z160" i="6"/>
  <c r="Z401" i="6"/>
  <c r="Z226" i="6"/>
  <c r="Z114" i="6"/>
  <c r="Z611" i="6"/>
  <c r="Z227" i="6"/>
  <c r="Z432" i="6"/>
  <c r="Z242" i="6"/>
  <c r="Z17" i="6"/>
  <c r="Z508" i="6"/>
  <c r="Z33" i="6"/>
  <c r="Z579" i="6"/>
  <c r="Z104" i="6"/>
  <c r="Z308" i="6"/>
  <c r="Z377" i="6"/>
  <c r="Z612" i="6"/>
  <c r="Z613" i="6"/>
  <c r="Z338" i="6"/>
  <c r="Z286" i="6"/>
  <c r="Z448" i="6"/>
  <c r="Z205" i="6"/>
  <c r="Z186" i="6"/>
  <c r="Z161" i="6"/>
  <c r="Z449" i="6"/>
  <c r="Z309" i="6"/>
  <c r="Z580" i="6"/>
  <c r="Z287" i="6"/>
  <c r="Z484" i="6"/>
  <c r="Z485" i="6"/>
  <c r="Z551" i="6"/>
  <c r="Z614" i="6"/>
  <c r="Z46" i="6"/>
  <c r="Z288" i="6"/>
  <c r="Z552" i="6"/>
  <c r="Z450" i="6"/>
  <c r="Z528" i="6"/>
  <c r="Z47" i="6"/>
  <c r="Z187" i="6"/>
  <c r="Z363" i="6"/>
  <c r="Z264" i="6"/>
  <c r="Z48" i="6"/>
  <c r="Z414" i="6"/>
  <c r="Z364" i="6"/>
  <c r="Z553" i="6"/>
  <c r="Z468" i="6"/>
  <c r="Z188" i="6"/>
  <c r="Z289" i="6"/>
  <c r="Z67" i="6"/>
  <c r="Z115" i="6"/>
  <c r="Z529" i="6"/>
  <c r="Z581" i="6"/>
  <c r="Z206" i="6"/>
  <c r="Z509" i="6"/>
  <c r="Z469" i="6"/>
  <c r="Z365" i="6"/>
  <c r="Z265" i="6"/>
  <c r="Z402" i="6"/>
  <c r="Z116" i="6"/>
  <c r="Z615" i="6"/>
  <c r="Z378" i="6"/>
  <c r="Z68" i="6"/>
  <c r="Z554" i="6"/>
  <c r="Z34" i="6"/>
  <c r="Z310" i="6"/>
  <c r="Z207" i="6"/>
  <c r="Z379" i="6"/>
  <c r="Z582" i="6"/>
  <c r="Z290" i="6"/>
  <c r="Z380" i="6"/>
  <c r="Z208" i="6"/>
  <c r="Z105" i="6"/>
  <c r="Z3" i="6"/>
  <c r="Z470" i="6"/>
  <c r="Z136" i="6"/>
  <c r="Z339" i="6"/>
  <c r="Z530" i="6"/>
  <c r="Z403" i="6"/>
  <c r="Z35" i="6"/>
  <c r="Z510" i="6"/>
  <c r="Z243" i="6"/>
  <c r="Z366" i="6"/>
  <c r="Z555" i="6"/>
  <c r="Z616" i="6"/>
  <c r="Z244" i="6"/>
  <c r="Z381" i="6"/>
  <c r="Z471" i="6"/>
  <c r="Z291" i="6"/>
  <c r="Z245" i="6"/>
  <c r="Z404" i="6"/>
  <c r="Z415" i="6"/>
  <c r="Z4" i="6"/>
  <c r="Z292" i="6"/>
  <c r="Z486" i="6"/>
  <c r="Z36" i="6"/>
  <c r="Z266" i="6"/>
  <c r="Z246" i="6"/>
  <c r="Z311" i="6"/>
  <c r="Z617" i="6"/>
  <c r="Z531" i="6"/>
  <c r="Z382" i="6"/>
  <c r="Z451" i="6"/>
  <c r="Z162" i="6"/>
  <c r="Z323" i="6"/>
  <c r="Z49" i="6"/>
  <c r="Z50" i="6"/>
  <c r="Z293" i="6"/>
  <c r="Z405" i="6"/>
  <c r="Z106" i="6"/>
  <c r="Z69" i="6"/>
  <c r="Z247" i="6"/>
  <c r="Z487" i="6"/>
  <c r="Z87" i="6"/>
  <c r="Z209" i="6"/>
  <c r="Z383" i="6"/>
  <c r="Z137" i="6"/>
  <c r="Z294" i="6"/>
  <c r="Z596" i="6"/>
  <c r="Z163" i="6"/>
  <c r="Z452" i="6"/>
  <c r="Z117" i="6"/>
  <c r="Z488" i="6"/>
  <c r="Z472" i="6"/>
  <c r="Z618" i="6"/>
  <c r="Z433" i="6"/>
  <c r="Z312" i="6"/>
  <c r="Z511" i="6"/>
  <c r="Z107" i="6"/>
  <c r="Z532" i="6"/>
  <c r="Z164" i="6"/>
  <c r="Z367" i="6"/>
  <c r="Z406" i="6"/>
  <c r="Z5" i="6"/>
  <c r="Z533" i="6"/>
  <c r="Z295" i="6"/>
  <c r="Z597" i="6"/>
  <c r="Z248" i="6"/>
  <c r="Z324" i="6"/>
  <c r="Z489" i="6"/>
  <c r="Z88" i="6"/>
  <c r="Z70" i="6"/>
  <c r="Z384" i="6"/>
  <c r="Z71" i="6"/>
  <c r="Z249" i="6"/>
  <c r="Z228" i="6"/>
  <c r="Z165" i="6"/>
  <c r="Z229" i="6"/>
  <c r="Z473" i="6"/>
  <c r="Z6" i="6"/>
  <c r="Z210" i="6"/>
  <c r="Z619" i="6"/>
  <c r="Z166" i="6"/>
  <c r="Z583" i="6"/>
  <c r="Z18" i="6"/>
  <c r="Z512" i="6"/>
  <c r="Z598" i="6"/>
  <c r="Z118" i="6"/>
  <c r="Z211" i="6"/>
  <c r="Z416" i="6"/>
  <c r="Z620" i="6"/>
  <c r="Z167" i="6"/>
  <c r="Z556" i="6"/>
  <c r="Z51" i="6"/>
  <c r="Z599" i="6"/>
  <c r="Z37" i="6"/>
  <c r="Z557" i="6"/>
  <c r="Z38" i="6"/>
  <c r="Z19" i="6"/>
  <c r="Z584" i="6"/>
  <c r="Z490" i="6"/>
  <c r="Z325" i="6"/>
  <c r="Z250" i="6"/>
  <c r="Z474" i="6"/>
  <c r="Z513" i="6"/>
  <c r="Z340" i="6"/>
  <c r="Z138" i="6"/>
  <c r="Z296" i="6"/>
  <c r="Z341" i="6"/>
  <c r="Z189" i="6"/>
  <c r="Z407" i="6"/>
  <c r="Z89" i="6"/>
  <c r="Z52" i="6"/>
  <c r="Z20" i="6"/>
  <c r="Z368" i="6"/>
  <c r="Z267" i="6"/>
  <c r="Z417" i="6"/>
  <c r="Z53" i="6"/>
  <c r="Z21" i="6"/>
  <c r="Z369" i="6"/>
  <c r="Z475" i="6"/>
  <c r="Z558" i="6"/>
  <c r="Z268" i="6"/>
  <c r="Z212" i="6"/>
  <c r="Z385" i="6"/>
  <c r="Z297" i="6"/>
  <c r="Z585" i="6"/>
  <c r="Z313" i="6"/>
  <c r="Z621" i="6"/>
  <c r="Z7" i="6"/>
  <c r="Z491" i="6"/>
  <c r="Z119" i="6"/>
  <c r="Z326" i="6"/>
  <c r="Z39" i="6"/>
  <c r="Z386" i="6"/>
  <c r="Z298" i="6"/>
  <c r="Z534" i="6"/>
  <c r="Z514" i="6"/>
  <c r="Z213" i="6"/>
  <c r="Z535" i="6"/>
  <c r="Z586" i="6"/>
  <c r="Z120" i="6"/>
  <c r="Z587" i="6"/>
  <c r="Z342" i="6"/>
  <c r="Z492" i="6"/>
  <c r="Z72" i="6"/>
  <c r="Z108" i="6"/>
  <c r="Z230" i="6"/>
  <c r="Z109" i="6"/>
  <c r="Z231" i="6"/>
  <c r="Z90" i="6"/>
  <c r="Z600" i="6"/>
  <c r="Z327" i="6"/>
  <c r="Z214" i="6"/>
  <c r="Z190" i="6"/>
  <c r="Z191" i="6"/>
  <c r="Z54" i="6"/>
  <c r="Z328" i="6"/>
  <c r="Z493" i="6"/>
  <c r="Z139" i="6"/>
  <c r="Z622" i="6"/>
  <c r="Z387" i="6"/>
  <c r="Z232" i="6"/>
  <c r="Z515" i="6"/>
  <c r="Z140" i="6"/>
  <c r="Z251" i="6"/>
  <c r="Z588" i="6"/>
  <c r="Z494" i="6"/>
  <c r="Z453" i="6"/>
  <c r="Z343" i="6"/>
  <c r="Z215" i="6"/>
  <c r="Z536" i="6"/>
  <c r="Z559" i="6"/>
  <c r="Z299" i="6"/>
  <c r="Z589" i="6"/>
  <c r="Z495" i="6"/>
  <c r="Z168" i="6"/>
  <c r="Z590" i="6"/>
  <c r="Z516" i="6"/>
  <c r="Z434" i="6"/>
  <c r="Z435" i="6"/>
  <c r="Z496" i="6"/>
  <c r="Z601" i="6"/>
  <c r="Z388" i="6"/>
  <c r="Z344" i="6"/>
  <c r="Z91" i="6"/>
  <c r="Z22" i="6"/>
  <c r="Z121" i="6"/>
  <c r="Z602" i="6"/>
  <c r="Z517" i="6"/>
  <c r="Z169" i="6"/>
  <c r="Z73" i="6"/>
  <c r="Z55" i="6"/>
  <c r="Z192" i="6"/>
  <c r="Z74" i="6"/>
  <c r="Z329" i="6"/>
  <c r="Z560" i="6"/>
  <c r="Z389" i="6"/>
  <c r="Z314" i="6"/>
  <c r="Z418" i="6"/>
  <c r="Z141" i="6"/>
  <c r="Z75" i="6"/>
  <c r="Z603" i="6"/>
  <c r="Z623" i="6"/>
  <c r="Z624" i="6"/>
  <c r="Z300" i="6"/>
  <c r="Z330" i="6"/>
  <c r="Z301" i="6"/>
  <c r="Z345" i="6"/>
  <c r="Z408" i="6"/>
  <c r="Z122" i="6"/>
  <c r="Z625" i="6"/>
  <c r="Z390" i="6"/>
  <c r="Z92" i="6"/>
  <c r="Z302" i="6"/>
  <c r="Z216" i="6"/>
  <c r="Z123" i="6"/>
  <c r="Z391" i="6"/>
  <c r="Z476" i="6"/>
  <c r="Z419" i="6"/>
  <c r="Z346" i="6"/>
  <c r="Z315" i="6"/>
  <c r="Z604" i="6"/>
  <c r="Z518" i="6"/>
  <c r="Z409" i="6"/>
  <c r="Z436" i="6"/>
  <c r="Z269" i="6"/>
  <c r="Z252" i="6"/>
  <c r="Z217" i="6"/>
  <c r="Z76" i="6"/>
  <c r="Z8" i="6"/>
  <c r="Z93" i="6"/>
  <c r="Z561" i="6"/>
  <c r="Z331" i="6"/>
  <c r="Z270" i="6"/>
  <c r="Z392" i="6"/>
  <c r="Z454" i="6"/>
  <c r="Z437" i="6"/>
  <c r="Z410" i="6"/>
  <c r="Z332" i="6"/>
  <c r="Z370" i="6"/>
  <c r="Z56" i="6"/>
  <c r="Z170" i="6"/>
  <c r="Z626" i="6"/>
  <c r="Z537" i="6"/>
  <c r="Z438" i="6"/>
  <c r="Z233" i="6"/>
  <c r="Z538" i="6"/>
  <c r="Z393" i="6"/>
  <c r="Z271" i="6"/>
  <c r="Z439" i="6"/>
  <c r="Z142" i="6"/>
  <c r="Z234" i="6"/>
  <c r="Z591" i="6"/>
  <c r="Z143" i="6"/>
  <c r="Z9" i="6"/>
  <c r="Z477" i="6"/>
  <c r="Z347" i="6"/>
  <c r="Z23" i="6"/>
  <c r="Z348" i="6"/>
  <c r="Z627" i="6"/>
  <c r="Z272" i="6"/>
  <c r="Z394" i="6"/>
  <c r="Z539" i="6"/>
  <c r="Z10" i="6"/>
  <c r="Z144" i="6"/>
  <c r="Z592" i="6"/>
  <c r="Z605" i="6"/>
  <c r="Z455" i="6"/>
  <c r="Z606" i="6"/>
  <c r="Z497" i="6"/>
  <c r="Z218" i="6"/>
  <c r="Z420" i="6"/>
  <c r="Z421" i="6"/>
  <c r="Z77" i="6"/>
  <c r="Z519" i="6"/>
  <c r="Z219" i="6"/>
  <c r="Z253" i="6"/>
  <c r="Z478" i="6"/>
  <c r="Z395" i="6"/>
  <c r="Z24" i="6"/>
  <c r="Z349" i="6"/>
  <c r="Z350" i="6"/>
  <c r="Z57" i="6"/>
  <c r="Z273" i="6"/>
  <c r="Z351" i="6"/>
  <c r="Z520" i="6"/>
  <c r="Z456" i="6"/>
  <c r="Z274" i="6"/>
  <c r="Z220" i="6"/>
  <c r="Z25" i="6"/>
  <c r="Z193" i="6"/>
  <c r="Z333" i="6"/>
  <c r="Z58" i="6"/>
  <c r="Z59" i="6"/>
  <c r="Z94" i="6"/>
  <c r="Z95" i="6"/>
  <c r="Z562" i="6"/>
  <c r="Z275" i="6"/>
  <c r="Z145" i="6"/>
  <c r="Z110" i="6"/>
  <c r="Z96" i="6"/>
  <c r="Z97" i="6"/>
  <c r="Z146" i="6"/>
  <c r="Z628" i="6"/>
  <c r="Z147" i="6"/>
  <c r="Z194" i="6"/>
  <c r="Z422" i="6"/>
  <c r="Z221" i="6"/>
  <c r="Z98" i="6"/>
  <c r="Z423" i="6"/>
  <c r="Z563" i="6"/>
  <c r="Z195" i="6"/>
  <c r="Z564" i="6"/>
  <c r="Z521" i="6"/>
  <c r="Z396" i="6"/>
  <c r="Z26" i="6"/>
  <c r="Z196" i="6"/>
  <c r="Z254" i="6"/>
  <c r="Z498" i="6"/>
  <c r="Z124" i="6"/>
  <c r="Z424" i="6"/>
  <c r="Z499" i="6"/>
  <c r="Z197" i="6"/>
  <c r="Z593" i="6"/>
  <c r="Z99" i="6"/>
  <c r="Z457" i="6"/>
  <c r="Z440" i="6"/>
  <c r="Z235" i="6"/>
  <c r="Z334" i="6"/>
  <c r="Z236" i="6"/>
  <c r="Z458" i="6"/>
  <c r="Z40" i="6"/>
  <c r="Z316" i="6"/>
  <c r="Z303" i="6"/>
  <c r="Z78" i="6"/>
  <c r="Z171" i="6"/>
  <c r="Z352" i="6"/>
  <c r="Z479" i="6"/>
  <c r="Z100" i="6"/>
  <c r="Z125" i="6"/>
  <c r="Z459" i="6"/>
  <c r="Z276" i="6"/>
  <c r="Z411" i="6"/>
  <c r="Z79" i="6"/>
  <c r="Z255" i="6"/>
  <c r="Z540" i="6"/>
  <c r="Z148" i="6"/>
  <c r="Z353" i="6"/>
  <c r="Z80" i="6"/>
  <c r="Z441" i="6"/>
  <c r="Z126" i="6"/>
  <c r="Z304" i="6"/>
  <c r="Z256" i="6"/>
  <c r="Z500" i="6"/>
  <c r="Z257" i="6"/>
  <c r="Z425" i="6"/>
  <c r="Z607" i="6"/>
  <c r="Z60" i="6"/>
  <c r="Z277" i="6"/>
  <c r="Z278" i="6"/>
  <c r="Z442" i="6"/>
  <c r="Z172" i="6"/>
  <c r="Z222" i="6"/>
  <c r="Z541" i="6"/>
  <c r="Z173" i="6"/>
  <c r="Z426" i="6"/>
  <c r="Z354" i="6"/>
  <c r="Z127" i="6"/>
  <c r="Z565" i="6"/>
  <c r="Z258" i="6"/>
  <c r="Z198" i="6"/>
  <c r="Z27" i="6"/>
  <c r="Z128" i="6"/>
  <c r="Z501" i="6"/>
  <c r="Z443" i="6"/>
  <c r="Z629" i="6"/>
  <c r="Z279" i="6"/>
  <c r="Z460" i="6"/>
  <c r="Z61" i="6"/>
  <c r="Z317" i="6"/>
  <c r="Z480" i="6"/>
  <c r="Z502" i="6"/>
  <c r="Z28" i="6"/>
  <c r="Z149" i="6"/>
  <c r="Z566" i="6"/>
  <c r="Z522" i="6"/>
  <c r="Z630" i="6"/>
  <c r="Z41" i="6"/>
  <c r="Z174" i="6"/>
  <c r="Z631" i="6"/>
  <c r="Z29" i="6"/>
  <c r="Z62" i="6"/>
  <c r="Z567" i="6"/>
  <c r="Z503" i="6"/>
  <c r="Z150" i="6"/>
  <c r="Z355" i="6"/>
  <c r="Z523" i="6"/>
  <c r="Z151" i="6"/>
  <c r="Z81" i="6"/>
  <c r="Z371" i="6"/>
  <c r="Z30" i="6"/>
  <c r="Z175" i="6"/>
  <c r="Z176" i="6"/>
  <c r="Z280" i="6"/>
  <c r="Z11" i="6"/>
  <c r="Z63" i="6"/>
  <c r="Z101" i="6"/>
  <c r="Z318" i="6"/>
  <c r="Z111" i="6"/>
  <c r="Z632" i="6"/>
  <c r="Z542" i="6"/>
  <c r="Z102" i="6"/>
  <c r="Z372" i="6"/>
  <c r="Z356" i="6"/>
  <c r="Z12" i="6"/>
  <c r="Z568" i="6"/>
  <c r="Z199" i="6"/>
  <c r="Z397" i="6"/>
  <c r="Z112" i="6"/>
  <c r="Z608" i="6"/>
  <c r="Z129" i="6"/>
  <c r="Z319" i="6"/>
  <c r="Z461" i="6"/>
  <c r="Z481" i="6"/>
  <c r="Z524" i="6"/>
  <c r="Z130" i="6"/>
  <c r="Z504" i="6"/>
  <c r="Z357" i="6"/>
  <c r="Z427" i="6"/>
  <c r="Z358" i="6"/>
  <c r="Z259" i="6"/>
  <c r="Z444" i="6"/>
  <c r="Z13" i="6"/>
  <c r="Z320" i="6"/>
  <c r="Z177" i="6"/>
  <c r="Z178" i="6"/>
  <c r="Z321" i="6"/>
  <c r="Z543" i="6"/>
  <c r="Z31" i="6"/>
  <c r="Z305" i="6"/>
  <c r="Z281" i="6"/>
  <c r="Z373" i="6"/>
  <c r="Z544" i="6"/>
  <c r="Z282" i="6"/>
  <c r="Z42" i="6"/>
  <c r="Z283" i="6"/>
  <c r="Z179" i="6"/>
  <c r="Z374" i="6"/>
  <c r="Z525" i="6"/>
  <c r="Z545" i="6"/>
  <c r="Z462" i="6"/>
  <c r="Z482" i="6"/>
  <c r="Z82" i="6"/>
  <c r="Z445" i="6"/>
  <c r="Z64" i="6"/>
  <c r="Z284" i="6"/>
  <c r="Z594" i="6"/>
  <c r="Z260" i="6"/>
  <c r="Z569" i="6"/>
  <c r="Z43" i="6"/>
  <c r="Z237" i="6"/>
  <c r="Z483" i="6"/>
  <c r="Z152" i="6"/>
  <c r="Z153" i="6"/>
  <c r="Z261" i="6"/>
  <c r="Z335" i="6"/>
  <c r="AB446" i="6"/>
  <c r="AB238" i="6"/>
  <c r="AB200" i="6"/>
  <c r="AB262" i="6"/>
  <c r="AB2" i="6"/>
  <c r="AB570" i="6"/>
  <c r="AB447" i="6"/>
  <c r="AB201" i="6"/>
  <c r="AB154" i="6"/>
  <c r="AB505" i="6"/>
  <c r="AB428" i="6"/>
  <c r="AB571" i="6"/>
  <c r="AB546" i="6"/>
  <c r="AB65" i="6"/>
  <c r="AB572" i="6"/>
  <c r="AB506" i="6"/>
  <c r="AB412" i="6"/>
  <c r="AB398" i="6"/>
  <c r="AB180" i="6"/>
  <c r="AB155" i="6"/>
  <c r="AB239" i="6"/>
  <c r="AB131" i="6"/>
  <c r="AB156" i="6"/>
  <c r="AB429" i="6"/>
  <c r="AB573" i="6"/>
  <c r="AB609" i="6"/>
  <c r="AB285" i="6"/>
  <c r="AB430" i="6"/>
  <c r="AB399" i="6"/>
  <c r="AB306" i="6"/>
  <c r="AB14" i="6"/>
  <c r="AB240" i="6"/>
  <c r="AB44" i="6"/>
  <c r="AB547" i="6"/>
  <c r="AB610" i="6"/>
  <c r="AB413" i="6"/>
  <c r="AB181" i="6"/>
  <c r="AB464" i="6"/>
  <c r="AB157" i="6"/>
  <c r="AB375" i="6"/>
  <c r="AB83" i="6"/>
  <c r="AB307" i="6"/>
  <c r="AB182" i="6"/>
  <c r="AB113" i="6"/>
  <c r="AB158" i="6"/>
  <c r="AB202" i="6"/>
  <c r="AB183" i="6"/>
  <c r="AB574" i="6"/>
  <c r="AB45" i="6"/>
  <c r="AB132" i="6"/>
  <c r="AB84" i="6"/>
  <c r="AB336" i="6"/>
  <c r="AB15" i="6"/>
  <c r="AB526" i="6"/>
  <c r="AB223" i="6"/>
  <c r="AB337" i="6"/>
  <c r="AB507" i="6"/>
  <c r="AB575" i="6"/>
  <c r="AB359" i="6"/>
  <c r="AB133" i="6"/>
  <c r="AB360" i="6"/>
  <c r="AB361" i="6"/>
  <c r="AB576" i="6"/>
  <c r="AB32" i="6"/>
  <c r="AB85" i="6"/>
  <c r="AB362" i="6"/>
  <c r="AB465" i="6"/>
  <c r="AB322" i="6"/>
  <c r="AB134" i="6"/>
  <c r="AB103" i="6"/>
  <c r="AB577" i="6"/>
  <c r="AB184" i="6"/>
  <c r="AB203" i="6"/>
  <c r="AB527" i="6"/>
  <c r="AB66" i="6"/>
  <c r="AB466" i="6"/>
  <c r="AB548" i="6"/>
  <c r="AB578" i="6"/>
  <c r="AB467" i="6"/>
  <c r="AB159" i="6"/>
  <c r="AB224" i="6"/>
  <c r="AB595" i="6"/>
  <c r="AB185" i="6"/>
  <c r="AB431" i="6"/>
  <c r="AB241" i="6"/>
  <c r="AB16" i="6"/>
  <c r="AB86" i="6"/>
  <c r="AB204" i="6"/>
  <c r="AB549" i="6"/>
  <c r="AB376" i="6"/>
  <c r="AB400" i="6"/>
  <c r="AB550" i="6"/>
  <c r="AB263" i="6"/>
  <c r="AB225" i="6"/>
  <c r="AB135" i="6"/>
  <c r="AB160" i="6"/>
  <c r="AB401" i="6"/>
  <c r="AB226" i="6"/>
  <c r="AB114" i="6"/>
  <c r="AB611" i="6"/>
  <c r="AB227" i="6"/>
  <c r="AB432" i="6"/>
  <c r="AB242" i="6"/>
  <c r="AB17" i="6"/>
  <c r="AB508" i="6"/>
  <c r="AB33" i="6"/>
  <c r="AB579" i="6"/>
  <c r="AB104" i="6"/>
  <c r="AB308" i="6"/>
  <c r="AB377" i="6"/>
  <c r="AB612" i="6"/>
  <c r="AB613" i="6"/>
  <c r="AB338" i="6"/>
  <c r="AB286" i="6"/>
  <c r="AB448" i="6"/>
  <c r="AB205" i="6"/>
  <c r="AB186" i="6"/>
  <c r="AB161" i="6"/>
  <c r="AB449" i="6"/>
  <c r="AB309" i="6"/>
  <c r="AB580" i="6"/>
  <c r="AB287" i="6"/>
  <c r="AB484" i="6"/>
  <c r="AB485" i="6"/>
  <c r="AB551" i="6"/>
  <c r="AB614" i="6"/>
  <c r="AB46" i="6"/>
  <c r="AB288" i="6"/>
  <c r="AB552" i="6"/>
  <c r="AB450" i="6"/>
  <c r="AB528" i="6"/>
  <c r="AB47" i="6"/>
  <c r="AB187" i="6"/>
  <c r="AB363" i="6"/>
  <c r="AB264" i="6"/>
  <c r="AB48" i="6"/>
  <c r="AB414" i="6"/>
  <c r="AB364" i="6"/>
  <c r="AB553" i="6"/>
  <c r="AB468" i="6"/>
  <c r="AB188" i="6"/>
  <c r="AB289" i="6"/>
  <c r="AB67" i="6"/>
  <c r="AB115" i="6"/>
  <c r="AB529" i="6"/>
  <c r="AB581" i="6"/>
  <c r="AB206" i="6"/>
  <c r="AB509" i="6"/>
  <c r="AB469" i="6"/>
  <c r="AB365" i="6"/>
  <c r="AB265" i="6"/>
  <c r="AB402" i="6"/>
  <c r="AB116" i="6"/>
  <c r="AB615" i="6"/>
  <c r="AB378" i="6"/>
  <c r="AB68" i="6"/>
  <c r="AB554" i="6"/>
  <c r="AB34" i="6"/>
  <c r="AB310" i="6"/>
  <c r="AB207" i="6"/>
  <c r="AB379" i="6"/>
  <c r="AB582" i="6"/>
  <c r="AB290" i="6"/>
  <c r="AB380" i="6"/>
  <c r="AB208" i="6"/>
  <c r="AB105" i="6"/>
  <c r="AB3" i="6"/>
  <c r="AB470" i="6"/>
  <c r="AB136" i="6"/>
  <c r="AB339" i="6"/>
  <c r="AB530" i="6"/>
  <c r="AB403" i="6"/>
  <c r="AB35" i="6"/>
  <c r="AB510" i="6"/>
  <c r="AB243" i="6"/>
  <c r="AB366" i="6"/>
  <c r="AB555" i="6"/>
  <c r="AB616" i="6"/>
  <c r="AB244" i="6"/>
  <c r="AB381" i="6"/>
  <c r="AB471" i="6"/>
  <c r="AB291" i="6"/>
  <c r="AB245" i="6"/>
  <c r="AB404" i="6"/>
  <c r="AB415" i="6"/>
  <c r="AB4" i="6"/>
  <c r="AB292" i="6"/>
  <c r="AB486" i="6"/>
  <c r="AB36" i="6"/>
  <c r="AB266" i="6"/>
  <c r="AB246" i="6"/>
  <c r="AB311" i="6"/>
  <c r="AB617" i="6"/>
  <c r="AB531" i="6"/>
  <c r="AB382" i="6"/>
  <c r="AB451" i="6"/>
  <c r="AB162" i="6"/>
  <c r="AB323" i="6"/>
  <c r="AB49" i="6"/>
  <c r="AB50" i="6"/>
  <c r="AB293" i="6"/>
  <c r="AB405" i="6"/>
  <c r="AB106" i="6"/>
  <c r="AB69" i="6"/>
  <c r="AB247" i="6"/>
  <c r="AB487" i="6"/>
  <c r="AB87" i="6"/>
  <c r="AB209" i="6"/>
  <c r="AB383" i="6"/>
  <c r="AB137" i="6"/>
  <c r="AB294" i="6"/>
  <c r="AB596" i="6"/>
  <c r="AB163" i="6"/>
  <c r="AB452" i="6"/>
  <c r="AB117" i="6"/>
  <c r="AB488" i="6"/>
  <c r="AB472" i="6"/>
  <c r="AB618" i="6"/>
  <c r="AB433" i="6"/>
  <c r="AB312" i="6"/>
  <c r="AB511" i="6"/>
  <c r="AB107" i="6"/>
  <c r="AB532" i="6"/>
  <c r="AB164" i="6"/>
  <c r="AB367" i="6"/>
  <c r="AB406" i="6"/>
  <c r="AB5" i="6"/>
  <c r="AB533" i="6"/>
  <c r="AB295" i="6"/>
  <c r="AB597" i="6"/>
  <c r="AB248" i="6"/>
  <c r="AB324" i="6"/>
  <c r="AB489" i="6"/>
  <c r="AB88" i="6"/>
  <c r="AB70" i="6"/>
  <c r="AB384" i="6"/>
  <c r="AB71" i="6"/>
  <c r="AB249" i="6"/>
  <c r="AB228" i="6"/>
  <c r="AB165" i="6"/>
  <c r="AB229" i="6"/>
  <c r="AB473" i="6"/>
  <c r="AB6" i="6"/>
  <c r="AB210" i="6"/>
  <c r="AB619" i="6"/>
  <c r="AB166" i="6"/>
  <c r="AB583" i="6"/>
  <c r="AB18" i="6"/>
  <c r="AB512" i="6"/>
  <c r="AB598" i="6"/>
  <c r="AB118" i="6"/>
  <c r="AB211" i="6"/>
  <c r="AB416" i="6"/>
  <c r="AB620" i="6"/>
  <c r="AB167" i="6"/>
  <c r="AB556" i="6"/>
  <c r="AB51" i="6"/>
  <c r="AB599" i="6"/>
  <c r="AB37" i="6"/>
  <c r="AB557" i="6"/>
  <c r="AB38" i="6"/>
  <c r="AB19" i="6"/>
  <c r="AB584" i="6"/>
  <c r="AB490" i="6"/>
  <c r="AB325" i="6"/>
  <c r="AB250" i="6"/>
  <c r="AB474" i="6"/>
  <c r="AB513" i="6"/>
  <c r="AB340" i="6"/>
  <c r="AB138" i="6"/>
  <c r="AB296" i="6"/>
  <c r="AB341" i="6"/>
  <c r="AB189" i="6"/>
  <c r="AB407" i="6"/>
  <c r="AB89" i="6"/>
  <c r="AB52" i="6"/>
  <c r="AB20" i="6"/>
  <c r="AB368" i="6"/>
  <c r="AB267" i="6"/>
  <c r="AB417" i="6"/>
  <c r="AB53" i="6"/>
  <c r="AB21" i="6"/>
  <c r="AB369" i="6"/>
  <c r="AB475" i="6"/>
  <c r="AB558" i="6"/>
  <c r="AB268" i="6"/>
  <c r="AB212" i="6"/>
  <c r="AB385" i="6"/>
  <c r="AB297" i="6"/>
  <c r="AB585" i="6"/>
  <c r="AB313" i="6"/>
  <c r="AB621" i="6"/>
  <c r="AB7" i="6"/>
  <c r="AB491" i="6"/>
  <c r="AB119" i="6"/>
  <c r="AB326" i="6"/>
  <c r="AB39" i="6"/>
  <c r="AB386" i="6"/>
  <c r="AB298" i="6"/>
  <c r="AB534" i="6"/>
  <c r="AB514" i="6"/>
  <c r="AB213" i="6"/>
  <c r="AB535" i="6"/>
  <c r="AB586" i="6"/>
  <c r="AB120" i="6"/>
  <c r="AB587" i="6"/>
  <c r="AB342" i="6"/>
  <c r="AB492" i="6"/>
  <c r="AB72" i="6"/>
  <c r="AB108" i="6"/>
  <c r="AB230" i="6"/>
  <c r="AB109" i="6"/>
  <c r="AB231" i="6"/>
  <c r="AB90" i="6"/>
  <c r="AB600" i="6"/>
  <c r="AB327" i="6"/>
  <c r="AB214" i="6"/>
  <c r="AB190" i="6"/>
  <c r="AB191" i="6"/>
  <c r="AB54" i="6"/>
  <c r="AB328" i="6"/>
  <c r="AB493" i="6"/>
  <c r="AB139" i="6"/>
  <c r="AB622" i="6"/>
  <c r="AB387" i="6"/>
  <c r="AB232" i="6"/>
  <c r="AB515" i="6"/>
  <c r="AB140" i="6"/>
  <c r="AB251" i="6"/>
  <c r="AB588" i="6"/>
  <c r="AB494" i="6"/>
  <c r="AB453" i="6"/>
  <c r="AB343" i="6"/>
  <c r="AB215" i="6"/>
  <c r="AB536" i="6"/>
  <c r="AB559" i="6"/>
  <c r="AB299" i="6"/>
  <c r="AB589" i="6"/>
  <c r="AB495" i="6"/>
  <c r="AB168" i="6"/>
  <c r="AB590" i="6"/>
  <c r="AB516" i="6"/>
  <c r="AB434" i="6"/>
  <c r="AB435" i="6"/>
  <c r="AB496" i="6"/>
  <c r="AB601" i="6"/>
  <c r="AB388" i="6"/>
  <c r="AB344" i="6"/>
  <c r="AB91" i="6"/>
  <c r="AB22" i="6"/>
  <c r="AB121" i="6"/>
  <c r="AB602" i="6"/>
  <c r="AB517" i="6"/>
  <c r="AB169" i="6"/>
  <c r="AB73" i="6"/>
  <c r="AB55" i="6"/>
  <c r="AB192" i="6"/>
  <c r="AB74" i="6"/>
  <c r="AB329" i="6"/>
  <c r="AB560" i="6"/>
  <c r="AB389" i="6"/>
  <c r="AB314" i="6"/>
  <c r="AB418" i="6"/>
  <c r="AB141" i="6"/>
  <c r="AB75" i="6"/>
  <c r="AB603" i="6"/>
  <c r="AB623" i="6"/>
  <c r="AB624" i="6"/>
  <c r="AB300" i="6"/>
  <c r="AB330" i="6"/>
  <c r="AB301" i="6"/>
  <c r="AB345" i="6"/>
  <c r="AB408" i="6"/>
  <c r="AB122" i="6"/>
  <c r="AB625" i="6"/>
  <c r="AB390" i="6"/>
  <c r="AB92" i="6"/>
  <c r="AB302" i="6"/>
  <c r="AB216" i="6"/>
  <c r="AB123" i="6"/>
  <c r="AB391" i="6"/>
  <c r="AB476" i="6"/>
  <c r="AB419" i="6"/>
  <c r="AB346" i="6"/>
  <c r="AB315" i="6"/>
  <c r="AB604" i="6"/>
  <c r="AB518" i="6"/>
  <c r="AB409" i="6"/>
  <c r="AB436" i="6"/>
  <c r="AB269" i="6"/>
  <c r="AB252" i="6"/>
  <c r="AB217" i="6"/>
  <c r="AB76" i="6"/>
  <c r="AB8" i="6"/>
  <c r="AB93" i="6"/>
  <c r="AB561" i="6"/>
  <c r="AB331" i="6"/>
  <c r="AB270" i="6"/>
  <c r="AB392" i="6"/>
  <c r="AB454" i="6"/>
  <c r="AB437" i="6"/>
  <c r="AB410" i="6"/>
  <c r="AB332" i="6"/>
  <c r="AB370" i="6"/>
  <c r="AB56" i="6"/>
  <c r="AB170" i="6"/>
  <c r="AB626" i="6"/>
  <c r="AB537" i="6"/>
  <c r="AB438" i="6"/>
  <c r="AB233" i="6"/>
  <c r="AB538" i="6"/>
  <c r="AB393" i="6"/>
  <c r="AB271" i="6"/>
  <c r="AB439" i="6"/>
  <c r="AB142" i="6"/>
  <c r="AB234" i="6"/>
  <c r="AB591" i="6"/>
  <c r="AB143" i="6"/>
  <c r="AB9" i="6"/>
  <c r="AB477" i="6"/>
  <c r="AB347" i="6"/>
  <c r="AB23" i="6"/>
  <c r="AB348" i="6"/>
  <c r="AB627" i="6"/>
  <c r="AB272" i="6"/>
  <c r="AB394" i="6"/>
  <c r="AB539" i="6"/>
  <c r="AB10" i="6"/>
  <c r="AB144" i="6"/>
  <c r="AB592" i="6"/>
  <c r="AB605" i="6"/>
  <c r="AB455" i="6"/>
  <c r="AB606" i="6"/>
  <c r="AB497" i="6"/>
  <c r="AB218" i="6"/>
  <c r="AB420" i="6"/>
  <c r="AB421" i="6"/>
  <c r="AB77" i="6"/>
  <c r="AB519" i="6"/>
  <c r="AB219" i="6"/>
  <c r="AB253" i="6"/>
  <c r="AB478" i="6"/>
  <c r="AB395" i="6"/>
  <c r="AB24" i="6"/>
  <c r="AB349" i="6"/>
  <c r="AB350" i="6"/>
  <c r="AB57" i="6"/>
  <c r="AB273" i="6"/>
  <c r="AB351" i="6"/>
  <c r="AB520" i="6"/>
  <c r="AB456" i="6"/>
  <c r="AB274" i="6"/>
  <c r="AB220" i="6"/>
  <c r="AB25" i="6"/>
  <c r="AB193" i="6"/>
  <c r="AB333" i="6"/>
  <c r="AB58" i="6"/>
  <c r="AB59" i="6"/>
  <c r="AB94" i="6"/>
  <c r="AB95" i="6"/>
  <c r="AB562" i="6"/>
  <c r="AB275" i="6"/>
  <c r="AB145" i="6"/>
  <c r="AB110" i="6"/>
  <c r="AB96" i="6"/>
  <c r="AB97" i="6"/>
  <c r="AB146" i="6"/>
  <c r="AB628" i="6"/>
  <c r="AB147" i="6"/>
  <c r="AB194" i="6"/>
  <c r="AB422" i="6"/>
  <c r="AB221" i="6"/>
  <c r="AB98" i="6"/>
  <c r="AB423" i="6"/>
  <c r="AB563" i="6"/>
  <c r="AB195" i="6"/>
  <c r="AB564" i="6"/>
  <c r="AB521" i="6"/>
  <c r="AB396" i="6"/>
  <c r="AB26" i="6"/>
  <c r="AB196" i="6"/>
  <c r="AB254" i="6"/>
  <c r="AB498" i="6"/>
  <c r="AB124" i="6"/>
  <c r="AB424" i="6"/>
  <c r="AB499" i="6"/>
  <c r="AB197" i="6"/>
  <c r="AB593" i="6"/>
  <c r="AB99" i="6"/>
  <c r="AB457" i="6"/>
  <c r="AB440" i="6"/>
  <c r="AB235" i="6"/>
  <c r="AB334" i="6"/>
  <c r="AB236" i="6"/>
  <c r="AB458" i="6"/>
  <c r="AB40" i="6"/>
  <c r="AB316" i="6"/>
  <c r="AB303" i="6"/>
  <c r="AB78" i="6"/>
  <c r="AB171" i="6"/>
  <c r="AB352" i="6"/>
  <c r="AB479" i="6"/>
  <c r="AB100" i="6"/>
  <c r="AB125" i="6"/>
  <c r="AB459" i="6"/>
  <c r="AB276" i="6"/>
  <c r="AB411" i="6"/>
  <c r="AB79" i="6"/>
  <c r="AB255" i="6"/>
  <c r="AB540" i="6"/>
  <c r="AB148" i="6"/>
  <c r="AB353" i="6"/>
  <c r="AB80" i="6"/>
  <c r="AB441" i="6"/>
  <c r="AB126" i="6"/>
  <c r="AB304" i="6"/>
  <c r="AB256" i="6"/>
  <c r="AB500" i="6"/>
  <c r="AB257" i="6"/>
  <c r="AB425" i="6"/>
  <c r="AB607" i="6"/>
  <c r="AB60" i="6"/>
  <c r="AB277" i="6"/>
  <c r="AB278" i="6"/>
  <c r="AB442" i="6"/>
  <c r="AB172" i="6"/>
  <c r="AB222" i="6"/>
  <c r="AB541" i="6"/>
  <c r="AB173" i="6"/>
  <c r="AB426" i="6"/>
  <c r="AB354" i="6"/>
  <c r="AB127" i="6"/>
  <c r="AB565" i="6"/>
  <c r="AB258" i="6"/>
  <c r="AB198" i="6"/>
  <c r="AB27" i="6"/>
  <c r="AB128" i="6"/>
  <c r="AB501" i="6"/>
  <c r="AB443" i="6"/>
  <c r="AB629" i="6"/>
  <c r="AB279" i="6"/>
  <c r="AB460" i="6"/>
  <c r="AB61" i="6"/>
  <c r="AB317" i="6"/>
  <c r="AB480" i="6"/>
  <c r="AB502" i="6"/>
  <c r="AB28" i="6"/>
  <c r="AB149" i="6"/>
  <c r="AB566" i="6"/>
  <c r="AB522" i="6"/>
  <c r="AB630" i="6"/>
  <c r="AB41" i="6"/>
  <c r="AB174" i="6"/>
  <c r="AB631" i="6"/>
  <c r="AB29" i="6"/>
  <c r="AB62" i="6"/>
  <c r="AB567" i="6"/>
  <c r="AB503" i="6"/>
  <c r="AB150" i="6"/>
  <c r="AB355" i="6"/>
  <c r="AB523" i="6"/>
  <c r="AB151" i="6"/>
  <c r="AB81" i="6"/>
  <c r="AB371" i="6"/>
  <c r="AB30" i="6"/>
  <c r="AB175" i="6"/>
  <c r="AB176" i="6"/>
  <c r="AB280" i="6"/>
  <c r="AB11" i="6"/>
  <c r="AB63" i="6"/>
  <c r="AB101" i="6"/>
  <c r="AB318" i="6"/>
  <c r="AB111" i="6"/>
  <c r="AB632" i="6"/>
  <c r="AB542" i="6"/>
  <c r="AB102" i="6"/>
  <c r="AB372" i="6"/>
  <c r="AB356" i="6"/>
  <c r="AB12" i="6"/>
  <c r="AB568" i="6"/>
  <c r="AB199" i="6"/>
  <c r="AB397" i="6"/>
  <c r="AB112" i="6"/>
  <c r="AB608" i="6"/>
  <c r="AB129" i="6"/>
  <c r="AB319" i="6"/>
  <c r="AB461" i="6"/>
  <c r="AB481" i="6"/>
  <c r="AB524" i="6"/>
  <c r="AB130" i="6"/>
  <c r="AB504" i="6"/>
  <c r="AB357" i="6"/>
  <c r="AB427" i="6"/>
  <c r="AB358" i="6"/>
  <c r="AB259" i="6"/>
  <c r="AB444" i="6"/>
  <c r="AB13" i="6"/>
  <c r="AB320" i="6"/>
  <c r="AB177" i="6"/>
  <c r="AB178" i="6"/>
  <c r="AB321" i="6"/>
  <c r="AB543" i="6"/>
  <c r="AB31" i="6"/>
  <c r="AB305" i="6"/>
  <c r="AB281" i="6"/>
  <c r="AB373" i="6"/>
  <c r="AB544" i="6"/>
  <c r="AB282" i="6"/>
  <c r="AB42" i="6"/>
  <c r="AB283" i="6"/>
  <c r="AB179" i="6"/>
  <c r="AB374" i="6"/>
  <c r="AB525" i="6"/>
  <c r="AB545" i="6"/>
  <c r="AB462" i="6"/>
  <c r="AB482" i="6"/>
  <c r="AB82" i="6"/>
  <c r="AB445" i="6"/>
  <c r="AB64" i="6"/>
  <c r="AB284" i="6"/>
  <c r="AB594" i="6"/>
  <c r="AB260" i="6"/>
  <c r="AB569" i="6"/>
  <c r="AB43" i="6"/>
  <c r="AB237" i="6"/>
  <c r="AB483" i="6"/>
  <c r="AB152" i="6"/>
  <c r="AB153" i="6"/>
  <c r="AB261" i="6"/>
  <c r="AB335" i="6"/>
  <c r="AB463" i="6"/>
  <c r="AA446" i="6"/>
  <c r="AA238" i="6"/>
  <c r="AA200" i="6"/>
  <c r="AA262" i="6"/>
  <c r="AA2" i="6"/>
  <c r="AA570" i="6"/>
  <c r="AA447" i="6"/>
  <c r="AA201" i="6"/>
  <c r="AA154" i="6"/>
  <c r="AA505" i="6"/>
  <c r="AA428" i="6"/>
  <c r="AA571" i="6"/>
  <c r="AA546" i="6"/>
  <c r="AA65" i="6"/>
  <c r="AA572" i="6"/>
  <c r="AA506" i="6"/>
  <c r="AA412" i="6"/>
  <c r="AA398" i="6"/>
  <c r="AA180" i="6"/>
  <c r="AA155" i="6"/>
  <c r="AA239" i="6"/>
  <c r="AA131" i="6"/>
  <c r="AA156" i="6"/>
  <c r="AA429" i="6"/>
  <c r="AA573" i="6"/>
  <c r="AA609" i="6"/>
  <c r="AA285" i="6"/>
  <c r="AA430" i="6"/>
  <c r="AA399" i="6"/>
  <c r="AA306" i="6"/>
  <c r="AA14" i="6"/>
  <c r="AA240" i="6"/>
  <c r="AA44" i="6"/>
  <c r="AA547" i="6"/>
  <c r="AA610" i="6"/>
  <c r="AA413" i="6"/>
  <c r="AA181" i="6"/>
  <c r="AA464" i="6"/>
  <c r="AA157" i="6"/>
  <c r="AA375" i="6"/>
  <c r="AA83" i="6"/>
  <c r="AA307" i="6"/>
  <c r="AA182" i="6"/>
  <c r="AA113" i="6"/>
  <c r="AA158" i="6"/>
  <c r="AA202" i="6"/>
  <c r="AA183" i="6"/>
  <c r="AA574" i="6"/>
  <c r="AA45" i="6"/>
  <c r="AA132" i="6"/>
  <c r="AA84" i="6"/>
  <c r="AA336" i="6"/>
  <c r="AA15" i="6"/>
  <c r="AA526" i="6"/>
  <c r="AA223" i="6"/>
  <c r="AA337" i="6"/>
  <c r="AA507" i="6"/>
  <c r="AA575" i="6"/>
  <c r="AA359" i="6"/>
  <c r="AA133" i="6"/>
  <c r="AA360" i="6"/>
  <c r="AA361" i="6"/>
  <c r="AA576" i="6"/>
  <c r="AA32" i="6"/>
  <c r="AA85" i="6"/>
  <c r="AA362" i="6"/>
  <c r="AA465" i="6"/>
  <c r="AA322" i="6"/>
  <c r="AA134" i="6"/>
  <c r="AA103" i="6"/>
  <c r="AA577" i="6"/>
  <c r="AA184" i="6"/>
  <c r="AA203" i="6"/>
  <c r="AA527" i="6"/>
  <c r="AA66" i="6"/>
  <c r="AA466" i="6"/>
  <c r="AA548" i="6"/>
  <c r="AA578" i="6"/>
  <c r="AA467" i="6"/>
  <c r="AA159" i="6"/>
  <c r="AA224" i="6"/>
  <c r="AA595" i="6"/>
  <c r="AA185" i="6"/>
  <c r="AA431" i="6"/>
  <c r="AA241" i="6"/>
  <c r="AA16" i="6"/>
  <c r="AA86" i="6"/>
  <c r="AA204" i="6"/>
  <c r="AA549" i="6"/>
  <c r="AA376" i="6"/>
  <c r="AA400" i="6"/>
  <c r="AA550" i="6"/>
  <c r="AA263" i="6"/>
  <c r="AA225" i="6"/>
  <c r="AA135" i="6"/>
  <c r="AA160" i="6"/>
  <c r="AA401" i="6"/>
  <c r="AA226" i="6"/>
  <c r="AA114" i="6"/>
  <c r="AA611" i="6"/>
  <c r="AA227" i="6"/>
  <c r="AA432" i="6"/>
  <c r="AA242" i="6"/>
  <c r="AA17" i="6"/>
  <c r="AA508" i="6"/>
  <c r="AA33" i="6"/>
  <c r="AA579" i="6"/>
  <c r="AA104" i="6"/>
  <c r="AA308" i="6"/>
  <c r="AA377" i="6"/>
  <c r="AA612" i="6"/>
  <c r="AA613" i="6"/>
  <c r="AA338" i="6"/>
  <c r="AA286" i="6"/>
  <c r="AA448" i="6"/>
  <c r="AA205" i="6"/>
  <c r="AA186" i="6"/>
  <c r="AA161" i="6"/>
  <c r="AA449" i="6"/>
  <c r="AA309" i="6"/>
  <c r="AA580" i="6"/>
  <c r="AA287" i="6"/>
  <c r="AA484" i="6"/>
  <c r="AA485" i="6"/>
  <c r="AA551" i="6"/>
  <c r="AA614" i="6"/>
  <c r="AA46" i="6"/>
  <c r="AA288" i="6"/>
  <c r="AA552" i="6"/>
  <c r="AA450" i="6"/>
  <c r="AA528" i="6"/>
  <c r="AA47" i="6"/>
  <c r="AA187" i="6"/>
  <c r="AA363" i="6"/>
  <c r="AA264" i="6"/>
  <c r="AA48" i="6"/>
  <c r="AA414" i="6"/>
  <c r="AA364" i="6"/>
  <c r="AA553" i="6"/>
  <c r="AA468" i="6"/>
  <c r="AA188" i="6"/>
  <c r="AA289" i="6"/>
  <c r="AA67" i="6"/>
  <c r="AA115" i="6"/>
  <c r="AA529" i="6"/>
  <c r="AA581" i="6"/>
  <c r="AA206" i="6"/>
  <c r="AA509" i="6"/>
  <c r="AA469" i="6"/>
  <c r="AA365" i="6"/>
  <c r="AA265" i="6"/>
  <c r="AA402" i="6"/>
  <c r="AA116" i="6"/>
  <c r="AA615" i="6"/>
  <c r="AA378" i="6"/>
  <c r="AA68" i="6"/>
  <c r="AA554" i="6"/>
  <c r="AA34" i="6"/>
  <c r="AA310" i="6"/>
  <c r="AA207" i="6"/>
  <c r="AA379" i="6"/>
  <c r="AA582" i="6"/>
  <c r="AA290" i="6"/>
  <c r="AA380" i="6"/>
  <c r="AA208" i="6"/>
  <c r="AA105" i="6"/>
  <c r="AA3" i="6"/>
  <c r="AA470" i="6"/>
  <c r="AA136" i="6"/>
  <c r="AA339" i="6"/>
  <c r="AA530" i="6"/>
  <c r="AA403" i="6"/>
  <c r="AA35" i="6"/>
  <c r="AA510" i="6"/>
  <c r="AA243" i="6"/>
  <c r="AA366" i="6"/>
  <c r="AA555" i="6"/>
  <c r="AA616" i="6"/>
  <c r="AA244" i="6"/>
  <c r="AA381" i="6"/>
  <c r="AA471" i="6"/>
  <c r="AA291" i="6"/>
  <c r="AA245" i="6"/>
  <c r="AA404" i="6"/>
  <c r="AA415" i="6"/>
  <c r="AA4" i="6"/>
  <c r="AA292" i="6"/>
  <c r="AA486" i="6"/>
  <c r="AA36" i="6"/>
  <c r="AA266" i="6"/>
  <c r="AA246" i="6"/>
  <c r="AA311" i="6"/>
  <c r="AA617" i="6"/>
  <c r="AA531" i="6"/>
  <c r="AA382" i="6"/>
  <c r="AA451" i="6"/>
  <c r="AA162" i="6"/>
  <c r="AA323" i="6"/>
  <c r="AA49" i="6"/>
  <c r="AA50" i="6"/>
  <c r="AA293" i="6"/>
  <c r="AA405" i="6"/>
  <c r="AA106" i="6"/>
  <c r="AA69" i="6"/>
  <c r="AA247" i="6"/>
  <c r="AA487" i="6"/>
  <c r="AA87" i="6"/>
  <c r="AA209" i="6"/>
  <c r="AA383" i="6"/>
  <c r="AA137" i="6"/>
  <c r="AA294" i="6"/>
  <c r="AA596" i="6"/>
  <c r="AA163" i="6"/>
  <c r="AA452" i="6"/>
  <c r="AA117" i="6"/>
  <c r="AA488" i="6"/>
  <c r="AA472" i="6"/>
  <c r="AA618" i="6"/>
  <c r="AA433" i="6"/>
  <c r="AA312" i="6"/>
  <c r="AA511" i="6"/>
  <c r="AA107" i="6"/>
  <c r="AA532" i="6"/>
  <c r="AA164" i="6"/>
  <c r="AA367" i="6"/>
  <c r="AA406" i="6"/>
  <c r="AA5" i="6"/>
  <c r="AA533" i="6"/>
  <c r="AA295" i="6"/>
  <c r="AA597" i="6"/>
  <c r="AA248" i="6"/>
  <c r="AA324" i="6"/>
  <c r="AA489" i="6"/>
  <c r="AA88" i="6"/>
  <c r="AA70" i="6"/>
  <c r="AA384" i="6"/>
  <c r="AA71" i="6"/>
  <c r="AA249" i="6"/>
  <c r="AA228" i="6"/>
  <c r="AA165" i="6"/>
  <c r="AA229" i="6"/>
  <c r="AA473" i="6"/>
  <c r="AA6" i="6"/>
  <c r="AA210" i="6"/>
  <c r="AA619" i="6"/>
  <c r="AA166" i="6"/>
  <c r="AA583" i="6"/>
  <c r="AA18" i="6"/>
  <c r="AA512" i="6"/>
  <c r="AA598" i="6"/>
  <c r="AA118" i="6"/>
  <c r="AA211" i="6"/>
  <c r="AA416" i="6"/>
  <c r="AA620" i="6"/>
  <c r="AA167" i="6"/>
  <c r="AA556" i="6"/>
  <c r="AA51" i="6"/>
  <c r="AA599" i="6"/>
  <c r="AA37" i="6"/>
  <c r="AA557" i="6"/>
  <c r="AA38" i="6"/>
  <c r="AA19" i="6"/>
  <c r="AA584" i="6"/>
  <c r="AA490" i="6"/>
  <c r="AA325" i="6"/>
  <c r="AA250" i="6"/>
  <c r="AA474" i="6"/>
  <c r="AA513" i="6"/>
  <c r="AA340" i="6"/>
  <c r="AA138" i="6"/>
  <c r="AA296" i="6"/>
  <c r="AA341" i="6"/>
  <c r="AA189" i="6"/>
  <c r="AA407" i="6"/>
  <c r="AA89" i="6"/>
  <c r="AA52" i="6"/>
  <c r="AA20" i="6"/>
  <c r="AA368" i="6"/>
  <c r="AA267" i="6"/>
  <c r="AA417" i="6"/>
  <c r="AA53" i="6"/>
  <c r="AA21" i="6"/>
  <c r="AA369" i="6"/>
  <c r="AA475" i="6"/>
  <c r="AA558" i="6"/>
  <c r="AA268" i="6"/>
  <c r="AA212" i="6"/>
  <c r="AA385" i="6"/>
  <c r="AA297" i="6"/>
  <c r="AA585" i="6"/>
  <c r="AA313" i="6"/>
  <c r="AA621" i="6"/>
  <c r="AA7" i="6"/>
  <c r="AA491" i="6"/>
  <c r="AA119" i="6"/>
  <c r="AA326" i="6"/>
  <c r="AA39" i="6"/>
  <c r="AA386" i="6"/>
  <c r="AA298" i="6"/>
  <c r="AA534" i="6"/>
  <c r="AA514" i="6"/>
  <c r="AA213" i="6"/>
  <c r="AA535" i="6"/>
  <c r="AA586" i="6"/>
  <c r="AA120" i="6"/>
  <c r="AA587" i="6"/>
  <c r="AA342" i="6"/>
  <c r="AA492" i="6"/>
  <c r="AA72" i="6"/>
  <c r="AA108" i="6"/>
  <c r="AA230" i="6"/>
  <c r="AA109" i="6"/>
  <c r="AA231" i="6"/>
  <c r="AA90" i="6"/>
  <c r="AA600" i="6"/>
  <c r="AA327" i="6"/>
  <c r="AA214" i="6"/>
  <c r="AA190" i="6"/>
  <c r="AA191" i="6"/>
  <c r="AA54" i="6"/>
  <c r="AA328" i="6"/>
  <c r="AA493" i="6"/>
  <c r="AA139" i="6"/>
  <c r="AA622" i="6"/>
  <c r="AA387" i="6"/>
  <c r="AA232" i="6"/>
  <c r="AA515" i="6"/>
  <c r="AA140" i="6"/>
  <c r="AA251" i="6"/>
  <c r="AA588" i="6"/>
  <c r="AA494" i="6"/>
  <c r="AA453" i="6"/>
  <c r="AA343" i="6"/>
  <c r="AA215" i="6"/>
  <c r="AA536" i="6"/>
  <c r="AA559" i="6"/>
  <c r="AA299" i="6"/>
  <c r="AA589" i="6"/>
  <c r="AA495" i="6"/>
  <c r="AA168" i="6"/>
  <c r="AA590" i="6"/>
  <c r="AA516" i="6"/>
  <c r="AA434" i="6"/>
  <c r="AA435" i="6"/>
  <c r="AA496" i="6"/>
  <c r="AA601" i="6"/>
  <c r="AA388" i="6"/>
  <c r="AA344" i="6"/>
  <c r="AA91" i="6"/>
  <c r="AA22" i="6"/>
  <c r="AA121" i="6"/>
  <c r="AA602" i="6"/>
  <c r="AA517" i="6"/>
  <c r="AA169" i="6"/>
  <c r="AA73" i="6"/>
  <c r="AA55" i="6"/>
  <c r="AA192" i="6"/>
  <c r="AA74" i="6"/>
  <c r="AA329" i="6"/>
  <c r="AA560" i="6"/>
  <c r="AA389" i="6"/>
  <c r="AA314" i="6"/>
  <c r="AA418" i="6"/>
  <c r="AA141" i="6"/>
  <c r="AA75" i="6"/>
  <c r="AA603" i="6"/>
  <c r="AA623" i="6"/>
  <c r="AA624" i="6"/>
  <c r="AA300" i="6"/>
  <c r="AA330" i="6"/>
  <c r="AA301" i="6"/>
  <c r="AA345" i="6"/>
  <c r="AA408" i="6"/>
  <c r="AA122" i="6"/>
  <c r="AA625" i="6"/>
  <c r="AA390" i="6"/>
  <c r="AA92" i="6"/>
  <c r="AA302" i="6"/>
  <c r="AA216" i="6"/>
  <c r="AA123" i="6"/>
  <c r="AA391" i="6"/>
  <c r="AA476" i="6"/>
  <c r="AA419" i="6"/>
  <c r="AA346" i="6"/>
  <c r="AA315" i="6"/>
  <c r="AA604" i="6"/>
  <c r="AA518" i="6"/>
  <c r="AA409" i="6"/>
  <c r="AA436" i="6"/>
  <c r="AA269" i="6"/>
  <c r="AA252" i="6"/>
  <c r="AA217" i="6"/>
  <c r="AA76" i="6"/>
  <c r="AA8" i="6"/>
  <c r="AA93" i="6"/>
  <c r="AA561" i="6"/>
  <c r="AA331" i="6"/>
  <c r="AA270" i="6"/>
  <c r="AA392" i="6"/>
  <c r="AA454" i="6"/>
  <c r="AA437" i="6"/>
  <c r="AA410" i="6"/>
  <c r="AA332" i="6"/>
  <c r="AA370" i="6"/>
  <c r="AA56" i="6"/>
  <c r="AA170" i="6"/>
  <c r="AA626" i="6"/>
  <c r="AA537" i="6"/>
  <c r="AA438" i="6"/>
  <c r="AA233" i="6"/>
  <c r="AA538" i="6"/>
  <c r="AA393" i="6"/>
  <c r="AA271" i="6"/>
  <c r="AA439" i="6"/>
  <c r="AA142" i="6"/>
  <c r="AA234" i="6"/>
  <c r="AA591" i="6"/>
  <c r="AA143" i="6"/>
  <c r="AA9" i="6"/>
  <c r="AA477" i="6"/>
  <c r="AA347" i="6"/>
  <c r="AA23" i="6"/>
  <c r="AA348" i="6"/>
  <c r="AA627" i="6"/>
  <c r="AA272" i="6"/>
  <c r="AA394" i="6"/>
  <c r="AA539" i="6"/>
  <c r="AA10" i="6"/>
  <c r="AA144" i="6"/>
  <c r="AA592" i="6"/>
  <c r="AA605" i="6"/>
  <c r="AA455" i="6"/>
  <c r="AA606" i="6"/>
  <c r="AA497" i="6"/>
  <c r="AA218" i="6"/>
  <c r="AA420" i="6"/>
  <c r="AA421" i="6"/>
  <c r="AA77" i="6"/>
  <c r="AA519" i="6"/>
  <c r="AA219" i="6"/>
  <c r="AA253" i="6"/>
  <c r="AA478" i="6"/>
  <c r="AA395" i="6"/>
  <c r="AA24" i="6"/>
  <c r="AA349" i="6"/>
  <c r="AA350" i="6"/>
  <c r="AA57" i="6"/>
  <c r="AA273" i="6"/>
  <c r="AA351" i="6"/>
  <c r="AA520" i="6"/>
  <c r="AA456" i="6"/>
  <c r="AA274" i="6"/>
  <c r="AA220" i="6"/>
  <c r="AA25" i="6"/>
  <c r="AA193" i="6"/>
  <c r="AA333" i="6"/>
  <c r="AA58" i="6"/>
  <c r="AA59" i="6"/>
  <c r="AA94" i="6"/>
  <c r="AA95" i="6"/>
  <c r="AA562" i="6"/>
  <c r="AA275" i="6"/>
  <c r="AA145" i="6"/>
  <c r="AA110" i="6"/>
  <c r="AA96" i="6"/>
  <c r="AA97" i="6"/>
  <c r="AA146" i="6"/>
  <c r="AA628" i="6"/>
  <c r="AA147" i="6"/>
  <c r="AA194" i="6"/>
  <c r="AA422" i="6"/>
  <c r="AA221" i="6"/>
  <c r="AA98" i="6"/>
  <c r="AA423" i="6"/>
  <c r="AA563" i="6"/>
  <c r="AA195" i="6"/>
  <c r="AA564" i="6"/>
  <c r="AA521" i="6"/>
  <c r="AA396" i="6"/>
  <c r="AA26" i="6"/>
  <c r="AA196" i="6"/>
  <c r="AA254" i="6"/>
  <c r="AA498" i="6"/>
  <c r="AA124" i="6"/>
  <c r="AA424" i="6"/>
  <c r="AA499" i="6"/>
  <c r="AA197" i="6"/>
  <c r="AA593" i="6"/>
  <c r="AA99" i="6"/>
  <c r="AA457" i="6"/>
  <c r="AA440" i="6"/>
  <c r="AA235" i="6"/>
  <c r="AA334" i="6"/>
  <c r="AA236" i="6"/>
  <c r="AA458" i="6"/>
  <c r="AA40" i="6"/>
  <c r="AA316" i="6"/>
  <c r="AA303" i="6"/>
  <c r="AA78" i="6"/>
  <c r="AA171" i="6"/>
  <c r="AA352" i="6"/>
  <c r="AA479" i="6"/>
  <c r="AA100" i="6"/>
  <c r="AA125" i="6"/>
  <c r="AA459" i="6"/>
  <c r="AA276" i="6"/>
  <c r="AA411" i="6"/>
  <c r="AA79" i="6"/>
  <c r="AA255" i="6"/>
  <c r="AA540" i="6"/>
  <c r="AA148" i="6"/>
  <c r="AA353" i="6"/>
  <c r="AA80" i="6"/>
  <c r="AA441" i="6"/>
  <c r="AA126" i="6"/>
  <c r="AA304" i="6"/>
  <c r="AA256" i="6"/>
  <c r="AA500" i="6"/>
  <c r="AA257" i="6"/>
  <c r="AA425" i="6"/>
  <c r="AA607" i="6"/>
  <c r="AA60" i="6"/>
  <c r="AA277" i="6"/>
  <c r="AA278" i="6"/>
  <c r="AA442" i="6"/>
  <c r="AA172" i="6"/>
  <c r="AA222" i="6"/>
  <c r="AA541" i="6"/>
  <c r="AA173" i="6"/>
  <c r="AA426" i="6"/>
  <c r="AA354" i="6"/>
  <c r="AA127" i="6"/>
  <c r="AA565" i="6"/>
  <c r="AA258" i="6"/>
  <c r="AA198" i="6"/>
  <c r="AA27" i="6"/>
  <c r="AA128" i="6"/>
  <c r="AA501" i="6"/>
  <c r="AA443" i="6"/>
  <c r="AA629" i="6"/>
  <c r="AA279" i="6"/>
  <c r="AA460" i="6"/>
  <c r="AA61" i="6"/>
  <c r="AA317" i="6"/>
  <c r="AA480" i="6"/>
  <c r="AA502" i="6"/>
  <c r="AA28" i="6"/>
  <c r="AA149" i="6"/>
  <c r="AA566" i="6"/>
  <c r="AA522" i="6"/>
  <c r="AA630" i="6"/>
  <c r="AA41" i="6"/>
  <c r="AA174" i="6"/>
  <c r="AA631" i="6"/>
  <c r="AA29" i="6"/>
  <c r="AA62" i="6"/>
  <c r="AA567" i="6"/>
  <c r="AA503" i="6"/>
  <c r="AA150" i="6"/>
  <c r="AA355" i="6"/>
  <c r="AA523" i="6"/>
  <c r="AA151" i="6"/>
  <c r="AA81" i="6"/>
  <c r="AA371" i="6"/>
  <c r="AA30" i="6"/>
  <c r="AA175" i="6"/>
  <c r="AA176" i="6"/>
  <c r="AA280" i="6"/>
  <c r="AA11" i="6"/>
  <c r="AA63" i="6"/>
  <c r="AA101" i="6"/>
  <c r="AA318" i="6"/>
  <c r="AA111" i="6"/>
  <c r="AA632" i="6"/>
  <c r="AA542" i="6"/>
  <c r="AA102" i="6"/>
  <c r="AA372" i="6"/>
  <c r="AA356" i="6"/>
  <c r="AA12" i="6"/>
  <c r="AA568" i="6"/>
  <c r="AA199" i="6"/>
  <c r="AA397" i="6"/>
  <c r="AA112" i="6"/>
  <c r="AA608" i="6"/>
  <c r="AA129" i="6"/>
  <c r="AA319" i="6"/>
  <c r="AA461" i="6"/>
  <c r="AA481" i="6"/>
  <c r="AA524" i="6"/>
  <c r="AA130" i="6"/>
  <c r="AA504" i="6"/>
  <c r="AA357" i="6"/>
  <c r="AA427" i="6"/>
  <c r="AA358" i="6"/>
  <c r="AA259" i="6"/>
  <c r="AA444" i="6"/>
  <c r="AA13" i="6"/>
  <c r="AA320" i="6"/>
  <c r="AA177" i="6"/>
  <c r="AA178" i="6"/>
  <c r="AA321" i="6"/>
  <c r="AA543" i="6"/>
  <c r="AA31" i="6"/>
  <c r="AA305" i="6"/>
  <c r="AA281" i="6"/>
  <c r="AA373" i="6"/>
  <c r="AA544" i="6"/>
  <c r="AA282" i="6"/>
  <c r="AA42" i="6"/>
  <c r="AA283" i="6"/>
  <c r="AA179" i="6"/>
  <c r="AA374" i="6"/>
  <c r="AA525" i="6"/>
  <c r="AA545" i="6"/>
  <c r="AA462" i="6"/>
  <c r="AA482" i="6"/>
  <c r="AA82" i="6"/>
  <c r="AA445" i="6"/>
  <c r="AA64" i="6"/>
  <c r="AA284" i="6"/>
  <c r="AA594" i="6"/>
  <c r="AA260" i="6"/>
  <c r="AA569" i="6"/>
  <c r="AA43" i="6"/>
  <c r="AA237" i="6"/>
  <c r="AA483" i="6"/>
  <c r="AA152" i="6"/>
  <c r="AA153" i="6"/>
  <c r="AA261" i="6"/>
  <c r="AA335" i="6"/>
  <c r="AA463" i="6"/>
  <c r="W463" i="6"/>
  <c r="W446" i="6"/>
  <c r="W238" i="6"/>
  <c r="W200" i="6"/>
  <c r="W262" i="6"/>
  <c r="W2" i="6"/>
  <c r="W570" i="6"/>
  <c r="W447" i="6"/>
  <c r="W201" i="6"/>
  <c r="W154" i="6"/>
  <c r="W505" i="6"/>
  <c r="W428" i="6"/>
  <c r="W571" i="6"/>
  <c r="W546" i="6"/>
  <c r="W65" i="6"/>
  <c r="W572" i="6"/>
  <c r="W506" i="6"/>
  <c r="W412" i="6"/>
  <c r="W398" i="6"/>
  <c r="W180" i="6"/>
  <c r="W155" i="6"/>
  <c r="W239" i="6"/>
  <c r="W131" i="6"/>
  <c r="W156" i="6"/>
  <c r="W429" i="6"/>
  <c r="W573" i="6"/>
  <c r="W609" i="6"/>
  <c r="W285" i="6"/>
  <c r="W430" i="6"/>
  <c r="W399" i="6"/>
  <c r="W306" i="6"/>
  <c r="W14" i="6"/>
  <c r="W240" i="6"/>
  <c r="W44" i="6"/>
  <c r="W547" i="6"/>
  <c r="W610" i="6"/>
  <c r="W413" i="6"/>
  <c r="W181" i="6"/>
  <c r="W464" i="6"/>
  <c r="W157" i="6"/>
  <c r="W375" i="6"/>
  <c r="W83" i="6"/>
  <c r="W307" i="6"/>
  <c r="W182" i="6"/>
  <c r="W113" i="6"/>
  <c r="W158" i="6"/>
  <c r="W202" i="6"/>
  <c r="W183" i="6"/>
  <c r="W574" i="6"/>
  <c r="W45" i="6"/>
  <c r="W132" i="6"/>
  <c r="W84" i="6"/>
  <c r="W336" i="6"/>
  <c r="W15" i="6"/>
  <c r="W526" i="6"/>
  <c r="W223" i="6"/>
  <c r="W337" i="6"/>
  <c r="W507" i="6"/>
  <c r="W575" i="6"/>
  <c r="W359" i="6"/>
  <c r="W133" i="6"/>
  <c r="W360" i="6"/>
  <c r="W361" i="6"/>
  <c r="W576" i="6"/>
  <c r="W32" i="6"/>
  <c r="W85" i="6"/>
  <c r="W362" i="6"/>
  <c r="W465" i="6"/>
  <c r="W322" i="6"/>
  <c r="W134" i="6"/>
  <c r="W103" i="6"/>
  <c r="W577" i="6"/>
  <c r="W184" i="6"/>
  <c r="W203" i="6"/>
  <c r="W527" i="6"/>
  <c r="W66" i="6"/>
  <c r="W466" i="6"/>
  <c r="W548" i="6"/>
  <c r="W578" i="6"/>
  <c r="W467" i="6"/>
  <c r="W159" i="6"/>
  <c r="W224" i="6"/>
  <c r="W595" i="6"/>
  <c r="W185" i="6"/>
  <c r="W431" i="6"/>
  <c r="W241" i="6"/>
  <c r="W16" i="6"/>
  <c r="W86" i="6"/>
  <c r="W204" i="6"/>
  <c r="W549" i="6"/>
  <c r="W376" i="6"/>
  <c r="W400" i="6"/>
  <c r="W550" i="6"/>
  <c r="W263" i="6"/>
  <c r="W225" i="6"/>
  <c r="W135" i="6"/>
  <c r="W160" i="6"/>
  <c r="W401" i="6"/>
  <c r="W226" i="6"/>
  <c r="W114" i="6"/>
  <c r="W611" i="6"/>
  <c r="W227" i="6"/>
  <c r="W432" i="6"/>
  <c r="W242" i="6"/>
  <c r="W17" i="6"/>
  <c r="W508" i="6"/>
  <c r="W33" i="6"/>
  <c r="W579" i="6"/>
  <c r="W104" i="6"/>
  <c r="W308" i="6"/>
  <c r="W377" i="6"/>
  <c r="W612" i="6"/>
  <c r="W613" i="6"/>
  <c r="W338" i="6"/>
  <c r="W286" i="6"/>
  <c r="W448" i="6"/>
  <c r="W205" i="6"/>
  <c r="W186" i="6"/>
  <c r="W161" i="6"/>
  <c r="W449" i="6"/>
  <c r="W309" i="6"/>
  <c r="W580" i="6"/>
  <c r="W287" i="6"/>
  <c r="W484" i="6"/>
  <c r="W485" i="6"/>
  <c r="W551" i="6"/>
  <c r="W614" i="6"/>
  <c r="W46" i="6"/>
  <c r="W288" i="6"/>
  <c r="W552" i="6"/>
  <c r="W450" i="6"/>
  <c r="W528" i="6"/>
  <c r="W47" i="6"/>
  <c r="W187" i="6"/>
  <c r="W363" i="6"/>
  <c r="W264" i="6"/>
  <c r="W48" i="6"/>
  <c r="W414" i="6"/>
  <c r="W364" i="6"/>
  <c r="W553" i="6"/>
  <c r="W468" i="6"/>
  <c r="W188" i="6"/>
  <c r="W289" i="6"/>
  <c r="W67" i="6"/>
  <c r="W115" i="6"/>
  <c r="W529" i="6"/>
  <c r="W581" i="6"/>
  <c r="W206" i="6"/>
  <c r="W509" i="6"/>
  <c r="W469" i="6"/>
  <c r="W365" i="6"/>
  <c r="W265" i="6"/>
  <c r="W402" i="6"/>
  <c r="W116" i="6"/>
  <c r="W615" i="6"/>
  <c r="W378" i="6"/>
  <c r="W68" i="6"/>
  <c r="W554" i="6"/>
  <c r="W34" i="6"/>
  <c r="W310" i="6"/>
  <c r="W207" i="6"/>
  <c r="W379" i="6"/>
  <c r="W582" i="6"/>
  <c r="W290" i="6"/>
  <c r="W380" i="6"/>
  <c r="W208" i="6"/>
  <c r="W105" i="6"/>
  <c r="W3" i="6"/>
  <c r="W470" i="6"/>
  <c r="W136" i="6"/>
  <c r="W339" i="6"/>
  <c r="W530" i="6"/>
  <c r="W403" i="6"/>
  <c r="W35" i="6"/>
  <c r="W510" i="6"/>
  <c r="W243" i="6"/>
  <c r="W366" i="6"/>
  <c r="W555" i="6"/>
  <c r="W616" i="6"/>
  <c r="W244" i="6"/>
  <c r="W381" i="6"/>
  <c r="W471" i="6"/>
  <c r="W291" i="6"/>
  <c r="W245" i="6"/>
  <c r="W404" i="6"/>
  <c r="W415" i="6"/>
  <c r="W4" i="6"/>
  <c r="W292" i="6"/>
  <c r="W486" i="6"/>
  <c r="W36" i="6"/>
  <c r="W266" i="6"/>
  <c r="W246" i="6"/>
  <c r="W311" i="6"/>
  <c r="W617" i="6"/>
  <c r="W531" i="6"/>
  <c r="W382" i="6"/>
  <c r="W451" i="6"/>
  <c r="W162" i="6"/>
  <c r="W323" i="6"/>
  <c r="W49" i="6"/>
  <c r="W50" i="6"/>
  <c r="W293" i="6"/>
  <c r="W405" i="6"/>
  <c r="W106" i="6"/>
  <c r="W69" i="6"/>
  <c r="W247" i="6"/>
  <c r="W487" i="6"/>
  <c r="W87" i="6"/>
  <c r="W209" i="6"/>
  <c r="W383" i="6"/>
  <c r="W137" i="6"/>
  <c r="W294" i="6"/>
  <c r="W596" i="6"/>
  <c r="W163" i="6"/>
  <c r="W452" i="6"/>
  <c r="W117" i="6"/>
  <c r="W488" i="6"/>
  <c r="W472" i="6"/>
  <c r="W618" i="6"/>
  <c r="W433" i="6"/>
  <c r="W312" i="6"/>
  <c r="W511" i="6"/>
  <c r="W107" i="6"/>
  <c r="W532" i="6"/>
  <c r="W164" i="6"/>
  <c r="W367" i="6"/>
  <c r="W406" i="6"/>
  <c r="W5" i="6"/>
  <c r="W533" i="6"/>
  <c r="W295" i="6"/>
  <c r="W597" i="6"/>
  <c r="W248" i="6"/>
  <c r="W324" i="6"/>
  <c r="W489" i="6"/>
  <c r="W88" i="6"/>
  <c r="W70" i="6"/>
  <c r="W384" i="6"/>
  <c r="W71" i="6"/>
  <c r="W249" i="6"/>
  <c r="W228" i="6"/>
  <c r="W165" i="6"/>
  <c r="W229" i="6"/>
  <c r="W473" i="6"/>
  <c r="W6" i="6"/>
  <c r="W210" i="6"/>
  <c r="W619" i="6"/>
  <c r="W166" i="6"/>
  <c r="W583" i="6"/>
  <c r="W18" i="6"/>
  <c r="W512" i="6"/>
  <c r="W598" i="6"/>
  <c r="W118" i="6"/>
  <c r="W211" i="6"/>
  <c r="W416" i="6"/>
  <c r="W620" i="6"/>
  <c r="W167" i="6"/>
  <c r="W556" i="6"/>
  <c r="W51" i="6"/>
  <c r="W599" i="6"/>
  <c r="W37" i="6"/>
  <c r="W557" i="6"/>
  <c r="W38" i="6"/>
  <c r="W19" i="6"/>
  <c r="W584" i="6"/>
  <c r="W490" i="6"/>
  <c r="W325" i="6"/>
  <c r="W250" i="6"/>
  <c r="W474" i="6"/>
  <c r="W513" i="6"/>
  <c r="W340" i="6"/>
  <c r="W138" i="6"/>
  <c r="W296" i="6"/>
  <c r="W341" i="6"/>
  <c r="W189" i="6"/>
  <c r="W407" i="6"/>
  <c r="W89" i="6"/>
  <c r="W52" i="6"/>
  <c r="W20" i="6"/>
  <c r="W368" i="6"/>
  <c r="W267" i="6"/>
  <c r="W417" i="6"/>
  <c r="W53" i="6"/>
  <c r="W21" i="6"/>
  <c r="W369" i="6"/>
  <c r="W475" i="6"/>
  <c r="W558" i="6"/>
  <c r="W268" i="6"/>
  <c r="W212" i="6"/>
  <c r="W385" i="6"/>
  <c r="W297" i="6"/>
  <c r="W585" i="6"/>
  <c r="W313" i="6"/>
  <c r="W621" i="6"/>
  <c r="W7" i="6"/>
  <c r="W491" i="6"/>
  <c r="W119" i="6"/>
  <c r="W326" i="6"/>
  <c r="W39" i="6"/>
  <c r="W386" i="6"/>
  <c r="W298" i="6"/>
  <c r="W534" i="6"/>
  <c r="W514" i="6"/>
  <c r="W213" i="6"/>
  <c r="W535" i="6"/>
  <c r="W586" i="6"/>
  <c r="W120" i="6"/>
  <c r="W587" i="6"/>
  <c r="W342" i="6"/>
  <c r="W492" i="6"/>
  <c r="W72" i="6"/>
  <c r="W108" i="6"/>
  <c r="W230" i="6"/>
  <c r="W109" i="6"/>
  <c r="W231" i="6"/>
  <c r="W90" i="6"/>
  <c r="W600" i="6"/>
  <c r="W327" i="6"/>
  <c r="W214" i="6"/>
  <c r="W190" i="6"/>
  <c r="W191" i="6"/>
  <c r="W54" i="6"/>
  <c r="W328" i="6"/>
  <c r="W493" i="6"/>
  <c r="W139" i="6"/>
  <c r="W622" i="6"/>
  <c r="W387" i="6"/>
  <c r="W232" i="6"/>
  <c r="W515" i="6"/>
  <c r="W140" i="6"/>
  <c r="W251" i="6"/>
  <c r="W588" i="6"/>
  <c r="W494" i="6"/>
  <c r="W453" i="6"/>
  <c r="W343" i="6"/>
  <c r="W215" i="6"/>
  <c r="W536" i="6"/>
  <c r="W559" i="6"/>
  <c r="W299" i="6"/>
  <c r="W589" i="6"/>
  <c r="W495" i="6"/>
  <c r="W168" i="6"/>
  <c r="W590" i="6"/>
  <c r="W516" i="6"/>
  <c r="W434" i="6"/>
  <c r="W435" i="6"/>
  <c r="W496" i="6"/>
  <c r="W601" i="6"/>
  <c r="W388" i="6"/>
  <c r="W344" i="6"/>
  <c r="W91" i="6"/>
  <c r="W22" i="6"/>
  <c r="W121" i="6"/>
  <c r="W602" i="6"/>
  <c r="W517" i="6"/>
  <c r="W169" i="6"/>
  <c r="W73" i="6"/>
  <c r="W55" i="6"/>
  <c r="W192" i="6"/>
  <c r="W74" i="6"/>
  <c r="W329" i="6"/>
  <c r="W560" i="6"/>
  <c r="W389" i="6"/>
  <c r="W314" i="6"/>
  <c r="W418" i="6"/>
  <c r="W141" i="6"/>
  <c r="W75" i="6"/>
  <c r="W603" i="6"/>
  <c r="W623" i="6"/>
  <c r="W624" i="6"/>
  <c r="W300" i="6"/>
  <c r="W330" i="6"/>
  <c r="W301" i="6"/>
  <c r="W345" i="6"/>
  <c r="W408" i="6"/>
  <c r="W122" i="6"/>
  <c r="W625" i="6"/>
  <c r="W390" i="6"/>
  <c r="W92" i="6"/>
  <c r="W302" i="6"/>
  <c r="W216" i="6"/>
  <c r="W123" i="6"/>
  <c r="W391" i="6"/>
  <c r="W476" i="6"/>
  <c r="W419" i="6"/>
  <c r="W346" i="6"/>
  <c r="W315" i="6"/>
  <c r="W604" i="6"/>
  <c r="W518" i="6"/>
  <c r="W409" i="6"/>
  <c r="W436" i="6"/>
  <c r="W269" i="6"/>
  <c r="W252" i="6"/>
  <c r="W217" i="6"/>
  <c r="W76" i="6"/>
  <c r="W8" i="6"/>
  <c r="W93" i="6"/>
  <c r="W561" i="6"/>
  <c r="W331" i="6"/>
  <c r="W270" i="6"/>
  <c r="W392" i="6"/>
  <c r="W454" i="6"/>
  <c r="W437" i="6"/>
  <c r="W410" i="6"/>
  <c r="W332" i="6"/>
  <c r="W370" i="6"/>
  <c r="W56" i="6"/>
  <c r="W170" i="6"/>
  <c r="W626" i="6"/>
  <c r="W537" i="6"/>
  <c r="W438" i="6"/>
  <c r="W233" i="6"/>
  <c r="W538" i="6"/>
  <c r="W393" i="6"/>
  <c r="W271" i="6"/>
  <c r="W439" i="6"/>
  <c r="W142" i="6"/>
  <c r="W234" i="6"/>
  <c r="W591" i="6"/>
  <c r="W143" i="6"/>
  <c r="W9" i="6"/>
  <c r="W477" i="6"/>
  <c r="W347" i="6"/>
  <c r="W23" i="6"/>
  <c r="W348" i="6"/>
  <c r="W627" i="6"/>
  <c r="W272" i="6"/>
  <c r="W394" i="6"/>
  <c r="W539" i="6"/>
  <c r="W10" i="6"/>
  <c r="W144" i="6"/>
  <c r="W592" i="6"/>
  <c r="W605" i="6"/>
  <c r="W455" i="6"/>
  <c r="W606" i="6"/>
  <c r="W497" i="6"/>
  <c r="W218" i="6"/>
  <c r="W420" i="6"/>
  <c r="W421" i="6"/>
  <c r="W77" i="6"/>
  <c r="W519" i="6"/>
  <c r="W219" i="6"/>
  <c r="W253" i="6"/>
  <c r="W478" i="6"/>
  <c r="W395" i="6"/>
  <c r="W24" i="6"/>
  <c r="W349" i="6"/>
  <c r="W350" i="6"/>
  <c r="W57" i="6"/>
  <c r="W273" i="6"/>
  <c r="W351" i="6"/>
  <c r="W520" i="6"/>
  <c r="W456" i="6"/>
  <c r="W274" i="6"/>
  <c r="W220" i="6"/>
  <c r="W25" i="6"/>
  <c r="W193" i="6"/>
  <c r="W333" i="6"/>
  <c r="W58" i="6"/>
  <c r="W59" i="6"/>
  <c r="W94" i="6"/>
  <c r="W95" i="6"/>
  <c r="W562" i="6"/>
  <c r="W275" i="6"/>
  <c r="W145" i="6"/>
  <c r="W110" i="6"/>
  <c r="W96" i="6"/>
  <c r="W97" i="6"/>
  <c r="W146" i="6"/>
  <c r="W628" i="6"/>
  <c r="W147" i="6"/>
  <c r="W194" i="6"/>
  <c r="W422" i="6"/>
  <c r="W221" i="6"/>
  <c r="W98" i="6"/>
  <c r="W423" i="6"/>
  <c r="W563" i="6"/>
  <c r="W195" i="6"/>
  <c r="W564" i="6"/>
  <c r="W521" i="6"/>
  <c r="W396" i="6"/>
  <c r="W26" i="6"/>
  <c r="W196" i="6"/>
  <c r="W254" i="6"/>
  <c r="W498" i="6"/>
  <c r="W124" i="6"/>
  <c r="W424" i="6"/>
  <c r="W499" i="6"/>
  <c r="W197" i="6"/>
  <c r="W593" i="6"/>
  <c r="W99" i="6"/>
  <c r="W457" i="6"/>
  <c r="W440" i="6"/>
  <c r="W235" i="6"/>
  <c r="W334" i="6"/>
  <c r="W236" i="6"/>
  <c r="W458" i="6"/>
  <c r="W40" i="6"/>
  <c r="W316" i="6"/>
  <c r="W303" i="6"/>
  <c r="W78" i="6"/>
  <c r="W171" i="6"/>
  <c r="W352" i="6"/>
  <c r="W479" i="6"/>
  <c r="W100" i="6"/>
  <c r="W125" i="6"/>
  <c r="W459" i="6"/>
  <c r="W276" i="6"/>
  <c r="W411" i="6"/>
  <c r="W79" i="6"/>
  <c r="W255" i="6"/>
  <c r="W540" i="6"/>
  <c r="W148" i="6"/>
  <c r="W353" i="6"/>
  <c r="W80" i="6"/>
  <c r="W441" i="6"/>
  <c r="W126" i="6"/>
  <c r="W304" i="6"/>
  <c r="W256" i="6"/>
  <c r="W500" i="6"/>
  <c r="W257" i="6"/>
  <c r="W425" i="6"/>
  <c r="W607" i="6"/>
  <c r="W60" i="6"/>
  <c r="W277" i="6"/>
  <c r="W278" i="6"/>
  <c r="W442" i="6"/>
  <c r="W172" i="6"/>
  <c r="W222" i="6"/>
  <c r="W541" i="6"/>
  <c r="W173" i="6"/>
  <c r="W426" i="6"/>
  <c r="W354" i="6"/>
  <c r="W127" i="6"/>
  <c r="W565" i="6"/>
  <c r="W258" i="6"/>
  <c r="W198" i="6"/>
  <c r="W27" i="6"/>
  <c r="W128" i="6"/>
  <c r="W501" i="6"/>
  <c r="W443" i="6"/>
  <c r="W629" i="6"/>
  <c r="W279" i="6"/>
  <c r="W460" i="6"/>
  <c r="W61" i="6"/>
  <c r="W317" i="6"/>
  <c r="W480" i="6"/>
  <c r="W502" i="6"/>
  <c r="W28" i="6"/>
  <c r="W149" i="6"/>
  <c r="W566" i="6"/>
  <c r="W522" i="6"/>
  <c r="W630" i="6"/>
  <c r="W41" i="6"/>
  <c r="W174" i="6"/>
  <c r="W631" i="6"/>
  <c r="W29" i="6"/>
  <c r="W62" i="6"/>
  <c r="W567" i="6"/>
  <c r="W503" i="6"/>
  <c r="W150" i="6"/>
  <c r="W355" i="6"/>
  <c r="W523" i="6"/>
  <c r="W151" i="6"/>
  <c r="W81" i="6"/>
  <c r="W371" i="6"/>
  <c r="W30" i="6"/>
  <c r="W175" i="6"/>
  <c r="W176" i="6"/>
  <c r="W280" i="6"/>
  <c r="W11" i="6"/>
  <c r="W63" i="6"/>
  <c r="W101" i="6"/>
  <c r="W318" i="6"/>
  <c r="W111" i="6"/>
  <c r="W632" i="6"/>
  <c r="W542" i="6"/>
  <c r="W102" i="6"/>
  <c r="W372" i="6"/>
  <c r="W356" i="6"/>
  <c r="W12" i="6"/>
  <c r="W568" i="6"/>
  <c r="W199" i="6"/>
  <c r="W397" i="6"/>
  <c r="W112" i="6"/>
  <c r="W608" i="6"/>
  <c r="W129" i="6"/>
  <c r="W319" i="6"/>
  <c r="W461" i="6"/>
  <c r="W481" i="6"/>
  <c r="W524" i="6"/>
  <c r="W130" i="6"/>
  <c r="W504" i="6"/>
  <c r="W357" i="6"/>
  <c r="W427" i="6"/>
  <c r="W358" i="6"/>
  <c r="W259" i="6"/>
  <c r="W444" i="6"/>
  <c r="W13" i="6"/>
  <c r="W320" i="6"/>
  <c r="W177" i="6"/>
  <c r="W178" i="6"/>
  <c r="W321" i="6"/>
  <c r="W543" i="6"/>
  <c r="W31" i="6"/>
  <c r="W305" i="6"/>
  <c r="W281" i="6"/>
  <c r="W373" i="6"/>
  <c r="W544" i="6"/>
  <c r="W282" i="6"/>
  <c r="W42" i="6"/>
  <c r="W283" i="6"/>
  <c r="W179" i="6"/>
  <c r="W374" i="6"/>
  <c r="W525" i="6"/>
  <c r="W545" i="6"/>
  <c r="W462" i="6"/>
  <c r="W482" i="6"/>
  <c r="W82" i="6"/>
  <c r="W445" i="6"/>
  <c r="W64" i="6"/>
  <c r="W284" i="6"/>
  <c r="W594" i="6"/>
  <c r="W260" i="6"/>
  <c r="W569" i="6"/>
  <c r="W43" i="6"/>
  <c r="W237" i="6"/>
  <c r="W483" i="6"/>
  <c r="W152" i="6"/>
  <c r="W153" i="6"/>
  <c r="W261" i="6"/>
  <c r="W335" i="6"/>
  <c r="T404" i="6"/>
  <c r="U404" i="6" s="1"/>
  <c r="AD404" i="6" s="1"/>
  <c r="T405" i="6"/>
  <c r="U405" i="6" s="1"/>
  <c r="AD405" i="6" s="1"/>
  <c r="T408" i="6"/>
  <c r="U408" i="6" s="1"/>
  <c r="AD408" i="6" s="1"/>
  <c r="T406" i="6"/>
  <c r="U406" i="6" s="1"/>
  <c r="AD406" i="6" s="1"/>
  <c r="T398" i="6"/>
  <c r="U398" i="6" s="1"/>
  <c r="AD398" i="6" s="1"/>
  <c r="T411" i="6"/>
  <c r="U411" i="6" s="1"/>
  <c r="AD411" i="6" s="1"/>
  <c r="T410" i="6"/>
  <c r="U410" i="6" s="1"/>
  <c r="AD410" i="6" s="1"/>
  <c r="T407" i="6"/>
  <c r="U407" i="6" s="1"/>
  <c r="AD407" i="6" s="1"/>
  <c r="T400" i="6"/>
  <c r="U400" i="6" s="1"/>
  <c r="AD400" i="6" s="1"/>
  <c r="T401" i="6"/>
  <c r="U401" i="6" s="1"/>
  <c r="AD401" i="6" s="1"/>
  <c r="T403" i="6"/>
  <c r="U403" i="6" s="1"/>
  <c r="AD403" i="6" s="1"/>
  <c r="T399" i="6"/>
  <c r="U399" i="6" s="1"/>
  <c r="AD399" i="6" s="1"/>
  <c r="T409" i="6"/>
  <c r="U409" i="6" s="1"/>
  <c r="AD409" i="6" s="1"/>
  <c r="T454" i="6"/>
  <c r="U454" i="6" s="1"/>
  <c r="AD454" i="6" s="1"/>
  <c r="T459" i="6"/>
  <c r="U459" i="6" s="1"/>
  <c r="AD459" i="6" s="1"/>
  <c r="T461" i="6"/>
  <c r="U461" i="6" s="1"/>
  <c r="AD461" i="6" s="1"/>
  <c r="T452" i="6"/>
  <c r="U452" i="6" s="1"/>
  <c r="AD452" i="6" s="1"/>
  <c r="T451" i="6"/>
  <c r="U451" i="6" s="1"/>
  <c r="AD451" i="6" s="1"/>
  <c r="T458" i="6"/>
  <c r="U458" i="6" s="1"/>
  <c r="AD458" i="6" s="1"/>
  <c r="T450" i="6"/>
  <c r="U450" i="6" s="1"/>
  <c r="AD450" i="6" s="1"/>
  <c r="T449" i="6"/>
  <c r="U449" i="6" s="1"/>
  <c r="AD449" i="6" s="1"/>
  <c r="T456" i="6"/>
  <c r="U456" i="6" s="1"/>
  <c r="AD456" i="6" s="1"/>
  <c r="T448" i="6"/>
  <c r="U448" i="6" s="1"/>
  <c r="AD448" i="6" s="1"/>
  <c r="T455" i="6"/>
  <c r="U455" i="6" s="1"/>
  <c r="AD455" i="6" s="1"/>
  <c r="T447" i="6"/>
  <c r="U447" i="6" s="1"/>
  <c r="AD447" i="6" s="1"/>
  <c r="T460" i="6"/>
  <c r="U460" i="6" s="1"/>
  <c r="AD460" i="6" s="1"/>
  <c r="T446" i="6"/>
  <c r="U446" i="6" s="1"/>
  <c r="AD446" i="6" s="1"/>
  <c r="T457" i="6"/>
  <c r="U457" i="6" s="1"/>
  <c r="AD457" i="6" s="1"/>
  <c r="T453" i="6"/>
  <c r="U453" i="6" s="1"/>
  <c r="AD453" i="6" s="1"/>
  <c r="T462" i="6"/>
  <c r="U462" i="6" s="1"/>
  <c r="AD462" i="6" s="1"/>
  <c r="T237" i="6"/>
  <c r="U237" i="6" s="1"/>
  <c r="AD237" i="6" s="1"/>
  <c r="T235" i="6"/>
  <c r="U235" i="6" s="1"/>
  <c r="AD235" i="6" s="1"/>
  <c r="T228" i="6"/>
  <c r="U228" i="6" s="1"/>
  <c r="AD228" i="6" s="1"/>
  <c r="T236" i="6"/>
  <c r="U236" i="6" s="1"/>
  <c r="AD236" i="6" s="1"/>
  <c r="T229" i="6"/>
  <c r="U229" i="6" s="1"/>
  <c r="AD229" i="6" s="1"/>
  <c r="T234" i="6"/>
  <c r="U234" i="6" s="1"/>
  <c r="AD234" i="6" s="1"/>
  <c r="T225" i="6"/>
  <c r="U225" i="6" s="1"/>
  <c r="AD225" i="6" s="1"/>
  <c r="T233" i="6"/>
  <c r="U233" i="6" s="1"/>
  <c r="AD233" i="6" s="1"/>
  <c r="T230" i="6"/>
  <c r="U230" i="6" s="1"/>
  <c r="AD230" i="6" s="1"/>
  <c r="T232" i="6"/>
  <c r="U232" i="6" s="1"/>
  <c r="AD232" i="6" s="1"/>
  <c r="T231" i="6"/>
  <c r="U231" i="6" s="1"/>
  <c r="AD231" i="6" s="1"/>
  <c r="T224" i="6"/>
  <c r="U224" i="6" s="1"/>
  <c r="AD224" i="6" s="1"/>
  <c r="T223" i="6"/>
  <c r="U223" i="6" s="1"/>
  <c r="AD223" i="6" s="1"/>
  <c r="T226" i="6"/>
  <c r="U226" i="6" s="1"/>
  <c r="AD226" i="6" s="1"/>
  <c r="T227" i="6"/>
  <c r="U227" i="6" s="1"/>
  <c r="AD227" i="6" s="1"/>
  <c r="T615" i="6"/>
  <c r="U615" i="6" s="1"/>
  <c r="AD615" i="6" s="1"/>
  <c r="T614" i="6"/>
  <c r="U614" i="6" s="1"/>
  <c r="AD614" i="6" s="1"/>
  <c r="T626" i="6"/>
  <c r="U626" i="6" s="1"/>
  <c r="AD626" i="6" s="1"/>
  <c r="T631" i="6"/>
  <c r="U631" i="6" s="1"/>
  <c r="AD631" i="6" s="1"/>
  <c r="T620" i="6"/>
  <c r="U620" i="6" s="1"/>
  <c r="AD620" i="6" s="1"/>
  <c r="T629" i="6"/>
  <c r="U629" i="6" s="1"/>
  <c r="AD629" i="6" s="1"/>
  <c r="T627" i="6"/>
  <c r="U627" i="6" s="1"/>
  <c r="AD627" i="6" s="1"/>
  <c r="T609" i="6"/>
  <c r="U609" i="6" s="1"/>
  <c r="AD609" i="6" s="1"/>
  <c r="T612" i="6"/>
  <c r="U612" i="6" s="1"/>
  <c r="AD612" i="6" s="1"/>
  <c r="T632" i="6"/>
  <c r="U632" i="6" s="1"/>
  <c r="AD632" i="6" s="1"/>
  <c r="T613" i="6"/>
  <c r="U613" i="6" s="1"/>
  <c r="AD613" i="6" s="1"/>
  <c r="T616" i="6"/>
  <c r="U616" i="6" s="1"/>
  <c r="AD616" i="6" s="1"/>
  <c r="T625" i="6"/>
  <c r="U625" i="6" s="1"/>
  <c r="AD625" i="6" s="1"/>
  <c r="T611" i="6"/>
  <c r="U611" i="6" s="1"/>
  <c r="AD611" i="6" s="1"/>
  <c r="T617" i="6"/>
  <c r="U617" i="6" s="1"/>
  <c r="AD617" i="6" s="1"/>
  <c r="T623" i="6"/>
  <c r="U623" i="6" s="1"/>
  <c r="AD623" i="6" s="1"/>
  <c r="T630" i="6"/>
  <c r="U630" i="6" s="1"/>
  <c r="AD630" i="6" s="1"/>
  <c r="T621" i="6"/>
  <c r="U621" i="6" s="1"/>
  <c r="AD621" i="6" s="1"/>
  <c r="T619" i="6"/>
  <c r="U619" i="6" s="1"/>
  <c r="AD619" i="6" s="1"/>
  <c r="T622" i="6"/>
  <c r="U622" i="6" s="1"/>
  <c r="AD622" i="6" s="1"/>
  <c r="T628" i="6"/>
  <c r="U628" i="6" s="1"/>
  <c r="AD628" i="6" s="1"/>
  <c r="T624" i="6"/>
  <c r="U624" i="6" s="1"/>
  <c r="AD624" i="6" s="1"/>
  <c r="T618" i="6"/>
  <c r="U618" i="6" s="1"/>
  <c r="AD618" i="6" s="1"/>
  <c r="T610" i="6"/>
  <c r="U610" i="6" s="1"/>
  <c r="AD610" i="6" s="1"/>
  <c r="T159" i="6"/>
  <c r="U159" i="6" s="1"/>
  <c r="AD159" i="6" s="1"/>
  <c r="T167" i="6"/>
  <c r="U167" i="6" s="1"/>
  <c r="AD167" i="6" s="1"/>
  <c r="T162" i="6"/>
  <c r="U162" i="6" s="1"/>
  <c r="AD162" i="6" s="1"/>
  <c r="T173" i="6"/>
  <c r="U173" i="6" s="1"/>
  <c r="AD173" i="6" s="1"/>
  <c r="T157" i="6"/>
  <c r="U157" i="6" s="1"/>
  <c r="AD157" i="6" s="1"/>
  <c r="T160" i="6"/>
  <c r="U160" i="6" s="1"/>
  <c r="AD160" i="6" s="1"/>
  <c r="T158" i="6"/>
  <c r="U158" i="6" s="1"/>
  <c r="AD158" i="6" s="1"/>
  <c r="T161" i="6"/>
  <c r="U161" i="6" s="1"/>
  <c r="AD161" i="6" s="1"/>
  <c r="T166" i="6"/>
  <c r="U166" i="6" s="1"/>
  <c r="AD166" i="6" s="1"/>
  <c r="T174" i="6"/>
  <c r="U174" i="6" s="1"/>
  <c r="AD174" i="6" s="1"/>
  <c r="T176" i="6"/>
  <c r="U176" i="6" s="1"/>
  <c r="AD176" i="6" s="1"/>
  <c r="T179" i="6"/>
  <c r="U179" i="6" s="1"/>
  <c r="AD179" i="6" s="1"/>
  <c r="T163" i="6"/>
  <c r="U163" i="6" s="1"/>
  <c r="AD163" i="6" s="1"/>
  <c r="T154" i="6"/>
  <c r="U154" i="6" s="1"/>
  <c r="AD154" i="6" s="1"/>
  <c r="T177" i="6"/>
  <c r="U177" i="6" s="1"/>
  <c r="AD177" i="6" s="1"/>
  <c r="T165" i="6"/>
  <c r="U165" i="6" s="1"/>
  <c r="AD165" i="6" s="1"/>
  <c r="T172" i="6"/>
  <c r="U172" i="6" s="1"/>
  <c r="AD172" i="6" s="1"/>
  <c r="T156" i="6"/>
  <c r="U156" i="6" s="1"/>
  <c r="AD156" i="6" s="1"/>
  <c r="T169" i="6"/>
  <c r="U169" i="6" s="1"/>
  <c r="AD169" i="6" s="1"/>
  <c r="T171" i="6"/>
  <c r="U171" i="6" s="1"/>
  <c r="AD171" i="6" s="1"/>
  <c r="T164" i="6"/>
  <c r="U164" i="6" s="1"/>
  <c r="AD164" i="6" s="1"/>
  <c r="T168" i="6"/>
  <c r="U168" i="6" s="1"/>
  <c r="AD168" i="6" s="1"/>
  <c r="T155" i="6"/>
  <c r="U155" i="6" s="1"/>
  <c r="AD155" i="6" s="1"/>
  <c r="T170" i="6"/>
  <c r="U170" i="6" s="1"/>
  <c r="AD170" i="6" s="1"/>
  <c r="T175" i="6"/>
  <c r="U175" i="6" s="1"/>
  <c r="AD175" i="6" s="1"/>
  <c r="T178" i="6"/>
  <c r="U178" i="6" s="1"/>
  <c r="AD178" i="6" s="1"/>
  <c r="T297" i="6"/>
  <c r="U297" i="6" s="1"/>
  <c r="AD297" i="6" s="1"/>
  <c r="T296" i="6"/>
  <c r="U296" i="6" s="1"/>
  <c r="AD296" i="6" s="1"/>
  <c r="T303" i="6"/>
  <c r="U303" i="6" s="1"/>
  <c r="AD303" i="6" s="1"/>
  <c r="T293" i="6"/>
  <c r="U293" i="6" s="1"/>
  <c r="AD293" i="6" s="1"/>
  <c r="T290" i="6"/>
  <c r="U290" i="6" s="1"/>
  <c r="AD290" i="6" s="1"/>
  <c r="T301" i="6"/>
  <c r="U301" i="6" s="1"/>
  <c r="AD301" i="6" s="1"/>
  <c r="T287" i="6"/>
  <c r="U287" i="6" s="1"/>
  <c r="AD287" i="6" s="1"/>
  <c r="T291" i="6"/>
  <c r="U291" i="6" s="1"/>
  <c r="AD291" i="6" s="1"/>
  <c r="T298" i="6"/>
  <c r="U298" i="6" s="1"/>
  <c r="AD298" i="6" s="1"/>
  <c r="T304" i="6"/>
  <c r="U304" i="6" s="1"/>
  <c r="AD304" i="6" s="1"/>
  <c r="T286" i="6"/>
  <c r="U286" i="6" s="1"/>
  <c r="AD286" i="6" s="1"/>
  <c r="T305" i="6"/>
  <c r="U305" i="6" s="1"/>
  <c r="AD305" i="6" s="1"/>
  <c r="T299" i="6"/>
  <c r="U299" i="6" s="1"/>
  <c r="AD299" i="6" s="1"/>
  <c r="T288" i="6"/>
  <c r="U288" i="6" s="1"/>
  <c r="AD288" i="6" s="1"/>
  <c r="T295" i="6"/>
  <c r="U295" i="6" s="1"/>
  <c r="AD295" i="6" s="1"/>
  <c r="T289" i="6"/>
  <c r="U289" i="6" s="1"/>
  <c r="AD289" i="6" s="1"/>
  <c r="T302" i="6"/>
  <c r="U302" i="6" s="1"/>
  <c r="AD302" i="6" s="1"/>
  <c r="T300" i="6"/>
  <c r="U300" i="6" s="1"/>
  <c r="AD300" i="6" s="1"/>
  <c r="T292" i="6"/>
  <c r="U292" i="6" s="1"/>
  <c r="AD292" i="6" s="1"/>
  <c r="T294" i="6"/>
  <c r="U294" i="6" s="1"/>
  <c r="AD294" i="6" s="1"/>
  <c r="T285" i="6"/>
  <c r="U285" i="6" s="1"/>
  <c r="AD285" i="6" s="1"/>
  <c r="T350" i="6"/>
  <c r="U350" i="6" s="1"/>
  <c r="AD350" i="6" s="1"/>
  <c r="T339" i="6"/>
  <c r="U339" i="6" s="1"/>
  <c r="AD339" i="6" s="1"/>
  <c r="T342" i="6"/>
  <c r="U342" i="6" s="1"/>
  <c r="AD342" i="6" s="1"/>
  <c r="T336" i="6"/>
  <c r="U336" i="6" s="1"/>
  <c r="AD336" i="6" s="1"/>
  <c r="T343" i="6"/>
  <c r="U343" i="6" s="1"/>
  <c r="AD343" i="6" s="1"/>
  <c r="T341" i="6"/>
  <c r="U341" i="6" s="1"/>
  <c r="AD341" i="6" s="1"/>
  <c r="T345" i="6"/>
  <c r="U345" i="6" s="1"/>
  <c r="AD345" i="6" s="1"/>
  <c r="T358" i="6"/>
  <c r="U358" i="6" s="1"/>
  <c r="AD358" i="6" s="1"/>
  <c r="T337" i="6"/>
  <c r="U337" i="6" s="1"/>
  <c r="AD337" i="6" s="1"/>
  <c r="T351" i="6"/>
  <c r="U351" i="6" s="1"/>
  <c r="AD351" i="6" s="1"/>
  <c r="T346" i="6"/>
  <c r="U346" i="6" s="1"/>
  <c r="AD346" i="6" s="1"/>
  <c r="T344" i="6"/>
  <c r="U344" i="6" s="1"/>
  <c r="AD344" i="6" s="1"/>
  <c r="T355" i="6"/>
  <c r="U355" i="6" s="1"/>
  <c r="AD355" i="6" s="1"/>
  <c r="T340" i="6"/>
  <c r="U340" i="6" s="1"/>
  <c r="AD340" i="6" s="1"/>
  <c r="T352" i="6"/>
  <c r="U352" i="6" s="1"/>
  <c r="AD352" i="6" s="1"/>
  <c r="T354" i="6"/>
  <c r="U354" i="6" s="1"/>
  <c r="AD354" i="6" s="1"/>
  <c r="T353" i="6"/>
  <c r="U353" i="6" s="1"/>
  <c r="AD353" i="6" s="1"/>
  <c r="T347" i="6"/>
  <c r="U347" i="6" s="1"/>
  <c r="AD347" i="6" s="1"/>
  <c r="T349" i="6"/>
  <c r="U349" i="6" s="1"/>
  <c r="AD349" i="6" s="1"/>
  <c r="T338" i="6"/>
  <c r="U338" i="6" s="1"/>
  <c r="AD338" i="6" s="1"/>
  <c r="T348" i="6"/>
  <c r="U348" i="6" s="1"/>
  <c r="AD348" i="6" s="1"/>
  <c r="T356" i="6"/>
  <c r="U356" i="6" s="1"/>
  <c r="AD356" i="6" s="1"/>
  <c r="T357" i="6"/>
  <c r="U357" i="6" s="1"/>
  <c r="AD357" i="6" s="1"/>
  <c r="T550" i="6"/>
  <c r="U550" i="6" s="1"/>
  <c r="AD550" i="6" s="1"/>
  <c r="T549" i="6"/>
  <c r="U549" i="6" s="1"/>
  <c r="AD549" i="6" s="1"/>
  <c r="T553" i="6"/>
  <c r="U553" i="6" s="1"/>
  <c r="AD553" i="6" s="1"/>
  <c r="T565" i="6"/>
  <c r="U565" i="6" s="1"/>
  <c r="AD565" i="6" s="1"/>
  <c r="T558" i="6"/>
  <c r="U558" i="6" s="1"/>
  <c r="AD558" i="6" s="1"/>
  <c r="T556" i="6"/>
  <c r="U556" i="6" s="1"/>
  <c r="AD556" i="6" s="1"/>
  <c r="T564" i="6"/>
  <c r="U564" i="6" s="1"/>
  <c r="AD564" i="6" s="1"/>
  <c r="T555" i="6"/>
  <c r="U555" i="6" s="1"/>
  <c r="AD555" i="6" s="1"/>
  <c r="T557" i="6"/>
  <c r="U557" i="6" s="1"/>
  <c r="AD557" i="6" s="1"/>
  <c r="T547" i="6"/>
  <c r="U547" i="6" s="1"/>
  <c r="AD547" i="6" s="1"/>
  <c r="T559" i="6"/>
  <c r="U559" i="6" s="1"/>
  <c r="AD559" i="6" s="1"/>
  <c r="T560" i="6"/>
  <c r="U560" i="6" s="1"/>
  <c r="AD560" i="6" s="1"/>
  <c r="T561" i="6"/>
  <c r="U561" i="6" s="1"/>
  <c r="AD561" i="6" s="1"/>
  <c r="T554" i="6"/>
  <c r="U554" i="6" s="1"/>
  <c r="AD554" i="6" s="1"/>
  <c r="T548" i="6"/>
  <c r="U548" i="6" s="1"/>
  <c r="AD548" i="6" s="1"/>
  <c r="T552" i="6"/>
  <c r="U552" i="6" s="1"/>
  <c r="AD552" i="6" s="1"/>
  <c r="T569" i="6"/>
  <c r="U569" i="6" s="1"/>
  <c r="AD569" i="6" s="1"/>
  <c r="T567" i="6"/>
  <c r="U567" i="6" s="1"/>
  <c r="AD567" i="6" s="1"/>
  <c r="T551" i="6"/>
  <c r="U551" i="6" s="1"/>
  <c r="AD551" i="6" s="1"/>
  <c r="T563" i="6"/>
  <c r="U563" i="6" s="1"/>
  <c r="AD563" i="6" s="1"/>
  <c r="T562" i="6"/>
  <c r="U562" i="6" s="1"/>
  <c r="AD562" i="6" s="1"/>
  <c r="T568" i="6"/>
  <c r="U568" i="6" s="1"/>
  <c r="AD568" i="6" s="1"/>
  <c r="T546" i="6"/>
  <c r="U546" i="6" s="1"/>
  <c r="AD546" i="6" s="1"/>
  <c r="T566" i="6"/>
  <c r="U566" i="6" s="1"/>
  <c r="AD566" i="6" s="1"/>
  <c r="T41" i="6"/>
  <c r="U41" i="6" s="1"/>
  <c r="AD41" i="6" s="1"/>
  <c r="T33" i="6"/>
  <c r="U33" i="6" s="1"/>
  <c r="AD33" i="6" s="1"/>
  <c r="T36" i="6"/>
  <c r="U36" i="6" s="1"/>
  <c r="AD36" i="6" s="1"/>
  <c r="T35" i="6"/>
  <c r="U35" i="6" s="1"/>
  <c r="AD35" i="6" s="1"/>
  <c r="T39" i="6"/>
  <c r="U39" i="6" s="1"/>
  <c r="AD39" i="6" s="1"/>
  <c r="T34" i="6"/>
  <c r="U34" i="6" s="1"/>
  <c r="AD34" i="6" s="1"/>
  <c r="T43" i="6"/>
  <c r="U43" i="6" s="1"/>
  <c r="AD43" i="6" s="1"/>
  <c r="T40" i="6"/>
  <c r="U40" i="6" s="1"/>
  <c r="AD40" i="6" s="1"/>
  <c r="T42" i="6"/>
  <c r="U42" i="6" s="1"/>
  <c r="AD42" i="6" s="1"/>
  <c r="T32" i="6"/>
  <c r="U32" i="6" s="1"/>
  <c r="AD32" i="6" s="1"/>
  <c r="T38" i="6"/>
  <c r="U38" i="6" s="1"/>
  <c r="AD38" i="6" s="1"/>
  <c r="T37" i="6"/>
  <c r="U37" i="6" s="1"/>
  <c r="AD37" i="6" s="1"/>
  <c r="T76" i="6"/>
  <c r="U76" i="6" s="1"/>
  <c r="AD76" i="6" s="1"/>
  <c r="T74" i="6"/>
  <c r="U74" i="6" s="1"/>
  <c r="AD74" i="6" s="1"/>
  <c r="T81" i="6"/>
  <c r="U81" i="6" s="1"/>
  <c r="AD81" i="6" s="1"/>
  <c r="T75" i="6"/>
  <c r="U75" i="6" s="1"/>
  <c r="AD75" i="6" s="1"/>
  <c r="T80" i="6"/>
  <c r="U80" i="6" s="1"/>
  <c r="AD80" i="6" s="1"/>
  <c r="T70" i="6"/>
  <c r="U70" i="6" s="1"/>
  <c r="AD70" i="6" s="1"/>
  <c r="T67" i="6"/>
  <c r="U67" i="6" s="1"/>
  <c r="AD67" i="6" s="1"/>
  <c r="T77" i="6"/>
  <c r="U77" i="6" s="1"/>
  <c r="AD77" i="6" s="1"/>
  <c r="T69" i="6"/>
  <c r="U69" i="6" s="1"/>
  <c r="AD69" i="6" s="1"/>
  <c r="T71" i="6"/>
  <c r="U71" i="6" s="1"/>
  <c r="AD71" i="6" s="1"/>
  <c r="T66" i="6"/>
  <c r="U66" i="6" s="1"/>
  <c r="AD66" i="6" s="1"/>
  <c r="T79" i="6"/>
  <c r="U79" i="6" s="1"/>
  <c r="AD79" i="6" s="1"/>
  <c r="T82" i="6"/>
  <c r="U82" i="6" s="1"/>
  <c r="AD82" i="6" s="1"/>
  <c r="T72" i="6"/>
  <c r="U72" i="6" s="1"/>
  <c r="AD72" i="6" s="1"/>
  <c r="T68" i="6"/>
  <c r="U68" i="6" s="1"/>
  <c r="AD68" i="6" s="1"/>
  <c r="T65" i="6"/>
  <c r="U65" i="6" s="1"/>
  <c r="AD65" i="6" s="1"/>
  <c r="T78" i="6"/>
  <c r="U78" i="6" s="1"/>
  <c r="AD78" i="6" s="1"/>
  <c r="T73" i="6"/>
  <c r="U73" i="6" s="1"/>
  <c r="AD73" i="6" s="1"/>
  <c r="T106" i="6"/>
  <c r="U106" i="6" s="1"/>
  <c r="AD106" i="6" s="1"/>
  <c r="T109" i="6"/>
  <c r="U109" i="6" s="1"/>
  <c r="AD109" i="6" s="1"/>
  <c r="T108" i="6"/>
  <c r="U108" i="6" s="1"/>
  <c r="AD108" i="6" s="1"/>
  <c r="T110" i="6"/>
  <c r="U110" i="6" s="1"/>
  <c r="AD110" i="6" s="1"/>
  <c r="T111" i="6"/>
  <c r="U111" i="6" s="1"/>
  <c r="AD111" i="6" s="1"/>
  <c r="T112" i="6"/>
  <c r="U112" i="6" s="1"/>
  <c r="AD112" i="6" s="1"/>
  <c r="T103" i="6"/>
  <c r="U103" i="6" s="1"/>
  <c r="AD103" i="6" s="1"/>
  <c r="T107" i="6"/>
  <c r="U107" i="6" s="1"/>
  <c r="AD107" i="6" s="1"/>
  <c r="T104" i="6"/>
  <c r="U104" i="6" s="1"/>
  <c r="AD104" i="6" s="1"/>
  <c r="T105" i="6"/>
  <c r="U105" i="6" s="1"/>
  <c r="AD105" i="6" s="1"/>
  <c r="T504" i="6"/>
  <c r="U504" i="6" s="1"/>
  <c r="AD504" i="6" s="1"/>
  <c r="T491" i="6"/>
  <c r="U491" i="6" s="1"/>
  <c r="AD491" i="6" s="1"/>
  <c r="T492" i="6"/>
  <c r="U492" i="6" s="1"/>
  <c r="AD492" i="6" s="1"/>
  <c r="T484" i="6"/>
  <c r="U484" i="6" s="1"/>
  <c r="AD484" i="6" s="1"/>
  <c r="T487" i="6"/>
  <c r="U487" i="6" s="1"/>
  <c r="AD487" i="6" s="1"/>
  <c r="T488" i="6"/>
  <c r="U488" i="6" s="1"/>
  <c r="AD488" i="6" s="1"/>
  <c r="T502" i="6"/>
  <c r="U502" i="6" s="1"/>
  <c r="AD502" i="6" s="1"/>
  <c r="T498" i="6"/>
  <c r="U498" i="6" s="1"/>
  <c r="AD498" i="6" s="1"/>
  <c r="T500" i="6"/>
  <c r="U500" i="6" s="1"/>
  <c r="AD500" i="6" s="1"/>
  <c r="T489" i="6"/>
  <c r="U489" i="6" s="1"/>
  <c r="AD489" i="6" s="1"/>
  <c r="T503" i="6"/>
  <c r="U503" i="6" s="1"/>
  <c r="AD503" i="6" s="1"/>
  <c r="T494" i="6"/>
  <c r="U494" i="6" s="1"/>
  <c r="AD494" i="6" s="1"/>
  <c r="T499" i="6"/>
  <c r="U499" i="6" s="1"/>
  <c r="AD499" i="6" s="1"/>
  <c r="T490" i="6"/>
  <c r="U490" i="6" s="1"/>
  <c r="AD490" i="6" s="1"/>
  <c r="T495" i="6"/>
  <c r="U495" i="6" s="1"/>
  <c r="AD495" i="6" s="1"/>
  <c r="T496" i="6"/>
  <c r="U496" i="6" s="1"/>
  <c r="AD496" i="6" s="1"/>
  <c r="T485" i="6"/>
  <c r="U485" i="6" s="1"/>
  <c r="AD485" i="6" s="1"/>
  <c r="T486" i="6"/>
  <c r="U486" i="6" s="1"/>
  <c r="AD486" i="6" s="1"/>
  <c r="T501" i="6"/>
  <c r="U501" i="6" s="1"/>
  <c r="AD501" i="6" s="1"/>
  <c r="T497" i="6"/>
  <c r="U497" i="6" s="1"/>
  <c r="AD497" i="6" s="1"/>
  <c r="T493" i="6"/>
  <c r="U493" i="6" s="1"/>
  <c r="AD493" i="6" s="1"/>
  <c r="T388" i="6"/>
  <c r="U388" i="6" s="1"/>
  <c r="AD388" i="6" s="1"/>
  <c r="T397" i="6"/>
  <c r="U397" i="6" s="1"/>
  <c r="AD397" i="6" s="1"/>
  <c r="T382" i="6"/>
  <c r="U382" i="6" s="1"/>
  <c r="AD382" i="6" s="1"/>
  <c r="T377" i="6"/>
  <c r="U377" i="6" s="1"/>
  <c r="AD377" i="6" s="1"/>
  <c r="T378" i="6"/>
  <c r="U378" i="6" s="1"/>
  <c r="AD378" i="6" s="1"/>
  <c r="T384" i="6"/>
  <c r="U384" i="6" s="1"/>
  <c r="AD384" i="6" s="1"/>
  <c r="T390" i="6"/>
  <c r="U390" i="6" s="1"/>
  <c r="AD390" i="6" s="1"/>
  <c r="T395" i="6"/>
  <c r="U395" i="6" s="1"/>
  <c r="AD395" i="6" s="1"/>
  <c r="T379" i="6"/>
  <c r="U379" i="6" s="1"/>
  <c r="AD379" i="6" s="1"/>
  <c r="T380" i="6"/>
  <c r="U380" i="6" s="1"/>
  <c r="AD380" i="6" s="1"/>
  <c r="T396" i="6"/>
  <c r="U396" i="6" s="1"/>
  <c r="AD396" i="6" s="1"/>
  <c r="T392" i="6"/>
  <c r="U392" i="6" s="1"/>
  <c r="AD392" i="6" s="1"/>
  <c r="T376" i="6"/>
  <c r="U376" i="6" s="1"/>
  <c r="AD376" i="6" s="1"/>
  <c r="T383" i="6"/>
  <c r="U383" i="6" s="1"/>
  <c r="AD383" i="6" s="1"/>
  <c r="T389" i="6"/>
  <c r="U389" i="6" s="1"/>
  <c r="AD389" i="6" s="1"/>
  <c r="T391" i="6"/>
  <c r="U391" i="6" s="1"/>
  <c r="AD391" i="6" s="1"/>
  <c r="T386" i="6"/>
  <c r="U386" i="6" s="1"/>
  <c r="AD386" i="6" s="1"/>
  <c r="T387" i="6"/>
  <c r="U387" i="6" s="1"/>
  <c r="AD387" i="6" s="1"/>
  <c r="T394" i="6"/>
  <c r="U394" i="6" s="1"/>
  <c r="AD394" i="6" s="1"/>
  <c r="T385" i="6"/>
  <c r="U385" i="6" s="1"/>
  <c r="AD385" i="6" s="1"/>
  <c r="T381" i="6"/>
  <c r="U381" i="6" s="1"/>
  <c r="AD381" i="6" s="1"/>
  <c r="T393" i="6"/>
  <c r="U393" i="6" s="1"/>
  <c r="AD393" i="6" s="1"/>
  <c r="T375" i="6"/>
  <c r="U375" i="6" s="1"/>
  <c r="AD375" i="6" s="1"/>
  <c r="T439" i="6"/>
  <c r="U439" i="6" s="1"/>
  <c r="AD439" i="6" s="1"/>
  <c r="T436" i="6"/>
  <c r="U436" i="6" s="1"/>
  <c r="AD436" i="6" s="1"/>
  <c r="T434" i="6"/>
  <c r="U434" i="6" s="1"/>
  <c r="AD434" i="6" s="1"/>
  <c r="T428" i="6"/>
  <c r="U428" i="6" s="1"/>
  <c r="AD428" i="6" s="1"/>
  <c r="T438" i="6"/>
  <c r="U438" i="6" s="1"/>
  <c r="AD438" i="6" s="1"/>
  <c r="T437" i="6"/>
  <c r="U437" i="6" s="1"/>
  <c r="AD437" i="6" s="1"/>
  <c r="T433" i="6"/>
  <c r="U433" i="6" s="1"/>
  <c r="AD433" i="6" s="1"/>
  <c r="T430" i="6"/>
  <c r="U430" i="6" s="1"/>
  <c r="AD430" i="6" s="1"/>
  <c r="T442" i="6"/>
  <c r="U442" i="6" s="1"/>
  <c r="AD442" i="6" s="1"/>
  <c r="T440" i="6"/>
  <c r="U440" i="6" s="1"/>
  <c r="AD440" i="6" s="1"/>
  <c r="T435" i="6"/>
  <c r="U435" i="6" s="1"/>
  <c r="AD435" i="6" s="1"/>
  <c r="T441" i="6"/>
  <c r="U441" i="6" s="1"/>
  <c r="AD441" i="6" s="1"/>
  <c r="T429" i="6"/>
  <c r="U429" i="6" s="1"/>
  <c r="AD429" i="6" s="1"/>
  <c r="T445" i="6"/>
  <c r="U445" i="6" s="1"/>
  <c r="AD445" i="6" s="1"/>
  <c r="T444" i="6"/>
  <c r="U444" i="6" s="1"/>
  <c r="AD444" i="6" s="1"/>
  <c r="T432" i="6"/>
  <c r="U432" i="6" s="1"/>
  <c r="AD432" i="6" s="1"/>
  <c r="T443" i="6"/>
  <c r="U443" i="6" s="1"/>
  <c r="AD443" i="6" s="1"/>
  <c r="T431" i="6"/>
  <c r="U431" i="6" s="1"/>
  <c r="AD431" i="6" s="1"/>
  <c r="T201" i="6"/>
  <c r="U201" i="6" s="1"/>
  <c r="AD201" i="6" s="1"/>
  <c r="T205" i="6"/>
  <c r="U205" i="6" s="1"/>
  <c r="AD205" i="6" s="1"/>
  <c r="T204" i="6"/>
  <c r="U204" i="6" s="1"/>
  <c r="AD204" i="6" s="1"/>
  <c r="T214" i="6"/>
  <c r="U214" i="6" s="1"/>
  <c r="AD214" i="6" s="1"/>
  <c r="T212" i="6"/>
  <c r="U212" i="6" s="1"/>
  <c r="AD212" i="6" s="1"/>
  <c r="T202" i="6"/>
  <c r="U202" i="6" s="1"/>
  <c r="AD202" i="6" s="1"/>
  <c r="T211" i="6"/>
  <c r="U211" i="6" s="1"/>
  <c r="AD211" i="6" s="1"/>
  <c r="T210" i="6"/>
  <c r="U210" i="6" s="1"/>
  <c r="AD210" i="6" s="1"/>
  <c r="T218" i="6"/>
  <c r="U218" i="6" s="1"/>
  <c r="AD218" i="6" s="1"/>
  <c r="T213" i="6"/>
  <c r="U213" i="6" s="1"/>
  <c r="AD213" i="6" s="1"/>
  <c r="T220" i="6"/>
  <c r="U220" i="6" s="1"/>
  <c r="AD220" i="6" s="1"/>
  <c r="T221" i="6"/>
  <c r="U221" i="6" s="1"/>
  <c r="AD221" i="6" s="1"/>
  <c r="T207" i="6"/>
  <c r="U207" i="6" s="1"/>
  <c r="AD207" i="6" s="1"/>
  <c r="T217" i="6"/>
  <c r="U217" i="6" s="1"/>
  <c r="AD217" i="6" s="1"/>
  <c r="T219" i="6"/>
  <c r="U219" i="6" s="1"/>
  <c r="AD219" i="6" s="1"/>
  <c r="T209" i="6"/>
  <c r="U209" i="6" s="1"/>
  <c r="AD209" i="6" s="1"/>
  <c r="T208" i="6"/>
  <c r="U208" i="6" s="1"/>
  <c r="AD208" i="6" s="1"/>
  <c r="T215" i="6"/>
  <c r="U215" i="6" s="1"/>
  <c r="AD215" i="6" s="1"/>
  <c r="T206" i="6"/>
  <c r="U206" i="6" s="1"/>
  <c r="AD206" i="6" s="1"/>
  <c r="T200" i="6"/>
  <c r="U200" i="6" s="1"/>
  <c r="AD200" i="6" s="1"/>
  <c r="T222" i="6"/>
  <c r="U222" i="6" s="1"/>
  <c r="AD222" i="6" s="1"/>
  <c r="T203" i="6"/>
  <c r="U203" i="6" s="1"/>
  <c r="AD203" i="6" s="1"/>
  <c r="T216" i="6"/>
  <c r="U216" i="6" s="1"/>
  <c r="AD216" i="6" s="1"/>
  <c r="T602" i="6"/>
  <c r="U602" i="6" s="1"/>
  <c r="AD602" i="6" s="1"/>
  <c r="T607" i="6"/>
  <c r="U607" i="6" s="1"/>
  <c r="AD607" i="6" s="1"/>
  <c r="T598" i="6"/>
  <c r="U598" i="6" s="1"/>
  <c r="AD598" i="6" s="1"/>
  <c r="T599" i="6"/>
  <c r="U599" i="6" s="1"/>
  <c r="AD599" i="6" s="1"/>
  <c r="T606" i="6"/>
  <c r="U606" i="6" s="1"/>
  <c r="AD606" i="6" s="1"/>
  <c r="T608" i="6"/>
  <c r="U608" i="6" s="1"/>
  <c r="AD608" i="6" s="1"/>
  <c r="T604" i="6"/>
  <c r="U604" i="6" s="1"/>
  <c r="AD604" i="6" s="1"/>
  <c r="T596" i="6"/>
  <c r="U596" i="6" s="1"/>
  <c r="AD596" i="6" s="1"/>
  <c r="T601" i="6"/>
  <c r="U601" i="6" s="1"/>
  <c r="AD601" i="6" s="1"/>
  <c r="T603" i="6"/>
  <c r="U603" i="6" s="1"/>
  <c r="AD603" i="6" s="1"/>
  <c r="T595" i="6"/>
  <c r="U595" i="6" s="1"/>
  <c r="AD595" i="6" s="1"/>
  <c r="T600" i="6"/>
  <c r="U600" i="6" s="1"/>
  <c r="AD600" i="6" s="1"/>
  <c r="T597" i="6"/>
  <c r="U597" i="6" s="1"/>
  <c r="AD597" i="6" s="1"/>
  <c r="T605" i="6"/>
  <c r="U605" i="6" s="1"/>
  <c r="AD605" i="6" s="1"/>
  <c r="T143" i="6"/>
  <c r="U143" i="6" s="1"/>
  <c r="AD143" i="6" s="1"/>
  <c r="T148" i="6"/>
  <c r="U148" i="6" s="1"/>
  <c r="AD148" i="6" s="1"/>
  <c r="T150" i="6"/>
  <c r="U150" i="6" s="1"/>
  <c r="AD150" i="6" s="1"/>
  <c r="T146" i="6"/>
  <c r="U146" i="6" s="1"/>
  <c r="AD146" i="6" s="1"/>
  <c r="T142" i="6"/>
  <c r="U142" i="6" s="1"/>
  <c r="AD142" i="6" s="1"/>
  <c r="T133" i="6"/>
  <c r="U133" i="6" s="1"/>
  <c r="AD133" i="6" s="1"/>
  <c r="T132" i="6"/>
  <c r="U132" i="6" s="1"/>
  <c r="AD132" i="6" s="1"/>
  <c r="T153" i="6"/>
  <c r="U153" i="6" s="1"/>
  <c r="AD153" i="6" s="1"/>
  <c r="T152" i="6"/>
  <c r="U152" i="6" s="1"/>
  <c r="AD152" i="6" s="1"/>
  <c r="T137" i="6"/>
  <c r="U137" i="6" s="1"/>
  <c r="AD137" i="6" s="1"/>
  <c r="T151" i="6"/>
  <c r="U151" i="6" s="1"/>
  <c r="AD151" i="6" s="1"/>
  <c r="T144" i="6"/>
  <c r="U144" i="6" s="1"/>
  <c r="AD144" i="6" s="1"/>
  <c r="T140" i="6"/>
  <c r="U140" i="6" s="1"/>
  <c r="AD140" i="6" s="1"/>
  <c r="T138" i="6"/>
  <c r="U138" i="6" s="1"/>
  <c r="AD138" i="6" s="1"/>
  <c r="T141" i="6"/>
  <c r="U141" i="6" s="1"/>
  <c r="AD141" i="6" s="1"/>
  <c r="T139" i="6"/>
  <c r="U139" i="6" s="1"/>
  <c r="AD139" i="6" s="1"/>
  <c r="T145" i="6"/>
  <c r="U145" i="6" s="1"/>
  <c r="AD145" i="6" s="1"/>
  <c r="T131" i="6"/>
  <c r="U131" i="6" s="1"/>
  <c r="AD131" i="6" s="1"/>
  <c r="T134" i="6"/>
  <c r="U134" i="6" s="1"/>
  <c r="AD134" i="6" s="1"/>
  <c r="T136" i="6"/>
  <c r="U136" i="6" s="1"/>
  <c r="AD136" i="6" s="1"/>
  <c r="T147" i="6"/>
  <c r="U147" i="6" s="1"/>
  <c r="AD147" i="6" s="1"/>
  <c r="T149" i="6"/>
  <c r="U149" i="6" s="1"/>
  <c r="AD149" i="6" s="1"/>
  <c r="T135" i="6"/>
  <c r="U135" i="6" s="1"/>
  <c r="AD135" i="6" s="1"/>
  <c r="T263" i="6"/>
  <c r="U263" i="6" s="1"/>
  <c r="AD263" i="6" s="1"/>
  <c r="T281" i="6"/>
  <c r="U281" i="6" s="1"/>
  <c r="AD281" i="6" s="1"/>
  <c r="T278" i="6"/>
  <c r="U278" i="6" s="1"/>
  <c r="AD278" i="6" s="1"/>
  <c r="T270" i="6"/>
  <c r="U270" i="6" s="1"/>
  <c r="AD270" i="6" s="1"/>
  <c r="T271" i="6"/>
  <c r="U271" i="6" s="1"/>
  <c r="AD271" i="6" s="1"/>
  <c r="T283" i="6"/>
  <c r="U283" i="6" s="1"/>
  <c r="AD283" i="6" s="1"/>
  <c r="T275" i="6"/>
  <c r="U275" i="6" s="1"/>
  <c r="AD275" i="6" s="1"/>
  <c r="T277" i="6"/>
  <c r="U277" i="6" s="1"/>
  <c r="AD277" i="6" s="1"/>
  <c r="T266" i="6"/>
  <c r="U266" i="6" s="1"/>
  <c r="AD266" i="6" s="1"/>
  <c r="T267" i="6"/>
  <c r="U267" i="6" s="1"/>
  <c r="AD267" i="6" s="1"/>
  <c r="T274" i="6"/>
  <c r="U274" i="6" s="1"/>
  <c r="AD274" i="6" s="1"/>
  <c r="T268" i="6"/>
  <c r="U268" i="6" s="1"/>
  <c r="AD268" i="6" s="1"/>
  <c r="T269" i="6"/>
  <c r="U269" i="6" s="1"/>
  <c r="AD269" i="6" s="1"/>
  <c r="T282" i="6"/>
  <c r="U282" i="6" s="1"/>
  <c r="AD282" i="6" s="1"/>
  <c r="T279" i="6"/>
  <c r="U279" i="6" s="1"/>
  <c r="AD279" i="6" s="1"/>
  <c r="T264" i="6"/>
  <c r="U264" i="6" s="1"/>
  <c r="AD264" i="6" s="1"/>
  <c r="T272" i="6"/>
  <c r="U272" i="6" s="1"/>
  <c r="AD272" i="6" s="1"/>
  <c r="T265" i="6"/>
  <c r="U265" i="6" s="1"/>
  <c r="AD265" i="6" s="1"/>
  <c r="T284" i="6"/>
  <c r="U284" i="6" s="1"/>
  <c r="AD284" i="6" s="1"/>
  <c r="T262" i="6"/>
  <c r="U262" i="6" s="1"/>
  <c r="AD262" i="6" s="1"/>
  <c r="T280" i="6"/>
  <c r="U280" i="6" s="1"/>
  <c r="AD280" i="6" s="1"/>
  <c r="T273" i="6"/>
  <c r="U273" i="6" s="1"/>
  <c r="AD273" i="6" s="1"/>
  <c r="T276" i="6"/>
  <c r="U276" i="6" s="1"/>
  <c r="AD276" i="6" s="1"/>
  <c r="T325" i="6"/>
  <c r="U325" i="6" s="1"/>
  <c r="AD325" i="6" s="1"/>
  <c r="T331" i="6"/>
  <c r="U331" i="6" s="1"/>
  <c r="AD331" i="6" s="1"/>
  <c r="T329" i="6"/>
  <c r="U329" i="6" s="1"/>
  <c r="AD329" i="6" s="1"/>
  <c r="T326" i="6"/>
  <c r="U326" i="6" s="1"/>
  <c r="AD326" i="6" s="1"/>
  <c r="T322" i="6"/>
  <c r="U322" i="6" s="1"/>
  <c r="AD322" i="6" s="1"/>
  <c r="T328" i="6"/>
  <c r="U328" i="6" s="1"/>
  <c r="AD328" i="6" s="1"/>
  <c r="T324" i="6"/>
  <c r="U324" i="6" s="1"/>
  <c r="AD324" i="6" s="1"/>
  <c r="T323" i="6"/>
  <c r="U323" i="6" s="1"/>
  <c r="AD323" i="6" s="1"/>
  <c r="T327" i="6"/>
  <c r="U327" i="6" s="1"/>
  <c r="AD327" i="6" s="1"/>
  <c r="T335" i="6"/>
  <c r="U335" i="6" s="1"/>
  <c r="AD335" i="6" s="1"/>
  <c r="T334" i="6"/>
  <c r="U334" i="6" s="1"/>
  <c r="AD334" i="6" s="1"/>
  <c r="T332" i="6"/>
  <c r="U332" i="6" s="1"/>
  <c r="AD332" i="6" s="1"/>
  <c r="T333" i="6"/>
  <c r="U333" i="6" s="1"/>
  <c r="AD333" i="6" s="1"/>
  <c r="T330" i="6"/>
  <c r="U330" i="6" s="1"/>
  <c r="AD330" i="6" s="1"/>
  <c r="T534" i="6"/>
  <c r="U534" i="6" s="1"/>
  <c r="AD534" i="6" s="1"/>
  <c r="T531" i="6"/>
  <c r="U531" i="6" s="1"/>
  <c r="AD531" i="6" s="1"/>
  <c r="T528" i="6"/>
  <c r="U528" i="6" s="1"/>
  <c r="AD528" i="6" s="1"/>
  <c r="T540" i="6"/>
  <c r="U540" i="6" s="1"/>
  <c r="AD540" i="6" s="1"/>
  <c r="T529" i="6"/>
  <c r="U529" i="6" s="1"/>
  <c r="AD529" i="6" s="1"/>
  <c r="T533" i="6"/>
  <c r="U533" i="6" s="1"/>
  <c r="AD533" i="6" s="1"/>
  <c r="T535" i="6"/>
  <c r="U535" i="6" s="1"/>
  <c r="AD535" i="6" s="1"/>
  <c r="T541" i="6"/>
  <c r="U541" i="6" s="1"/>
  <c r="AD541" i="6" s="1"/>
  <c r="T542" i="6"/>
  <c r="U542" i="6" s="1"/>
  <c r="AD542" i="6" s="1"/>
  <c r="T527" i="6"/>
  <c r="U527" i="6" s="1"/>
  <c r="AD527" i="6" s="1"/>
  <c r="T538" i="6"/>
  <c r="U538" i="6" s="1"/>
  <c r="AD538" i="6" s="1"/>
  <c r="T536" i="6"/>
  <c r="U536" i="6" s="1"/>
  <c r="AD536" i="6" s="1"/>
  <c r="T530" i="6"/>
  <c r="U530" i="6" s="1"/>
  <c r="AD530" i="6" s="1"/>
  <c r="T526" i="6"/>
  <c r="U526" i="6" s="1"/>
  <c r="AD526" i="6" s="1"/>
  <c r="T544" i="6"/>
  <c r="U544" i="6" s="1"/>
  <c r="AD544" i="6" s="1"/>
  <c r="T539" i="6"/>
  <c r="U539" i="6" s="1"/>
  <c r="AD539" i="6" s="1"/>
  <c r="T537" i="6"/>
  <c r="U537" i="6" s="1"/>
  <c r="AD537" i="6" s="1"/>
  <c r="T545" i="6"/>
  <c r="U545" i="6" s="1"/>
  <c r="AD545" i="6" s="1"/>
  <c r="T532" i="6"/>
  <c r="U532" i="6" s="1"/>
  <c r="AD532" i="6" s="1"/>
  <c r="T543" i="6"/>
  <c r="U543" i="6" s="1"/>
  <c r="AD543" i="6" s="1"/>
  <c r="T20" i="6"/>
  <c r="U20" i="6" s="1"/>
  <c r="AD20" i="6" s="1"/>
  <c r="T14" i="6"/>
  <c r="U14" i="6" s="1"/>
  <c r="AD14" i="6" s="1"/>
  <c r="T16" i="6"/>
  <c r="U16" i="6" s="1"/>
  <c r="AD16" i="6" s="1"/>
  <c r="T17" i="6"/>
  <c r="U17" i="6" s="1"/>
  <c r="AD17" i="6" s="1"/>
  <c r="T27" i="6"/>
  <c r="U27" i="6" s="1"/>
  <c r="AD27" i="6" s="1"/>
  <c r="T23" i="6"/>
  <c r="U23" i="6" s="1"/>
  <c r="AD23" i="6" s="1"/>
  <c r="T15" i="6"/>
  <c r="U15" i="6" s="1"/>
  <c r="AD15" i="6" s="1"/>
  <c r="T30" i="6"/>
  <c r="U30" i="6" s="1"/>
  <c r="AD30" i="6" s="1"/>
  <c r="T29" i="6"/>
  <c r="U29" i="6" s="1"/>
  <c r="AD29" i="6" s="1"/>
  <c r="T19" i="6"/>
  <c r="U19" i="6" s="1"/>
  <c r="AD19" i="6" s="1"/>
  <c r="T22" i="6"/>
  <c r="U22" i="6" s="1"/>
  <c r="AD22" i="6" s="1"/>
  <c r="T25" i="6"/>
  <c r="U25" i="6" s="1"/>
  <c r="AD25" i="6" s="1"/>
  <c r="T24" i="6"/>
  <c r="U24" i="6" s="1"/>
  <c r="AD24" i="6" s="1"/>
  <c r="T31" i="6"/>
  <c r="U31" i="6" s="1"/>
  <c r="AD31" i="6" s="1"/>
  <c r="T18" i="6"/>
  <c r="U18" i="6" s="1"/>
  <c r="AD18" i="6" s="1"/>
  <c r="T26" i="6"/>
  <c r="U26" i="6" s="1"/>
  <c r="AD26" i="6" s="1"/>
  <c r="T28" i="6"/>
  <c r="U28" i="6" s="1"/>
  <c r="AD28" i="6" s="1"/>
  <c r="T21" i="6"/>
  <c r="U21" i="6" s="1"/>
  <c r="AD21" i="6" s="1"/>
  <c r="T61" i="6"/>
  <c r="U61" i="6" s="1"/>
  <c r="AD61" i="6" s="1"/>
  <c r="T60" i="6"/>
  <c r="U60" i="6" s="1"/>
  <c r="AD60" i="6" s="1"/>
  <c r="T51" i="6"/>
  <c r="U51" i="6" s="1"/>
  <c r="AD51" i="6" s="1"/>
  <c r="T62" i="6"/>
  <c r="U62" i="6" s="1"/>
  <c r="AD62" i="6" s="1"/>
  <c r="T48" i="6"/>
  <c r="U48" i="6" s="1"/>
  <c r="AD48" i="6" s="1"/>
  <c r="T57" i="6"/>
  <c r="U57" i="6" s="1"/>
  <c r="AD57" i="6" s="1"/>
  <c r="T46" i="6"/>
  <c r="U46" i="6" s="1"/>
  <c r="AD46" i="6" s="1"/>
  <c r="T52" i="6"/>
  <c r="U52" i="6" s="1"/>
  <c r="AD52" i="6" s="1"/>
  <c r="T59" i="6"/>
  <c r="U59" i="6" s="1"/>
  <c r="AD59" i="6" s="1"/>
  <c r="T45" i="6"/>
  <c r="U45" i="6" s="1"/>
  <c r="AD45" i="6" s="1"/>
  <c r="T44" i="6"/>
  <c r="U44" i="6" s="1"/>
  <c r="AD44" i="6" s="1"/>
  <c r="T53" i="6"/>
  <c r="U53" i="6" s="1"/>
  <c r="AD53" i="6" s="1"/>
  <c r="T55" i="6"/>
  <c r="U55" i="6" s="1"/>
  <c r="AD55" i="6" s="1"/>
  <c r="T50" i="6"/>
  <c r="U50" i="6" s="1"/>
  <c r="AD50" i="6" s="1"/>
  <c r="T56" i="6"/>
  <c r="U56" i="6" s="1"/>
  <c r="AD56" i="6" s="1"/>
  <c r="T63" i="6"/>
  <c r="U63" i="6" s="1"/>
  <c r="AD63" i="6" s="1"/>
  <c r="T47" i="6"/>
  <c r="U47" i="6" s="1"/>
  <c r="AD47" i="6" s="1"/>
  <c r="T64" i="6"/>
  <c r="U64" i="6" s="1"/>
  <c r="AD64" i="6" s="1"/>
  <c r="T49" i="6"/>
  <c r="U49" i="6" s="1"/>
  <c r="AD49" i="6" s="1"/>
  <c r="T58" i="6"/>
  <c r="U58" i="6" s="1"/>
  <c r="AD58" i="6" s="1"/>
  <c r="T54" i="6"/>
  <c r="U54" i="6" s="1"/>
  <c r="AD54" i="6" s="1"/>
  <c r="T91" i="6"/>
  <c r="U91" i="6" s="1"/>
  <c r="AD91" i="6" s="1"/>
  <c r="T98" i="6"/>
  <c r="U98" i="6" s="1"/>
  <c r="AD98" i="6" s="1"/>
  <c r="T92" i="6"/>
  <c r="U92" i="6" s="1"/>
  <c r="AD92" i="6" s="1"/>
  <c r="T94" i="6"/>
  <c r="U94" i="6" s="1"/>
  <c r="AD94" i="6" s="1"/>
  <c r="T93" i="6"/>
  <c r="U93" i="6" s="1"/>
  <c r="AD93" i="6" s="1"/>
  <c r="T90" i="6"/>
  <c r="U90" i="6" s="1"/>
  <c r="AD90" i="6" s="1"/>
  <c r="T101" i="6"/>
  <c r="U101" i="6" s="1"/>
  <c r="AD101" i="6" s="1"/>
  <c r="T83" i="6"/>
  <c r="U83" i="6" s="1"/>
  <c r="AD83" i="6" s="1"/>
  <c r="T89" i="6"/>
  <c r="U89" i="6" s="1"/>
  <c r="AD89" i="6" s="1"/>
  <c r="T86" i="6"/>
  <c r="U86" i="6" s="1"/>
  <c r="AD86" i="6" s="1"/>
  <c r="T97" i="6"/>
  <c r="U97" i="6" s="1"/>
  <c r="AD97" i="6" s="1"/>
  <c r="T100" i="6"/>
  <c r="U100" i="6" s="1"/>
  <c r="AD100" i="6" s="1"/>
  <c r="T96" i="6"/>
  <c r="U96" i="6" s="1"/>
  <c r="AD96" i="6" s="1"/>
  <c r="T99" i="6"/>
  <c r="U99" i="6" s="1"/>
  <c r="AD99" i="6" s="1"/>
  <c r="T102" i="6"/>
  <c r="U102" i="6" s="1"/>
  <c r="AD102" i="6" s="1"/>
  <c r="T87" i="6"/>
  <c r="U87" i="6" s="1"/>
  <c r="AD87" i="6" s="1"/>
  <c r="T85" i="6"/>
  <c r="U85" i="6" s="1"/>
  <c r="AD85" i="6" s="1"/>
  <c r="T95" i="6"/>
  <c r="U95" i="6" s="1"/>
  <c r="AD95" i="6" s="1"/>
  <c r="T88" i="6"/>
  <c r="U88" i="6" s="1"/>
  <c r="AD88" i="6" s="1"/>
  <c r="T84" i="6"/>
  <c r="U84" i="6" s="1"/>
  <c r="AD84" i="6" s="1"/>
  <c r="T464" i="6"/>
  <c r="U464" i="6" s="1"/>
  <c r="AD464" i="6" s="1"/>
  <c r="T465" i="6"/>
  <c r="U465" i="6" s="1"/>
  <c r="AD465" i="6" s="1"/>
  <c r="T480" i="6"/>
  <c r="U480" i="6" s="1"/>
  <c r="AD480" i="6" s="1"/>
  <c r="T467" i="6"/>
  <c r="U467" i="6" s="1"/>
  <c r="AD467" i="6" s="1"/>
  <c r="T475" i="6"/>
  <c r="U475" i="6" s="1"/>
  <c r="AD475" i="6" s="1"/>
  <c r="T474" i="6"/>
  <c r="U474" i="6" s="1"/>
  <c r="AD474" i="6" s="1"/>
  <c r="T476" i="6"/>
  <c r="U476" i="6" s="1"/>
  <c r="AD476" i="6" s="1"/>
  <c r="T477" i="6"/>
  <c r="U477" i="6" s="1"/>
  <c r="AD477" i="6" s="1"/>
  <c r="T468" i="6"/>
  <c r="U468" i="6" s="1"/>
  <c r="AD468" i="6" s="1"/>
  <c r="T471" i="6"/>
  <c r="U471" i="6" s="1"/>
  <c r="AD471" i="6" s="1"/>
  <c r="T463" i="6"/>
  <c r="U463" i="6" s="1"/>
  <c r="AD463" i="6" s="1"/>
  <c r="T478" i="6"/>
  <c r="U478" i="6" s="1"/>
  <c r="AD478" i="6" s="1"/>
  <c r="T469" i="6"/>
  <c r="U469" i="6" s="1"/>
  <c r="AD469" i="6" s="1"/>
  <c r="T473" i="6"/>
  <c r="U473" i="6" s="1"/>
  <c r="AD473" i="6" s="1"/>
  <c r="T466" i="6"/>
  <c r="U466" i="6" s="1"/>
  <c r="AD466" i="6" s="1"/>
  <c r="T470" i="6"/>
  <c r="U470" i="6" s="1"/>
  <c r="AD470" i="6" s="1"/>
  <c r="T479" i="6"/>
  <c r="U479" i="6" s="1"/>
  <c r="AD479" i="6" s="1"/>
  <c r="T472" i="6"/>
  <c r="U472" i="6" s="1"/>
  <c r="AD472" i="6" s="1"/>
  <c r="T483" i="6"/>
  <c r="U483" i="6" s="1"/>
  <c r="AD483" i="6" s="1"/>
  <c r="T481" i="6"/>
  <c r="U481" i="6" s="1"/>
  <c r="AD481" i="6" s="1"/>
  <c r="T482" i="6"/>
  <c r="U482" i="6" s="1"/>
  <c r="AD482" i="6" s="1"/>
  <c r="T366" i="6"/>
  <c r="U366" i="6" s="1"/>
  <c r="AD366" i="6" s="1"/>
  <c r="T373" i="6"/>
  <c r="U373" i="6" s="1"/>
  <c r="AD373" i="6" s="1"/>
  <c r="T369" i="6"/>
  <c r="U369" i="6" s="1"/>
  <c r="AD369" i="6" s="1"/>
  <c r="T363" i="6"/>
  <c r="U363" i="6" s="1"/>
  <c r="AD363" i="6" s="1"/>
  <c r="T370" i="6"/>
  <c r="U370" i="6" s="1"/>
  <c r="AD370" i="6" s="1"/>
  <c r="T361" i="6"/>
  <c r="U361" i="6" s="1"/>
  <c r="AD361" i="6" s="1"/>
  <c r="T368" i="6"/>
  <c r="U368" i="6" s="1"/>
  <c r="AD368" i="6" s="1"/>
  <c r="T359" i="6"/>
  <c r="U359" i="6" s="1"/>
  <c r="AD359" i="6" s="1"/>
  <c r="T367" i="6"/>
  <c r="U367" i="6" s="1"/>
  <c r="AD367" i="6" s="1"/>
  <c r="T371" i="6"/>
  <c r="U371" i="6" s="1"/>
  <c r="AD371" i="6" s="1"/>
  <c r="T362" i="6"/>
  <c r="U362" i="6" s="1"/>
  <c r="AD362" i="6" s="1"/>
  <c r="T360" i="6"/>
  <c r="U360" i="6" s="1"/>
  <c r="AD360" i="6" s="1"/>
  <c r="T365" i="6"/>
  <c r="U365" i="6" s="1"/>
  <c r="AD365" i="6" s="1"/>
  <c r="T374" i="6"/>
  <c r="U374" i="6" s="1"/>
  <c r="AD374" i="6" s="1"/>
  <c r="T372" i="6"/>
  <c r="U372" i="6" s="1"/>
  <c r="AD372" i="6" s="1"/>
  <c r="T364" i="6"/>
  <c r="U364" i="6" s="1"/>
  <c r="AD364" i="6" s="1"/>
  <c r="T423" i="6"/>
  <c r="U423" i="6" s="1"/>
  <c r="AD423" i="6" s="1"/>
  <c r="T415" i="6"/>
  <c r="U415" i="6" s="1"/>
  <c r="AD415" i="6" s="1"/>
  <c r="T426" i="6"/>
  <c r="U426" i="6" s="1"/>
  <c r="AD426" i="6" s="1"/>
  <c r="T422" i="6"/>
  <c r="U422" i="6" s="1"/>
  <c r="AD422" i="6" s="1"/>
  <c r="T413" i="6"/>
  <c r="U413" i="6" s="1"/>
  <c r="AD413" i="6" s="1"/>
  <c r="T427" i="6"/>
  <c r="U427" i="6" s="1"/>
  <c r="AD427" i="6" s="1"/>
  <c r="T417" i="6"/>
  <c r="U417" i="6" s="1"/>
  <c r="AD417" i="6" s="1"/>
  <c r="T425" i="6"/>
  <c r="U425" i="6" s="1"/>
  <c r="AD425" i="6" s="1"/>
  <c r="T419" i="6"/>
  <c r="U419" i="6" s="1"/>
  <c r="AD419" i="6" s="1"/>
  <c r="T424" i="6"/>
  <c r="U424" i="6" s="1"/>
  <c r="AD424" i="6" s="1"/>
  <c r="T416" i="6"/>
  <c r="U416" i="6" s="1"/>
  <c r="AD416" i="6" s="1"/>
  <c r="T421" i="6"/>
  <c r="U421" i="6" s="1"/>
  <c r="AD421" i="6" s="1"/>
  <c r="T414" i="6"/>
  <c r="U414" i="6" s="1"/>
  <c r="AD414" i="6" s="1"/>
  <c r="T418" i="6"/>
  <c r="U418" i="6" s="1"/>
  <c r="AD418" i="6" s="1"/>
  <c r="T420" i="6"/>
  <c r="U420" i="6" s="1"/>
  <c r="AD420" i="6" s="1"/>
  <c r="T412" i="6"/>
  <c r="U412" i="6" s="1"/>
  <c r="AD412" i="6" s="1"/>
  <c r="T186" i="6"/>
  <c r="U186" i="6" s="1"/>
  <c r="AD186" i="6" s="1"/>
  <c r="T188" i="6"/>
  <c r="U188" i="6" s="1"/>
  <c r="AD188" i="6" s="1"/>
  <c r="T187" i="6"/>
  <c r="U187" i="6" s="1"/>
  <c r="AD187" i="6" s="1"/>
  <c r="T191" i="6"/>
  <c r="U191" i="6" s="1"/>
  <c r="AD191" i="6" s="1"/>
  <c r="T192" i="6"/>
  <c r="U192" i="6" s="1"/>
  <c r="AD192" i="6" s="1"/>
  <c r="T194" i="6"/>
  <c r="U194" i="6" s="1"/>
  <c r="AD194" i="6" s="1"/>
  <c r="T182" i="6"/>
  <c r="U182" i="6" s="1"/>
  <c r="AD182" i="6" s="1"/>
  <c r="T183" i="6"/>
  <c r="U183" i="6" s="1"/>
  <c r="AD183" i="6" s="1"/>
  <c r="T199" i="6"/>
  <c r="U199" i="6" s="1"/>
  <c r="AD199" i="6" s="1"/>
  <c r="T198" i="6"/>
  <c r="U198" i="6" s="1"/>
  <c r="AD198" i="6" s="1"/>
  <c r="T190" i="6"/>
  <c r="U190" i="6" s="1"/>
  <c r="AD190" i="6" s="1"/>
  <c r="T189" i="6"/>
  <c r="U189" i="6" s="1"/>
  <c r="AD189" i="6" s="1"/>
  <c r="T180" i="6"/>
  <c r="U180" i="6" s="1"/>
  <c r="AD180" i="6" s="1"/>
  <c r="T195" i="6"/>
  <c r="U195" i="6" s="1"/>
  <c r="AD195" i="6" s="1"/>
  <c r="T193" i="6"/>
  <c r="U193" i="6" s="1"/>
  <c r="AD193" i="6" s="1"/>
  <c r="T197" i="6"/>
  <c r="U197" i="6" s="1"/>
  <c r="AD197" i="6" s="1"/>
  <c r="T184" i="6"/>
  <c r="U184" i="6" s="1"/>
  <c r="AD184" i="6" s="1"/>
  <c r="T185" i="6"/>
  <c r="U185" i="6" s="1"/>
  <c r="AD185" i="6" s="1"/>
  <c r="T181" i="6"/>
  <c r="U181" i="6" s="1"/>
  <c r="AD181" i="6" s="1"/>
  <c r="T196" i="6"/>
  <c r="U196" i="6" s="1"/>
  <c r="AD196" i="6" s="1"/>
  <c r="T576" i="6"/>
  <c r="U576" i="6" s="1"/>
  <c r="AD576" i="6" s="1"/>
  <c r="T577" i="6"/>
  <c r="U577" i="6" s="1"/>
  <c r="AD577" i="6" s="1"/>
  <c r="T570" i="6"/>
  <c r="U570" i="6" s="1"/>
  <c r="AD570" i="6" s="1"/>
  <c r="T584" i="6"/>
  <c r="U584" i="6" s="1"/>
  <c r="AD584" i="6" s="1"/>
  <c r="T592" i="6"/>
  <c r="U592" i="6" s="1"/>
  <c r="AD592" i="6" s="1"/>
  <c r="T575" i="6"/>
  <c r="U575" i="6" s="1"/>
  <c r="AD575" i="6" s="1"/>
  <c r="T582" i="6"/>
  <c r="U582" i="6" s="1"/>
  <c r="AD582" i="6" s="1"/>
  <c r="T574" i="6"/>
  <c r="U574" i="6" s="1"/>
  <c r="AD574" i="6" s="1"/>
  <c r="T585" i="6"/>
  <c r="U585" i="6" s="1"/>
  <c r="AD585" i="6" s="1"/>
  <c r="T590" i="6"/>
  <c r="U590" i="6" s="1"/>
  <c r="AD590" i="6" s="1"/>
  <c r="T578" i="6"/>
  <c r="U578" i="6" s="1"/>
  <c r="AD578" i="6" s="1"/>
  <c r="T594" i="6"/>
  <c r="U594" i="6" s="1"/>
  <c r="AD594" i="6" s="1"/>
  <c r="T581" i="6"/>
  <c r="U581" i="6" s="1"/>
  <c r="AD581" i="6" s="1"/>
  <c r="T593" i="6"/>
  <c r="U593" i="6" s="1"/>
  <c r="AD593" i="6" s="1"/>
  <c r="T586" i="6"/>
  <c r="U586" i="6" s="1"/>
  <c r="AD586" i="6" s="1"/>
  <c r="T579" i="6"/>
  <c r="U579" i="6" s="1"/>
  <c r="AD579" i="6" s="1"/>
  <c r="T573" i="6"/>
  <c r="U573" i="6" s="1"/>
  <c r="AD573" i="6" s="1"/>
  <c r="T571" i="6"/>
  <c r="U571" i="6" s="1"/>
  <c r="AD571" i="6" s="1"/>
  <c r="T572" i="6"/>
  <c r="U572" i="6" s="1"/>
  <c r="AD572" i="6" s="1"/>
  <c r="T583" i="6"/>
  <c r="U583" i="6" s="1"/>
  <c r="AD583" i="6" s="1"/>
  <c r="T587" i="6"/>
  <c r="U587" i="6" s="1"/>
  <c r="AD587" i="6" s="1"/>
  <c r="T591" i="6"/>
  <c r="U591" i="6" s="1"/>
  <c r="AD591" i="6" s="1"/>
  <c r="T588" i="6"/>
  <c r="U588" i="6" s="1"/>
  <c r="AD588" i="6" s="1"/>
  <c r="T580" i="6"/>
  <c r="U580" i="6" s="1"/>
  <c r="AD580" i="6" s="1"/>
  <c r="T589" i="6"/>
  <c r="U589" i="6" s="1"/>
  <c r="AD589" i="6" s="1"/>
  <c r="T123" i="6"/>
  <c r="U123" i="6" s="1"/>
  <c r="AD123" i="6" s="1"/>
  <c r="T125" i="6"/>
  <c r="U125" i="6" s="1"/>
  <c r="AD125" i="6" s="1"/>
  <c r="T122" i="6"/>
  <c r="U122" i="6" s="1"/>
  <c r="AD122" i="6" s="1"/>
  <c r="T116" i="6"/>
  <c r="U116" i="6" s="1"/>
  <c r="AD116" i="6" s="1"/>
  <c r="T114" i="6"/>
  <c r="U114" i="6" s="1"/>
  <c r="AD114" i="6" s="1"/>
  <c r="T124" i="6"/>
  <c r="U124" i="6" s="1"/>
  <c r="AD124" i="6" s="1"/>
  <c r="T130" i="6"/>
  <c r="U130" i="6" s="1"/>
  <c r="AD130" i="6" s="1"/>
  <c r="T121" i="6"/>
  <c r="U121" i="6" s="1"/>
  <c r="AD121" i="6" s="1"/>
  <c r="T129" i="6"/>
  <c r="U129" i="6" s="1"/>
  <c r="AD129" i="6" s="1"/>
  <c r="T113" i="6"/>
  <c r="U113" i="6" s="1"/>
  <c r="AD113" i="6" s="1"/>
  <c r="T119" i="6"/>
  <c r="U119" i="6" s="1"/>
  <c r="AD119" i="6" s="1"/>
  <c r="T115" i="6"/>
  <c r="U115" i="6" s="1"/>
  <c r="AD115" i="6" s="1"/>
  <c r="T118" i="6"/>
  <c r="U118" i="6" s="1"/>
  <c r="AD118" i="6" s="1"/>
  <c r="T127" i="6"/>
  <c r="U127" i="6" s="1"/>
  <c r="AD127" i="6" s="1"/>
  <c r="T126" i="6"/>
  <c r="U126" i="6" s="1"/>
  <c r="AD126" i="6" s="1"/>
  <c r="T128" i="6"/>
  <c r="U128" i="6" s="1"/>
  <c r="AD128" i="6" s="1"/>
  <c r="T117" i="6"/>
  <c r="U117" i="6" s="1"/>
  <c r="AD117" i="6" s="1"/>
  <c r="T120" i="6"/>
  <c r="U120" i="6" s="1"/>
  <c r="AD120" i="6" s="1"/>
  <c r="T246" i="6"/>
  <c r="U246" i="6" s="1"/>
  <c r="AD246" i="6" s="1"/>
  <c r="T260" i="6"/>
  <c r="U260" i="6" s="1"/>
  <c r="AD260" i="6" s="1"/>
  <c r="T256" i="6"/>
  <c r="U256" i="6" s="1"/>
  <c r="AD256" i="6" s="1"/>
  <c r="T239" i="6"/>
  <c r="U239" i="6" s="1"/>
  <c r="AD239" i="6" s="1"/>
  <c r="T247" i="6"/>
  <c r="U247" i="6" s="1"/>
  <c r="AD247" i="6" s="1"/>
  <c r="T245" i="6"/>
  <c r="U245" i="6" s="1"/>
  <c r="AD245" i="6" s="1"/>
  <c r="T249" i="6"/>
  <c r="U249" i="6" s="1"/>
  <c r="AD249" i="6" s="1"/>
  <c r="T238" i="6"/>
  <c r="U238" i="6" s="1"/>
  <c r="AD238" i="6" s="1"/>
  <c r="T251" i="6"/>
  <c r="U251" i="6" s="1"/>
  <c r="AD251" i="6" s="1"/>
  <c r="T252" i="6"/>
  <c r="U252" i="6" s="1"/>
  <c r="AD252" i="6" s="1"/>
  <c r="T244" i="6"/>
  <c r="U244" i="6" s="1"/>
  <c r="AD244" i="6" s="1"/>
  <c r="T258" i="6"/>
  <c r="U258" i="6" s="1"/>
  <c r="AD258" i="6" s="1"/>
  <c r="T254" i="6"/>
  <c r="U254" i="6" s="1"/>
  <c r="AD254" i="6" s="1"/>
  <c r="T261" i="6"/>
  <c r="U261" i="6" s="1"/>
  <c r="AD261" i="6" s="1"/>
  <c r="T240" i="6"/>
  <c r="U240" i="6" s="1"/>
  <c r="AD240" i="6" s="1"/>
  <c r="T250" i="6"/>
  <c r="U250" i="6" s="1"/>
  <c r="AD250" i="6" s="1"/>
  <c r="T241" i="6"/>
  <c r="U241" i="6" s="1"/>
  <c r="AD241" i="6" s="1"/>
  <c r="T259" i="6"/>
  <c r="U259" i="6" s="1"/>
  <c r="AD259" i="6" s="1"/>
  <c r="T248" i="6"/>
  <c r="U248" i="6" s="1"/>
  <c r="AD248" i="6" s="1"/>
  <c r="T253" i="6"/>
  <c r="U253" i="6" s="1"/>
  <c r="AD253" i="6" s="1"/>
  <c r="T242" i="6"/>
  <c r="U242" i="6" s="1"/>
  <c r="AD242" i="6" s="1"/>
  <c r="T255" i="6"/>
  <c r="U255" i="6" s="1"/>
  <c r="AD255" i="6" s="1"/>
  <c r="T243" i="6"/>
  <c r="U243" i="6" s="1"/>
  <c r="AD243" i="6" s="1"/>
  <c r="T257" i="6"/>
  <c r="U257" i="6" s="1"/>
  <c r="AD257" i="6" s="1"/>
  <c r="T320" i="6"/>
  <c r="U320" i="6" s="1"/>
  <c r="AD320" i="6" s="1"/>
  <c r="T314" i="6"/>
  <c r="U314" i="6" s="1"/>
  <c r="AD314" i="6" s="1"/>
  <c r="T306" i="6"/>
  <c r="U306" i="6" s="1"/>
  <c r="AD306" i="6" s="1"/>
  <c r="T313" i="6"/>
  <c r="U313" i="6" s="1"/>
  <c r="AD313" i="6" s="1"/>
  <c r="T309" i="6"/>
  <c r="U309" i="6" s="1"/>
  <c r="AD309" i="6" s="1"/>
  <c r="T307" i="6"/>
  <c r="U307" i="6" s="1"/>
  <c r="AD307" i="6" s="1"/>
  <c r="T321" i="6"/>
  <c r="U321" i="6" s="1"/>
  <c r="AD321" i="6" s="1"/>
  <c r="T319" i="6"/>
  <c r="U319" i="6" s="1"/>
  <c r="AD319" i="6" s="1"/>
  <c r="T312" i="6"/>
  <c r="U312" i="6" s="1"/>
  <c r="AD312" i="6" s="1"/>
  <c r="T317" i="6"/>
  <c r="U317" i="6" s="1"/>
  <c r="AD317" i="6" s="1"/>
  <c r="T316" i="6"/>
  <c r="U316" i="6" s="1"/>
  <c r="AD316" i="6" s="1"/>
  <c r="T308" i="6"/>
  <c r="U308" i="6" s="1"/>
  <c r="AD308" i="6" s="1"/>
  <c r="T311" i="6"/>
  <c r="U311" i="6" s="1"/>
  <c r="AD311" i="6" s="1"/>
  <c r="T315" i="6"/>
  <c r="U315" i="6" s="1"/>
  <c r="AD315" i="6" s="1"/>
  <c r="T318" i="6"/>
  <c r="U318" i="6" s="1"/>
  <c r="AD318" i="6" s="1"/>
  <c r="T310" i="6"/>
  <c r="U310" i="6" s="1"/>
  <c r="AD310" i="6" s="1"/>
  <c r="T505" i="6"/>
  <c r="U505" i="6" s="1"/>
  <c r="AD505" i="6" s="1"/>
  <c r="T523" i="6"/>
  <c r="U523" i="6" s="1"/>
  <c r="AD523" i="6" s="1"/>
  <c r="T520" i="6"/>
  <c r="U520" i="6" s="1"/>
  <c r="AD520" i="6" s="1"/>
  <c r="T511" i="6"/>
  <c r="U511" i="6" s="1"/>
  <c r="AD511" i="6" s="1"/>
  <c r="T506" i="6"/>
  <c r="U506" i="6" s="1"/>
  <c r="AD506" i="6" s="1"/>
  <c r="T513" i="6"/>
  <c r="U513" i="6" s="1"/>
  <c r="AD513" i="6" s="1"/>
  <c r="T507" i="6"/>
  <c r="U507" i="6" s="1"/>
  <c r="AD507" i="6" s="1"/>
  <c r="T514" i="6"/>
  <c r="U514" i="6" s="1"/>
  <c r="AD514" i="6" s="1"/>
  <c r="T510" i="6"/>
  <c r="U510" i="6" s="1"/>
  <c r="AD510" i="6" s="1"/>
  <c r="T518" i="6"/>
  <c r="U518" i="6" s="1"/>
  <c r="AD518" i="6" s="1"/>
  <c r="T509" i="6"/>
  <c r="U509" i="6" s="1"/>
  <c r="AD509" i="6" s="1"/>
  <c r="T517" i="6"/>
  <c r="U517" i="6" s="1"/>
  <c r="AD517" i="6" s="1"/>
  <c r="T522" i="6"/>
  <c r="U522" i="6" s="1"/>
  <c r="AD522" i="6" s="1"/>
  <c r="T519" i="6"/>
  <c r="U519" i="6" s="1"/>
  <c r="AD519" i="6" s="1"/>
  <c r="T508" i="6"/>
  <c r="U508" i="6" s="1"/>
  <c r="AD508" i="6" s="1"/>
  <c r="T525" i="6"/>
  <c r="U525" i="6" s="1"/>
  <c r="AD525" i="6" s="1"/>
  <c r="T516" i="6"/>
  <c r="U516" i="6" s="1"/>
  <c r="AD516" i="6" s="1"/>
  <c r="T521" i="6"/>
  <c r="U521" i="6" s="1"/>
  <c r="AD521" i="6" s="1"/>
  <c r="T515" i="6"/>
  <c r="U515" i="6" s="1"/>
  <c r="AD515" i="6" s="1"/>
  <c r="T524" i="6"/>
  <c r="U524" i="6" s="1"/>
  <c r="AD524" i="6" s="1"/>
  <c r="T512" i="6"/>
  <c r="U512" i="6" s="1"/>
  <c r="AD512" i="6" s="1"/>
  <c r="T3" i="6"/>
  <c r="U3" i="6" s="1"/>
  <c r="AD3" i="6" s="1"/>
  <c r="T6" i="6"/>
  <c r="U6" i="6" s="1"/>
  <c r="AD6" i="6" s="1"/>
  <c r="T12" i="6"/>
  <c r="U12" i="6" s="1"/>
  <c r="AD12" i="6" s="1"/>
  <c r="T9" i="6"/>
  <c r="U9" i="6" s="1"/>
  <c r="AD9" i="6" s="1"/>
  <c r="T7" i="6"/>
  <c r="U7" i="6" s="1"/>
  <c r="AD7" i="6" s="1"/>
  <c r="T11" i="6"/>
  <c r="U11" i="6" s="1"/>
  <c r="AD11" i="6" s="1"/>
  <c r="T4" i="6"/>
  <c r="U4" i="6" s="1"/>
  <c r="AD4" i="6" s="1"/>
  <c r="T10" i="6"/>
  <c r="U10" i="6" s="1"/>
  <c r="AD10" i="6" s="1"/>
  <c r="T13" i="6"/>
  <c r="U13" i="6" s="1"/>
  <c r="AD13" i="6" s="1"/>
  <c r="T5" i="6"/>
  <c r="U5" i="6" s="1"/>
  <c r="AD5" i="6" s="1"/>
  <c r="U2" i="6"/>
  <c r="AD2" i="6" s="1"/>
  <c r="T8" i="6"/>
  <c r="U8" i="6" s="1"/>
  <c r="AD8" i="6" s="1"/>
  <c r="T402" i="6"/>
  <c r="U402" i="6" s="1"/>
  <c r="AD402" i="6" s="1"/>
  <c r="S404" i="6"/>
  <c r="S405" i="6"/>
  <c r="S408" i="6"/>
  <c r="S406" i="6"/>
  <c r="S398" i="6"/>
  <c r="S411" i="6"/>
  <c r="S410" i="6"/>
  <c r="S407" i="6"/>
  <c r="S401" i="6"/>
  <c r="S403" i="6"/>
  <c r="S399" i="6"/>
  <c r="S409" i="6"/>
  <c r="S454" i="6"/>
  <c r="S459" i="6"/>
  <c r="S461" i="6"/>
  <c r="S452" i="6"/>
  <c r="S451" i="6"/>
  <c r="S458" i="6"/>
  <c r="S450" i="6"/>
  <c r="S449" i="6"/>
  <c r="S456" i="6"/>
  <c r="S448" i="6"/>
  <c r="S455" i="6"/>
  <c r="S447" i="6"/>
  <c r="S460" i="6"/>
  <c r="S446" i="6"/>
  <c r="S457" i="6"/>
  <c r="S453" i="6"/>
  <c r="S462" i="6"/>
  <c r="S237" i="6"/>
  <c r="S235" i="6"/>
  <c r="S228" i="6"/>
  <c r="S236" i="6"/>
  <c r="S229" i="6"/>
  <c r="S234" i="6"/>
  <c r="S225" i="6"/>
  <c r="S233" i="6"/>
  <c r="S230" i="6"/>
  <c r="S232" i="6"/>
  <c r="S231" i="6"/>
  <c r="S224" i="6"/>
  <c r="S223" i="6"/>
  <c r="S226" i="6"/>
  <c r="S227" i="6"/>
  <c r="S615" i="6"/>
  <c r="S614" i="6"/>
  <c r="S626" i="6"/>
  <c r="S631" i="6"/>
  <c r="S620" i="6"/>
  <c r="S629" i="6"/>
  <c r="S627" i="6"/>
  <c r="S609" i="6"/>
  <c r="S612" i="6"/>
  <c r="S632" i="6"/>
  <c r="S613" i="6"/>
  <c r="S616" i="6"/>
  <c r="S625" i="6"/>
  <c r="S611" i="6"/>
  <c r="S617" i="6"/>
  <c r="S623" i="6"/>
  <c r="S630" i="6"/>
  <c r="S621" i="6"/>
  <c r="S619" i="6"/>
  <c r="S622" i="6"/>
  <c r="S628" i="6"/>
  <c r="S624" i="6"/>
  <c r="S618" i="6"/>
  <c r="S610" i="6"/>
  <c r="S159" i="6"/>
  <c r="S167" i="6"/>
  <c r="S162" i="6"/>
  <c r="S173" i="6"/>
  <c r="S157" i="6"/>
  <c r="S160" i="6"/>
  <c r="S158" i="6"/>
  <c r="S161" i="6"/>
  <c r="S166" i="6"/>
  <c r="S174" i="6"/>
  <c r="S176" i="6"/>
  <c r="S179" i="6"/>
  <c r="S163" i="6"/>
  <c r="S154" i="6"/>
  <c r="S177" i="6"/>
  <c r="S165" i="6"/>
  <c r="S172" i="6"/>
  <c r="S156" i="6"/>
  <c r="S169" i="6"/>
  <c r="S171" i="6"/>
  <c r="S164" i="6"/>
  <c r="S168" i="6"/>
  <c r="S155" i="6"/>
  <c r="S170" i="6"/>
  <c r="S175" i="6"/>
  <c r="S178" i="6"/>
  <c r="S297" i="6"/>
  <c r="S296" i="6"/>
  <c r="S303" i="6"/>
  <c r="S293" i="6"/>
  <c r="S290" i="6"/>
  <c r="S301" i="6"/>
  <c r="S287" i="6"/>
  <c r="S291" i="6"/>
  <c r="S298" i="6"/>
  <c r="S304" i="6"/>
  <c r="S286" i="6"/>
  <c r="S305" i="6"/>
  <c r="S299" i="6"/>
  <c r="S288" i="6"/>
  <c r="S295" i="6"/>
  <c r="S289" i="6"/>
  <c r="S302" i="6"/>
  <c r="S300" i="6"/>
  <c r="S292" i="6"/>
  <c r="S294" i="6"/>
  <c r="S285" i="6"/>
  <c r="S350" i="6"/>
  <c r="S339" i="6"/>
  <c r="S342" i="6"/>
  <c r="S336" i="6"/>
  <c r="S343" i="6"/>
  <c r="S341" i="6"/>
  <c r="S345" i="6"/>
  <c r="S358" i="6"/>
  <c r="S337" i="6"/>
  <c r="S351" i="6"/>
  <c r="S346" i="6"/>
  <c r="S344" i="6"/>
  <c r="S355" i="6"/>
  <c r="S340" i="6"/>
  <c r="S352" i="6"/>
  <c r="S354" i="6"/>
  <c r="S353" i="6"/>
  <c r="S347" i="6"/>
  <c r="S349" i="6"/>
  <c r="S338" i="6"/>
  <c r="S348" i="6"/>
  <c r="S356" i="6"/>
  <c r="S357" i="6"/>
  <c r="S550" i="6"/>
  <c r="S549" i="6"/>
  <c r="S553" i="6"/>
  <c r="S565" i="6"/>
  <c r="S558" i="6"/>
  <c r="S556" i="6"/>
  <c r="S564" i="6"/>
  <c r="S555" i="6"/>
  <c r="S557" i="6"/>
  <c r="S547" i="6"/>
  <c r="S559" i="6"/>
  <c r="S560" i="6"/>
  <c r="S561" i="6"/>
  <c r="S554" i="6"/>
  <c r="S548" i="6"/>
  <c r="S552" i="6"/>
  <c r="S569" i="6"/>
  <c r="S567" i="6"/>
  <c r="S551" i="6"/>
  <c r="S563" i="6"/>
  <c r="S562" i="6"/>
  <c r="S568" i="6"/>
  <c r="S546" i="6"/>
  <c r="S566" i="6"/>
  <c r="S41" i="6"/>
  <c r="S33" i="6"/>
  <c r="S36" i="6"/>
  <c r="S35" i="6"/>
  <c r="S39" i="6"/>
  <c r="S34" i="6"/>
  <c r="S43" i="6"/>
  <c r="S40" i="6"/>
  <c r="S42" i="6"/>
  <c r="S32" i="6"/>
  <c r="S38" i="6"/>
  <c r="S37" i="6"/>
  <c r="S76" i="6"/>
  <c r="S74" i="6"/>
  <c r="S81" i="6"/>
  <c r="S75" i="6"/>
  <c r="S80" i="6"/>
  <c r="S70" i="6"/>
  <c r="S67" i="6"/>
  <c r="S77" i="6"/>
  <c r="S69" i="6"/>
  <c r="S71" i="6"/>
  <c r="S66" i="6"/>
  <c r="S79" i="6"/>
  <c r="S82" i="6"/>
  <c r="S72" i="6"/>
  <c r="S68" i="6"/>
  <c r="S65" i="6"/>
  <c r="S78" i="6"/>
  <c r="S73" i="6"/>
  <c r="S106" i="6"/>
  <c r="S109" i="6"/>
  <c r="S108" i="6"/>
  <c r="S110" i="6"/>
  <c r="S111" i="6"/>
  <c r="S112" i="6"/>
  <c r="S103" i="6"/>
  <c r="S107" i="6"/>
  <c r="S104" i="6"/>
  <c r="S105" i="6"/>
  <c r="S504" i="6"/>
  <c r="S491" i="6"/>
  <c r="S492" i="6"/>
  <c r="S484" i="6"/>
  <c r="S487" i="6"/>
  <c r="S488" i="6"/>
  <c r="S502" i="6"/>
  <c r="S498" i="6"/>
  <c r="S500" i="6"/>
  <c r="S489" i="6"/>
  <c r="S503" i="6"/>
  <c r="S494" i="6"/>
  <c r="S499" i="6"/>
  <c r="S490" i="6"/>
  <c r="S495" i="6"/>
  <c r="S496" i="6"/>
  <c r="S485" i="6"/>
  <c r="S486" i="6"/>
  <c r="S501" i="6"/>
  <c r="S497" i="6"/>
  <c r="S493" i="6"/>
  <c r="S388" i="6"/>
  <c r="S397" i="6"/>
  <c r="S382" i="6"/>
  <c r="S377" i="6"/>
  <c r="S378" i="6"/>
  <c r="S384" i="6"/>
  <c r="S390" i="6"/>
  <c r="S395" i="6"/>
  <c r="S379" i="6"/>
  <c r="S380" i="6"/>
  <c r="S396" i="6"/>
  <c r="S392" i="6"/>
  <c r="S376" i="6"/>
  <c r="S383" i="6"/>
  <c r="S389" i="6"/>
  <c r="S391" i="6"/>
  <c r="S386" i="6"/>
  <c r="S387" i="6"/>
  <c r="S394" i="6"/>
  <c r="S385" i="6"/>
  <c r="S381" i="6"/>
  <c r="S393" i="6"/>
  <c r="S375" i="6"/>
  <c r="S439" i="6"/>
  <c r="S436" i="6"/>
  <c r="S434" i="6"/>
  <c r="S428" i="6"/>
  <c r="S438" i="6"/>
  <c r="S437" i="6"/>
  <c r="S433" i="6"/>
  <c r="S430" i="6"/>
  <c r="S442" i="6"/>
  <c r="S440" i="6"/>
  <c r="S435" i="6"/>
  <c r="S441" i="6"/>
  <c r="S429" i="6"/>
  <c r="S445" i="6"/>
  <c r="S444" i="6"/>
  <c r="S432" i="6"/>
  <c r="S443" i="6"/>
  <c r="S431" i="6"/>
  <c r="S201" i="6"/>
  <c r="S205" i="6"/>
  <c r="S204" i="6"/>
  <c r="S214" i="6"/>
  <c r="S212" i="6"/>
  <c r="S202" i="6"/>
  <c r="S211" i="6"/>
  <c r="S210" i="6"/>
  <c r="S218" i="6"/>
  <c r="S213" i="6"/>
  <c r="S220" i="6"/>
  <c r="S221" i="6"/>
  <c r="S207" i="6"/>
  <c r="S217" i="6"/>
  <c r="S219" i="6"/>
  <c r="S209" i="6"/>
  <c r="S208" i="6"/>
  <c r="S215" i="6"/>
  <c r="S206" i="6"/>
  <c r="S200" i="6"/>
  <c r="S222" i="6"/>
  <c r="S203" i="6"/>
  <c r="S216" i="6"/>
  <c r="S602" i="6"/>
  <c r="S607" i="6"/>
  <c r="S598" i="6"/>
  <c r="S599" i="6"/>
  <c r="S606" i="6"/>
  <c r="S608" i="6"/>
  <c r="S604" i="6"/>
  <c r="S596" i="6"/>
  <c r="S601" i="6"/>
  <c r="S603" i="6"/>
  <c r="S595" i="6"/>
  <c r="S600" i="6"/>
  <c r="S597" i="6"/>
  <c r="S605" i="6"/>
  <c r="S143" i="6"/>
  <c r="S148" i="6"/>
  <c r="S150" i="6"/>
  <c r="S146" i="6"/>
  <c r="S142" i="6"/>
  <c r="S133" i="6"/>
  <c r="S132" i="6"/>
  <c r="S153" i="6"/>
  <c r="S152" i="6"/>
  <c r="S137" i="6"/>
  <c r="S151" i="6"/>
  <c r="S144" i="6"/>
  <c r="S140" i="6"/>
  <c r="S138" i="6"/>
  <c r="S141" i="6"/>
  <c r="S139" i="6"/>
  <c r="S145" i="6"/>
  <c r="S131" i="6"/>
  <c r="S134" i="6"/>
  <c r="S136" i="6"/>
  <c r="S147" i="6"/>
  <c r="S149" i="6"/>
  <c r="S135" i="6"/>
  <c r="S263" i="6"/>
  <c r="S281" i="6"/>
  <c r="S278" i="6"/>
  <c r="S270" i="6"/>
  <c r="S271" i="6"/>
  <c r="S283" i="6"/>
  <c r="S275" i="6"/>
  <c r="S277" i="6"/>
  <c r="S266" i="6"/>
  <c r="S267" i="6"/>
  <c r="S274" i="6"/>
  <c r="S268" i="6"/>
  <c r="S269" i="6"/>
  <c r="S282" i="6"/>
  <c r="S279" i="6"/>
  <c r="S264" i="6"/>
  <c r="S272" i="6"/>
  <c r="S265" i="6"/>
  <c r="S284" i="6"/>
  <c r="S262" i="6"/>
  <c r="S280" i="6"/>
  <c r="S273" i="6"/>
  <c r="S276" i="6"/>
  <c r="S325" i="6"/>
  <c r="S331" i="6"/>
  <c r="S329" i="6"/>
  <c r="S326" i="6"/>
  <c r="S322" i="6"/>
  <c r="S328" i="6"/>
  <c r="S324" i="6"/>
  <c r="S323" i="6"/>
  <c r="S327" i="6"/>
  <c r="S335" i="6"/>
  <c r="S334" i="6"/>
  <c r="S332" i="6"/>
  <c r="S333" i="6"/>
  <c r="S330" i="6"/>
  <c r="S534" i="6"/>
  <c r="S531" i="6"/>
  <c r="S528" i="6"/>
  <c r="S540" i="6"/>
  <c r="S529" i="6"/>
  <c r="S533" i="6"/>
  <c r="S535" i="6"/>
  <c r="S541" i="6"/>
  <c r="S542" i="6"/>
  <c r="S527" i="6"/>
  <c r="S538" i="6"/>
  <c r="S536" i="6"/>
  <c r="S530" i="6"/>
  <c r="S526" i="6"/>
  <c r="S544" i="6"/>
  <c r="S539" i="6"/>
  <c r="S537" i="6"/>
  <c r="S545" i="6"/>
  <c r="S532" i="6"/>
  <c r="S543" i="6"/>
  <c r="S20" i="6"/>
  <c r="S14" i="6"/>
  <c r="S16" i="6"/>
  <c r="S17" i="6"/>
  <c r="S27" i="6"/>
  <c r="S23" i="6"/>
  <c r="S15" i="6"/>
  <c r="S30" i="6"/>
  <c r="S29" i="6"/>
  <c r="S19" i="6"/>
  <c r="S22" i="6"/>
  <c r="S25" i="6"/>
  <c r="S24" i="6"/>
  <c r="S31" i="6"/>
  <c r="S18" i="6"/>
  <c r="S26" i="6"/>
  <c r="S28" i="6"/>
  <c r="S21" i="6"/>
  <c r="S61" i="6"/>
  <c r="S60" i="6"/>
  <c r="S51" i="6"/>
  <c r="S62" i="6"/>
  <c r="S48" i="6"/>
  <c r="S57" i="6"/>
  <c r="S46" i="6"/>
  <c r="S52" i="6"/>
  <c r="S59" i="6"/>
  <c r="S45" i="6"/>
  <c r="S44" i="6"/>
  <c r="S53" i="6"/>
  <c r="S55" i="6"/>
  <c r="S50" i="6"/>
  <c r="S56" i="6"/>
  <c r="S63" i="6"/>
  <c r="S47" i="6"/>
  <c r="S64" i="6"/>
  <c r="S49" i="6"/>
  <c r="S58" i="6"/>
  <c r="S54" i="6"/>
  <c r="S91" i="6"/>
  <c r="S98" i="6"/>
  <c r="S92" i="6"/>
  <c r="S94" i="6"/>
  <c r="S93" i="6"/>
  <c r="S90" i="6"/>
  <c r="S101" i="6"/>
  <c r="S83" i="6"/>
  <c r="S89" i="6"/>
  <c r="S86" i="6"/>
  <c r="S97" i="6"/>
  <c r="S100" i="6"/>
  <c r="S96" i="6"/>
  <c r="S99" i="6"/>
  <c r="S102" i="6"/>
  <c r="S87" i="6"/>
  <c r="S85" i="6"/>
  <c r="S95" i="6"/>
  <c r="S88" i="6"/>
  <c r="S84" i="6"/>
  <c r="S464" i="6"/>
  <c r="S465" i="6"/>
  <c r="S480" i="6"/>
  <c r="S467" i="6"/>
  <c r="S475" i="6"/>
  <c r="S474" i="6"/>
  <c r="S476" i="6"/>
  <c r="S477" i="6"/>
  <c r="S468" i="6"/>
  <c r="S471" i="6"/>
  <c r="S463" i="6"/>
  <c r="S478" i="6"/>
  <c r="S469" i="6"/>
  <c r="S473" i="6"/>
  <c r="S466" i="6"/>
  <c r="S470" i="6"/>
  <c r="S479" i="6"/>
  <c r="S472" i="6"/>
  <c r="S483" i="6"/>
  <c r="S481" i="6"/>
  <c r="S482" i="6"/>
  <c r="S366" i="6"/>
  <c r="S373" i="6"/>
  <c r="S369" i="6"/>
  <c r="S363" i="6"/>
  <c r="S370" i="6"/>
  <c r="S361" i="6"/>
  <c r="S368" i="6"/>
  <c r="S359" i="6"/>
  <c r="S367" i="6"/>
  <c r="S371" i="6"/>
  <c r="S362" i="6"/>
  <c r="S360" i="6"/>
  <c r="S365" i="6"/>
  <c r="S374" i="6"/>
  <c r="S372" i="6"/>
  <c r="S364" i="6"/>
  <c r="S423" i="6"/>
  <c r="S415" i="6"/>
  <c r="S426" i="6"/>
  <c r="S422" i="6"/>
  <c r="S413" i="6"/>
  <c r="S427" i="6"/>
  <c r="S417" i="6"/>
  <c r="S425" i="6"/>
  <c r="S419" i="6"/>
  <c r="S424" i="6"/>
  <c r="S416" i="6"/>
  <c r="S421" i="6"/>
  <c r="S414" i="6"/>
  <c r="S418" i="6"/>
  <c r="S420" i="6"/>
  <c r="S412" i="6"/>
  <c r="S186" i="6"/>
  <c r="S188" i="6"/>
  <c r="S187" i="6"/>
  <c r="S191" i="6"/>
  <c r="S192" i="6"/>
  <c r="S194" i="6"/>
  <c r="S182" i="6"/>
  <c r="S183" i="6"/>
  <c r="S199" i="6"/>
  <c r="S198" i="6"/>
  <c r="S190" i="6"/>
  <c r="S189" i="6"/>
  <c r="S180" i="6"/>
  <c r="S195" i="6"/>
  <c r="S193" i="6"/>
  <c r="S197" i="6"/>
  <c r="S184" i="6"/>
  <c r="S185" i="6"/>
  <c r="S181" i="6"/>
  <c r="S196" i="6"/>
  <c r="S576" i="6"/>
  <c r="S577" i="6"/>
  <c r="S570" i="6"/>
  <c r="S584" i="6"/>
  <c r="S592" i="6"/>
  <c r="S575" i="6"/>
  <c r="S582" i="6"/>
  <c r="S574" i="6"/>
  <c r="S585" i="6"/>
  <c r="S590" i="6"/>
  <c r="S578" i="6"/>
  <c r="S594" i="6"/>
  <c r="S581" i="6"/>
  <c r="S593" i="6"/>
  <c r="S586" i="6"/>
  <c r="S579" i="6"/>
  <c r="S573" i="6"/>
  <c r="S571" i="6"/>
  <c r="S572" i="6"/>
  <c r="S583" i="6"/>
  <c r="S587" i="6"/>
  <c r="S591" i="6"/>
  <c r="S588" i="6"/>
  <c r="S580" i="6"/>
  <c r="S589" i="6"/>
  <c r="S123" i="6"/>
  <c r="S125" i="6"/>
  <c r="S122" i="6"/>
  <c r="S116" i="6"/>
  <c r="S114" i="6"/>
  <c r="S124" i="6"/>
  <c r="S130" i="6"/>
  <c r="S121" i="6"/>
  <c r="S129" i="6"/>
  <c r="S113" i="6"/>
  <c r="S119" i="6"/>
  <c r="S115" i="6"/>
  <c r="S118" i="6"/>
  <c r="S127" i="6"/>
  <c r="S126" i="6"/>
  <c r="S128" i="6"/>
  <c r="S117" i="6"/>
  <c r="S120" i="6"/>
  <c r="S246" i="6"/>
  <c r="S260" i="6"/>
  <c r="S256" i="6"/>
  <c r="S239" i="6"/>
  <c r="S247" i="6"/>
  <c r="S245" i="6"/>
  <c r="S249" i="6"/>
  <c r="S238" i="6"/>
  <c r="S251" i="6"/>
  <c r="S252" i="6"/>
  <c r="S244" i="6"/>
  <c r="S258" i="6"/>
  <c r="S254" i="6"/>
  <c r="S261" i="6"/>
  <c r="S240" i="6"/>
  <c r="S250" i="6"/>
  <c r="S241" i="6"/>
  <c r="S259" i="6"/>
  <c r="S248" i="6"/>
  <c r="S253" i="6"/>
  <c r="S242" i="6"/>
  <c r="S255" i="6"/>
  <c r="S243" i="6"/>
  <c r="S257" i="6"/>
  <c r="S320" i="6"/>
  <c r="S314" i="6"/>
  <c r="S306" i="6"/>
  <c r="S313" i="6"/>
  <c r="S309" i="6"/>
  <c r="S307" i="6"/>
  <c r="S321" i="6"/>
  <c r="S319" i="6"/>
  <c r="S312" i="6"/>
  <c r="S317" i="6"/>
  <c r="S316" i="6"/>
  <c r="S308" i="6"/>
  <c r="S311" i="6"/>
  <c r="S315" i="6"/>
  <c r="S318" i="6"/>
  <c r="S310" i="6"/>
  <c r="S505" i="6"/>
  <c r="S523" i="6"/>
  <c r="S520" i="6"/>
  <c r="S511" i="6"/>
  <c r="S506" i="6"/>
  <c r="S513" i="6"/>
  <c r="S507" i="6"/>
  <c r="S514" i="6"/>
  <c r="S510" i="6"/>
  <c r="S518" i="6"/>
  <c r="S509" i="6"/>
  <c r="S517" i="6"/>
  <c r="S522" i="6"/>
  <c r="S519" i="6"/>
  <c r="S508" i="6"/>
  <c r="S525" i="6"/>
  <c r="S516" i="6"/>
  <c r="S521" i="6"/>
  <c r="S515" i="6"/>
  <c r="S524" i="6"/>
  <c r="S512" i="6"/>
  <c r="S3" i="6"/>
  <c r="S6" i="6"/>
  <c r="S12" i="6"/>
  <c r="S9" i="6"/>
  <c r="S7" i="6"/>
  <c r="S11" i="6"/>
  <c r="S4" i="6"/>
  <c r="S10" i="6"/>
  <c r="S13" i="6"/>
  <c r="S5" i="6"/>
  <c r="S2" i="6"/>
  <c r="S8" i="6"/>
  <c r="S402" i="6"/>
  <c r="U2" i="3"/>
  <c r="Q404" i="6"/>
  <c r="Q405" i="6"/>
  <c r="Q408" i="6"/>
  <c r="Q406" i="6"/>
  <c r="Q398" i="6"/>
  <c r="Q411" i="6"/>
  <c r="Q410" i="6"/>
  <c r="Q407" i="6"/>
  <c r="Q400" i="6"/>
  <c r="Q401" i="6"/>
  <c r="Q403" i="6"/>
  <c r="Q399" i="6"/>
  <c r="Q409" i="6"/>
  <c r="Q454" i="6"/>
  <c r="Q459" i="6"/>
  <c r="Q461" i="6"/>
  <c r="Q452" i="6"/>
  <c r="Q451" i="6"/>
  <c r="Q458" i="6"/>
  <c r="Q450" i="6"/>
  <c r="Q449" i="6"/>
  <c r="Q456" i="6"/>
  <c r="Q448" i="6"/>
  <c r="Q455" i="6"/>
  <c r="Q447" i="6"/>
  <c r="Q460" i="6"/>
  <c r="Q446" i="6"/>
  <c r="Q457" i="6"/>
  <c r="Q453" i="6"/>
  <c r="Q462" i="6"/>
  <c r="Q237" i="6"/>
  <c r="Q235" i="6"/>
  <c r="Q228" i="6"/>
  <c r="Q236" i="6"/>
  <c r="Q229" i="6"/>
  <c r="Q234" i="6"/>
  <c r="Q225" i="6"/>
  <c r="Q233" i="6"/>
  <c r="Q230" i="6"/>
  <c r="Q232" i="6"/>
  <c r="Q231" i="6"/>
  <c r="Q224" i="6"/>
  <c r="Q223" i="6"/>
  <c r="Q226" i="6"/>
  <c r="Q227" i="6"/>
  <c r="Q615" i="6"/>
  <c r="Q614" i="6"/>
  <c r="Q626" i="6"/>
  <c r="Q631" i="6"/>
  <c r="Q620" i="6"/>
  <c r="Q629" i="6"/>
  <c r="Q627" i="6"/>
  <c r="Q609" i="6"/>
  <c r="Q612" i="6"/>
  <c r="Q632" i="6"/>
  <c r="Q613" i="6"/>
  <c r="Q616" i="6"/>
  <c r="Q625" i="6"/>
  <c r="Q611" i="6"/>
  <c r="Q617" i="6"/>
  <c r="Q623" i="6"/>
  <c r="Q630" i="6"/>
  <c r="Q621" i="6"/>
  <c r="Q619" i="6"/>
  <c r="Q622" i="6"/>
  <c r="Q628" i="6"/>
  <c r="Q624" i="6"/>
  <c r="Q618" i="6"/>
  <c r="Q610" i="6"/>
  <c r="Q159" i="6"/>
  <c r="Q167" i="6"/>
  <c r="Q162" i="6"/>
  <c r="Q173" i="6"/>
  <c r="Q157" i="6"/>
  <c r="Q160" i="6"/>
  <c r="Q158" i="6"/>
  <c r="Q161" i="6"/>
  <c r="Q166" i="6"/>
  <c r="Q174" i="6"/>
  <c r="Q176" i="6"/>
  <c r="Q179" i="6"/>
  <c r="Q163" i="6"/>
  <c r="Q154" i="6"/>
  <c r="Q177" i="6"/>
  <c r="Q165" i="6"/>
  <c r="Q172" i="6"/>
  <c r="Q156" i="6"/>
  <c r="Q169" i="6"/>
  <c r="Q171" i="6"/>
  <c r="Q164" i="6"/>
  <c r="Q168" i="6"/>
  <c r="Q155" i="6"/>
  <c r="Q170" i="6"/>
  <c r="Q175" i="6"/>
  <c r="Q178" i="6"/>
  <c r="Q297" i="6"/>
  <c r="Q296" i="6"/>
  <c r="Q303" i="6"/>
  <c r="Q293" i="6"/>
  <c r="Q290" i="6"/>
  <c r="Q301" i="6"/>
  <c r="Q287" i="6"/>
  <c r="Q291" i="6"/>
  <c r="Q298" i="6"/>
  <c r="Q304" i="6"/>
  <c r="Q286" i="6"/>
  <c r="Q305" i="6"/>
  <c r="Q299" i="6"/>
  <c r="Q288" i="6"/>
  <c r="Q295" i="6"/>
  <c r="Q289" i="6"/>
  <c r="Q302" i="6"/>
  <c r="Q300" i="6"/>
  <c r="Q292" i="6"/>
  <c r="Q294" i="6"/>
  <c r="Q285" i="6"/>
  <c r="Q350" i="6"/>
  <c r="Q339" i="6"/>
  <c r="Q342" i="6"/>
  <c r="Q336" i="6"/>
  <c r="Q343" i="6"/>
  <c r="Q341" i="6"/>
  <c r="Q345" i="6"/>
  <c r="Q358" i="6"/>
  <c r="Q337" i="6"/>
  <c r="Q351" i="6"/>
  <c r="Q346" i="6"/>
  <c r="Q344" i="6"/>
  <c r="Q355" i="6"/>
  <c r="Q340" i="6"/>
  <c r="Q352" i="6"/>
  <c r="Q354" i="6"/>
  <c r="Q353" i="6"/>
  <c r="Q347" i="6"/>
  <c r="Q349" i="6"/>
  <c r="Q338" i="6"/>
  <c r="Q348" i="6"/>
  <c r="Q356" i="6"/>
  <c r="Q357" i="6"/>
  <c r="Q550" i="6"/>
  <c r="Q549" i="6"/>
  <c r="Q553" i="6"/>
  <c r="Q565" i="6"/>
  <c r="Q558" i="6"/>
  <c r="Q556" i="6"/>
  <c r="Q564" i="6"/>
  <c r="Q555" i="6"/>
  <c r="Q557" i="6"/>
  <c r="Q547" i="6"/>
  <c r="Q559" i="6"/>
  <c r="Q560" i="6"/>
  <c r="Q561" i="6"/>
  <c r="Q554" i="6"/>
  <c r="Q548" i="6"/>
  <c r="Q552" i="6"/>
  <c r="Q569" i="6"/>
  <c r="Q567" i="6"/>
  <c r="Q551" i="6"/>
  <c r="Q563" i="6"/>
  <c r="Q562" i="6"/>
  <c r="Q568" i="6"/>
  <c r="Q546" i="6"/>
  <c r="Q566" i="6"/>
  <c r="Q41" i="6"/>
  <c r="Q33" i="6"/>
  <c r="Q36" i="6"/>
  <c r="Q35" i="6"/>
  <c r="Q39" i="6"/>
  <c r="Q34" i="6"/>
  <c r="Q43" i="6"/>
  <c r="Q40" i="6"/>
  <c r="Q42" i="6"/>
  <c r="Q32" i="6"/>
  <c r="Q38" i="6"/>
  <c r="Q37" i="6"/>
  <c r="Q76" i="6"/>
  <c r="Q74" i="6"/>
  <c r="Q81" i="6"/>
  <c r="Q75" i="6"/>
  <c r="Q80" i="6"/>
  <c r="Q70" i="6"/>
  <c r="Q67" i="6"/>
  <c r="Q77" i="6"/>
  <c r="Q69" i="6"/>
  <c r="Q71" i="6"/>
  <c r="Q66" i="6"/>
  <c r="Q79" i="6"/>
  <c r="Q82" i="6"/>
  <c r="Q72" i="6"/>
  <c r="Q68" i="6"/>
  <c r="Q65" i="6"/>
  <c r="Q78" i="6"/>
  <c r="Q73" i="6"/>
  <c r="Q106" i="6"/>
  <c r="Q109" i="6"/>
  <c r="Q108" i="6"/>
  <c r="Q110" i="6"/>
  <c r="Q111" i="6"/>
  <c r="Q112" i="6"/>
  <c r="Q103" i="6"/>
  <c r="Q107" i="6"/>
  <c r="Q104" i="6"/>
  <c r="Q105" i="6"/>
  <c r="Q504" i="6"/>
  <c r="Q491" i="6"/>
  <c r="Q492" i="6"/>
  <c r="Q484" i="6"/>
  <c r="Q487" i="6"/>
  <c r="Q488" i="6"/>
  <c r="Q502" i="6"/>
  <c r="Q498" i="6"/>
  <c r="Q500" i="6"/>
  <c r="Q489" i="6"/>
  <c r="Q503" i="6"/>
  <c r="Q494" i="6"/>
  <c r="Q499" i="6"/>
  <c r="Q490" i="6"/>
  <c r="Q495" i="6"/>
  <c r="Q496" i="6"/>
  <c r="Q485" i="6"/>
  <c r="Q486" i="6"/>
  <c r="Q501" i="6"/>
  <c r="Q497" i="6"/>
  <c r="Q493" i="6"/>
  <c r="Q388" i="6"/>
  <c r="Q397" i="6"/>
  <c r="Q382" i="6"/>
  <c r="Q377" i="6"/>
  <c r="Q378" i="6"/>
  <c r="Q384" i="6"/>
  <c r="Q390" i="6"/>
  <c r="Q395" i="6"/>
  <c r="Q379" i="6"/>
  <c r="Q380" i="6"/>
  <c r="Q396" i="6"/>
  <c r="Q392" i="6"/>
  <c r="Q376" i="6"/>
  <c r="Q383" i="6"/>
  <c r="Q389" i="6"/>
  <c r="Q391" i="6"/>
  <c r="Q386" i="6"/>
  <c r="Q387" i="6"/>
  <c r="Q394" i="6"/>
  <c r="Q385" i="6"/>
  <c r="Q381" i="6"/>
  <c r="Q393" i="6"/>
  <c r="Q375" i="6"/>
  <c r="Q439" i="6"/>
  <c r="Q436" i="6"/>
  <c r="Q434" i="6"/>
  <c r="Q428" i="6"/>
  <c r="Q438" i="6"/>
  <c r="Q437" i="6"/>
  <c r="Q433" i="6"/>
  <c r="Q430" i="6"/>
  <c r="Q442" i="6"/>
  <c r="Q440" i="6"/>
  <c r="Q435" i="6"/>
  <c r="Q441" i="6"/>
  <c r="Q429" i="6"/>
  <c r="Q445" i="6"/>
  <c r="Q444" i="6"/>
  <c r="Q432" i="6"/>
  <c r="Q443" i="6"/>
  <c r="Q431" i="6"/>
  <c r="Q201" i="6"/>
  <c r="Q205" i="6"/>
  <c r="Q204" i="6"/>
  <c r="Q214" i="6"/>
  <c r="Q212" i="6"/>
  <c r="Q202" i="6"/>
  <c r="Q211" i="6"/>
  <c r="Q210" i="6"/>
  <c r="Q218" i="6"/>
  <c r="Q213" i="6"/>
  <c r="Q220" i="6"/>
  <c r="Q221" i="6"/>
  <c r="Q207" i="6"/>
  <c r="Q217" i="6"/>
  <c r="Q219" i="6"/>
  <c r="Q209" i="6"/>
  <c r="Q208" i="6"/>
  <c r="Q215" i="6"/>
  <c r="Q206" i="6"/>
  <c r="Q200" i="6"/>
  <c r="Q222" i="6"/>
  <c r="Q203" i="6"/>
  <c r="Q216" i="6"/>
  <c r="Q602" i="6"/>
  <c r="Q607" i="6"/>
  <c r="Q598" i="6"/>
  <c r="Q599" i="6"/>
  <c r="Q606" i="6"/>
  <c r="Q608" i="6"/>
  <c r="Q604" i="6"/>
  <c r="Q596" i="6"/>
  <c r="Q601" i="6"/>
  <c r="Q603" i="6"/>
  <c r="Q595" i="6"/>
  <c r="Q600" i="6"/>
  <c r="Q597" i="6"/>
  <c r="Q605" i="6"/>
  <c r="Q143" i="6"/>
  <c r="Q148" i="6"/>
  <c r="Q150" i="6"/>
  <c r="Q146" i="6"/>
  <c r="Q142" i="6"/>
  <c r="Q133" i="6"/>
  <c r="Q132" i="6"/>
  <c r="Q153" i="6"/>
  <c r="Q152" i="6"/>
  <c r="Q137" i="6"/>
  <c r="Q151" i="6"/>
  <c r="Q144" i="6"/>
  <c r="Q140" i="6"/>
  <c r="Q138" i="6"/>
  <c r="Q141" i="6"/>
  <c r="Q139" i="6"/>
  <c r="Q145" i="6"/>
  <c r="Q131" i="6"/>
  <c r="Q134" i="6"/>
  <c r="Q136" i="6"/>
  <c r="Q147" i="6"/>
  <c r="Q149" i="6"/>
  <c r="Q135" i="6"/>
  <c r="Q263" i="6"/>
  <c r="Q281" i="6"/>
  <c r="Q278" i="6"/>
  <c r="Q270" i="6"/>
  <c r="Q271" i="6"/>
  <c r="Q283" i="6"/>
  <c r="Q275" i="6"/>
  <c r="Q277" i="6"/>
  <c r="Q266" i="6"/>
  <c r="Q267" i="6"/>
  <c r="Q274" i="6"/>
  <c r="Q268" i="6"/>
  <c r="Q269" i="6"/>
  <c r="Q282" i="6"/>
  <c r="Q279" i="6"/>
  <c r="Q264" i="6"/>
  <c r="Q272" i="6"/>
  <c r="Q265" i="6"/>
  <c r="Q284" i="6"/>
  <c r="Q262" i="6"/>
  <c r="Q280" i="6"/>
  <c r="Q273" i="6"/>
  <c r="Q276" i="6"/>
  <c r="Q325" i="6"/>
  <c r="Q331" i="6"/>
  <c r="Q329" i="6"/>
  <c r="Q326" i="6"/>
  <c r="Q322" i="6"/>
  <c r="Q328" i="6"/>
  <c r="Q324" i="6"/>
  <c r="Q323" i="6"/>
  <c r="Q327" i="6"/>
  <c r="Q335" i="6"/>
  <c r="Q334" i="6"/>
  <c r="Q332" i="6"/>
  <c r="Q333" i="6"/>
  <c r="Q330" i="6"/>
  <c r="Q534" i="6"/>
  <c r="Q531" i="6"/>
  <c r="Q528" i="6"/>
  <c r="Q540" i="6"/>
  <c r="Q529" i="6"/>
  <c r="Q533" i="6"/>
  <c r="Q535" i="6"/>
  <c r="Q541" i="6"/>
  <c r="Q542" i="6"/>
  <c r="Q527" i="6"/>
  <c r="Q538" i="6"/>
  <c r="Q536" i="6"/>
  <c r="Q530" i="6"/>
  <c r="Q526" i="6"/>
  <c r="Q544" i="6"/>
  <c r="Q539" i="6"/>
  <c r="Q537" i="6"/>
  <c r="Q545" i="6"/>
  <c r="Q532" i="6"/>
  <c r="Q543" i="6"/>
  <c r="Q20" i="6"/>
  <c r="Q14" i="6"/>
  <c r="Q16" i="6"/>
  <c r="Q17" i="6"/>
  <c r="Q27" i="6"/>
  <c r="Q23" i="6"/>
  <c r="Q15" i="6"/>
  <c r="Q30" i="6"/>
  <c r="Q29" i="6"/>
  <c r="Q19" i="6"/>
  <c r="Q22" i="6"/>
  <c r="Q25" i="6"/>
  <c r="Q24" i="6"/>
  <c r="Q31" i="6"/>
  <c r="Q18" i="6"/>
  <c r="Q26" i="6"/>
  <c r="Q28" i="6"/>
  <c r="Q21" i="6"/>
  <c r="Q61" i="6"/>
  <c r="Q60" i="6"/>
  <c r="Q51" i="6"/>
  <c r="Q62" i="6"/>
  <c r="Q48" i="6"/>
  <c r="Q57" i="6"/>
  <c r="Q46" i="6"/>
  <c r="Q52" i="6"/>
  <c r="Q59" i="6"/>
  <c r="Q45" i="6"/>
  <c r="Q44" i="6"/>
  <c r="Q53" i="6"/>
  <c r="Q55" i="6"/>
  <c r="Q50" i="6"/>
  <c r="Q56" i="6"/>
  <c r="Q63" i="6"/>
  <c r="Q47" i="6"/>
  <c r="Q64" i="6"/>
  <c r="Q49" i="6"/>
  <c r="Q58" i="6"/>
  <c r="Q54" i="6"/>
  <c r="Q91" i="6"/>
  <c r="Q98" i="6"/>
  <c r="Q92" i="6"/>
  <c r="Q94" i="6"/>
  <c r="Q93" i="6"/>
  <c r="Q90" i="6"/>
  <c r="Q101" i="6"/>
  <c r="Q83" i="6"/>
  <c r="Q89" i="6"/>
  <c r="Q86" i="6"/>
  <c r="Q97" i="6"/>
  <c r="Q100" i="6"/>
  <c r="Q96" i="6"/>
  <c r="Q99" i="6"/>
  <c r="Q102" i="6"/>
  <c r="Q87" i="6"/>
  <c r="Q85" i="6"/>
  <c r="Q95" i="6"/>
  <c r="Q88" i="6"/>
  <c r="Q84" i="6"/>
  <c r="Q464" i="6"/>
  <c r="Q465" i="6"/>
  <c r="Q480" i="6"/>
  <c r="Q467" i="6"/>
  <c r="Q475" i="6"/>
  <c r="Q474" i="6"/>
  <c r="Q476" i="6"/>
  <c r="Q477" i="6"/>
  <c r="Q468" i="6"/>
  <c r="Q471" i="6"/>
  <c r="Q463" i="6"/>
  <c r="Q478" i="6"/>
  <c r="Q469" i="6"/>
  <c r="Q473" i="6"/>
  <c r="Q466" i="6"/>
  <c r="Q470" i="6"/>
  <c r="Q479" i="6"/>
  <c r="Q472" i="6"/>
  <c r="Q483" i="6"/>
  <c r="Q481" i="6"/>
  <c r="Q482" i="6"/>
  <c r="Q366" i="6"/>
  <c r="Q373" i="6"/>
  <c r="Q369" i="6"/>
  <c r="Q363" i="6"/>
  <c r="Q370" i="6"/>
  <c r="Q361" i="6"/>
  <c r="Q368" i="6"/>
  <c r="Q359" i="6"/>
  <c r="Q367" i="6"/>
  <c r="Q371" i="6"/>
  <c r="Q362" i="6"/>
  <c r="Q360" i="6"/>
  <c r="Q365" i="6"/>
  <c r="Q374" i="6"/>
  <c r="Q372" i="6"/>
  <c r="Q364" i="6"/>
  <c r="Q423" i="6"/>
  <c r="Q415" i="6"/>
  <c r="Q426" i="6"/>
  <c r="Q422" i="6"/>
  <c r="Q413" i="6"/>
  <c r="Q427" i="6"/>
  <c r="Q417" i="6"/>
  <c r="Q425" i="6"/>
  <c r="Q419" i="6"/>
  <c r="Q424" i="6"/>
  <c r="Q416" i="6"/>
  <c r="Q421" i="6"/>
  <c r="Q414" i="6"/>
  <c r="Q418" i="6"/>
  <c r="Q420" i="6"/>
  <c r="Q412" i="6"/>
  <c r="Q186" i="6"/>
  <c r="Q188" i="6"/>
  <c r="Q187" i="6"/>
  <c r="Q191" i="6"/>
  <c r="Q192" i="6"/>
  <c r="Q194" i="6"/>
  <c r="Q182" i="6"/>
  <c r="Q183" i="6"/>
  <c r="Q199" i="6"/>
  <c r="Q198" i="6"/>
  <c r="Q190" i="6"/>
  <c r="Q189" i="6"/>
  <c r="Q180" i="6"/>
  <c r="Q195" i="6"/>
  <c r="Q193" i="6"/>
  <c r="Q197" i="6"/>
  <c r="Q184" i="6"/>
  <c r="Q185" i="6"/>
  <c r="Q181" i="6"/>
  <c r="Q196" i="6"/>
  <c r="Q576" i="6"/>
  <c r="Q577" i="6"/>
  <c r="Q570" i="6"/>
  <c r="Q584" i="6"/>
  <c r="AC592" i="6"/>
  <c r="Q575" i="6"/>
  <c r="Q582" i="6"/>
  <c r="Q574" i="6"/>
  <c r="Q585" i="6"/>
  <c r="Q590" i="6"/>
  <c r="Q578" i="6"/>
  <c r="Q594" i="6"/>
  <c r="Q581" i="6"/>
  <c r="Q593" i="6"/>
  <c r="Q586" i="6"/>
  <c r="Q579" i="6"/>
  <c r="Q573" i="6"/>
  <c r="Q571" i="6"/>
  <c r="Q572" i="6"/>
  <c r="Q583" i="6"/>
  <c r="Q587" i="6"/>
  <c r="Q591" i="6"/>
  <c r="Q588" i="6"/>
  <c r="Q580" i="6"/>
  <c r="Q589" i="6"/>
  <c r="Q123" i="6"/>
  <c r="Q125" i="6"/>
  <c r="Q122" i="6"/>
  <c r="Q116" i="6"/>
  <c r="Q114" i="6"/>
  <c r="Q124" i="6"/>
  <c r="Q130" i="6"/>
  <c r="Q121" i="6"/>
  <c r="Q129" i="6"/>
  <c r="Q113" i="6"/>
  <c r="Q119" i="6"/>
  <c r="Q115" i="6"/>
  <c r="Q118" i="6"/>
  <c r="Q127" i="6"/>
  <c r="Q126" i="6"/>
  <c r="Q128" i="6"/>
  <c r="Q117" i="6"/>
  <c r="Q120" i="6"/>
  <c r="Q246" i="6"/>
  <c r="Q260" i="6"/>
  <c r="Q256" i="6"/>
  <c r="Q239" i="6"/>
  <c r="Q247" i="6"/>
  <c r="Q245" i="6"/>
  <c r="Q249" i="6"/>
  <c r="Q238" i="6"/>
  <c r="Q251" i="6"/>
  <c r="Q252" i="6"/>
  <c r="Q244" i="6"/>
  <c r="Q258" i="6"/>
  <c r="Q254" i="6"/>
  <c r="Q261" i="6"/>
  <c r="Q240" i="6"/>
  <c r="Q250" i="6"/>
  <c r="Q241" i="6"/>
  <c r="Q259" i="6"/>
  <c r="Q248" i="6"/>
  <c r="Q253" i="6"/>
  <c r="Q242" i="6"/>
  <c r="Q255" i="6"/>
  <c r="Q243" i="6"/>
  <c r="Q257" i="6"/>
  <c r="Q320" i="6"/>
  <c r="Q314" i="6"/>
  <c r="Q306" i="6"/>
  <c r="Q313" i="6"/>
  <c r="Q309" i="6"/>
  <c r="Q307" i="6"/>
  <c r="Q321" i="6"/>
  <c r="Q319" i="6"/>
  <c r="Q312" i="6"/>
  <c r="Q317" i="6"/>
  <c r="Q316" i="6"/>
  <c r="Q308" i="6"/>
  <c r="Q311" i="6"/>
  <c r="Q315" i="6"/>
  <c r="Q318" i="6"/>
  <c r="Q310" i="6"/>
  <c r="Q505" i="6"/>
  <c r="Q523" i="6"/>
  <c r="Q520" i="6"/>
  <c r="Q511" i="6"/>
  <c r="Q506" i="6"/>
  <c r="Q513" i="6"/>
  <c r="Q507" i="6"/>
  <c r="Q514" i="6"/>
  <c r="Q510" i="6"/>
  <c r="Q518" i="6"/>
  <c r="Q509" i="6"/>
  <c r="Q517" i="6"/>
  <c r="Q522" i="6"/>
  <c r="Q519" i="6"/>
  <c r="Q508" i="6"/>
  <c r="Q525" i="6"/>
  <c r="Q516" i="6"/>
  <c r="Q521" i="6"/>
  <c r="Q515" i="6"/>
  <c r="Q524" i="6"/>
  <c r="Q512" i="6"/>
  <c r="Q3" i="6"/>
  <c r="Q6" i="6"/>
  <c r="Q12" i="6"/>
  <c r="Q9" i="6"/>
  <c r="Q7" i="6"/>
  <c r="Q11" i="6"/>
  <c r="AC4" i="6"/>
  <c r="Q10" i="6"/>
  <c r="Q13" i="6"/>
  <c r="Q5" i="6"/>
  <c r="Q2" i="6"/>
  <c r="AE2" i="6" s="1"/>
  <c r="Q8" i="6"/>
  <c r="Q402" i="6"/>
  <c r="N404" i="6"/>
  <c r="N405" i="6"/>
  <c r="N408" i="6"/>
  <c r="N406" i="6"/>
  <c r="N398" i="6"/>
  <c r="N411" i="6"/>
  <c r="N410" i="6"/>
  <c r="N407" i="6"/>
  <c r="N400" i="6"/>
  <c r="N401" i="6"/>
  <c r="N403" i="6"/>
  <c r="N399" i="6"/>
  <c r="N409" i="6"/>
  <c r="N454" i="6"/>
  <c r="N459" i="6"/>
  <c r="N461" i="6"/>
  <c r="N452" i="6"/>
  <c r="N451" i="6"/>
  <c r="N458" i="6"/>
  <c r="N450" i="6"/>
  <c r="N449" i="6"/>
  <c r="N456" i="6"/>
  <c r="N448" i="6"/>
  <c r="N455" i="6"/>
  <c r="N447" i="6"/>
  <c r="N460" i="6"/>
  <c r="N446" i="6"/>
  <c r="N457" i="6"/>
  <c r="N453" i="6"/>
  <c r="N462" i="6"/>
  <c r="N237" i="6"/>
  <c r="N235" i="6"/>
  <c r="N228" i="6"/>
  <c r="N236" i="6"/>
  <c r="N229" i="6"/>
  <c r="N234" i="6"/>
  <c r="N225" i="6"/>
  <c r="N233" i="6"/>
  <c r="N230" i="6"/>
  <c r="N232" i="6"/>
  <c r="N231" i="6"/>
  <c r="N224" i="6"/>
  <c r="N223" i="6"/>
  <c r="N226" i="6"/>
  <c r="N227" i="6"/>
  <c r="N615" i="6"/>
  <c r="N614" i="6"/>
  <c r="N626" i="6"/>
  <c r="N631" i="6"/>
  <c r="N620" i="6"/>
  <c r="N629" i="6"/>
  <c r="N627" i="6"/>
  <c r="N609" i="6"/>
  <c r="N612" i="6"/>
  <c r="N632" i="6"/>
  <c r="O632" i="6" s="1"/>
  <c r="N613" i="6"/>
  <c r="N616" i="6"/>
  <c r="N625" i="6"/>
  <c r="N611" i="6"/>
  <c r="N617" i="6"/>
  <c r="N623" i="6"/>
  <c r="N630" i="6"/>
  <c r="N621" i="6"/>
  <c r="N619" i="6"/>
  <c r="N622" i="6"/>
  <c r="N628" i="6"/>
  <c r="N624" i="6"/>
  <c r="O624" i="6" s="1"/>
  <c r="N618" i="6"/>
  <c r="N610" i="6"/>
  <c r="N159" i="6"/>
  <c r="N167" i="6"/>
  <c r="N162" i="6"/>
  <c r="N173" i="6"/>
  <c r="N157" i="6"/>
  <c r="N160" i="6"/>
  <c r="N158" i="6"/>
  <c r="N161" i="6"/>
  <c r="N166" i="6"/>
  <c r="N174" i="6"/>
  <c r="N176" i="6"/>
  <c r="N179" i="6"/>
  <c r="N163" i="6"/>
  <c r="N154" i="6"/>
  <c r="N177" i="6"/>
  <c r="N165" i="6"/>
  <c r="N172" i="6"/>
  <c r="N156" i="6"/>
  <c r="N169" i="6"/>
  <c r="N171" i="6"/>
  <c r="N164" i="6"/>
  <c r="N168" i="6"/>
  <c r="N155" i="6"/>
  <c r="N170" i="6"/>
  <c r="N175" i="6"/>
  <c r="N178" i="6"/>
  <c r="N297" i="6"/>
  <c r="N296" i="6"/>
  <c r="N303" i="6"/>
  <c r="N293" i="6"/>
  <c r="N290" i="6"/>
  <c r="N301" i="6"/>
  <c r="N287" i="6"/>
  <c r="N291" i="6"/>
  <c r="N298" i="6"/>
  <c r="N304" i="6"/>
  <c r="N286" i="6"/>
  <c r="N305" i="6"/>
  <c r="N299" i="6"/>
  <c r="N288" i="6"/>
  <c r="N295" i="6"/>
  <c r="N289" i="6"/>
  <c r="N302" i="6"/>
  <c r="N300" i="6"/>
  <c r="N292" i="6"/>
  <c r="N294" i="6"/>
  <c r="N285" i="6"/>
  <c r="N350" i="6"/>
  <c r="N339" i="6"/>
  <c r="N342" i="6"/>
  <c r="N336" i="6"/>
  <c r="N343" i="6"/>
  <c r="N341" i="6"/>
  <c r="N345" i="6"/>
  <c r="N358" i="6"/>
  <c r="N337" i="6"/>
  <c r="N351" i="6"/>
  <c r="N346" i="6"/>
  <c r="N344" i="6"/>
  <c r="N355" i="6"/>
  <c r="N340" i="6"/>
  <c r="N352" i="6"/>
  <c r="N354" i="6"/>
  <c r="N353" i="6"/>
  <c r="N347" i="6"/>
  <c r="N349" i="6"/>
  <c r="N338" i="6"/>
  <c r="N348" i="6"/>
  <c r="N356" i="6"/>
  <c r="N357" i="6"/>
  <c r="N550" i="6"/>
  <c r="N549" i="6"/>
  <c r="N553" i="6"/>
  <c r="N565" i="6"/>
  <c r="N558" i="6"/>
  <c r="N556" i="6"/>
  <c r="N564" i="6"/>
  <c r="N555" i="6"/>
  <c r="N557" i="6"/>
  <c r="N547" i="6"/>
  <c r="N559" i="6"/>
  <c r="N560" i="6"/>
  <c r="N561" i="6"/>
  <c r="N554" i="6"/>
  <c r="N548" i="6"/>
  <c r="N552" i="6"/>
  <c r="N569" i="6"/>
  <c r="N567" i="6"/>
  <c r="N551" i="6"/>
  <c r="N563" i="6"/>
  <c r="N562" i="6"/>
  <c r="N568" i="6"/>
  <c r="N546" i="6"/>
  <c r="N566" i="6"/>
  <c r="N41" i="6"/>
  <c r="N33" i="6"/>
  <c r="N36" i="6"/>
  <c r="N35" i="6"/>
  <c r="N39" i="6"/>
  <c r="N34" i="6"/>
  <c r="N43" i="6"/>
  <c r="N40" i="6"/>
  <c r="N42" i="6"/>
  <c r="N32" i="6"/>
  <c r="N38" i="6"/>
  <c r="N37" i="6"/>
  <c r="N76" i="6"/>
  <c r="N74" i="6"/>
  <c r="N81" i="6"/>
  <c r="N75" i="6"/>
  <c r="N80" i="6"/>
  <c r="N70" i="6"/>
  <c r="N67" i="6"/>
  <c r="N77" i="6"/>
  <c r="N69" i="6"/>
  <c r="N71" i="6"/>
  <c r="N66" i="6"/>
  <c r="N79" i="6"/>
  <c r="N82" i="6"/>
  <c r="N72" i="6"/>
  <c r="N68" i="6"/>
  <c r="N65" i="6"/>
  <c r="N78" i="6"/>
  <c r="N73" i="6"/>
  <c r="N106" i="6"/>
  <c r="N109" i="6"/>
  <c r="N108" i="6"/>
  <c r="N110" i="6"/>
  <c r="N111" i="6"/>
  <c r="N112" i="6"/>
  <c r="N103" i="6"/>
  <c r="N107" i="6"/>
  <c r="N104" i="6"/>
  <c r="N105" i="6"/>
  <c r="N504" i="6"/>
  <c r="N491" i="6"/>
  <c r="N492" i="6"/>
  <c r="N484" i="6"/>
  <c r="N487" i="6"/>
  <c r="N488" i="6"/>
  <c r="N502" i="6"/>
  <c r="N498" i="6"/>
  <c r="N500" i="6"/>
  <c r="N489" i="6"/>
  <c r="N503" i="6"/>
  <c r="N494" i="6"/>
  <c r="N499" i="6"/>
  <c r="N490" i="6"/>
  <c r="N495" i="6"/>
  <c r="N496" i="6"/>
  <c r="N485" i="6"/>
  <c r="N486" i="6"/>
  <c r="N501" i="6"/>
  <c r="N497" i="6"/>
  <c r="N493" i="6"/>
  <c r="N388" i="6"/>
  <c r="N397" i="6"/>
  <c r="N382" i="6"/>
  <c r="N377" i="6"/>
  <c r="N378" i="6"/>
  <c r="N384" i="6"/>
  <c r="N390" i="6"/>
  <c r="N395" i="6"/>
  <c r="N379" i="6"/>
  <c r="N380" i="6"/>
  <c r="N396" i="6"/>
  <c r="N392" i="6"/>
  <c r="N376" i="6"/>
  <c r="N383" i="6"/>
  <c r="N389" i="6"/>
  <c r="N391" i="6"/>
  <c r="N386" i="6"/>
  <c r="N387" i="6"/>
  <c r="N394" i="6"/>
  <c r="N385" i="6"/>
  <c r="N381" i="6"/>
  <c r="N393" i="6"/>
  <c r="N375" i="6"/>
  <c r="N439" i="6"/>
  <c r="N436" i="6"/>
  <c r="N434" i="6"/>
  <c r="N428" i="6"/>
  <c r="N438" i="6"/>
  <c r="N437" i="6"/>
  <c r="N433" i="6"/>
  <c r="N430" i="6"/>
  <c r="N442" i="6"/>
  <c r="N440" i="6"/>
  <c r="N435" i="6"/>
  <c r="N441" i="6"/>
  <c r="N429" i="6"/>
  <c r="N445" i="6"/>
  <c r="N444" i="6"/>
  <c r="N432" i="6"/>
  <c r="N443" i="6"/>
  <c r="N431" i="6"/>
  <c r="N201" i="6"/>
  <c r="N205" i="6"/>
  <c r="N204" i="6"/>
  <c r="N214" i="6"/>
  <c r="N212" i="6"/>
  <c r="N202" i="6"/>
  <c r="N211" i="6"/>
  <c r="N210" i="6"/>
  <c r="N218" i="6"/>
  <c r="N213" i="6"/>
  <c r="N220" i="6"/>
  <c r="N221" i="6"/>
  <c r="N207" i="6"/>
  <c r="N217" i="6"/>
  <c r="N219" i="6"/>
  <c r="N209" i="6"/>
  <c r="N208" i="6"/>
  <c r="N215" i="6"/>
  <c r="N206" i="6"/>
  <c r="N200" i="6"/>
  <c r="N222" i="6"/>
  <c r="N203" i="6"/>
  <c r="N216" i="6"/>
  <c r="N602" i="6"/>
  <c r="N607" i="6"/>
  <c r="N598" i="6"/>
  <c r="N599" i="6"/>
  <c r="N606" i="6"/>
  <c r="N608" i="6"/>
  <c r="N604" i="6"/>
  <c r="O604" i="6" s="1"/>
  <c r="N596" i="6"/>
  <c r="N601" i="6"/>
  <c r="N603" i="6"/>
  <c r="N595" i="6"/>
  <c r="O595" i="6" s="1"/>
  <c r="N600" i="6"/>
  <c r="N597" i="6"/>
  <c r="N605" i="6"/>
  <c r="N143" i="6"/>
  <c r="N148" i="6"/>
  <c r="N150" i="6"/>
  <c r="N146" i="6"/>
  <c r="N142" i="6"/>
  <c r="N133" i="6"/>
  <c r="N132" i="6"/>
  <c r="N153" i="6"/>
  <c r="N152" i="6"/>
  <c r="N137" i="6"/>
  <c r="N151" i="6"/>
  <c r="N144" i="6"/>
  <c r="N140" i="6"/>
  <c r="N138" i="6"/>
  <c r="N141" i="6"/>
  <c r="N139" i="6"/>
  <c r="N145" i="6"/>
  <c r="N131" i="6"/>
  <c r="N134" i="6"/>
  <c r="N136" i="6"/>
  <c r="N147" i="6"/>
  <c r="N149" i="6"/>
  <c r="N135" i="6"/>
  <c r="N263" i="6"/>
  <c r="N281" i="6"/>
  <c r="N278" i="6"/>
  <c r="N270" i="6"/>
  <c r="N271" i="6"/>
  <c r="N283" i="6"/>
  <c r="N275" i="6"/>
  <c r="N277" i="6"/>
  <c r="N266" i="6"/>
  <c r="N267" i="6"/>
  <c r="N274" i="6"/>
  <c r="N268" i="6"/>
  <c r="N269" i="6"/>
  <c r="N282" i="6"/>
  <c r="N279" i="6"/>
  <c r="N264" i="6"/>
  <c r="N272" i="6"/>
  <c r="N265" i="6"/>
  <c r="N284" i="6"/>
  <c r="N262" i="6"/>
  <c r="N280" i="6"/>
  <c r="N273" i="6"/>
  <c r="N276" i="6"/>
  <c r="N325" i="6"/>
  <c r="N331" i="6"/>
  <c r="N329" i="6"/>
  <c r="N326" i="6"/>
  <c r="N322" i="6"/>
  <c r="N328" i="6"/>
  <c r="N324" i="6"/>
  <c r="N323" i="6"/>
  <c r="N327" i="6"/>
  <c r="N335" i="6"/>
  <c r="N334" i="6"/>
  <c r="N332" i="6"/>
  <c r="N333" i="6"/>
  <c r="N330" i="6"/>
  <c r="N534" i="6"/>
  <c r="N531" i="6"/>
  <c r="N528" i="6"/>
  <c r="N540" i="6"/>
  <c r="N529" i="6"/>
  <c r="N533" i="6"/>
  <c r="N535" i="6"/>
  <c r="N541" i="6"/>
  <c r="N542" i="6"/>
  <c r="N527" i="6"/>
  <c r="N538" i="6"/>
  <c r="N536" i="6"/>
  <c r="N530" i="6"/>
  <c r="N526" i="6"/>
  <c r="N544" i="6"/>
  <c r="N539" i="6"/>
  <c r="N537" i="6"/>
  <c r="N545" i="6"/>
  <c r="N532" i="6"/>
  <c r="N543" i="6"/>
  <c r="N20" i="6"/>
  <c r="N14" i="6"/>
  <c r="N16" i="6"/>
  <c r="N17" i="6"/>
  <c r="N27" i="6"/>
  <c r="N23" i="6"/>
  <c r="N15" i="6"/>
  <c r="N30" i="6"/>
  <c r="N29" i="6"/>
  <c r="N19" i="6"/>
  <c r="N22" i="6"/>
  <c r="N25" i="6"/>
  <c r="N24" i="6"/>
  <c r="N31" i="6"/>
  <c r="N18" i="6"/>
  <c r="N26" i="6"/>
  <c r="N28" i="6"/>
  <c r="N21" i="6"/>
  <c r="N61" i="6"/>
  <c r="N60" i="6"/>
  <c r="N51" i="6"/>
  <c r="N62" i="6"/>
  <c r="N48" i="6"/>
  <c r="N57" i="6"/>
  <c r="N46" i="6"/>
  <c r="N52" i="6"/>
  <c r="N59" i="6"/>
  <c r="N45" i="6"/>
  <c r="N44" i="6"/>
  <c r="N53" i="6"/>
  <c r="N55" i="6"/>
  <c r="N50" i="6"/>
  <c r="N56" i="6"/>
  <c r="N63" i="6"/>
  <c r="N47" i="6"/>
  <c r="N64" i="6"/>
  <c r="N49" i="6"/>
  <c r="N58" i="6"/>
  <c r="N54" i="6"/>
  <c r="N91" i="6"/>
  <c r="N98" i="6"/>
  <c r="N92" i="6"/>
  <c r="N94" i="6"/>
  <c r="N93" i="6"/>
  <c r="N90" i="6"/>
  <c r="N101" i="6"/>
  <c r="N83" i="6"/>
  <c r="N89" i="6"/>
  <c r="N86" i="6"/>
  <c r="N97" i="6"/>
  <c r="N100" i="6"/>
  <c r="N96" i="6"/>
  <c r="N99" i="6"/>
  <c r="N102" i="6"/>
  <c r="N87" i="6"/>
  <c r="N85" i="6"/>
  <c r="N95" i="6"/>
  <c r="N88" i="6"/>
  <c r="N84" i="6"/>
  <c r="N464" i="6"/>
  <c r="N465" i="6"/>
  <c r="N480" i="6"/>
  <c r="N467" i="6"/>
  <c r="N475" i="6"/>
  <c r="N474" i="6"/>
  <c r="N476" i="6"/>
  <c r="N477" i="6"/>
  <c r="N468" i="6"/>
  <c r="N471" i="6"/>
  <c r="N463" i="6"/>
  <c r="N478" i="6"/>
  <c r="N469" i="6"/>
  <c r="N473" i="6"/>
  <c r="N466" i="6"/>
  <c r="N470" i="6"/>
  <c r="N479" i="6"/>
  <c r="N472" i="6"/>
  <c r="N483" i="6"/>
  <c r="N481" i="6"/>
  <c r="N482" i="6"/>
  <c r="N366" i="6"/>
  <c r="N373" i="6"/>
  <c r="N369" i="6"/>
  <c r="N363" i="6"/>
  <c r="N370" i="6"/>
  <c r="N361" i="6"/>
  <c r="N368" i="6"/>
  <c r="N359" i="6"/>
  <c r="N367" i="6"/>
  <c r="N371" i="6"/>
  <c r="N362" i="6"/>
  <c r="N360" i="6"/>
  <c r="N365" i="6"/>
  <c r="N374" i="6"/>
  <c r="N372" i="6"/>
  <c r="N364" i="6"/>
  <c r="N423" i="6"/>
  <c r="O423" i="6" s="1"/>
  <c r="N415" i="6"/>
  <c r="N426" i="6"/>
  <c r="N422" i="6"/>
  <c r="N413" i="6"/>
  <c r="N427" i="6"/>
  <c r="N417" i="6"/>
  <c r="N425" i="6"/>
  <c r="N419" i="6"/>
  <c r="N424" i="6"/>
  <c r="N416" i="6"/>
  <c r="N421" i="6"/>
  <c r="N414" i="6"/>
  <c r="N418" i="6"/>
  <c r="N420" i="6"/>
  <c r="N412" i="6"/>
  <c r="N186" i="6"/>
  <c r="N188" i="6"/>
  <c r="N187" i="6"/>
  <c r="N191" i="6"/>
  <c r="N192" i="6"/>
  <c r="N194" i="6"/>
  <c r="N182" i="6"/>
  <c r="N183" i="6"/>
  <c r="N199" i="6"/>
  <c r="N198" i="6"/>
  <c r="N190" i="6"/>
  <c r="N189" i="6"/>
  <c r="N180" i="6"/>
  <c r="N195" i="6"/>
  <c r="N193" i="6"/>
  <c r="N197" i="6"/>
  <c r="N184" i="6"/>
  <c r="N185" i="6"/>
  <c r="N181" i="6"/>
  <c r="N196" i="6"/>
  <c r="N576" i="6"/>
  <c r="N577" i="6"/>
  <c r="N570" i="6"/>
  <c r="N584" i="6"/>
  <c r="N592" i="6"/>
  <c r="N575" i="6"/>
  <c r="N582" i="6"/>
  <c r="N574" i="6"/>
  <c r="N585" i="6"/>
  <c r="N590" i="6"/>
  <c r="N578" i="6"/>
  <c r="N594" i="6"/>
  <c r="N581" i="6"/>
  <c r="N593" i="6"/>
  <c r="N586" i="6"/>
  <c r="N579" i="6"/>
  <c r="N573" i="6"/>
  <c r="N571" i="6"/>
  <c r="N572" i="6"/>
  <c r="N583" i="6"/>
  <c r="N587" i="6"/>
  <c r="N591" i="6"/>
  <c r="N588" i="6"/>
  <c r="N580" i="6"/>
  <c r="N589" i="6"/>
  <c r="O589" i="6" s="1"/>
  <c r="N123" i="6"/>
  <c r="N125" i="6"/>
  <c r="N122" i="6"/>
  <c r="N116" i="6"/>
  <c r="N114" i="6"/>
  <c r="N124" i="6"/>
  <c r="N130" i="6"/>
  <c r="N121" i="6"/>
  <c r="N129" i="6"/>
  <c r="N113" i="6"/>
  <c r="N119" i="6"/>
  <c r="N115" i="6"/>
  <c r="N118" i="6"/>
  <c r="N127" i="6"/>
  <c r="N126" i="6"/>
  <c r="N128" i="6"/>
  <c r="N117" i="6"/>
  <c r="N120" i="6"/>
  <c r="N246" i="6"/>
  <c r="N260" i="6"/>
  <c r="N256" i="6"/>
  <c r="N239" i="6"/>
  <c r="N247" i="6"/>
  <c r="N245" i="6"/>
  <c r="N249" i="6"/>
  <c r="N238" i="6"/>
  <c r="N251" i="6"/>
  <c r="N252" i="6"/>
  <c r="N244" i="6"/>
  <c r="N258" i="6"/>
  <c r="N254" i="6"/>
  <c r="N261" i="6"/>
  <c r="N240" i="6"/>
  <c r="N250" i="6"/>
  <c r="N241" i="6"/>
  <c r="N259" i="6"/>
  <c r="N248" i="6"/>
  <c r="N253" i="6"/>
  <c r="N242" i="6"/>
  <c r="N255" i="6"/>
  <c r="N243" i="6"/>
  <c r="N257" i="6"/>
  <c r="N320" i="6"/>
  <c r="N314" i="6"/>
  <c r="N306" i="6"/>
  <c r="N313" i="6"/>
  <c r="N309" i="6"/>
  <c r="N307" i="6"/>
  <c r="N321" i="6"/>
  <c r="N319" i="6"/>
  <c r="N312" i="6"/>
  <c r="N317" i="6"/>
  <c r="N316" i="6"/>
  <c r="N308" i="6"/>
  <c r="N311" i="6"/>
  <c r="N315" i="6"/>
  <c r="N318" i="6"/>
  <c r="N310" i="6"/>
  <c r="N505" i="6"/>
  <c r="N523" i="6"/>
  <c r="O523" i="6" s="1"/>
  <c r="N520" i="6"/>
  <c r="N511" i="6"/>
  <c r="N506" i="6"/>
  <c r="N513" i="6"/>
  <c r="N507" i="6"/>
  <c r="N514" i="6"/>
  <c r="N510" i="6"/>
  <c r="N518" i="6"/>
  <c r="N509" i="6"/>
  <c r="N517" i="6"/>
  <c r="N522" i="6"/>
  <c r="N519" i="6"/>
  <c r="N508" i="6"/>
  <c r="N525" i="6"/>
  <c r="N516" i="6"/>
  <c r="N521" i="6"/>
  <c r="O521" i="6" s="1"/>
  <c r="N515" i="6"/>
  <c r="N524" i="6"/>
  <c r="N512" i="6"/>
  <c r="N3" i="6"/>
  <c r="N6" i="6"/>
  <c r="N12" i="6"/>
  <c r="N9" i="6"/>
  <c r="N7" i="6"/>
  <c r="N11" i="6"/>
  <c r="N4" i="6"/>
  <c r="N10" i="6"/>
  <c r="N13" i="6"/>
  <c r="N5" i="6"/>
  <c r="N2" i="6"/>
  <c r="N8" i="6"/>
  <c r="N402" i="6"/>
  <c r="R3" i="3"/>
  <c r="R4" i="3"/>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0" i="3"/>
  <c r="R51" i="3"/>
  <c r="R52" i="3"/>
  <c r="R53" i="3"/>
  <c r="R54" i="3"/>
  <c r="R55" i="3"/>
  <c r="R56" i="3"/>
  <c r="R57" i="3"/>
  <c r="R58" i="3"/>
  <c r="R59" i="3"/>
  <c r="R60" i="3"/>
  <c r="R61" i="3"/>
  <c r="R62" i="3"/>
  <c r="R63" i="3"/>
  <c r="R64" i="3"/>
  <c r="R65" i="3"/>
  <c r="R66" i="3"/>
  <c r="R67" i="3"/>
  <c r="R68" i="3"/>
  <c r="R69" i="3"/>
  <c r="R70" i="3"/>
  <c r="R71" i="3"/>
  <c r="R72" i="3"/>
  <c r="R73" i="3"/>
  <c r="R74" i="3"/>
  <c r="R75" i="3"/>
  <c r="R76" i="3"/>
  <c r="R77" i="3"/>
  <c r="R78" i="3"/>
  <c r="R79" i="3"/>
  <c r="R80" i="3"/>
  <c r="R81" i="3"/>
  <c r="R82" i="3"/>
  <c r="R83" i="3"/>
  <c r="R84" i="3"/>
  <c r="R85" i="3"/>
  <c r="R86" i="3"/>
  <c r="R87" i="3"/>
  <c r="R88" i="3"/>
  <c r="R89" i="3"/>
  <c r="R90" i="3"/>
  <c r="R91" i="3"/>
  <c r="R92" i="3"/>
  <c r="R93" i="3"/>
  <c r="R94" i="3"/>
  <c r="R95" i="3"/>
  <c r="R96" i="3"/>
  <c r="R97" i="3"/>
  <c r="R98" i="3"/>
  <c r="R99" i="3"/>
  <c r="R100" i="3"/>
  <c r="R101" i="3"/>
  <c r="R102" i="3"/>
  <c r="R103" i="3"/>
  <c r="R104" i="3"/>
  <c r="R105" i="3"/>
  <c r="R106" i="3"/>
  <c r="R107" i="3"/>
  <c r="R108" i="3"/>
  <c r="R109" i="3"/>
  <c r="R110" i="3"/>
  <c r="R111" i="3"/>
  <c r="R112" i="3"/>
  <c r="R113" i="3"/>
  <c r="R114" i="3"/>
  <c r="R115" i="3"/>
  <c r="R116" i="3"/>
  <c r="R117" i="3"/>
  <c r="R118" i="3"/>
  <c r="R119" i="3"/>
  <c r="R120" i="3"/>
  <c r="R121" i="3"/>
  <c r="R122" i="3"/>
  <c r="R123" i="3"/>
  <c r="R124" i="3"/>
  <c r="R125" i="3"/>
  <c r="R126" i="3"/>
  <c r="R127" i="3"/>
  <c r="R128" i="3"/>
  <c r="R129" i="3"/>
  <c r="R130" i="3"/>
  <c r="R131" i="3"/>
  <c r="R132" i="3"/>
  <c r="R133" i="3"/>
  <c r="R134" i="3"/>
  <c r="R135" i="3"/>
  <c r="R136" i="3"/>
  <c r="R137" i="3"/>
  <c r="R138" i="3"/>
  <c r="R139" i="3"/>
  <c r="R140" i="3"/>
  <c r="R141" i="3"/>
  <c r="R142" i="3"/>
  <c r="R143" i="3"/>
  <c r="R144" i="3"/>
  <c r="R145" i="3"/>
  <c r="R146" i="3"/>
  <c r="R147" i="3"/>
  <c r="R148" i="3"/>
  <c r="R149" i="3"/>
  <c r="R150" i="3"/>
  <c r="R151" i="3"/>
  <c r="R152" i="3"/>
  <c r="R153" i="3"/>
  <c r="R154" i="3"/>
  <c r="R155" i="3"/>
  <c r="R156" i="3"/>
  <c r="R157" i="3"/>
  <c r="R158" i="3"/>
  <c r="R159" i="3"/>
  <c r="R160" i="3"/>
  <c r="R161" i="3"/>
  <c r="R162" i="3"/>
  <c r="R163" i="3"/>
  <c r="R164" i="3"/>
  <c r="R165" i="3"/>
  <c r="R166" i="3"/>
  <c r="R167" i="3"/>
  <c r="R168" i="3"/>
  <c r="R169" i="3"/>
  <c r="R170" i="3"/>
  <c r="R171" i="3"/>
  <c r="R172" i="3"/>
  <c r="R173" i="3"/>
  <c r="R174" i="3"/>
  <c r="R175" i="3"/>
  <c r="R176" i="3"/>
  <c r="R177" i="3"/>
  <c r="R178" i="3"/>
  <c r="R179" i="3"/>
  <c r="R180" i="3"/>
  <c r="R181" i="3"/>
  <c r="R182" i="3"/>
  <c r="R183" i="3"/>
  <c r="R184" i="3"/>
  <c r="R185" i="3"/>
  <c r="R186" i="3"/>
  <c r="R187" i="3"/>
  <c r="R188" i="3"/>
  <c r="R189" i="3"/>
  <c r="R190" i="3"/>
  <c r="R191" i="3"/>
  <c r="R192" i="3"/>
  <c r="R193" i="3"/>
  <c r="R194" i="3"/>
  <c r="R195" i="3"/>
  <c r="R196" i="3"/>
  <c r="R197" i="3"/>
  <c r="R198" i="3"/>
  <c r="R199" i="3"/>
  <c r="R200" i="3"/>
  <c r="R201" i="3"/>
  <c r="R202" i="3"/>
  <c r="R203" i="3"/>
  <c r="R204" i="3"/>
  <c r="R205" i="3"/>
  <c r="R206" i="3"/>
  <c r="R207" i="3"/>
  <c r="R208" i="3"/>
  <c r="R209" i="3"/>
  <c r="R210" i="3"/>
  <c r="R211" i="3"/>
  <c r="R212" i="3"/>
  <c r="R213" i="3"/>
  <c r="R214" i="3"/>
  <c r="R215" i="3"/>
  <c r="R216" i="3"/>
  <c r="R217" i="3"/>
  <c r="R218" i="3"/>
  <c r="R219" i="3"/>
  <c r="R220" i="3"/>
  <c r="R221" i="3"/>
  <c r="R222" i="3"/>
  <c r="R223" i="3"/>
  <c r="R224" i="3"/>
  <c r="R225" i="3"/>
  <c r="R226" i="3"/>
  <c r="R227" i="3"/>
  <c r="R228" i="3"/>
  <c r="R229" i="3"/>
  <c r="R230" i="3"/>
  <c r="R231" i="3"/>
  <c r="R232" i="3"/>
  <c r="R233" i="3"/>
  <c r="R234" i="3"/>
  <c r="R235" i="3"/>
  <c r="R236" i="3"/>
  <c r="R237" i="3"/>
  <c r="R238" i="3"/>
  <c r="R239" i="3"/>
  <c r="R240" i="3"/>
  <c r="R241" i="3"/>
  <c r="R242" i="3"/>
  <c r="R243" i="3"/>
  <c r="R244" i="3"/>
  <c r="R245" i="3"/>
  <c r="R246" i="3"/>
  <c r="R247" i="3"/>
  <c r="R248" i="3"/>
  <c r="R249" i="3"/>
  <c r="R250" i="3"/>
  <c r="R251" i="3"/>
  <c r="R252" i="3"/>
  <c r="R253" i="3"/>
  <c r="R254" i="3"/>
  <c r="R255" i="3"/>
  <c r="R256" i="3"/>
  <c r="R257" i="3"/>
  <c r="R258" i="3"/>
  <c r="R259" i="3"/>
  <c r="R260" i="3"/>
  <c r="R261" i="3"/>
  <c r="R262" i="3"/>
  <c r="R263" i="3"/>
  <c r="R264" i="3"/>
  <c r="R265" i="3"/>
  <c r="R266" i="3"/>
  <c r="R267" i="3"/>
  <c r="R268" i="3"/>
  <c r="R269" i="3"/>
  <c r="R270" i="3"/>
  <c r="R271" i="3"/>
  <c r="R272" i="3"/>
  <c r="R273" i="3"/>
  <c r="R274" i="3"/>
  <c r="R275" i="3"/>
  <c r="R276" i="3"/>
  <c r="R277" i="3"/>
  <c r="R278" i="3"/>
  <c r="R279" i="3"/>
  <c r="R280" i="3"/>
  <c r="R281" i="3"/>
  <c r="R282" i="3"/>
  <c r="R283" i="3"/>
  <c r="R284" i="3"/>
  <c r="R285" i="3"/>
  <c r="R286" i="3"/>
  <c r="R287" i="3"/>
  <c r="R288" i="3"/>
  <c r="R289" i="3"/>
  <c r="R290" i="3"/>
  <c r="R291" i="3"/>
  <c r="R292" i="3"/>
  <c r="R293" i="3"/>
  <c r="R294" i="3"/>
  <c r="R295" i="3"/>
  <c r="R296" i="3"/>
  <c r="R297" i="3"/>
  <c r="R298" i="3"/>
  <c r="R299" i="3"/>
  <c r="R300" i="3"/>
  <c r="R301" i="3"/>
  <c r="R302" i="3"/>
  <c r="R303" i="3"/>
  <c r="R304" i="3"/>
  <c r="R305" i="3"/>
  <c r="R306" i="3"/>
  <c r="R307" i="3"/>
  <c r="R308" i="3"/>
  <c r="R309" i="3"/>
  <c r="R310" i="3"/>
  <c r="R311" i="3"/>
  <c r="R312" i="3"/>
  <c r="R313" i="3"/>
  <c r="R314" i="3"/>
  <c r="R315" i="3"/>
  <c r="R316" i="3"/>
  <c r="R317" i="3"/>
  <c r="R318" i="3"/>
  <c r="R319" i="3"/>
  <c r="R320" i="3"/>
  <c r="R321" i="3"/>
  <c r="R322" i="3"/>
  <c r="R323" i="3"/>
  <c r="R324" i="3"/>
  <c r="R325" i="3"/>
  <c r="R326" i="3"/>
  <c r="R327" i="3"/>
  <c r="R328" i="3"/>
  <c r="R329" i="3"/>
  <c r="R330" i="3"/>
  <c r="R331" i="3"/>
  <c r="R332" i="3"/>
  <c r="R333" i="3"/>
  <c r="R334" i="3"/>
  <c r="R335" i="3"/>
  <c r="R336" i="3"/>
  <c r="R337" i="3"/>
  <c r="R338" i="3"/>
  <c r="R339" i="3"/>
  <c r="R340" i="3"/>
  <c r="R341" i="3"/>
  <c r="R342" i="3"/>
  <c r="R343" i="3"/>
  <c r="R344" i="3"/>
  <c r="R345" i="3"/>
  <c r="R346" i="3"/>
  <c r="R347" i="3"/>
  <c r="R348" i="3"/>
  <c r="R349" i="3"/>
  <c r="R350" i="3"/>
  <c r="R351" i="3"/>
  <c r="R352" i="3"/>
  <c r="R353" i="3"/>
  <c r="R354" i="3"/>
  <c r="R355" i="3"/>
  <c r="R356" i="3"/>
  <c r="R357" i="3"/>
  <c r="R358" i="3"/>
  <c r="R359" i="3"/>
  <c r="R360" i="3"/>
  <c r="R361" i="3"/>
  <c r="R362" i="3"/>
  <c r="R363" i="3"/>
  <c r="R364" i="3"/>
  <c r="R365" i="3"/>
  <c r="R366" i="3"/>
  <c r="R367" i="3"/>
  <c r="R368" i="3"/>
  <c r="R369" i="3"/>
  <c r="R370" i="3"/>
  <c r="R371" i="3"/>
  <c r="R372" i="3"/>
  <c r="R373" i="3"/>
  <c r="R374" i="3"/>
  <c r="R375" i="3"/>
  <c r="R376" i="3"/>
  <c r="R377" i="3"/>
  <c r="R378" i="3"/>
  <c r="R379" i="3"/>
  <c r="R380" i="3"/>
  <c r="R381" i="3"/>
  <c r="R382" i="3"/>
  <c r="R383" i="3"/>
  <c r="R384" i="3"/>
  <c r="R385" i="3"/>
  <c r="R386" i="3"/>
  <c r="R387" i="3"/>
  <c r="R388" i="3"/>
  <c r="R389" i="3"/>
  <c r="R390" i="3"/>
  <c r="R391" i="3"/>
  <c r="R392" i="3"/>
  <c r="R393" i="3"/>
  <c r="R394" i="3"/>
  <c r="R395" i="3"/>
  <c r="R396" i="3"/>
  <c r="R397" i="3"/>
  <c r="R398" i="3"/>
  <c r="R399" i="3"/>
  <c r="R400" i="3"/>
  <c r="R401" i="3"/>
  <c r="R402" i="3"/>
  <c r="R403" i="3"/>
  <c r="R404" i="3"/>
  <c r="R405" i="3"/>
  <c r="R406" i="3"/>
  <c r="R407" i="3"/>
  <c r="R408" i="3"/>
  <c r="R409" i="3"/>
  <c r="R410" i="3"/>
  <c r="R411" i="3"/>
  <c r="R412" i="3"/>
  <c r="R413" i="3"/>
  <c r="R414" i="3"/>
  <c r="R415" i="3"/>
  <c r="R416" i="3"/>
  <c r="R417" i="3"/>
  <c r="R418" i="3"/>
  <c r="R419" i="3"/>
  <c r="R420" i="3"/>
  <c r="R421" i="3"/>
  <c r="R422" i="3"/>
  <c r="R423" i="3"/>
  <c r="R424" i="3"/>
  <c r="R425" i="3"/>
  <c r="R426" i="3"/>
  <c r="R427" i="3"/>
  <c r="R428" i="3"/>
  <c r="R429" i="3"/>
  <c r="R430" i="3"/>
  <c r="R431" i="3"/>
  <c r="R432" i="3"/>
  <c r="R433" i="3"/>
  <c r="R434" i="3"/>
  <c r="R435" i="3"/>
  <c r="R436" i="3"/>
  <c r="R437" i="3"/>
  <c r="R438" i="3"/>
  <c r="R439" i="3"/>
  <c r="R440" i="3"/>
  <c r="R441" i="3"/>
  <c r="R442" i="3"/>
  <c r="R443" i="3"/>
  <c r="R444" i="3"/>
  <c r="R445" i="3"/>
  <c r="R446" i="3"/>
  <c r="R447" i="3"/>
  <c r="R448" i="3"/>
  <c r="R449" i="3"/>
  <c r="R450" i="3"/>
  <c r="R451" i="3"/>
  <c r="R452" i="3"/>
  <c r="R453" i="3"/>
  <c r="R454" i="3"/>
  <c r="R455" i="3"/>
  <c r="R456" i="3"/>
  <c r="R457" i="3"/>
  <c r="R458" i="3"/>
  <c r="R459" i="3"/>
  <c r="R460" i="3"/>
  <c r="R461" i="3"/>
  <c r="R462" i="3"/>
  <c r="R463" i="3"/>
  <c r="R464" i="3"/>
  <c r="R465" i="3"/>
  <c r="R466" i="3"/>
  <c r="R467" i="3"/>
  <c r="R468" i="3"/>
  <c r="R469" i="3"/>
  <c r="R470" i="3"/>
  <c r="R471" i="3"/>
  <c r="R472" i="3"/>
  <c r="R473" i="3"/>
  <c r="R474" i="3"/>
  <c r="R475" i="3"/>
  <c r="R476" i="3"/>
  <c r="R477" i="3"/>
  <c r="R478" i="3"/>
  <c r="R479" i="3"/>
  <c r="R480" i="3"/>
  <c r="R481" i="3"/>
  <c r="R482" i="3"/>
  <c r="R483" i="3"/>
  <c r="R484" i="3"/>
  <c r="R485" i="3"/>
  <c r="R486" i="3"/>
  <c r="R487" i="3"/>
  <c r="R488" i="3"/>
  <c r="R489" i="3"/>
  <c r="R490" i="3"/>
  <c r="R491" i="3"/>
  <c r="R492" i="3"/>
  <c r="R493" i="3"/>
  <c r="R494" i="3"/>
  <c r="R495" i="3"/>
  <c r="R496" i="3"/>
  <c r="R497" i="3"/>
  <c r="R498" i="3"/>
  <c r="R499" i="3"/>
  <c r="R500" i="3"/>
  <c r="R501" i="3"/>
  <c r="R502" i="3"/>
  <c r="R503" i="3"/>
  <c r="R504" i="3"/>
  <c r="R505" i="3"/>
  <c r="R506" i="3"/>
  <c r="R507" i="3"/>
  <c r="R508" i="3"/>
  <c r="R509" i="3"/>
  <c r="R510" i="3"/>
  <c r="R511" i="3"/>
  <c r="R512" i="3"/>
  <c r="R513" i="3"/>
  <c r="R514" i="3"/>
  <c r="R515" i="3"/>
  <c r="R516" i="3"/>
  <c r="R517" i="3"/>
  <c r="R518" i="3"/>
  <c r="R519" i="3"/>
  <c r="R520" i="3"/>
  <c r="R521" i="3"/>
  <c r="R522" i="3"/>
  <c r="R523" i="3"/>
  <c r="R524" i="3"/>
  <c r="R525" i="3"/>
  <c r="R526" i="3"/>
  <c r="R527" i="3"/>
  <c r="R528" i="3"/>
  <c r="R529" i="3"/>
  <c r="R530" i="3"/>
  <c r="R531" i="3"/>
  <c r="R532" i="3"/>
  <c r="R533" i="3"/>
  <c r="R534" i="3"/>
  <c r="R535" i="3"/>
  <c r="R536" i="3"/>
  <c r="R537" i="3"/>
  <c r="R538" i="3"/>
  <c r="R539" i="3"/>
  <c r="R540" i="3"/>
  <c r="R541" i="3"/>
  <c r="R542" i="3"/>
  <c r="R543" i="3"/>
  <c r="R544" i="3"/>
  <c r="R545" i="3"/>
  <c r="R546" i="3"/>
  <c r="R547" i="3"/>
  <c r="R548" i="3"/>
  <c r="R549" i="3"/>
  <c r="R550" i="3"/>
  <c r="R551" i="3"/>
  <c r="R552" i="3"/>
  <c r="R553" i="3"/>
  <c r="R554" i="3"/>
  <c r="R555" i="3"/>
  <c r="R556" i="3"/>
  <c r="R557" i="3"/>
  <c r="R558" i="3"/>
  <c r="R559" i="3"/>
  <c r="R560" i="3"/>
  <c r="R561" i="3"/>
  <c r="R562" i="3"/>
  <c r="R563" i="3"/>
  <c r="R564" i="3"/>
  <c r="R565" i="3"/>
  <c r="R566" i="3"/>
  <c r="R567" i="3"/>
  <c r="R568" i="3"/>
  <c r="R569" i="3"/>
  <c r="R570" i="3"/>
  <c r="R571" i="3"/>
  <c r="R572" i="3"/>
  <c r="R573" i="3"/>
  <c r="R574" i="3"/>
  <c r="R575" i="3"/>
  <c r="R576" i="3"/>
  <c r="R577" i="3"/>
  <c r="R578" i="3"/>
  <c r="R579" i="3"/>
  <c r="R580" i="3"/>
  <c r="R581" i="3"/>
  <c r="R582" i="3"/>
  <c r="R583" i="3"/>
  <c r="R584" i="3"/>
  <c r="R585" i="3"/>
  <c r="R586" i="3"/>
  <c r="R587" i="3"/>
  <c r="R588" i="3"/>
  <c r="R589" i="3"/>
  <c r="R590" i="3"/>
  <c r="R591" i="3"/>
  <c r="R592" i="3"/>
  <c r="R593" i="3"/>
  <c r="R594" i="3"/>
  <c r="R595" i="3"/>
  <c r="R596" i="3"/>
  <c r="R597" i="3"/>
  <c r="R598" i="3"/>
  <c r="R599" i="3"/>
  <c r="R600" i="3"/>
  <c r="R601" i="3"/>
  <c r="R602" i="3"/>
  <c r="R603" i="3"/>
  <c r="R604" i="3"/>
  <c r="R605" i="3"/>
  <c r="R606" i="3"/>
  <c r="R607" i="3"/>
  <c r="R608" i="3"/>
  <c r="R609" i="3"/>
  <c r="R610" i="3"/>
  <c r="R611" i="3"/>
  <c r="R612" i="3"/>
  <c r="R613" i="3"/>
  <c r="R614" i="3"/>
  <c r="R615" i="3"/>
  <c r="R616" i="3"/>
  <c r="R617" i="3"/>
  <c r="R618" i="3"/>
  <c r="R619" i="3"/>
  <c r="R620" i="3"/>
  <c r="R621" i="3"/>
  <c r="R622" i="3"/>
  <c r="R623" i="3"/>
  <c r="R624" i="3"/>
  <c r="R625" i="3"/>
  <c r="R626" i="3"/>
  <c r="R627" i="3"/>
  <c r="R628" i="3"/>
  <c r="R629" i="3"/>
  <c r="R630" i="3"/>
  <c r="R631" i="3"/>
  <c r="R632" i="3"/>
  <c r="R2" i="3"/>
  <c r="V3" i="3"/>
  <c r="V4" i="3"/>
  <c r="V5" i="3"/>
  <c r="V6" i="3"/>
  <c r="V7" i="3"/>
  <c r="V8" i="3"/>
  <c r="V9" i="3"/>
  <c r="V10" i="3"/>
  <c r="V11" i="3"/>
  <c r="V12" i="3"/>
  <c r="V13" i="3"/>
  <c r="V14" i="3"/>
  <c r="V15" i="3"/>
  <c r="V16" i="3"/>
  <c r="V17" i="3"/>
  <c r="V18" i="3"/>
  <c r="V19" i="3"/>
  <c r="V20" i="3"/>
  <c r="V21" i="3"/>
  <c r="V22" i="3"/>
  <c r="V23" i="3"/>
  <c r="V24" i="3"/>
  <c r="V25" i="3"/>
  <c r="V26" i="3"/>
  <c r="V27" i="3"/>
  <c r="V28" i="3"/>
  <c r="V29" i="3"/>
  <c r="V30" i="3"/>
  <c r="V31" i="3"/>
  <c r="V32" i="3"/>
  <c r="V33" i="3"/>
  <c r="V34" i="3"/>
  <c r="V35" i="3"/>
  <c r="V36" i="3"/>
  <c r="V37" i="3"/>
  <c r="V38" i="3"/>
  <c r="V39" i="3"/>
  <c r="V40" i="3"/>
  <c r="V41" i="3"/>
  <c r="V42" i="3"/>
  <c r="V43" i="3"/>
  <c r="V44" i="3"/>
  <c r="V45" i="3"/>
  <c r="V46" i="3"/>
  <c r="V47" i="3"/>
  <c r="V48" i="3"/>
  <c r="V49" i="3"/>
  <c r="V50" i="3"/>
  <c r="V51" i="3"/>
  <c r="V52" i="3"/>
  <c r="V53" i="3"/>
  <c r="V54" i="3"/>
  <c r="V55" i="3"/>
  <c r="V56" i="3"/>
  <c r="V57" i="3"/>
  <c r="V58" i="3"/>
  <c r="V59" i="3"/>
  <c r="V60" i="3"/>
  <c r="V61" i="3"/>
  <c r="V62" i="3"/>
  <c r="V63" i="3"/>
  <c r="V64" i="3"/>
  <c r="V65" i="3"/>
  <c r="V66" i="3"/>
  <c r="V67" i="3"/>
  <c r="V68" i="3"/>
  <c r="V69" i="3"/>
  <c r="V70" i="3"/>
  <c r="V71" i="3"/>
  <c r="V72" i="3"/>
  <c r="V73" i="3"/>
  <c r="V74" i="3"/>
  <c r="V75" i="3"/>
  <c r="V76" i="3"/>
  <c r="V77" i="3"/>
  <c r="V78" i="3"/>
  <c r="V79" i="3"/>
  <c r="V80" i="3"/>
  <c r="V81" i="3"/>
  <c r="V82" i="3"/>
  <c r="V83" i="3"/>
  <c r="V84" i="3"/>
  <c r="V85" i="3"/>
  <c r="V86" i="3"/>
  <c r="V87" i="3"/>
  <c r="V88" i="3"/>
  <c r="V89" i="3"/>
  <c r="V90" i="3"/>
  <c r="V91" i="3"/>
  <c r="V92" i="3"/>
  <c r="V93" i="3"/>
  <c r="V94" i="3"/>
  <c r="V95" i="3"/>
  <c r="V96" i="3"/>
  <c r="V97" i="3"/>
  <c r="V98" i="3"/>
  <c r="V99" i="3"/>
  <c r="V100" i="3"/>
  <c r="V101" i="3"/>
  <c r="V102" i="3"/>
  <c r="V103" i="3"/>
  <c r="V104" i="3"/>
  <c r="V105" i="3"/>
  <c r="V106" i="3"/>
  <c r="V107" i="3"/>
  <c r="V108" i="3"/>
  <c r="V109" i="3"/>
  <c r="V110" i="3"/>
  <c r="V111" i="3"/>
  <c r="V112" i="3"/>
  <c r="V113" i="3"/>
  <c r="V114" i="3"/>
  <c r="V115" i="3"/>
  <c r="V116" i="3"/>
  <c r="V117" i="3"/>
  <c r="V118" i="3"/>
  <c r="V119" i="3"/>
  <c r="V120" i="3"/>
  <c r="V121" i="3"/>
  <c r="V122" i="3"/>
  <c r="V123" i="3"/>
  <c r="V124" i="3"/>
  <c r="V125" i="3"/>
  <c r="V126" i="3"/>
  <c r="V127" i="3"/>
  <c r="V128" i="3"/>
  <c r="V129" i="3"/>
  <c r="V130" i="3"/>
  <c r="V131" i="3"/>
  <c r="V132" i="3"/>
  <c r="V133" i="3"/>
  <c r="V134" i="3"/>
  <c r="V135" i="3"/>
  <c r="V136" i="3"/>
  <c r="V137" i="3"/>
  <c r="V138" i="3"/>
  <c r="V139" i="3"/>
  <c r="V140" i="3"/>
  <c r="V141" i="3"/>
  <c r="V142" i="3"/>
  <c r="V143" i="3"/>
  <c r="V144" i="3"/>
  <c r="V145" i="3"/>
  <c r="V146" i="3"/>
  <c r="V147" i="3"/>
  <c r="V148" i="3"/>
  <c r="V149" i="3"/>
  <c r="V150" i="3"/>
  <c r="V151" i="3"/>
  <c r="V152" i="3"/>
  <c r="V153" i="3"/>
  <c r="V154" i="3"/>
  <c r="V155" i="3"/>
  <c r="V156" i="3"/>
  <c r="V157" i="3"/>
  <c r="V158" i="3"/>
  <c r="V159" i="3"/>
  <c r="V160" i="3"/>
  <c r="V161" i="3"/>
  <c r="V162" i="3"/>
  <c r="V163" i="3"/>
  <c r="V164" i="3"/>
  <c r="V165" i="3"/>
  <c r="V166" i="3"/>
  <c r="V167" i="3"/>
  <c r="V168" i="3"/>
  <c r="V169" i="3"/>
  <c r="V170" i="3"/>
  <c r="V171" i="3"/>
  <c r="V172" i="3"/>
  <c r="V173" i="3"/>
  <c r="V174" i="3"/>
  <c r="V175" i="3"/>
  <c r="V176" i="3"/>
  <c r="V177" i="3"/>
  <c r="V178" i="3"/>
  <c r="V179" i="3"/>
  <c r="V180" i="3"/>
  <c r="V181" i="3"/>
  <c r="V182" i="3"/>
  <c r="V183" i="3"/>
  <c r="V184" i="3"/>
  <c r="V185" i="3"/>
  <c r="V186" i="3"/>
  <c r="V187" i="3"/>
  <c r="V188" i="3"/>
  <c r="V189" i="3"/>
  <c r="V190" i="3"/>
  <c r="V191" i="3"/>
  <c r="V192" i="3"/>
  <c r="V193" i="3"/>
  <c r="V194" i="3"/>
  <c r="V195" i="3"/>
  <c r="V196" i="3"/>
  <c r="V197" i="3"/>
  <c r="V198" i="3"/>
  <c r="V199" i="3"/>
  <c r="V200" i="3"/>
  <c r="V201" i="3"/>
  <c r="V202" i="3"/>
  <c r="V203" i="3"/>
  <c r="V204" i="3"/>
  <c r="V205" i="3"/>
  <c r="V206" i="3"/>
  <c r="V207" i="3"/>
  <c r="V208" i="3"/>
  <c r="V209" i="3"/>
  <c r="V210" i="3"/>
  <c r="V211" i="3"/>
  <c r="V212" i="3"/>
  <c r="V213" i="3"/>
  <c r="V214" i="3"/>
  <c r="V215" i="3"/>
  <c r="V216" i="3"/>
  <c r="V217" i="3"/>
  <c r="V218" i="3"/>
  <c r="V219" i="3"/>
  <c r="V220" i="3"/>
  <c r="V221" i="3"/>
  <c r="V222" i="3"/>
  <c r="V223" i="3"/>
  <c r="V224" i="3"/>
  <c r="V225" i="3"/>
  <c r="V226" i="3"/>
  <c r="V227" i="3"/>
  <c r="V228" i="3"/>
  <c r="V229" i="3"/>
  <c r="V230" i="3"/>
  <c r="V231" i="3"/>
  <c r="V232" i="3"/>
  <c r="V233" i="3"/>
  <c r="V234" i="3"/>
  <c r="V235" i="3"/>
  <c r="V236" i="3"/>
  <c r="V237" i="3"/>
  <c r="V238" i="3"/>
  <c r="V239" i="3"/>
  <c r="V240" i="3"/>
  <c r="V241" i="3"/>
  <c r="V242" i="3"/>
  <c r="V243" i="3"/>
  <c r="V244" i="3"/>
  <c r="V245" i="3"/>
  <c r="V246" i="3"/>
  <c r="V247" i="3"/>
  <c r="V248" i="3"/>
  <c r="V249" i="3"/>
  <c r="V250" i="3"/>
  <c r="V251" i="3"/>
  <c r="V252" i="3"/>
  <c r="V253" i="3"/>
  <c r="V254" i="3"/>
  <c r="V255" i="3"/>
  <c r="V256" i="3"/>
  <c r="V257" i="3"/>
  <c r="V258" i="3"/>
  <c r="V259" i="3"/>
  <c r="V260" i="3"/>
  <c r="V261" i="3"/>
  <c r="V262" i="3"/>
  <c r="V263" i="3"/>
  <c r="V264" i="3"/>
  <c r="V265" i="3"/>
  <c r="V266" i="3"/>
  <c r="V267" i="3"/>
  <c r="V268" i="3"/>
  <c r="V269" i="3"/>
  <c r="V270" i="3"/>
  <c r="V271" i="3"/>
  <c r="V272" i="3"/>
  <c r="V273" i="3"/>
  <c r="V274" i="3"/>
  <c r="V275" i="3"/>
  <c r="V276" i="3"/>
  <c r="V277" i="3"/>
  <c r="V278" i="3"/>
  <c r="V279" i="3"/>
  <c r="V280" i="3"/>
  <c r="V281" i="3"/>
  <c r="V282" i="3"/>
  <c r="V283" i="3"/>
  <c r="V284" i="3"/>
  <c r="V285" i="3"/>
  <c r="V286" i="3"/>
  <c r="V287" i="3"/>
  <c r="V288" i="3"/>
  <c r="V289" i="3"/>
  <c r="V290" i="3"/>
  <c r="V291" i="3"/>
  <c r="V292" i="3"/>
  <c r="V293" i="3"/>
  <c r="V294" i="3"/>
  <c r="V295" i="3"/>
  <c r="V296" i="3"/>
  <c r="V297" i="3"/>
  <c r="V298" i="3"/>
  <c r="V299" i="3"/>
  <c r="V300" i="3"/>
  <c r="V301" i="3"/>
  <c r="V302" i="3"/>
  <c r="V303" i="3"/>
  <c r="V304" i="3"/>
  <c r="V305" i="3"/>
  <c r="V306" i="3"/>
  <c r="V307" i="3"/>
  <c r="V308" i="3"/>
  <c r="V309" i="3"/>
  <c r="V310" i="3"/>
  <c r="V311" i="3"/>
  <c r="V312" i="3"/>
  <c r="V313" i="3"/>
  <c r="V314" i="3"/>
  <c r="V315" i="3"/>
  <c r="V316" i="3"/>
  <c r="V317" i="3"/>
  <c r="V318" i="3"/>
  <c r="V319" i="3"/>
  <c r="V320" i="3"/>
  <c r="V321" i="3"/>
  <c r="V322" i="3"/>
  <c r="V323" i="3"/>
  <c r="V324" i="3"/>
  <c r="V325" i="3"/>
  <c r="V326" i="3"/>
  <c r="V327" i="3"/>
  <c r="V328" i="3"/>
  <c r="V329" i="3"/>
  <c r="V330" i="3"/>
  <c r="V331" i="3"/>
  <c r="V332" i="3"/>
  <c r="V333" i="3"/>
  <c r="V334" i="3"/>
  <c r="V335" i="3"/>
  <c r="V336" i="3"/>
  <c r="V337" i="3"/>
  <c r="V338" i="3"/>
  <c r="V339" i="3"/>
  <c r="V340" i="3"/>
  <c r="V341" i="3"/>
  <c r="V342" i="3"/>
  <c r="V343" i="3"/>
  <c r="V344" i="3"/>
  <c r="V345" i="3"/>
  <c r="V346" i="3"/>
  <c r="V347" i="3"/>
  <c r="V348" i="3"/>
  <c r="V349" i="3"/>
  <c r="V350" i="3"/>
  <c r="V351" i="3"/>
  <c r="V352" i="3"/>
  <c r="V353" i="3"/>
  <c r="V354" i="3"/>
  <c r="V355" i="3"/>
  <c r="V356" i="3"/>
  <c r="V357" i="3"/>
  <c r="V358" i="3"/>
  <c r="V359" i="3"/>
  <c r="V360" i="3"/>
  <c r="V361" i="3"/>
  <c r="V362" i="3"/>
  <c r="V363" i="3"/>
  <c r="V364" i="3"/>
  <c r="V365" i="3"/>
  <c r="V366" i="3"/>
  <c r="V367" i="3"/>
  <c r="V368" i="3"/>
  <c r="V369" i="3"/>
  <c r="V370" i="3"/>
  <c r="V371" i="3"/>
  <c r="V372" i="3"/>
  <c r="V373" i="3"/>
  <c r="V374" i="3"/>
  <c r="V375" i="3"/>
  <c r="V376" i="3"/>
  <c r="V377" i="3"/>
  <c r="V378" i="3"/>
  <c r="V379" i="3"/>
  <c r="V380" i="3"/>
  <c r="V381" i="3"/>
  <c r="V382" i="3"/>
  <c r="V383" i="3"/>
  <c r="V384" i="3"/>
  <c r="V385" i="3"/>
  <c r="V386" i="3"/>
  <c r="V387" i="3"/>
  <c r="V388" i="3"/>
  <c r="V389" i="3"/>
  <c r="V390" i="3"/>
  <c r="V391" i="3"/>
  <c r="V392" i="3"/>
  <c r="V393" i="3"/>
  <c r="V394" i="3"/>
  <c r="V395" i="3"/>
  <c r="V396" i="3"/>
  <c r="V397" i="3"/>
  <c r="V398" i="3"/>
  <c r="V399" i="3"/>
  <c r="V400" i="3"/>
  <c r="V401" i="3"/>
  <c r="V402" i="3"/>
  <c r="V403" i="3"/>
  <c r="V404" i="3"/>
  <c r="V405" i="3"/>
  <c r="V406" i="3"/>
  <c r="V407" i="3"/>
  <c r="V408" i="3"/>
  <c r="V409" i="3"/>
  <c r="V410" i="3"/>
  <c r="V411" i="3"/>
  <c r="V412" i="3"/>
  <c r="V413" i="3"/>
  <c r="V414" i="3"/>
  <c r="V415" i="3"/>
  <c r="V416" i="3"/>
  <c r="V417" i="3"/>
  <c r="V418" i="3"/>
  <c r="V419" i="3"/>
  <c r="V420" i="3"/>
  <c r="V421" i="3"/>
  <c r="V422" i="3"/>
  <c r="V423" i="3"/>
  <c r="V424" i="3"/>
  <c r="V425" i="3"/>
  <c r="V426" i="3"/>
  <c r="V427" i="3"/>
  <c r="V428" i="3"/>
  <c r="V429" i="3"/>
  <c r="V430" i="3"/>
  <c r="V431" i="3"/>
  <c r="V432" i="3"/>
  <c r="V433" i="3"/>
  <c r="V434" i="3"/>
  <c r="V435" i="3"/>
  <c r="V436" i="3"/>
  <c r="V437" i="3"/>
  <c r="V438" i="3"/>
  <c r="V439" i="3"/>
  <c r="V440" i="3"/>
  <c r="V441" i="3"/>
  <c r="V442" i="3"/>
  <c r="V443" i="3"/>
  <c r="V444" i="3"/>
  <c r="V445" i="3"/>
  <c r="V446" i="3"/>
  <c r="V447" i="3"/>
  <c r="V448" i="3"/>
  <c r="V449" i="3"/>
  <c r="V450" i="3"/>
  <c r="V451" i="3"/>
  <c r="V452" i="3"/>
  <c r="V453" i="3"/>
  <c r="V454" i="3"/>
  <c r="V455" i="3"/>
  <c r="V456" i="3"/>
  <c r="V457" i="3"/>
  <c r="V458" i="3"/>
  <c r="V459" i="3"/>
  <c r="V460" i="3"/>
  <c r="V461" i="3"/>
  <c r="V462" i="3"/>
  <c r="V463" i="3"/>
  <c r="V464" i="3"/>
  <c r="V465" i="3"/>
  <c r="V466" i="3"/>
  <c r="V467" i="3"/>
  <c r="V468" i="3"/>
  <c r="V469" i="3"/>
  <c r="V470" i="3"/>
  <c r="V471" i="3"/>
  <c r="V472" i="3"/>
  <c r="V473" i="3"/>
  <c r="V474" i="3"/>
  <c r="V475" i="3"/>
  <c r="V476" i="3"/>
  <c r="V477" i="3"/>
  <c r="V478" i="3"/>
  <c r="V479" i="3"/>
  <c r="V480" i="3"/>
  <c r="V481" i="3"/>
  <c r="V482" i="3"/>
  <c r="V483" i="3"/>
  <c r="V484" i="3"/>
  <c r="V485" i="3"/>
  <c r="V486" i="3"/>
  <c r="V487" i="3"/>
  <c r="V488" i="3"/>
  <c r="V489" i="3"/>
  <c r="V490" i="3"/>
  <c r="V491" i="3"/>
  <c r="V492" i="3"/>
  <c r="V493" i="3"/>
  <c r="V494" i="3"/>
  <c r="V495" i="3"/>
  <c r="V496" i="3"/>
  <c r="V497" i="3"/>
  <c r="V498" i="3"/>
  <c r="V499" i="3"/>
  <c r="V500" i="3"/>
  <c r="V501" i="3"/>
  <c r="V502" i="3"/>
  <c r="V503" i="3"/>
  <c r="V504" i="3"/>
  <c r="V505" i="3"/>
  <c r="V506" i="3"/>
  <c r="V507" i="3"/>
  <c r="V508" i="3"/>
  <c r="V509" i="3"/>
  <c r="V510" i="3"/>
  <c r="V511" i="3"/>
  <c r="V512" i="3"/>
  <c r="V513" i="3"/>
  <c r="V514" i="3"/>
  <c r="V515" i="3"/>
  <c r="V516" i="3"/>
  <c r="V517" i="3"/>
  <c r="V518" i="3"/>
  <c r="V519" i="3"/>
  <c r="V520" i="3"/>
  <c r="V521" i="3"/>
  <c r="V522" i="3"/>
  <c r="V523" i="3"/>
  <c r="V524" i="3"/>
  <c r="V525" i="3"/>
  <c r="V526" i="3"/>
  <c r="V527" i="3"/>
  <c r="V528" i="3"/>
  <c r="V529" i="3"/>
  <c r="V530" i="3"/>
  <c r="V531" i="3"/>
  <c r="V532" i="3"/>
  <c r="V533" i="3"/>
  <c r="V534" i="3"/>
  <c r="V535" i="3"/>
  <c r="V536" i="3"/>
  <c r="V537" i="3"/>
  <c r="V538" i="3"/>
  <c r="V539" i="3"/>
  <c r="V540" i="3"/>
  <c r="V541" i="3"/>
  <c r="V542" i="3"/>
  <c r="V543" i="3"/>
  <c r="V544" i="3"/>
  <c r="V545" i="3"/>
  <c r="V546" i="3"/>
  <c r="V547" i="3"/>
  <c r="V548" i="3"/>
  <c r="V549" i="3"/>
  <c r="V550" i="3"/>
  <c r="V551" i="3"/>
  <c r="V552" i="3"/>
  <c r="V553" i="3"/>
  <c r="V554" i="3"/>
  <c r="V555" i="3"/>
  <c r="V556" i="3"/>
  <c r="V557" i="3"/>
  <c r="V558" i="3"/>
  <c r="V559" i="3"/>
  <c r="V560" i="3"/>
  <c r="V561" i="3"/>
  <c r="V562" i="3"/>
  <c r="V563" i="3"/>
  <c r="V564" i="3"/>
  <c r="V565" i="3"/>
  <c r="V566" i="3"/>
  <c r="V567" i="3"/>
  <c r="V568" i="3"/>
  <c r="V569" i="3"/>
  <c r="V570" i="3"/>
  <c r="V571" i="3"/>
  <c r="V572" i="3"/>
  <c r="V573" i="3"/>
  <c r="V574" i="3"/>
  <c r="V575" i="3"/>
  <c r="V576" i="3"/>
  <c r="V577" i="3"/>
  <c r="V578" i="3"/>
  <c r="V579" i="3"/>
  <c r="V580" i="3"/>
  <c r="V581" i="3"/>
  <c r="V582" i="3"/>
  <c r="V583" i="3"/>
  <c r="V584" i="3"/>
  <c r="V585" i="3"/>
  <c r="V586" i="3"/>
  <c r="V587" i="3"/>
  <c r="V588" i="3"/>
  <c r="V589" i="3"/>
  <c r="V590" i="3"/>
  <c r="V591" i="3"/>
  <c r="V592" i="3"/>
  <c r="V593" i="3"/>
  <c r="V594" i="3"/>
  <c r="V595" i="3"/>
  <c r="V596" i="3"/>
  <c r="V597" i="3"/>
  <c r="V598" i="3"/>
  <c r="V599" i="3"/>
  <c r="V600" i="3"/>
  <c r="V601" i="3"/>
  <c r="V602" i="3"/>
  <c r="V603" i="3"/>
  <c r="V604" i="3"/>
  <c r="V605" i="3"/>
  <c r="V606" i="3"/>
  <c r="V607" i="3"/>
  <c r="V608" i="3"/>
  <c r="V609" i="3"/>
  <c r="V610" i="3"/>
  <c r="V611" i="3"/>
  <c r="V612" i="3"/>
  <c r="V613" i="3"/>
  <c r="V614" i="3"/>
  <c r="V615" i="3"/>
  <c r="V616" i="3"/>
  <c r="V617" i="3"/>
  <c r="V618" i="3"/>
  <c r="V619" i="3"/>
  <c r="V620" i="3"/>
  <c r="V621" i="3"/>
  <c r="V622" i="3"/>
  <c r="V623" i="3"/>
  <c r="V624" i="3"/>
  <c r="V625" i="3"/>
  <c r="V626" i="3"/>
  <c r="V627" i="3"/>
  <c r="V628" i="3"/>
  <c r="V629" i="3"/>
  <c r="V630" i="3"/>
  <c r="V631" i="3"/>
  <c r="V632" i="3"/>
  <c r="W9" i="3"/>
  <c r="W10" i="3"/>
  <c r="W11" i="3"/>
  <c r="W12" i="3"/>
  <c r="W13" i="3"/>
  <c r="W14" i="3"/>
  <c r="W15" i="3"/>
  <c r="W16" i="3"/>
  <c r="W17" i="3"/>
  <c r="W18" i="3"/>
  <c r="W19" i="3"/>
  <c r="W20" i="3"/>
  <c r="W21" i="3"/>
  <c r="W22" i="3"/>
  <c r="W23" i="3"/>
  <c r="W24" i="3"/>
  <c r="W25" i="3"/>
  <c r="W26" i="3"/>
  <c r="W27" i="3"/>
  <c r="W28" i="3"/>
  <c r="W29" i="3"/>
  <c r="W30" i="3"/>
  <c r="W31" i="3"/>
  <c r="W32" i="3"/>
  <c r="W33" i="3"/>
  <c r="W34" i="3"/>
  <c r="W35" i="3"/>
  <c r="W36" i="3"/>
  <c r="W37" i="3"/>
  <c r="W38" i="3"/>
  <c r="W39" i="3"/>
  <c r="W40" i="3"/>
  <c r="W41" i="3"/>
  <c r="W42" i="3"/>
  <c r="W43" i="3"/>
  <c r="W44" i="3"/>
  <c r="W45" i="3"/>
  <c r="W46" i="3"/>
  <c r="W47" i="3"/>
  <c r="W48" i="3"/>
  <c r="W49" i="3"/>
  <c r="W50" i="3"/>
  <c r="W51" i="3"/>
  <c r="W52" i="3"/>
  <c r="W53" i="3"/>
  <c r="W54" i="3"/>
  <c r="W55" i="3"/>
  <c r="W56" i="3"/>
  <c r="W57" i="3"/>
  <c r="W58" i="3"/>
  <c r="W59" i="3"/>
  <c r="W60" i="3"/>
  <c r="W61" i="3"/>
  <c r="W62" i="3"/>
  <c r="W63" i="3"/>
  <c r="W64" i="3"/>
  <c r="W65" i="3"/>
  <c r="W66" i="3"/>
  <c r="W67" i="3"/>
  <c r="W68" i="3"/>
  <c r="W69" i="3"/>
  <c r="W70" i="3"/>
  <c r="W71" i="3"/>
  <c r="W72" i="3"/>
  <c r="W73" i="3"/>
  <c r="W74" i="3"/>
  <c r="W75" i="3"/>
  <c r="W76" i="3"/>
  <c r="W77" i="3"/>
  <c r="W78" i="3"/>
  <c r="W79" i="3"/>
  <c r="W80" i="3"/>
  <c r="W81" i="3"/>
  <c r="W82" i="3"/>
  <c r="W83" i="3"/>
  <c r="W84" i="3"/>
  <c r="W85" i="3"/>
  <c r="W86" i="3"/>
  <c r="W87" i="3"/>
  <c r="W88" i="3"/>
  <c r="W89" i="3"/>
  <c r="W90" i="3"/>
  <c r="W91" i="3"/>
  <c r="W92" i="3"/>
  <c r="W93" i="3"/>
  <c r="W94" i="3"/>
  <c r="W95" i="3"/>
  <c r="W96" i="3"/>
  <c r="W97" i="3"/>
  <c r="W98" i="3"/>
  <c r="W99" i="3"/>
  <c r="W100" i="3"/>
  <c r="W101" i="3"/>
  <c r="W102" i="3"/>
  <c r="W103" i="3"/>
  <c r="W104" i="3"/>
  <c r="W105" i="3"/>
  <c r="W106" i="3"/>
  <c r="W107" i="3"/>
  <c r="W108" i="3"/>
  <c r="W109" i="3"/>
  <c r="W110" i="3"/>
  <c r="W111" i="3"/>
  <c r="W112" i="3"/>
  <c r="W113" i="3"/>
  <c r="W114" i="3"/>
  <c r="W115" i="3"/>
  <c r="W116" i="3"/>
  <c r="W117" i="3"/>
  <c r="W118" i="3"/>
  <c r="W119" i="3"/>
  <c r="W120" i="3"/>
  <c r="W121" i="3"/>
  <c r="W122" i="3"/>
  <c r="W123" i="3"/>
  <c r="W124" i="3"/>
  <c r="W125" i="3"/>
  <c r="W126" i="3"/>
  <c r="W127" i="3"/>
  <c r="W128" i="3"/>
  <c r="W129" i="3"/>
  <c r="W130" i="3"/>
  <c r="W131" i="3"/>
  <c r="W132" i="3"/>
  <c r="W133" i="3"/>
  <c r="W134" i="3"/>
  <c r="W135" i="3"/>
  <c r="W136" i="3"/>
  <c r="W137" i="3"/>
  <c r="W138" i="3"/>
  <c r="W139" i="3"/>
  <c r="W140" i="3"/>
  <c r="W141" i="3"/>
  <c r="W142" i="3"/>
  <c r="W143" i="3"/>
  <c r="W144" i="3"/>
  <c r="W145" i="3"/>
  <c r="W146" i="3"/>
  <c r="W147" i="3"/>
  <c r="W148" i="3"/>
  <c r="W149" i="3"/>
  <c r="W150" i="3"/>
  <c r="W151" i="3"/>
  <c r="W152" i="3"/>
  <c r="W153" i="3"/>
  <c r="W154" i="3"/>
  <c r="W155" i="3"/>
  <c r="W156" i="3"/>
  <c r="W157" i="3"/>
  <c r="W158" i="3"/>
  <c r="W159" i="3"/>
  <c r="W160" i="3"/>
  <c r="W161" i="3"/>
  <c r="W162" i="3"/>
  <c r="W163" i="3"/>
  <c r="W164" i="3"/>
  <c r="W165" i="3"/>
  <c r="W166" i="3"/>
  <c r="W167" i="3"/>
  <c r="W168" i="3"/>
  <c r="W169" i="3"/>
  <c r="W170" i="3"/>
  <c r="W171" i="3"/>
  <c r="W172" i="3"/>
  <c r="W173" i="3"/>
  <c r="W174" i="3"/>
  <c r="W175" i="3"/>
  <c r="W176" i="3"/>
  <c r="W177" i="3"/>
  <c r="W178" i="3"/>
  <c r="W179" i="3"/>
  <c r="W180" i="3"/>
  <c r="W181" i="3"/>
  <c r="W182" i="3"/>
  <c r="W183" i="3"/>
  <c r="W184" i="3"/>
  <c r="W185" i="3"/>
  <c r="W186" i="3"/>
  <c r="W187" i="3"/>
  <c r="W188" i="3"/>
  <c r="W189" i="3"/>
  <c r="W190" i="3"/>
  <c r="W191" i="3"/>
  <c r="W192" i="3"/>
  <c r="W193" i="3"/>
  <c r="W194" i="3"/>
  <c r="W195" i="3"/>
  <c r="W196" i="3"/>
  <c r="W197" i="3"/>
  <c r="W198" i="3"/>
  <c r="W199" i="3"/>
  <c r="W200" i="3"/>
  <c r="W201" i="3"/>
  <c r="W202" i="3"/>
  <c r="W203" i="3"/>
  <c r="W204" i="3"/>
  <c r="W205" i="3"/>
  <c r="W206" i="3"/>
  <c r="W207" i="3"/>
  <c r="W208" i="3"/>
  <c r="W209" i="3"/>
  <c r="W210" i="3"/>
  <c r="W211" i="3"/>
  <c r="W212" i="3"/>
  <c r="W213" i="3"/>
  <c r="W214" i="3"/>
  <c r="W215" i="3"/>
  <c r="W216" i="3"/>
  <c r="W217" i="3"/>
  <c r="W218" i="3"/>
  <c r="W219" i="3"/>
  <c r="W220" i="3"/>
  <c r="W221" i="3"/>
  <c r="W222" i="3"/>
  <c r="W223" i="3"/>
  <c r="W224" i="3"/>
  <c r="W225" i="3"/>
  <c r="W226" i="3"/>
  <c r="W227" i="3"/>
  <c r="W228" i="3"/>
  <c r="W229" i="3"/>
  <c r="W230" i="3"/>
  <c r="W231" i="3"/>
  <c r="W232" i="3"/>
  <c r="W233" i="3"/>
  <c r="W234" i="3"/>
  <c r="W235" i="3"/>
  <c r="W236" i="3"/>
  <c r="W237" i="3"/>
  <c r="W238" i="3"/>
  <c r="W239" i="3"/>
  <c r="W240" i="3"/>
  <c r="W241" i="3"/>
  <c r="W242" i="3"/>
  <c r="W243" i="3"/>
  <c r="W244" i="3"/>
  <c r="W245" i="3"/>
  <c r="W246" i="3"/>
  <c r="W247" i="3"/>
  <c r="W248" i="3"/>
  <c r="W249" i="3"/>
  <c r="W250" i="3"/>
  <c r="W251" i="3"/>
  <c r="W252" i="3"/>
  <c r="W253" i="3"/>
  <c r="W254" i="3"/>
  <c r="W255" i="3"/>
  <c r="W256" i="3"/>
  <c r="W257" i="3"/>
  <c r="W258" i="3"/>
  <c r="W259" i="3"/>
  <c r="W260" i="3"/>
  <c r="W261" i="3"/>
  <c r="W262" i="3"/>
  <c r="W263" i="3"/>
  <c r="W264" i="3"/>
  <c r="W265" i="3"/>
  <c r="W266" i="3"/>
  <c r="W267" i="3"/>
  <c r="W268" i="3"/>
  <c r="W269" i="3"/>
  <c r="W270" i="3"/>
  <c r="W271" i="3"/>
  <c r="W272" i="3"/>
  <c r="W273" i="3"/>
  <c r="W274" i="3"/>
  <c r="W275" i="3"/>
  <c r="W276" i="3"/>
  <c r="W277" i="3"/>
  <c r="W278" i="3"/>
  <c r="W279" i="3"/>
  <c r="W280" i="3"/>
  <c r="W281" i="3"/>
  <c r="W282" i="3"/>
  <c r="W283" i="3"/>
  <c r="W284" i="3"/>
  <c r="W285" i="3"/>
  <c r="W286" i="3"/>
  <c r="W287" i="3"/>
  <c r="W288" i="3"/>
  <c r="W289" i="3"/>
  <c r="W290" i="3"/>
  <c r="W291" i="3"/>
  <c r="W292" i="3"/>
  <c r="W293" i="3"/>
  <c r="W294" i="3"/>
  <c r="W295" i="3"/>
  <c r="W296" i="3"/>
  <c r="W297" i="3"/>
  <c r="W298" i="3"/>
  <c r="W299" i="3"/>
  <c r="W300" i="3"/>
  <c r="W301" i="3"/>
  <c r="W302" i="3"/>
  <c r="W303" i="3"/>
  <c r="W304" i="3"/>
  <c r="W305" i="3"/>
  <c r="W306" i="3"/>
  <c r="W307" i="3"/>
  <c r="W308" i="3"/>
  <c r="W309" i="3"/>
  <c r="W310" i="3"/>
  <c r="W311" i="3"/>
  <c r="W312" i="3"/>
  <c r="W313" i="3"/>
  <c r="W314" i="3"/>
  <c r="W315" i="3"/>
  <c r="W316" i="3"/>
  <c r="W317" i="3"/>
  <c r="W318" i="3"/>
  <c r="W319" i="3"/>
  <c r="W320" i="3"/>
  <c r="W321" i="3"/>
  <c r="W322" i="3"/>
  <c r="W323" i="3"/>
  <c r="W324" i="3"/>
  <c r="W325" i="3"/>
  <c r="W326" i="3"/>
  <c r="W327" i="3"/>
  <c r="W328" i="3"/>
  <c r="W329" i="3"/>
  <c r="W330" i="3"/>
  <c r="W331" i="3"/>
  <c r="W332" i="3"/>
  <c r="W333" i="3"/>
  <c r="W334" i="3"/>
  <c r="W335" i="3"/>
  <c r="W336" i="3"/>
  <c r="W337" i="3"/>
  <c r="W338" i="3"/>
  <c r="W339" i="3"/>
  <c r="W340" i="3"/>
  <c r="W341" i="3"/>
  <c r="W342" i="3"/>
  <c r="W343" i="3"/>
  <c r="W344" i="3"/>
  <c r="W345" i="3"/>
  <c r="W346" i="3"/>
  <c r="W347" i="3"/>
  <c r="W348" i="3"/>
  <c r="W349" i="3"/>
  <c r="W350" i="3"/>
  <c r="W351" i="3"/>
  <c r="W352" i="3"/>
  <c r="W353" i="3"/>
  <c r="W354" i="3"/>
  <c r="W355" i="3"/>
  <c r="W356" i="3"/>
  <c r="W357" i="3"/>
  <c r="W358" i="3"/>
  <c r="W359" i="3"/>
  <c r="W360" i="3"/>
  <c r="W361" i="3"/>
  <c r="W362" i="3"/>
  <c r="W363" i="3"/>
  <c r="W364" i="3"/>
  <c r="W365" i="3"/>
  <c r="W366" i="3"/>
  <c r="W367" i="3"/>
  <c r="W368" i="3"/>
  <c r="W369" i="3"/>
  <c r="W370" i="3"/>
  <c r="W371" i="3"/>
  <c r="W372" i="3"/>
  <c r="W373" i="3"/>
  <c r="W374" i="3"/>
  <c r="W375" i="3"/>
  <c r="W376" i="3"/>
  <c r="W377" i="3"/>
  <c r="W378" i="3"/>
  <c r="W379" i="3"/>
  <c r="W380" i="3"/>
  <c r="W381" i="3"/>
  <c r="W382" i="3"/>
  <c r="W383" i="3"/>
  <c r="W384" i="3"/>
  <c r="W385" i="3"/>
  <c r="W386" i="3"/>
  <c r="W387" i="3"/>
  <c r="W388" i="3"/>
  <c r="W389" i="3"/>
  <c r="W390" i="3"/>
  <c r="W391" i="3"/>
  <c r="W392" i="3"/>
  <c r="W393" i="3"/>
  <c r="W394" i="3"/>
  <c r="W395" i="3"/>
  <c r="W396" i="3"/>
  <c r="W397" i="3"/>
  <c r="W398" i="3"/>
  <c r="W399" i="3"/>
  <c r="W400" i="3"/>
  <c r="W401" i="3"/>
  <c r="W402" i="3"/>
  <c r="W403" i="3"/>
  <c r="W404" i="3"/>
  <c r="W405" i="3"/>
  <c r="W406" i="3"/>
  <c r="W407" i="3"/>
  <c r="W408" i="3"/>
  <c r="W409" i="3"/>
  <c r="W410" i="3"/>
  <c r="W411" i="3"/>
  <c r="W412" i="3"/>
  <c r="W413" i="3"/>
  <c r="W414" i="3"/>
  <c r="W415" i="3"/>
  <c r="W416" i="3"/>
  <c r="W417" i="3"/>
  <c r="W418" i="3"/>
  <c r="W419" i="3"/>
  <c r="W420" i="3"/>
  <c r="W421" i="3"/>
  <c r="W422" i="3"/>
  <c r="W423" i="3"/>
  <c r="W424" i="3"/>
  <c r="W425" i="3"/>
  <c r="W426" i="3"/>
  <c r="W427" i="3"/>
  <c r="W428" i="3"/>
  <c r="W429" i="3"/>
  <c r="W430" i="3"/>
  <c r="W431" i="3"/>
  <c r="W432" i="3"/>
  <c r="W433" i="3"/>
  <c r="W434" i="3"/>
  <c r="W435" i="3"/>
  <c r="W436" i="3"/>
  <c r="W437" i="3"/>
  <c r="W438" i="3"/>
  <c r="W439" i="3"/>
  <c r="W440" i="3"/>
  <c r="W441" i="3"/>
  <c r="W442" i="3"/>
  <c r="W443" i="3"/>
  <c r="W444" i="3"/>
  <c r="W445" i="3"/>
  <c r="W446" i="3"/>
  <c r="W447" i="3"/>
  <c r="W448" i="3"/>
  <c r="W449" i="3"/>
  <c r="W450" i="3"/>
  <c r="W451" i="3"/>
  <c r="W452" i="3"/>
  <c r="W453" i="3"/>
  <c r="W454" i="3"/>
  <c r="W455" i="3"/>
  <c r="W456" i="3"/>
  <c r="W457" i="3"/>
  <c r="W458" i="3"/>
  <c r="W459" i="3"/>
  <c r="W460" i="3"/>
  <c r="W461" i="3"/>
  <c r="W462" i="3"/>
  <c r="W463" i="3"/>
  <c r="W464" i="3"/>
  <c r="W465" i="3"/>
  <c r="W466" i="3"/>
  <c r="W467" i="3"/>
  <c r="W468" i="3"/>
  <c r="W469" i="3"/>
  <c r="W470" i="3"/>
  <c r="W471" i="3"/>
  <c r="W472" i="3"/>
  <c r="W473" i="3"/>
  <c r="W474" i="3"/>
  <c r="W475" i="3"/>
  <c r="W476" i="3"/>
  <c r="W477" i="3"/>
  <c r="W478" i="3"/>
  <c r="W479" i="3"/>
  <c r="W480" i="3"/>
  <c r="W481" i="3"/>
  <c r="W482" i="3"/>
  <c r="W483" i="3"/>
  <c r="W484" i="3"/>
  <c r="W485" i="3"/>
  <c r="W486" i="3"/>
  <c r="W487" i="3"/>
  <c r="W488" i="3"/>
  <c r="W489" i="3"/>
  <c r="W490" i="3"/>
  <c r="W491" i="3"/>
  <c r="W492" i="3"/>
  <c r="W493" i="3"/>
  <c r="W494" i="3"/>
  <c r="W495" i="3"/>
  <c r="W496" i="3"/>
  <c r="W497" i="3"/>
  <c r="W498" i="3"/>
  <c r="W499" i="3"/>
  <c r="W500" i="3"/>
  <c r="W501" i="3"/>
  <c r="W502" i="3"/>
  <c r="W503" i="3"/>
  <c r="W504" i="3"/>
  <c r="W505" i="3"/>
  <c r="W506" i="3"/>
  <c r="W507" i="3"/>
  <c r="W508" i="3"/>
  <c r="W509" i="3"/>
  <c r="W510" i="3"/>
  <c r="W511" i="3"/>
  <c r="W512" i="3"/>
  <c r="W513" i="3"/>
  <c r="W514" i="3"/>
  <c r="W515" i="3"/>
  <c r="W516" i="3"/>
  <c r="W517" i="3"/>
  <c r="W518" i="3"/>
  <c r="W519" i="3"/>
  <c r="W520" i="3"/>
  <c r="W521" i="3"/>
  <c r="W522" i="3"/>
  <c r="W523" i="3"/>
  <c r="W524" i="3"/>
  <c r="W525" i="3"/>
  <c r="W526" i="3"/>
  <c r="W527" i="3"/>
  <c r="W528" i="3"/>
  <c r="W529" i="3"/>
  <c r="W530" i="3"/>
  <c r="W531" i="3"/>
  <c r="W532" i="3"/>
  <c r="W533" i="3"/>
  <c r="W534" i="3"/>
  <c r="W535" i="3"/>
  <c r="W536" i="3"/>
  <c r="W537" i="3"/>
  <c r="W538" i="3"/>
  <c r="W539" i="3"/>
  <c r="W540" i="3"/>
  <c r="W541" i="3"/>
  <c r="W542" i="3"/>
  <c r="W543" i="3"/>
  <c r="W544" i="3"/>
  <c r="W545" i="3"/>
  <c r="W546" i="3"/>
  <c r="W547" i="3"/>
  <c r="W548" i="3"/>
  <c r="W549" i="3"/>
  <c r="W550" i="3"/>
  <c r="W551" i="3"/>
  <c r="W552" i="3"/>
  <c r="W553" i="3"/>
  <c r="W554" i="3"/>
  <c r="W555" i="3"/>
  <c r="W556" i="3"/>
  <c r="W557" i="3"/>
  <c r="W558" i="3"/>
  <c r="W559" i="3"/>
  <c r="W560" i="3"/>
  <c r="W561" i="3"/>
  <c r="W562" i="3"/>
  <c r="W563" i="3"/>
  <c r="W564" i="3"/>
  <c r="W565" i="3"/>
  <c r="W566" i="3"/>
  <c r="W567" i="3"/>
  <c r="W568" i="3"/>
  <c r="W569" i="3"/>
  <c r="W570" i="3"/>
  <c r="W571" i="3"/>
  <c r="W572" i="3"/>
  <c r="W573" i="3"/>
  <c r="W574" i="3"/>
  <c r="W575" i="3"/>
  <c r="W576" i="3"/>
  <c r="W577" i="3"/>
  <c r="W578" i="3"/>
  <c r="W579" i="3"/>
  <c r="W580" i="3"/>
  <c r="W581" i="3"/>
  <c r="W582" i="3"/>
  <c r="W583" i="3"/>
  <c r="W584" i="3"/>
  <c r="W585" i="3"/>
  <c r="W586" i="3"/>
  <c r="W587" i="3"/>
  <c r="W588" i="3"/>
  <c r="W589" i="3"/>
  <c r="W590" i="3"/>
  <c r="W591" i="3"/>
  <c r="W592" i="3"/>
  <c r="W593" i="3"/>
  <c r="W594" i="3"/>
  <c r="W595" i="3"/>
  <c r="W596" i="3"/>
  <c r="W597" i="3"/>
  <c r="W598" i="3"/>
  <c r="W599" i="3"/>
  <c r="W600" i="3"/>
  <c r="W601" i="3"/>
  <c r="W602" i="3"/>
  <c r="W603" i="3"/>
  <c r="W604" i="3"/>
  <c r="W605" i="3"/>
  <c r="W606" i="3"/>
  <c r="W607" i="3"/>
  <c r="W608" i="3"/>
  <c r="W609" i="3"/>
  <c r="W610" i="3"/>
  <c r="W611" i="3"/>
  <c r="W612" i="3"/>
  <c r="W613" i="3"/>
  <c r="W614" i="3"/>
  <c r="W615" i="3"/>
  <c r="W616" i="3"/>
  <c r="W617" i="3"/>
  <c r="W618" i="3"/>
  <c r="W619" i="3"/>
  <c r="W620" i="3"/>
  <c r="W621" i="3"/>
  <c r="W622" i="3"/>
  <c r="W623" i="3"/>
  <c r="W624" i="3"/>
  <c r="W625" i="3"/>
  <c r="W626" i="3"/>
  <c r="W627" i="3"/>
  <c r="W628" i="3"/>
  <c r="W629" i="3"/>
  <c r="W630" i="3"/>
  <c r="W631" i="3"/>
  <c r="W632" i="3"/>
  <c r="W4" i="3"/>
  <c r="W5" i="3"/>
  <c r="W6" i="3"/>
  <c r="W7" i="3"/>
  <c r="W8" i="3"/>
  <c r="W3" i="3"/>
  <c r="W2" i="3"/>
  <c r="V2" i="3"/>
  <c r="U3" i="3"/>
  <c r="U4" i="3"/>
  <c r="U5" i="3"/>
  <c r="U6" i="3"/>
  <c r="U7" i="3"/>
  <c r="U8" i="3"/>
  <c r="U9" i="3"/>
  <c r="U10" i="3"/>
  <c r="U11" i="3"/>
  <c r="U12" i="3"/>
  <c r="U13" i="3"/>
  <c r="U14" i="3"/>
  <c r="U15" i="3"/>
  <c r="U16" i="3"/>
  <c r="U17" i="3"/>
  <c r="U18" i="3"/>
  <c r="U19"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U48" i="3"/>
  <c r="U49" i="3"/>
  <c r="U50" i="3"/>
  <c r="U51" i="3"/>
  <c r="U52" i="3"/>
  <c r="U53" i="3"/>
  <c r="U54" i="3"/>
  <c r="U55" i="3"/>
  <c r="U56" i="3"/>
  <c r="U57" i="3"/>
  <c r="U58" i="3"/>
  <c r="U59" i="3"/>
  <c r="U60" i="3"/>
  <c r="U61" i="3"/>
  <c r="U62" i="3"/>
  <c r="U63" i="3"/>
  <c r="U64" i="3"/>
  <c r="U65" i="3"/>
  <c r="U66" i="3"/>
  <c r="U67" i="3"/>
  <c r="U68" i="3"/>
  <c r="U69" i="3"/>
  <c r="U70" i="3"/>
  <c r="U71" i="3"/>
  <c r="U72" i="3"/>
  <c r="U73" i="3"/>
  <c r="U74" i="3"/>
  <c r="U75" i="3"/>
  <c r="U76" i="3"/>
  <c r="U77" i="3"/>
  <c r="U78" i="3"/>
  <c r="U79" i="3"/>
  <c r="U80" i="3"/>
  <c r="U81" i="3"/>
  <c r="U82" i="3"/>
  <c r="U83" i="3"/>
  <c r="U84" i="3"/>
  <c r="U85" i="3"/>
  <c r="U86" i="3"/>
  <c r="U87" i="3"/>
  <c r="U88" i="3"/>
  <c r="U89" i="3"/>
  <c r="U90" i="3"/>
  <c r="U91" i="3"/>
  <c r="U92" i="3"/>
  <c r="U93" i="3"/>
  <c r="U94" i="3"/>
  <c r="U95" i="3"/>
  <c r="U96" i="3"/>
  <c r="U97" i="3"/>
  <c r="U98" i="3"/>
  <c r="U99" i="3"/>
  <c r="U100" i="3"/>
  <c r="U101" i="3"/>
  <c r="U102" i="3"/>
  <c r="U103" i="3"/>
  <c r="U104" i="3"/>
  <c r="U105" i="3"/>
  <c r="U106" i="3"/>
  <c r="U107" i="3"/>
  <c r="U108" i="3"/>
  <c r="U109" i="3"/>
  <c r="U110" i="3"/>
  <c r="U111" i="3"/>
  <c r="U112" i="3"/>
  <c r="U113" i="3"/>
  <c r="U114" i="3"/>
  <c r="U115" i="3"/>
  <c r="U116" i="3"/>
  <c r="U117" i="3"/>
  <c r="U118" i="3"/>
  <c r="U119" i="3"/>
  <c r="U120" i="3"/>
  <c r="U121" i="3"/>
  <c r="U122" i="3"/>
  <c r="U123" i="3"/>
  <c r="U124" i="3"/>
  <c r="U125" i="3"/>
  <c r="U126" i="3"/>
  <c r="U127" i="3"/>
  <c r="U128" i="3"/>
  <c r="U129" i="3"/>
  <c r="U130" i="3"/>
  <c r="U131" i="3"/>
  <c r="U132" i="3"/>
  <c r="U133" i="3"/>
  <c r="U134" i="3"/>
  <c r="U135" i="3"/>
  <c r="U136" i="3"/>
  <c r="U137" i="3"/>
  <c r="U138" i="3"/>
  <c r="U139" i="3"/>
  <c r="U140" i="3"/>
  <c r="U141" i="3"/>
  <c r="U142" i="3"/>
  <c r="U143" i="3"/>
  <c r="U144" i="3"/>
  <c r="U145" i="3"/>
  <c r="U146" i="3"/>
  <c r="U147" i="3"/>
  <c r="U148" i="3"/>
  <c r="U149" i="3"/>
  <c r="U150" i="3"/>
  <c r="U151" i="3"/>
  <c r="U152" i="3"/>
  <c r="U153" i="3"/>
  <c r="U154" i="3"/>
  <c r="U155" i="3"/>
  <c r="U156" i="3"/>
  <c r="U157" i="3"/>
  <c r="U158" i="3"/>
  <c r="U159" i="3"/>
  <c r="U160" i="3"/>
  <c r="U161" i="3"/>
  <c r="U162" i="3"/>
  <c r="U163" i="3"/>
  <c r="U164" i="3"/>
  <c r="U165" i="3"/>
  <c r="U166" i="3"/>
  <c r="U167" i="3"/>
  <c r="U168" i="3"/>
  <c r="U169" i="3"/>
  <c r="U170" i="3"/>
  <c r="U171" i="3"/>
  <c r="U172" i="3"/>
  <c r="U173" i="3"/>
  <c r="U174" i="3"/>
  <c r="U175" i="3"/>
  <c r="U176" i="3"/>
  <c r="U177" i="3"/>
  <c r="U178" i="3"/>
  <c r="U179" i="3"/>
  <c r="U180" i="3"/>
  <c r="U181" i="3"/>
  <c r="U182" i="3"/>
  <c r="U183" i="3"/>
  <c r="U184" i="3"/>
  <c r="U185" i="3"/>
  <c r="U186" i="3"/>
  <c r="U187" i="3"/>
  <c r="U188" i="3"/>
  <c r="U189" i="3"/>
  <c r="U190" i="3"/>
  <c r="U191" i="3"/>
  <c r="U192" i="3"/>
  <c r="U193" i="3"/>
  <c r="U194" i="3"/>
  <c r="U195" i="3"/>
  <c r="U196" i="3"/>
  <c r="U197" i="3"/>
  <c r="U198" i="3"/>
  <c r="U199" i="3"/>
  <c r="U200" i="3"/>
  <c r="U201" i="3"/>
  <c r="U202" i="3"/>
  <c r="U203" i="3"/>
  <c r="U204" i="3"/>
  <c r="U205" i="3"/>
  <c r="U206" i="3"/>
  <c r="U207" i="3"/>
  <c r="U208" i="3"/>
  <c r="U209" i="3"/>
  <c r="U210" i="3"/>
  <c r="U211" i="3"/>
  <c r="U212" i="3"/>
  <c r="U213" i="3"/>
  <c r="U214" i="3"/>
  <c r="U215" i="3"/>
  <c r="U216" i="3"/>
  <c r="U217" i="3"/>
  <c r="U218" i="3"/>
  <c r="U219" i="3"/>
  <c r="U220" i="3"/>
  <c r="U221" i="3"/>
  <c r="U222" i="3"/>
  <c r="U223" i="3"/>
  <c r="U224" i="3"/>
  <c r="U225" i="3"/>
  <c r="U226" i="3"/>
  <c r="U227" i="3"/>
  <c r="U228" i="3"/>
  <c r="U229" i="3"/>
  <c r="U230" i="3"/>
  <c r="U231" i="3"/>
  <c r="U232" i="3"/>
  <c r="U233" i="3"/>
  <c r="U234" i="3"/>
  <c r="U235" i="3"/>
  <c r="U236" i="3"/>
  <c r="U237" i="3"/>
  <c r="U238" i="3"/>
  <c r="U239" i="3"/>
  <c r="U240" i="3"/>
  <c r="U241" i="3"/>
  <c r="U242" i="3"/>
  <c r="U243" i="3"/>
  <c r="U244" i="3"/>
  <c r="U245" i="3"/>
  <c r="U246" i="3"/>
  <c r="U247" i="3"/>
  <c r="U248" i="3"/>
  <c r="U249" i="3"/>
  <c r="U250" i="3"/>
  <c r="U251" i="3"/>
  <c r="U252" i="3"/>
  <c r="U253" i="3"/>
  <c r="U254" i="3"/>
  <c r="U255" i="3"/>
  <c r="U256" i="3"/>
  <c r="U257" i="3"/>
  <c r="U258" i="3"/>
  <c r="U259" i="3"/>
  <c r="U260" i="3"/>
  <c r="U261" i="3"/>
  <c r="U262" i="3"/>
  <c r="U263" i="3"/>
  <c r="U264" i="3"/>
  <c r="U265" i="3"/>
  <c r="U266" i="3"/>
  <c r="U267" i="3"/>
  <c r="U268" i="3"/>
  <c r="U269" i="3"/>
  <c r="U270" i="3"/>
  <c r="U271" i="3"/>
  <c r="U272" i="3"/>
  <c r="U273" i="3"/>
  <c r="U274" i="3"/>
  <c r="U275" i="3"/>
  <c r="U276" i="3"/>
  <c r="U277" i="3"/>
  <c r="U278" i="3"/>
  <c r="U279" i="3"/>
  <c r="U280" i="3"/>
  <c r="U281" i="3"/>
  <c r="U282" i="3"/>
  <c r="U283" i="3"/>
  <c r="U284" i="3"/>
  <c r="U285" i="3"/>
  <c r="U286" i="3"/>
  <c r="U287" i="3"/>
  <c r="U288" i="3"/>
  <c r="U289" i="3"/>
  <c r="U290" i="3"/>
  <c r="U291" i="3"/>
  <c r="U292" i="3"/>
  <c r="U293" i="3"/>
  <c r="U294" i="3"/>
  <c r="U295" i="3"/>
  <c r="U296" i="3"/>
  <c r="U297" i="3"/>
  <c r="U298" i="3"/>
  <c r="U299" i="3"/>
  <c r="U300" i="3"/>
  <c r="U301" i="3"/>
  <c r="U302" i="3"/>
  <c r="U303" i="3"/>
  <c r="U304" i="3"/>
  <c r="U305" i="3"/>
  <c r="U306" i="3"/>
  <c r="U307" i="3"/>
  <c r="U308" i="3"/>
  <c r="U309" i="3"/>
  <c r="U310" i="3"/>
  <c r="U311" i="3"/>
  <c r="U312" i="3"/>
  <c r="U313" i="3"/>
  <c r="U314" i="3"/>
  <c r="U315" i="3"/>
  <c r="U316" i="3"/>
  <c r="U317" i="3"/>
  <c r="U318" i="3"/>
  <c r="U319" i="3"/>
  <c r="U320" i="3"/>
  <c r="U321" i="3"/>
  <c r="U322" i="3"/>
  <c r="U323" i="3"/>
  <c r="U324" i="3"/>
  <c r="U325" i="3"/>
  <c r="U326" i="3"/>
  <c r="U327" i="3"/>
  <c r="U328" i="3"/>
  <c r="U329" i="3"/>
  <c r="U330" i="3"/>
  <c r="U331" i="3"/>
  <c r="U332" i="3"/>
  <c r="U333" i="3"/>
  <c r="U334" i="3"/>
  <c r="U335" i="3"/>
  <c r="U336" i="3"/>
  <c r="U337" i="3"/>
  <c r="U338" i="3"/>
  <c r="U339" i="3"/>
  <c r="U340" i="3"/>
  <c r="U341" i="3"/>
  <c r="U342" i="3"/>
  <c r="U343" i="3"/>
  <c r="U344" i="3"/>
  <c r="U345" i="3"/>
  <c r="U346" i="3"/>
  <c r="U347" i="3"/>
  <c r="U348" i="3"/>
  <c r="U349" i="3"/>
  <c r="U350" i="3"/>
  <c r="U351" i="3"/>
  <c r="U352" i="3"/>
  <c r="U353" i="3"/>
  <c r="U354" i="3"/>
  <c r="U355" i="3"/>
  <c r="U356" i="3"/>
  <c r="U357" i="3"/>
  <c r="U358" i="3"/>
  <c r="U359" i="3"/>
  <c r="U360" i="3"/>
  <c r="U361" i="3"/>
  <c r="U362" i="3"/>
  <c r="U363" i="3"/>
  <c r="U364" i="3"/>
  <c r="U365" i="3"/>
  <c r="U366" i="3"/>
  <c r="U367" i="3"/>
  <c r="U368" i="3"/>
  <c r="U369" i="3"/>
  <c r="U370" i="3"/>
  <c r="U371" i="3"/>
  <c r="U372" i="3"/>
  <c r="U373" i="3"/>
  <c r="U374" i="3"/>
  <c r="U375" i="3"/>
  <c r="U376" i="3"/>
  <c r="U377" i="3"/>
  <c r="U378" i="3"/>
  <c r="U379" i="3"/>
  <c r="U380" i="3"/>
  <c r="U381" i="3"/>
  <c r="U382" i="3"/>
  <c r="U383" i="3"/>
  <c r="U384" i="3"/>
  <c r="U385" i="3"/>
  <c r="U386" i="3"/>
  <c r="U387" i="3"/>
  <c r="U388" i="3"/>
  <c r="U389" i="3"/>
  <c r="U390" i="3"/>
  <c r="U391" i="3"/>
  <c r="U392" i="3"/>
  <c r="U393" i="3"/>
  <c r="U394" i="3"/>
  <c r="U395" i="3"/>
  <c r="U396" i="3"/>
  <c r="U397" i="3"/>
  <c r="U398" i="3"/>
  <c r="U399" i="3"/>
  <c r="U400" i="3"/>
  <c r="U401" i="3"/>
  <c r="U402" i="3"/>
  <c r="U403" i="3"/>
  <c r="U404" i="3"/>
  <c r="U405" i="3"/>
  <c r="U406" i="3"/>
  <c r="U407" i="3"/>
  <c r="U408" i="3"/>
  <c r="U409" i="3"/>
  <c r="U410" i="3"/>
  <c r="U411" i="3"/>
  <c r="U412" i="3"/>
  <c r="U413" i="3"/>
  <c r="U414" i="3"/>
  <c r="U415" i="3"/>
  <c r="U416" i="3"/>
  <c r="U417" i="3"/>
  <c r="U418" i="3"/>
  <c r="U419" i="3"/>
  <c r="U420" i="3"/>
  <c r="U421" i="3"/>
  <c r="U422" i="3"/>
  <c r="U423" i="3"/>
  <c r="U424" i="3"/>
  <c r="U425" i="3"/>
  <c r="U426" i="3"/>
  <c r="U427" i="3"/>
  <c r="U428" i="3"/>
  <c r="U429" i="3"/>
  <c r="U430" i="3"/>
  <c r="U431" i="3"/>
  <c r="U432" i="3"/>
  <c r="U433" i="3"/>
  <c r="U434" i="3"/>
  <c r="U435" i="3"/>
  <c r="U436" i="3"/>
  <c r="U437" i="3"/>
  <c r="U438" i="3"/>
  <c r="U439" i="3"/>
  <c r="U440" i="3"/>
  <c r="U441" i="3"/>
  <c r="U442" i="3"/>
  <c r="U443" i="3"/>
  <c r="U444" i="3"/>
  <c r="U445" i="3"/>
  <c r="U446" i="3"/>
  <c r="U447" i="3"/>
  <c r="U448" i="3"/>
  <c r="U449" i="3"/>
  <c r="U450" i="3"/>
  <c r="U451" i="3"/>
  <c r="U452" i="3"/>
  <c r="U453" i="3"/>
  <c r="U454" i="3"/>
  <c r="U455" i="3"/>
  <c r="U456" i="3"/>
  <c r="U457" i="3"/>
  <c r="U458" i="3"/>
  <c r="U459" i="3"/>
  <c r="U460" i="3"/>
  <c r="U461" i="3"/>
  <c r="U462" i="3"/>
  <c r="U463" i="3"/>
  <c r="U464" i="3"/>
  <c r="U465" i="3"/>
  <c r="U466" i="3"/>
  <c r="U467" i="3"/>
  <c r="U468" i="3"/>
  <c r="U469" i="3"/>
  <c r="U470" i="3"/>
  <c r="U471" i="3"/>
  <c r="U472" i="3"/>
  <c r="U473" i="3"/>
  <c r="U474" i="3"/>
  <c r="U475" i="3"/>
  <c r="U476" i="3"/>
  <c r="U477" i="3"/>
  <c r="U478" i="3"/>
  <c r="U479" i="3"/>
  <c r="U480" i="3"/>
  <c r="U481" i="3"/>
  <c r="U482" i="3"/>
  <c r="U483" i="3"/>
  <c r="U484" i="3"/>
  <c r="U485" i="3"/>
  <c r="U486" i="3"/>
  <c r="U487" i="3"/>
  <c r="U488" i="3"/>
  <c r="U489" i="3"/>
  <c r="U490" i="3"/>
  <c r="U491" i="3"/>
  <c r="U492" i="3"/>
  <c r="U493" i="3"/>
  <c r="U494" i="3"/>
  <c r="U495" i="3"/>
  <c r="U496" i="3"/>
  <c r="U497" i="3"/>
  <c r="U498" i="3"/>
  <c r="U499" i="3"/>
  <c r="U500" i="3"/>
  <c r="U501" i="3"/>
  <c r="U502" i="3"/>
  <c r="U503" i="3"/>
  <c r="U504" i="3"/>
  <c r="U505" i="3"/>
  <c r="U506" i="3"/>
  <c r="U507" i="3"/>
  <c r="U508" i="3"/>
  <c r="U509" i="3"/>
  <c r="U510" i="3"/>
  <c r="U511" i="3"/>
  <c r="U512" i="3"/>
  <c r="U513" i="3"/>
  <c r="U514" i="3"/>
  <c r="U515" i="3"/>
  <c r="U516" i="3"/>
  <c r="U517" i="3"/>
  <c r="U518" i="3"/>
  <c r="U519" i="3"/>
  <c r="U520" i="3"/>
  <c r="U521" i="3"/>
  <c r="U522" i="3"/>
  <c r="U523" i="3"/>
  <c r="U524" i="3"/>
  <c r="U525" i="3"/>
  <c r="U526" i="3"/>
  <c r="U527" i="3"/>
  <c r="U528" i="3"/>
  <c r="U529" i="3"/>
  <c r="U530" i="3"/>
  <c r="U531" i="3"/>
  <c r="U532" i="3"/>
  <c r="U533" i="3"/>
  <c r="U534" i="3"/>
  <c r="U535" i="3"/>
  <c r="U536" i="3"/>
  <c r="U537" i="3"/>
  <c r="U538" i="3"/>
  <c r="U539" i="3"/>
  <c r="U540" i="3"/>
  <c r="U541" i="3"/>
  <c r="U542" i="3"/>
  <c r="U543" i="3"/>
  <c r="U544" i="3"/>
  <c r="U545" i="3"/>
  <c r="U546" i="3"/>
  <c r="U547" i="3"/>
  <c r="U548" i="3"/>
  <c r="U549" i="3"/>
  <c r="U550" i="3"/>
  <c r="U551" i="3"/>
  <c r="U552" i="3"/>
  <c r="U553" i="3"/>
  <c r="U554" i="3"/>
  <c r="U555" i="3"/>
  <c r="U556" i="3"/>
  <c r="U557" i="3"/>
  <c r="U558" i="3"/>
  <c r="U559" i="3"/>
  <c r="U560" i="3"/>
  <c r="U561" i="3"/>
  <c r="U562" i="3"/>
  <c r="U563" i="3"/>
  <c r="U564" i="3"/>
  <c r="U565" i="3"/>
  <c r="U566" i="3"/>
  <c r="U567" i="3"/>
  <c r="U568" i="3"/>
  <c r="U569" i="3"/>
  <c r="U570" i="3"/>
  <c r="U571" i="3"/>
  <c r="U572" i="3"/>
  <c r="U573" i="3"/>
  <c r="U574" i="3"/>
  <c r="U575" i="3"/>
  <c r="U576" i="3"/>
  <c r="U577" i="3"/>
  <c r="U578" i="3"/>
  <c r="U579" i="3"/>
  <c r="U580" i="3"/>
  <c r="U581" i="3"/>
  <c r="U582" i="3"/>
  <c r="U583" i="3"/>
  <c r="U584" i="3"/>
  <c r="U585" i="3"/>
  <c r="U586" i="3"/>
  <c r="U587" i="3"/>
  <c r="U588" i="3"/>
  <c r="U589" i="3"/>
  <c r="U590" i="3"/>
  <c r="U591" i="3"/>
  <c r="U592" i="3"/>
  <c r="U593" i="3"/>
  <c r="U594" i="3"/>
  <c r="U595" i="3"/>
  <c r="U596" i="3"/>
  <c r="U597" i="3"/>
  <c r="U598" i="3"/>
  <c r="U599" i="3"/>
  <c r="U600" i="3"/>
  <c r="U601" i="3"/>
  <c r="U602" i="3"/>
  <c r="U603" i="3"/>
  <c r="U604" i="3"/>
  <c r="U605" i="3"/>
  <c r="U606" i="3"/>
  <c r="U607" i="3"/>
  <c r="U608" i="3"/>
  <c r="U609" i="3"/>
  <c r="U610" i="3"/>
  <c r="U611" i="3"/>
  <c r="U612" i="3"/>
  <c r="U613" i="3"/>
  <c r="U614" i="3"/>
  <c r="U615" i="3"/>
  <c r="U616" i="3"/>
  <c r="U617" i="3"/>
  <c r="U618" i="3"/>
  <c r="U619" i="3"/>
  <c r="U620" i="3"/>
  <c r="U621" i="3"/>
  <c r="U622" i="3"/>
  <c r="U623" i="3"/>
  <c r="U624" i="3"/>
  <c r="U625" i="3"/>
  <c r="U626" i="3"/>
  <c r="U627" i="3"/>
  <c r="U628" i="3"/>
  <c r="U629" i="3"/>
  <c r="U630" i="3"/>
  <c r="U631" i="3"/>
  <c r="U632" i="3"/>
  <c r="T3" i="3"/>
  <c r="T4" i="3"/>
  <c r="T5" i="3"/>
  <c r="T6" i="3"/>
  <c r="T7" i="3"/>
  <c r="T8" i="3"/>
  <c r="T9" i="3"/>
  <c r="T10" i="3"/>
  <c r="T11" i="3"/>
  <c r="T12" i="3"/>
  <c r="T13" i="3"/>
  <c r="T14" i="3"/>
  <c r="T15" i="3"/>
  <c r="T16" i="3"/>
  <c r="T17" i="3"/>
  <c r="T18" i="3"/>
  <c r="T19" i="3"/>
  <c r="T20" i="3"/>
  <c r="T21" i="3"/>
  <c r="T22" i="3"/>
  <c r="T23" i="3"/>
  <c r="T24" i="3"/>
  <c r="T25" i="3"/>
  <c r="T26" i="3"/>
  <c r="T27" i="3"/>
  <c r="T28" i="3"/>
  <c r="T29" i="3"/>
  <c r="T30" i="3"/>
  <c r="T31" i="3"/>
  <c r="T32" i="3"/>
  <c r="T33" i="3"/>
  <c r="T34" i="3"/>
  <c r="T35" i="3"/>
  <c r="T36" i="3"/>
  <c r="T37" i="3"/>
  <c r="T38" i="3"/>
  <c r="T39" i="3"/>
  <c r="T40" i="3"/>
  <c r="T41" i="3"/>
  <c r="T42" i="3"/>
  <c r="T43" i="3"/>
  <c r="T44" i="3"/>
  <c r="T45" i="3"/>
  <c r="T46" i="3"/>
  <c r="T47" i="3"/>
  <c r="T48" i="3"/>
  <c r="T49" i="3"/>
  <c r="T50" i="3"/>
  <c r="T51" i="3"/>
  <c r="T52" i="3"/>
  <c r="T53" i="3"/>
  <c r="T54" i="3"/>
  <c r="T55" i="3"/>
  <c r="T56" i="3"/>
  <c r="T57" i="3"/>
  <c r="T58" i="3"/>
  <c r="T59" i="3"/>
  <c r="T60" i="3"/>
  <c r="T61" i="3"/>
  <c r="T62" i="3"/>
  <c r="T63" i="3"/>
  <c r="T64" i="3"/>
  <c r="T65" i="3"/>
  <c r="T66" i="3"/>
  <c r="T67" i="3"/>
  <c r="T68" i="3"/>
  <c r="T69" i="3"/>
  <c r="T70" i="3"/>
  <c r="T71" i="3"/>
  <c r="T72" i="3"/>
  <c r="T73" i="3"/>
  <c r="T74" i="3"/>
  <c r="T75" i="3"/>
  <c r="T76" i="3"/>
  <c r="T77" i="3"/>
  <c r="T78" i="3"/>
  <c r="T79" i="3"/>
  <c r="T80" i="3"/>
  <c r="T81" i="3"/>
  <c r="T82" i="3"/>
  <c r="T83" i="3"/>
  <c r="T84" i="3"/>
  <c r="T85" i="3"/>
  <c r="T86" i="3"/>
  <c r="T87" i="3"/>
  <c r="T88" i="3"/>
  <c r="T89" i="3"/>
  <c r="T90" i="3"/>
  <c r="T91" i="3"/>
  <c r="T92" i="3"/>
  <c r="T93" i="3"/>
  <c r="T94" i="3"/>
  <c r="T95" i="3"/>
  <c r="T96" i="3"/>
  <c r="T97" i="3"/>
  <c r="T98" i="3"/>
  <c r="T99" i="3"/>
  <c r="T100" i="3"/>
  <c r="T101" i="3"/>
  <c r="T102" i="3"/>
  <c r="T103" i="3"/>
  <c r="T104" i="3"/>
  <c r="T105" i="3"/>
  <c r="T106" i="3"/>
  <c r="T107" i="3"/>
  <c r="T108" i="3"/>
  <c r="T109" i="3"/>
  <c r="T110" i="3"/>
  <c r="T111" i="3"/>
  <c r="T112" i="3"/>
  <c r="T113" i="3"/>
  <c r="T114" i="3"/>
  <c r="T115" i="3"/>
  <c r="T116" i="3"/>
  <c r="T117" i="3"/>
  <c r="T118" i="3"/>
  <c r="T119" i="3"/>
  <c r="T120" i="3"/>
  <c r="T121" i="3"/>
  <c r="T122" i="3"/>
  <c r="T123" i="3"/>
  <c r="T124" i="3"/>
  <c r="T125" i="3"/>
  <c r="T126" i="3"/>
  <c r="T127" i="3"/>
  <c r="T128" i="3"/>
  <c r="T129" i="3"/>
  <c r="T130" i="3"/>
  <c r="T131" i="3"/>
  <c r="T132" i="3"/>
  <c r="T133" i="3"/>
  <c r="T134" i="3"/>
  <c r="T135" i="3"/>
  <c r="T136" i="3"/>
  <c r="T137" i="3"/>
  <c r="T138" i="3"/>
  <c r="T139" i="3"/>
  <c r="T140" i="3"/>
  <c r="T141" i="3"/>
  <c r="T142" i="3"/>
  <c r="T143" i="3"/>
  <c r="T144" i="3"/>
  <c r="T145" i="3"/>
  <c r="T146" i="3"/>
  <c r="T147" i="3"/>
  <c r="T148" i="3"/>
  <c r="T149" i="3"/>
  <c r="T150" i="3"/>
  <c r="T151" i="3"/>
  <c r="T152" i="3"/>
  <c r="T153" i="3"/>
  <c r="T154" i="3"/>
  <c r="T155" i="3"/>
  <c r="T156" i="3"/>
  <c r="T157" i="3"/>
  <c r="T158" i="3"/>
  <c r="T159" i="3"/>
  <c r="T160" i="3"/>
  <c r="T161" i="3"/>
  <c r="T162" i="3"/>
  <c r="T163" i="3"/>
  <c r="T164" i="3"/>
  <c r="T165" i="3"/>
  <c r="T166" i="3"/>
  <c r="T167" i="3"/>
  <c r="T168" i="3"/>
  <c r="T169" i="3"/>
  <c r="T170" i="3"/>
  <c r="T171" i="3"/>
  <c r="T172" i="3"/>
  <c r="T173" i="3"/>
  <c r="T174" i="3"/>
  <c r="T175" i="3"/>
  <c r="T176" i="3"/>
  <c r="T177" i="3"/>
  <c r="T178" i="3"/>
  <c r="T179" i="3"/>
  <c r="T180" i="3"/>
  <c r="T181" i="3"/>
  <c r="T182" i="3"/>
  <c r="T183" i="3"/>
  <c r="T184" i="3"/>
  <c r="T185" i="3"/>
  <c r="T186" i="3"/>
  <c r="T187" i="3"/>
  <c r="T188" i="3"/>
  <c r="T189" i="3"/>
  <c r="T190" i="3"/>
  <c r="T191" i="3"/>
  <c r="T192" i="3"/>
  <c r="T193" i="3"/>
  <c r="T194" i="3"/>
  <c r="T195" i="3"/>
  <c r="T196" i="3"/>
  <c r="T197" i="3"/>
  <c r="T198" i="3"/>
  <c r="T199" i="3"/>
  <c r="T200" i="3"/>
  <c r="T201" i="3"/>
  <c r="T202" i="3"/>
  <c r="T203" i="3"/>
  <c r="T204" i="3"/>
  <c r="T205" i="3"/>
  <c r="T206" i="3"/>
  <c r="T207" i="3"/>
  <c r="T208" i="3"/>
  <c r="T209" i="3"/>
  <c r="T210" i="3"/>
  <c r="T211" i="3"/>
  <c r="T212" i="3"/>
  <c r="T213" i="3"/>
  <c r="T214" i="3"/>
  <c r="T215" i="3"/>
  <c r="T216" i="3"/>
  <c r="T217" i="3"/>
  <c r="T218" i="3"/>
  <c r="T219" i="3"/>
  <c r="T220" i="3"/>
  <c r="T221" i="3"/>
  <c r="T222" i="3"/>
  <c r="T223" i="3"/>
  <c r="T224" i="3"/>
  <c r="T225" i="3"/>
  <c r="T226" i="3"/>
  <c r="T227" i="3"/>
  <c r="T228" i="3"/>
  <c r="T229" i="3"/>
  <c r="T230" i="3"/>
  <c r="T231" i="3"/>
  <c r="T232" i="3"/>
  <c r="T233" i="3"/>
  <c r="T234" i="3"/>
  <c r="T235" i="3"/>
  <c r="T236" i="3"/>
  <c r="T237" i="3"/>
  <c r="T238" i="3"/>
  <c r="T239" i="3"/>
  <c r="T240" i="3"/>
  <c r="T241" i="3"/>
  <c r="T242" i="3"/>
  <c r="T243" i="3"/>
  <c r="T244" i="3"/>
  <c r="T245" i="3"/>
  <c r="T246" i="3"/>
  <c r="T247" i="3"/>
  <c r="T248" i="3"/>
  <c r="T249" i="3"/>
  <c r="T250" i="3"/>
  <c r="T251" i="3"/>
  <c r="T252" i="3"/>
  <c r="T253" i="3"/>
  <c r="T254" i="3"/>
  <c r="T255" i="3"/>
  <c r="T256" i="3"/>
  <c r="T257" i="3"/>
  <c r="T258" i="3"/>
  <c r="T259" i="3"/>
  <c r="T260" i="3"/>
  <c r="T261" i="3"/>
  <c r="T262" i="3"/>
  <c r="T263" i="3"/>
  <c r="T264" i="3"/>
  <c r="T265" i="3"/>
  <c r="T266" i="3"/>
  <c r="T267" i="3"/>
  <c r="T268" i="3"/>
  <c r="T269" i="3"/>
  <c r="T270" i="3"/>
  <c r="T271" i="3"/>
  <c r="T272" i="3"/>
  <c r="T273" i="3"/>
  <c r="T274" i="3"/>
  <c r="T275" i="3"/>
  <c r="T276" i="3"/>
  <c r="T277" i="3"/>
  <c r="T278" i="3"/>
  <c r="T279" i="3"/>
  <c r="T280" i="3"/>
  <c r="T281" i="3"/>
  <c r="T282" i="3"/>
  <c r="T283" i="3"/>
  <c r="T284" i="3"/>
  <c r="T285" i="3"/>
  <c r="T286" i="3"/>
  <c r="T287" i="3"/>
  <c r="T288" i="3"/>
  <c r="T289" i="3"/>
  <c r="T290" i="3"/>
  <c r="T291" i="3"/>
  <c r="T292" i="3"/>
  <c r="T293" i="3"/>
  <c r="T294" i="3"/>
  <c r="T295" i="3"/>
  <c r="T296" i="3"/>
  <c r="T297" i="3"/>
  <c r="T298" i="3"/>
  <c r="T299" i="3"/>
  <c r="T300" i="3"/>
  <c r="T301" i="3"/>
  <c r="T302" i="3"/>
  <c r="T303" i="3"/>
  <c r="T304" i="3"/>
  <c r="T305" i="3"/>
  <c r="T306" i="3"/>
  <c r="T307" i="3"/>
  <c r="T308" i="3"/>
  <c r="T309" i="3"/>
  <c r="T310" i="3"/>
  <c r="T311" i="3"/>
  <c r="T312" i="3"/>
  <c r="T313" i="3"/>
  <c r="T314" i="3"/>
  <c r="T315" i="3"/>
  <c r="T316" i="3"/>
  <c r="T317" i="3"/>
  <c r="T318" i="3"/>
  <c r="T319" i="3"/>
  <c r="T320" i="3"/>
  <c r="T321" i="3"/>
  <c r="T322" i="3"/>
  <c r="T323" i="3"/>
  <c r="T324" i="3"/>
  <c r="T325" i="3"/>
  <c r="T326" i="3"/>
  <c r="T327" i="3"/>
  <c r="T328" i="3"/>
  <c r="T329" i="3"/>
  <c r="T330" i="3"/>
  <c r="T331" i="3"/>
  <c r="T332" i="3"/>
  <c r="T333" i="3"/>
  <c r="T334" i="3"/>
  <c r="T335" i="3"/>
  <c r="T336" i="3"/>
  <c r="T337" i="3"/>
  <c r="T338" i="3"/>
  <c r="T339" i="3"/>
  <c r="T340" i="3"/>
  <c r="T341" i="3"/>
  <c r="T342" i="3"/>
  <c r="T343" i="3"/>
  <c r="T344" i="3"/>
  <c r="T345" i="3"/>
  <c r="T346" i="3"/>
  <c r="T347" i="3"/>
  <c r="T348" i="3"/>
  <c r="T349" i="3"/>
  <c r="T350" i="3"/>
  <c r="T351" i="3"/>
  <c r="T352" i="3"/>
  <c r="T353" i="3"/>
  <c r="T354" i="3"/>
  <c r="T355" i="3"/>
  <c r="T356" i="3"/>
  <c r="T357" i="3"/>
  <c r="T358" i="3"/>
  <c r="T359" i="3"/>
  <c r="T360" i="3"/>
  <c r="T361" i="3"/>
  <c r="T362" i="3"/>
  <c r="T363" i="3"/>
  <c r="T364" i="3"/>
  <c r="T365" i="3"/>
  <c r="T366" i="3"/>
  <c r="T367" i="3"/>
  <c r="T368" i="3"/>
  <c r="T369" i="3"/>
  <c r="T370" i="3"/>
  <c r="T371" i="3"/>
  <c r="T372" i="3"/>
  <c r="T373" i="3"/>
  <c r="T374" i="3"/>
  <c r="T375" i="3"/>
  <c r="T376" i="3"/>
  <c r="T377" i="3"/>
  <c r="T378" i="3"/>
  <c r="T379" i="3"/>
  <c r="T380" i="3"/>
  <c r="T381" i="3"/>
  <c r="T382" i="3"/>
  <c r="T383" i="3"/>
  <c r="T384" i="3"/>
  <c r="T385" i="3"/>
  <c r="T386" i="3"/>
  <c r="T387" i="3"/>
  <c r="T388" i="3"/>
  <c r="T389" i="3"/>
  <c r="T390" i="3"/>
  <c r="T391" i="3"/>
  <c r="T392" i="3"/>
  <c r="T393" i="3"/>
  <c r="T394" i="3"/>
  <c r="T395" i="3"/>
  <c r="T396" i="3"/>
  <c r="T397" i="3"/>
  <c r="T398" i="3"/>
  <c r="T399" i="3"/>
  <c r="T400" i="3"/>
  <c r="T401" i="3"/>
  <c r="T402" i="3"/>
  <c r="T403" i="3"/>
  <c r="T404" i="3"/>
  <c r="T405" i="3"/>
  <c r="T406" i="3"/>
  <c r="T407" i="3"/>
  <c r="T408" i="3"/>
  <c r="T409" i="3"/>
  <c r="T410" i="3"/>
  <c r="T411" i="3"/>
  <c r="T412" i="3"/>
  <c r="T413" i="3"/>
  <c r="T414" i="3"/>
  <c r="T415" i="3"/>
  <c r="T416" i="3"/>
  <c r="T417" i="3"/>
  <c r="T418" i="3"/>
  <c r="T419" i="3"/>
  <c r="T420" i="3"/>
  <c r="T421" i="3"/>
  <c r="T422" i="3"/>
  <c r="T423" i="3"/>
  <c r="T424" i="3"/>
  <c r="T425" i="3"/>
  <c r="T426" i="3"/>
  <c r="T427" i="3"/>
  <c r="T428" i="3"/>
  <c r="T429" i="3"/>
  <c r="T430" i="3"/>
  <c r="T431" i="3"/>
  <c r="T432" i="3"/>
  <c r="T433" i="3"/>
  <c r="T434" i="3"/>
  <c r="T435" i="3"/>
  <c r="T436" i="3"/>
  <c r="T437" i="3"/>
  <c r="T438" i="3"/>
  <c r="T439" i="3"/>
  <c r="T440" i="3"/>
  <c r="T441" i="3"/>
  <c r="T442" i="3"/>
  <c r="T443" i="3"/>
  <c r="T444" i="3"/>
  <c r="T445" i="3"/>
  <c r="T446" i="3"/>
  <c r="T447" i="3"/>
  <c r="T448" i="3"/>
  <c r="T449" i="3"/>
  <c r="T450" i="3"/>
  <c r="T451" i="3"/>
  <c r="T452" i="3"/>
  <c r="T453" i="3"/>
  <c r="T454" i="3"/>
  <c r="T455" i="3"/>
  <c r="T456" i="3"/>
  <c r="T457" i="3"/>
  <c r="T458" i="3"/>
  <c r="T459" i="3"/>
  <c r="T460" i="3"/>
  <c r="T461" i="3"/>
  <c r="T462" i="3"/>
  <c r="T463" i="3"/>
  <c r="T464" i="3"/>
  <c r="T465" i="3"/>
  <c r="T466" i="3"/>
  <c r="T467" i="3"/>
  <c r="T468" i="3"/>
  <c r="T469" i="3"/>
  <c r="T470" i="3"/>
  <c r="T471" i="3"/>
  <c r="T472" i="3"/>
  <c r="T473" i="3"/>
  <c r="T474" i="3"/>
  <c r="T475" i="3"/>
  <c r="T476" i="3"/>
  <c r="T477" i="3"/>
  <c r="T478" i="3"/>
  <c r="T479" i="3"/>
  <c r="T480" i="3"/>
  <c r="T481" i="3"/>
  <c r="T482" i="3"/>
  <c r="T483" i="3"/>
  <c r="T484" i="3"/>
  <c r="T485" i="3"/>
  <c r="T486" i="3"/>
  <c r="T487" i="3"/>
  <c r="T488" i="3"/>
  <c r="T489" i="3"/>
  <c r="T490" i="3"/>
  <c r="T491" i="3"/>
  <c r="T492" i="3"/>
  <c r="T493" i="3"/>
  <c r="T494" i="3"/>
  <c r="T495" i="3"/>
  <c r="T496" i="3"/>
  <c r="T497" i="3"/>
  <c r="T498" i="3"/>
  <c r="T499" i="3"/>
  <c r="T500" i="3"/>
  <c r="T501" i="3"/>
  <c r="T502" i="3"/>
  <c r="T503" i="3"/>
  <c r="T504" i="3"/>
  <c r="T505" i="3"/>
  <c r="T506" i="3"/>
  <c r="T507" i="3"/>
  <c r="T508" i="3"/>
  <c r="T509" i="3"/>
  <c r="T510" i="3"/>
  <c r="T511" i="3"/>
  <c r="T512" i="3"/>
  <c r="T513" i="3"/>
  <c r="T514" i="3"/>
  <c r="T515" i="3"/>
  <c r="T516" i="3"/>
  <c r="T517" i="3"/>
  <c r="T518" i="3"/>
  <c r="T519" i="3"/>
  <c r="T520" i="3"/>
  <c r="T521" i="3"/>
  <c r="T522" i="3"/>
  <c r="T523" i="3"/>
  <c r="T524" i="3"/>
  <c r="T525" i="3"/>
  <c r="T526" i="3"/>
  <c r="T527" i="3"/>
  <c r="T528" i="3"/>
  <c r="T529" i="3"/>
  <c r="T530" i="3"/>
  <c r="T531" i="3"/>
  <c r="T532" i="3"/>
  <c r="T533" i="3"/>
  <c r="T534" i="3"/>
  <c r="T535" i="3"/>
  <c r="T536" i="3"/>
  <c r="T537" i="3"/>
  <c r="T538" i="3"/>
  <c r="T539" i="3"/>
  <c r="T540" i="3"/>
  <c r="T541" i="3"/>
  <c r="T542" i="3"/>
  <c r="T543" i="3"/>
  <c r="T544" i="3"/>
  <c r="T545" i="3"/>
  <c r="T546" i="3"/>
  <c r="T547" i="3"/>
  <c r="T548" i="3"/>
  <c r="T549" i="3"/>
  <c r="T550" i="3"/>
  <c r="T551" i="3"/>
  <c r="T552" i="3"/>
  <c r="T553" i="3"/>
  <c r="T554" i="3"/>
  <c r="T555" i="3"/>
  <c r="T556" i="3"/>
  <c r="T557" i="3"/>
  <c r="T558" i="3"/>
  <c r="T559" i="3"/>
  <c r="T560" i="3"/>
  <c r="T561" i="3"/>
  <c r="T562" i="3"/>
  <c r="T563" i="3"/>
  <c r="T564" i="3"/>
  <c r="T565" i="3"/>
  <c r="T566" i="3"/>
  <c r="T567" i="3"/>
  <c r="T568" i="3"/>
  <c r="T569" i="3"/>
  <c r="T570" i="3"/>
  <c r="T571" i="3"/>
  <c r="T572" i="3"/>
  <c r="T573" i="3"/>
  <c r="T574" i="3"/>
  <c r="T575" i="3"/>
  <c r="T576" i="3"/>
  <c r="T577" i="3"/>
  <c r="T578" i="3"/>
  <c r="T579" i="3"/>
  <c r="T580" i="3"/>
  <c r="T581" i="3"/>
  <c r="T582" i="3"/>
  <c r="T583" i="3"/>
  <c r="T584" i="3"/>
  <c r="T585" i="3"/>
  <c r="T586" i="3"/>
  <c r="T587" i="3"/>
  <c r="T588" i="3"/>
  <c r="T589" i="3"/>
  <c r="T590" i="3"/>
  <c r="T591" i="3"/>
  <c r="T592" i="3"/>
  <c r="T593" i="3"/>
  <c r="T594" i="3"/>
  <c r="T595" i="3"/>
  <c r="T596" i="3"/>
  <c r="T597" i="3"/>
  <c r="T598" i="3"/>
  <c r="T599" i="3"/>
  <c r="T600" i="3"/>
  <c r="T601" i="3"/>
  <c r="T602" i="3"/>
  <c r="T603" i="3"/>
  <c r="T604" i="3"/>
  <c r="T605" i="3"/>
  <c r="T606" i="3"/>
  <c r="T607" i="3"/>
  <c r="T608" i="3"/>
  <c r="T609" i="3"/>
  <c r="T610" i="3"/>
  <c r="T611" i="3"/>
  <c r="T612" i="3"/>
  <c r="T613" i="3"/>
  <c r="T614" i="3"/>
  <c r="T615" i="3"/>
  <c r="T616" i="3"/>
  <c r="T617" i="3"/>
  <c r="T618" i="3"/>
  <c r="T619" i="3"/>
  <c r="T620" i="3"/>
  <c r="T621" i="3"/>
  <c r="T622" i="3"/>
  <c r="T623" i="3"/>
  <c r="T624" i="3"/>
  <c r="T625" i="3"/>
  <c r="T626" i="3"/>
  <c r="T627" i="3"/>
  <c r="T628" i="3"/>
  <c r="T629" i="3"/>
  <c r="T630" i="3"/>
  <c r="T631" i="3"/>
  <c r="T632" i="3"/>
  <c r="T2" i="3"/>
  <c r="S618" i="3"/>
  <c r="S60" i="3"/>
  <c r="S4" i="3"/>
  <c r="S6" i="3"/>
  <c r="S7" i="3"/>
  <c r="S8" i="3"/>
  <c r="S9" i="3"/>
  <c r="S10" i="3"/>
  <c r="S11" i="3"/>
  <c r="S12" i="3"/>
  <c r="S13" i="3"/>
  <c r="S14" i="3"/>
  <c r="S15" i="3"/>
  <c r="S16" i="3"/>
  <c r="S17" i="3"/>
  <c r="S18" i="3"/>
  <c r="S19" i="3"/>
  <c r="S20" i="3"/>
  <c r="S21" i="3"/>
  <c r="S22" i="3"/>
  <c r="S23" i="3"/>
  <c r="S24" i="3"/>
  <c r="S25" i="3"/>
  <c r="S26" i="3"/>
  <c r="S27" i="3"/>
  <c r="S28" i="3"/>
  <c r="S29" i="3"/>
  <c r="S30" i="3"/>
  <c r="S31" i="3"/>
  <c r="S32" i="3"/>
  <c r="S33" i="3"/>
  <c r="S34" i="3"/>
  <c r="S35" i="3"/>
  <c r="S36" i="3"/>
  <c r="S37" i="3"/>
  <c r="S38" i="3"/>
  <c r="S39" i="3"/>
  <c r="S40" i="3"/>
  <c r="S41" i="3"/>
  <c r="S42" i="3"/>
  <c r="S43" i="3"/>
  <c r="S44" i="3"/>
  <c r="S45" i="3"/>
  <c r="S46" i="3"/>
  <c r="S47" i="3"/>
  <c r="S48" i="3"/>
  <c r="S49" i="3"/>
  <c r="S50" i="3"/>
  <c r="S51" i="3"/>
  <c r="S52" i="3"/>
  <c r="S53" i="3"/>
  <c r="S54" i="3"/>
  <c r="S55" i="3"/>
  <c r="S56" i="3"/>
  <c r="S57" i="3"/>
  <c r="S58" i="3"/>
  <c r="S59" i="3"/>
  <c r="S61" i="3"/>
  <c r="S62" i="3"/>
  <c r="S63" i="3"/>
  <c r="S64" i="3"/>
  <c r="S65" i="3"/>
  <c r="S66" i="3"/>
  <c r="S67" i="3"/>
  <c r="S68" i="3"/>
  <c r="S69" i="3"/>
  <c r="S70" i="3"/>
  <c r="S71" i="3"/>
  <c r="S72" i="3"/>
  <c r="S73" i="3"/>
  <c r="S74" i="3"/>
  <c r="S75" i="3"/>
  <c r="S76" i="3"/>
  <c r="S77" i="3"/>
  <c r="S78" i="3"/>
  <c r="S79" i="3"/>
  <c r="S80" i="3"/>
  <c r="S81" i="3"/>
  <c r="S82" i="3"/>
  <c r="S83" i="3"/>
  <c r="S84" i="3"/>
  <c r="S85" i="3"/>
  <c r="S86" i="3"/>
  <c r="S87" i="3"/>
  <c r="S88" i="3"/>
  <c r="S89" i="3"/>
  <c r="S90" i="3"/>
  <c r="S91" i="3"/>
  <c r="S92" i="3"/>
  <c r="S93" i="3"/>
  <c r="S94" i="3"/>
  <c r="S95" i="3"/>
  <c r="S96" i="3"/>
  <c r="S97" i="3"/>
  <c r="S98" i="3"/>
  <c r="S99" i="3"/>
  <c r="S100" i="3"/>
  <c r="S101" i="3"/>
  <c r="S102" i="3"/>
  <c r="S103" i="3"/>
  <c r="S104" i="3"/>
  <c r="S105" i="3"/>
  <c r="S106" i="3"/>
  <c r="S107" i="3"/>
  <c r="S108" i="3"/>
  <c r="S109" i="3"/>
  <c r="S110" i="3"/>
  <c r="S111" i="3"/>
  <c r="S112" i="3"/>
  <c r="S113" i="3"/>
  <c r="S114" i="3"/>
  <c r="S115" i="3"/>
  <c r="S116" i="3"/>
  <c r="S117" i="3"/>
  <c r="S118" i="3"/>
  <c r="S119" i="3"/>
  <c r="S120" i="3"/>
  <c r="S121" i="3"/>
  <c r="S122" i="3"/>
  <c r="S123" i="3"/>
  <c r="S124" i="3"/>
  <c r="S125" i="3"/>
  <c r="S126" i="3"/>
  <c r="S127" i="3"/>
  <c r="S128" i="3"/>
  <c r="S129" i="3"/>
  <c r="S130" i="3"/>
  <c r="S131" i="3"/>
  <c r="S132" i="3"/>
  <c r="S133" i="3"/>
  <c r="S134" i="3"/>
  <c r="S135" i="3"/>
  <c r="S136" i="3"/>
  <c r="S137" i="3"/>
  <c r="S138" i="3"/>
  <c r="S139" i="3"/>
  <c r="S140" i="3"/>
  <c r="S141" i="3"/>
  <c r="S142" i="3"/>
  <c r="S143" i="3"/>
  <c r="S144" i="3"/>
  <c r="S145" i="3"/>
  <c r="S146" i="3"/>
  <c r="S147" i="3"/>
  <c r="S148" i="3"/>
  <c r="S149" i="3"/>
  <c r="S150" i="3"/>
  <c r="S151" i="3"/>
  <c r="S152" i="3"/>
  <c r="S153" i="3"/>
  <c r="S154" i="3"/>
  <c r="S155" i="3"/>
  <c r="S156" i="3"/>
  <c r="S157" i="3"/>
  <c r="S158" i="3"/>
  <c r="S159" i="3"/>
  <c r="S160" i="3"/>
  <c r="S161" i="3"/>
  <c r="S162" i="3"/>
  <c r="S163" i="3"/>
  <c r="S164" i="3"/>
  <c r="S165" i="3"/>
  <c r="S166" i="3"/>
  <c r="S167" i="3"/>
  <c r="S168" i="3"/>
  <c r="S169" i="3"/>
  <c r="S170" i="3"/>
  <c r="S171" i="3"/>
  <c r="S172" i="3"/>
  <c r="S173" i="3"/>
  <c r="S174" i="3"/>
  <c r="S175" i="3"/>
  <c r="S176" i="3"/>
  <c r="S177" i="3"/>
  <c r="S178" i="3"/>
  <c r="S179" i="3"/>
  <c r="S180" i="3"/>
  <c r="S181" i="3"/>
  <c r="S182" i="3"/>
  <c r="S183" i="3"/>
  <c r="S184" i="3"/>
  <c r="S185" i="3"/>
  <c r="S186" i="3"/>
  <c r="S187" i="3"/>
  <c r="S188" i="3"/>
  <c r="S189" i="3"/>
  <c r="S190" i="3"/>
  <c r="S191" i="3"/>
  <c r="S192" i="3"/>
  <c r="S193" i="3"/>
  <c r="S194" i="3"/>
  <c r="S195" i="3"/>
  <c r="S196" i="3"/>
  <c r="S197" i="3"/>
  <c r="S198" i="3"/>
  <c r="S199" i="3"/>
  <c r="S200" i="3"/>
  <c r="S201" i="3"/>
  <c r="S202" i="3"/>
  <c r="S203" i="3"/>
  <c r="S204" i="3"/>
  <c r="S205" i="3"/>
  <c r="S206" i="3"/>
  <c r="S207" i="3"/>
  <c r="S208" i="3"/>
  <c r="S209" i="3"/>
  <c r="S210" i="3"/>
  <c r="S211" i="3"/>
  <c r="S212" i="3"/>
  <c r="S213" i="3"/>
  <c r="S214" i="3"/>
  <c r="S215" i="3"/>
  <c r="S216" i="3"/>
  <c r="S217" i="3"/>
  <c r="S218" i="3"/>
  <c r="S219" i="3"/>
  <c r="S220" i="3"/>
  <c r="S221" i="3"/>
  <c r="S222" i="3"/>
  <c r="S223" i="3"/>
  <c r="S224" i="3"/>
  <c r="S225" i="3"/>
  <c r="S226" i="3"/>
  <c r="S227" i="3"/>
  <c r="S228" i="3"/>
  <c r="S229" i="3"/>
  <c r="S230" i="3"/>
  <c r="S231" i="3"/>
  <c r="S232" i="3"/>
  <c r="S233" i="3"/>
  <c r="S234" i="3"/>
  <c r="S235" i="3"/>
  <c r="S236" i="3"/>
  <c r="S237" i="3"/>
  <c r="S238" i="3"/>
  <c r="S239" i="3"/>
  <c r="S240" i="3"/>
  <c r="S241" i="3"/>
  <c r="S242" i="3"/>
  <c r="S243" i="3"/>
  <c r="S244" i="3"/>
  <c r="S245" i="3"/>
  <c r="S246" i="3"/>
  <c r="S247" i="3"/>
  <c r="S248" i="3"/>
  <c r="S249" i="3"/>
  <c r="S250" i="3"/>
  <c r="S251" i="3"/>
  <c r="S252" i="3"/>
  <c r="S253" i="3"/>
  <c r="S254" i="3"/>
  <c r="S255" i="3"/>
  <c r="S256" i="3"/>
  <c r="S257" i="3"/>
  <c r="S258" i="3"/>
  <c r="S259" i="3"/>
  <c r="S260" i="3"/>
  <c r="S261" i="3"/>
  <c r="S262" i="3"/>
  <c r="S263" i="3"/>
  <c r="S264" i="3"/>
  <c r="S265" i="3"/>
  <c r="S266" i="3"/>
  <c r="S267" i="3"/>
  <c r="S268" i="3"/>
  <c r="S269" i="3"/>
  <c r="S270" i="3"/>
  <c r="S271" i="3"/>
  <c r="S272" i="3"/>
  <c r="S273" i="3"/>
  <c r="S274" i="3"/>
  <c r="S275" i="3"/>
  <c r="S276" i="3"/>
  <c r="S277" i="3"/>
  <c r="S278" i="3"/>
  <c r="S279" i="3"/>
  <c r="S280" i="3"/>
  <c r="S281" i="3"/>
  <c r="S282" i="3"/>
  <c r="S283" i="3"/>
  <c r="S284" i="3"/>
  <c r="S285" i="3"/>
  <c r="S286" i="3"/>
  <c r="S287" i="3"/>
  <c r="S288" i="3"/>
  <c r="S289" i="3"/>
  <c r="S290" i="3"/>
  <c r="S291" i="3"/>
  <c r="S292" i="3"/>
  <c r="S293" i="3"/>
  <c r="S294" i="3"/>
  <c r="S295" i="3"/>
  <c r="S296" i="3"/>
  <c r="S297" i="3"/>
  <c r="S298" i="3"/>
  <c r="S299" i="3"/>
  <c r="S300" i="3"/>
  <c r="S301" i="3"/>
  <c r="S302" i="3"/>
  <c r="S303" i="3"/>
  <c r="S304" i="3"/>
  <c r="S305" i="3"/>
  <c r="S306" i="3"/>
  <c r="S307" i="3"/>
  <c r="S308" i="3"/>
  <c r="S309" i="3"/>
  <c r="S310" i="3"/>
  <c r="S311" i="3"/>
  <c r="S312" i="3"/>
  <c r="S313" i="3"/>
  <c r="S314" i="3"/>
  <c r="S315" i="3"/>
  <c r="S316" i="3"/>
  <c r="S317" i="3"/>
  <c r="S318" i="3"/>
  <c r="S319" i="3"/>
  <c r="S320" i="3"/>
  <c r="S321" i="3"/>
  <c r="S322" i="3"/>
  <c r="S323" i="3"/>
  <c r="S324" i="3"/>
  <c r="S325" i="3"/>
  <c r="S326" i="3"/>
  <c r="S327" i="3"/>
  <c r="S328" i="3"/>
  <c r="S329" i="3"/>
  <c r="S330" i="3"/>
  <c r="S331" i="3"/>
  <c r="S332" i="3"/>
  <c r="S333" i="3"/>
  <c r="S334" i="3"/>
  <c r="S335" i="3"/>
  <c r="S336" i="3"/>
  <c r="S337" i="3"/>
  <c r="S338" i="3"/>
  <c r="S339" i="3"/>
  <c r="S340" i="3"/>
  <c r="S341" i="3"/>
  <c r="S342" i="3"/>
  <c r="S343" i="3"/>
  <c r="S344" i="3"/>
  <c r="S345" i="3"/>
  <c r="S346" i="3"/>
  <c r="S347" i="3"/>
  <c r="S348" i="3"/>
  <c r="S349" i="3"/>
  <c r="S350" i="3"/>
  <c r="S351" i="3"/>
  <c r="S352" i="3"/>
  <c r="S353" i="3"/>
  <c r="S354" i="3"/>
  <c r="S355" i="3"/>
  <c r="S356" i="3"/>
  <c r="S357" i="3"/>
  <c r="S358" i="3"/>
  <c r="S359" i="3"/>
  <c r="S360" i="3"/>
  <c r="S361" i="3"/>
  <c r="S362" i="3"/>
  <c r="S363" i="3"/>
  <c r="S364" i="3"/>
  <c r="S365" i="3"/>
  <c r="S366" i="3"/>
  <c r="S367" i="3"/>
  <c r="S368" i="3"/>
  <c r="S369" i="3"/>
  <c r="S370" i="3"/>
  <c r="S371" i="3"/>
  <c r="S372" i="3"/>
  <c r="S373" i="3"/>
  <c r="S374" i="3"/>
  <c r="S375" i="3"/>
  <c r="S376" i="3"/>
  <c r="S377" i="3"/>
  <c r="S378" i="3"/>
  <c r="S379" i="3"/>
  <c r="S380" i="3"/>
  <c r="S381" i="3"/>
  <c r="S382" i="3"/>
  <c r="S383" i="3"/>
  <c r="S384" i="3"/>
  <c r="S385" i="3"/>
  <c r="S386" i="3"/>
  <c r="S387" i="3"/>
  <c r="S388" i="3"/>
  <c r="S389" i="3"/>
  <c r="S390" i="3"/>
  <c r="S391" i="3"/>
  <c r="S392" i="3"/>
  <c r="S393" i="3"/>
  <c r="S394" i="3"/>
  <c r="S395" i="3"/>
  <c r="S396" i="3"/>
  <c r="S397" i="3"/>
  <c r="S398" i="3"/>
  <c r="S399" i="3"/>
  <c r="S400" i="3"/>
  <c r="S401" i="3"/>
  <c r="S402" i="3"/>
  <c r="S403" i="3"/>
  <c r="S404" i="3"/>
  <c r="S405" i="3"/>
  <c r="S406" i="3"/>
  <c r="S407" i="3"/>
  <c r="S408" i="3"/>
  <c r="S409" i="3"/>
  <c r="S410" i="3"/>
  <c r="S411" i="3"/>
  <c r="S412" i="3"/>
  <c r="S413" i="3"/>
  <c r="S414" i="3"/>
  <c r="S415" i="3"/>
  <c r="S416" i="3"/>
  <c r="S417" i="3"/>
  <c r="S418" i="3"/>
  <c r="S419" i="3"/>
  <c r="S420" i="3"/>
  <c r="S421" i="3"/>
  <c r="S422" i="3"/>
  <c r="S423" i="3"/>
  <c r="S424" i="3"/>
  <c r="S425" i="3"/>
  <c r="S426" i="3"/>
  <c r="S427" i="3"/>
  <c r="S428" i="3"/>
  <c r="S429" i="3"/>
  <c r="S430" i="3"/>
  <c r="S431" i="3"/>
  <c r="S432" i="3"/>
  <c r="S433" i="3"/>
  <c r="S434" i="3"/>
  <c r="S435" i="3"/>
  <c r="S436" i="3"/>
  <c r="S437" i="3"/>
  <c r="S438" i="3"/>
  <c r="S439" i="3"/>
  <c r="S440" i="3"/>
  <c r="S441" i="3"/>
  <c r="S442" i="3"/>
  <c r="S443" i="3"/>
  <c r="S444" i="3"/>
  <c r="S445" i="3"/>
  <c r="S446" i="3"/>
  <c r="S447" i="3"/>
  <c r="S448" i="3"/>
  <c r="S449" i="3"/>
  <c r="S450" i="3"/>
  <c r="S451" i="3"/>
  <c r="S452" i="3"/>
  <c r="S453" i="3"/>
  <c r="S454" i="3"/>
  <c r="S455" i="3"/>
  <c r="S456" i="3"/>
  <c r="S457" i="3"/>
  <c r="S458" i="3"/>
  <c r="S459" i="3"/>
  <c r="S460" i="3"/>
  <c r="S461" i="3"/>
  <c r="S462" i="3"/>
  <c r="S463" i="3"/>
  <c r="S464" i="3"/>
  <c r="S465" i="3"/>
  <c r="S466" i="3"/>
  <c r="S467" i="3"/>
  <c r="S468" i="3"/>
  <c r="S469" i="3"/>
  <c r="S470" i="3"/>
  <c r="S471" i="3"/>
  <c r="S472" i="3"/>
  <c r="S473" i="3"/>
  <c r="S474" i="3"/>
  <c r="S475" i="3"/>
  <c r="S476" i="3"/>
  <c r="S477" i="3"/>
  <c r="S478" i="3"/>
  <c r="S479" i="3"/>
  <c r="S480" i="3"/>
  <c r="S481" i="3"/>
  <c r="S482" i="3"/>
  <c r="S483" i="3"/>
  <c r="S484" i="3"/>
  <c r="S485" i="3"/>
  <c r="S486" i="3"/>
  <c r="S487" i="3"/>
  <c r="S488" i="3"/>
  <c r="S489" i="3"/>
  <c r="S490" i="3"/>
  <c r="S491" i="3"/>
  <c r="S492" i="3"/>
  <c r="S493" i="3"/>
  <c r="S494" i="3"/>
  <c r="S495" i="3"/>
  <c r="S496" i="3"/>
  <c r="S497" i="3"/>
  <c r="S498" i="3"/>
  <c r="S499" i="3"/>
  <c r="S500" i="3"/>
  <c r="S501" i="3"/>
  <c r="S502" i="3"/>
  <c r="S503" i="3"/>
  <c r="S504" i="3"/>
  <c r="S505" i="3"/>
  <c r="S506" i="3"/>
  <c r="S507" i="3"/>
  <c r="S508" i="3"/>
  <c r="S509" i="3"/>
  <c r="S510" i="3"/>
  <c r="S511" i="3"/>
  <c r="S512" i="3"/>
  <c r="S513" i="3"/>
  <c r="S514" i="3"/>
  <c r="S515" i="3"/>
  <c r="S516" i="3"/>
  <c r="S517" i="3"/>
  <c r="S518" i="3"/>
  <c r="S519" i="3"/>
  <c r="S520" i="3"/>
  <c r="S521" i="3"/>
  <c r="S522" i="3"/>
  <c r="S523" i="3"/>
  <c r="S524" i="3"/>
  <c r="S525" i="3"/>
  <c r="S526" i="3"/>
  <c r="S527" i="3"/>
  <c r="S528" i="3"/>
  <c r="S529" i="3"/>
  <c r="S530" i="3"/>
  <c r="S531" i="3"/>
  <c r="S532" i="3"/>
  <c r="S533" i="3"/>
  <c r="S534" i="3"/>
  <c r="S535" i="3"/>
  <c r="S536" i="3"/>
  <c r="S537" i="3"/>
  <c r="S538" i="3"/>
  <c r="S539" i="3"/>
  <c r="S540" i="3"/>
  <c r="S541" i="3"/>
  <c r="S542" i="3"/>
  <c r="S543" i="3"/>
  <c r="S544" i="3"/>
  <c r="S545" i="3"/>
  <c r="S546" i="3"/>
  <c r="S547" i="3"/>
  <c r="S548" i="3"/>
  <c r="S549" i="3"/>
  <c r="S550" i="3"/>
  <c r="S551" i="3"/>
  <c r="S552" i="3"/>
  <c r="S553" i="3"/>
  <c r="S554" i="3"/>
  <c r="S555" i="3"/>
  <c r="S556" i="3"/>
  <c r="S557" i="3"/>
  <c r="S558" i="3"/>
  <c r="S559" i="3"/>
  <c r="S560" i="3"/>
  <c r="S561" i="3"/>
  <c r="S562" i="3"/>
  <c r="S563" i="3"/>
  <c r="S564" i="3"/>
  <c r="S565" i="3"/>
  <c r="S566" i="3"/>
  <c r="S567" i="3"/>
  <c r="S568" i="3"/>
  <c r="S569" i="3"/>
  <c r="S570" i="3"/>
  <c r="S571" i="3"/>
  <c r="S572" i="3"/>
  <c r="S573" i="3"/>
  <c r="S574" i="3"/>
  <c r="S575" i="3"/>
  <c r="S576" i="3"/>
  <c r="S577" i="3"/>
  <c r="S578" i="3"/>
  <c r="S579" i="3"/>
  <c r="S580" i="3"/>
  <c r="S581" i="3"/>
  <c r="S582" i="3"/>
  <c r="S583" i="3"/>
  <c r="S584" i="3"/>
  <c r="S585" i="3"/>
  <c r="S586" i="3"/>
  <c r="S587" i="3"/>
  <c r="S588" i="3"/>
  <c r="S589" i="3"/>
  <c r="S590" i="3"/>
  <c r="S591" i="3"/>
  <c r="S592" i="3"/>
  <c r="S593" i="3"/>
  <c r="S594" i="3"/>
  <c r="S595" i="3"/>
  <c r="S596" i="3"/>
  <c r="S597" i="3"/>
  <c r="S598" i="3"/>
  <c r="S599" i="3"/>
  <c r="S600" i="3"/>
  <c r="S601" i="3"/>
  <c r="S602" i="3"/>
  <c r="S603" i="3"/>
  <c r="S604" i="3"/>
  <c r="S605" i="3"/>
  <c r="S606" i="3"/>
  <c r="S607" i="3"/>
  <c r="S608" i="3"/>
  <c r="S609" i="3"/>
  <c r="S610" i="3"/>
  <c r="S611" i="3"/>
  <c r="S612" i="3"/>
  <c r="S613" i="3"/>
  <c r="S614" i="3"/>
  <c r="S615" i="3"/>
  <c r="S616" i="3"/>
  <c r="S617" i="3"/>
  <c r="S619" i="3"/>
  <c r="S620" i="3"/>
  <c r="S621" i="3"/>
  <c r="S622" i="3"/>
  <c r="S623" i="3"/>
  <c r="S624" i="3"/>
  <c r="S625" i="3"/>
  <c r="S626" i="3"/>
  <c r="S627" i="3"/>
  <c r="S628" i="3"/>
  <c r="S629" i="3"/>
  <c r="S630" i="3"/>
  <c r="S631" i="3"/>
  <c r="S632" i="3"/>
  <c r="S2" i="3"/>
  <c r="S3" i="3"/>
  <c r="S5" i="3"/>
  <c r="Q2" i="3"/>
  <c r="P2" i="3"/>
  <c r="Q3" i="3"/>
  <c r="Q4" i="3"/>
  <c r="Q5" i="3"/>
  <c r="Q6" i="3"/>
  <c r="Q7" i="3"/>
  <c r="Q8"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61" i="3"/>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418" i="3"/>
  <c r="Q419" i="3"/>
  <c r="Q420" i="3"/>
  <c r="Q421" i="3"/>
  <c r="Q422" i="3"/>
  <c r="Q423" i="3"/>
  <c r="Q424" i="3"/>
  <c r="Q425" i="3"/>
  <c r="Q426" i="3"/>
  <c r="Q427" i="3"/>
  <c r="Q428" i="3"/>
  <c r="Q429" i="3"/>
  <c r="Q430" i="3"/>
  <c r="Q431" i="3"/>
  <c r="Q432" i="3"/>
  <c r="Q433" i="3"/>
  <c r="Q434" i="3"/>
  <c r="Q435" i="3"/>
  <c r="Q436" i="3"/>
  <c r="Q437" i="3"/>
  <c r="Q438" i="3"/>
  <c r="Q439" i="3"/>
  <c r="Q440" i="3"/>
  <c r="Q441" i="3"/>
  <c r="Q442" i="3"/>
  <c r="Q443" i="3"/>
  <c r="Q444" i="3"/>
  <c r="Q445" i="3"/>
  <c r="Q446" i="3"/>
  <c r="Q447" i="3"/>
  <c r="Q448" i="3"/>
  <c r="Q449" i="3"/>
  <c r="Q450" i="3"/>
  <c r="Q451" i="3"/>
  <c r="Q452" i="3"/>
  <c r="Q453" i="3"/>
  <c r="Q454" i="3"/>
  <c r="Q455" i="3"/>
  <c r="Q456" i="3"/>
  <c r="Q457" i="3"/>
  <c r="Q458" i="3"/>
  <c r="Q459" i="3"/>
  <c r="Q460" i="3"/>
  <c r="Q461" i="3"/>
  <c r="Q462" i="3"/>
  <c r="Q463" i="3"/>
  <c r="Q464" i="3"/>
  <c r="Q465" i="3"/>
  <c r="Q466" i="3"/>
  <c r="Q467" i="3"/>
  <c r="Q468" i="3"/>
  <c r="Q469" i="3"/>
  <c r="Q470" i="3"/>
  <c r="Q471" i="3"/>
  <c r="Q472" i="3"/>
  <c r="Q473" i="3"/>
  <c r="Q474" i="3"/>
  <c r="Q475" i="3"/>
  <c r="Q476" i="3"/>
  <c r="Q477" i="3"/>
  <c r="Q478" i="3"/>
  <c r="Q479" i="3"/>
  <c r="Q480" i="3"/>
  <c r="Q481" i="3"/>
  <c r="Q482" i="3"/>
  <c r="Q483" i="3"/>
  <c r="Q484" i="3"/>
  <c r="Q485" i="3"/>
  <c r="Q486" i="3"/>
  <c r="Q487" i="3"/>
  <c r="Q488" i="3"/>
  <c r="Q489" i="3"/>
  <c r="Q490" i="3"/>
  <c r="Q491" i="3"/>
  <c r="Q492" i="3"/>
  <c r="Q493" i="3"/>
  <c r="Q494" i="3"/>
  <c r="Q495" i="3"/>
  <c r="Q496" i="3"/>
  <c r="Q497" i="3"/>
  <c r="Q498" i="3"/>
  <c r="Q499" i="3"/>
  <c r="Q500" i="3"/>
  <c r="Q501" i="3"/>
  <c r="Q502" i="3"/>
  <c r="Q503" i="3"/>
  <c r="Q504" i="3"/>
  <c r="Q505" i="3"/>
  <c r="Q506" i="3"/>
  <c r="Q507" i="3"/>
  <c r="Q508" i="3"/>
  <c r="Q509" i="3"/>
  <c r="Q510" i="3"/>
  <c r="Q511" i="3"/>
  <c r="Q512" i="3"/>
  <c r="Q513" i="3"/>
  <c r="Q514" i="3"/>
  <c r="Q515" i="3"/>
  <c r="Q516" i="3"/>
  <c r="Q517" i="3"/>
  <c r="Q518" i="3"/>
  <c r="Q519" i="3"/>
  <c r="Q520" i="3"/>
  <c r="Q521" i="3"/>
  <c r="Q522" i="3"/>
  <c r="Q523" i="3"/>
  <c r="Q524" i="3"/>
  <c r="Q525" i="3"/>
  <c r="Q526" i="3"/>
  <c r="Q527" i="3"/>
  <c r="Q528" i="3"/>
  <c r="Q529" i="3"/>
  <c r="Q530" i="3"/>
  <c r="Q531" i="3"/>
  <c r="Q532" i="3"/>
  <c r="Q533" i="3"/>
  <c r="Q534" i="3"/>
  <c r="Q535" i="3"/>
  <c r="Q536" i="3"/>
  <c r="Q537" i="3"/>
  <c r="Q538" i="3"/>
  <c r="Q539" i="3"/>
  <c r="Q540" i="3"/>
  <c r="Q541" i="3"/>
  <c r="Q542" i="3"/>
  <c r="Q543" i="3"/>
  <c r="Q544" i="3"/>
  <c r="Q545" i="3"/>
  <c r="Q546" i="3"/>
  <c r="Q547" i="3"/>
  <c r="Q548" i="3"/>
  <c r="Q549" i="3"/>
  <c r="Q550" i="3"/>
  <c r="Q551" i="3"/>
  <c r="Q552" i="3"/>
  <c r="Q553" i="3"/>
  <c r="Q554" i="3"/>
  <c r="Q555" i="3"/>
  <c r="Q556" i="3"/>
  <c r="Q557" i="3"/>
  <c r="Q558" i="3"/>
  <c r="Q559" i="3"/>
  <c r="Q560" i="3"/>
  <c r="Q561" i="3"/>
  <c r="Q562" i="3"/>
  <c r="Q563" i="3"/>
  <c r="Q564" i="3"/>
  <c r="Q565" i="3"/>
  <c r="Q566" i="3"/>
  <c r="Q567" i="3"/>
  <c r="Q568" i="3"/>
  <c r="Q569" i="3"/>
  <c r="Q570" i="3"/>
  <c r="Q571" i="3"/>
  <c r="Q572" i="3"/>
  <c r="Q573" i="3"/>
  <c r="Q574" i="3"/>
  <c r="Q575" i="3"/>
  <c r="Q576" i="3"/>
  <c r="Q577" i="3"/>
  <c r="Q578" i="3"/>
  <c r="Q579" i="3"/>
  <c r="Q580" i="3"/>
  <c r="Q581" i="3"/>
  <c r="Q582" i="3"/>
  <c r="Q583" i="3"/>
  <c r="Q584" i="3"/>
  <c r="Q585" i="3"/>
  <c r="Q586" i="3"/>
  <c r="Q587" i="3"/>
  <c r="Q588" i="3"/>
  <c r="Q589" i="3"/>
  <c r="Q590" i="3"/>
  <c r="Q591" i="3"/>
  <c r="Q592" i="3"/>
  <c r="Q593" i="3"/>
  <c r="Q594" i="3"/>
  <c r="Q595" i="3"/>
  <c r="Q596" i="3"/>
  <c r="Q597" i="3"/>
  <c r="Q598" i="3"/>
  <c r="Q599" i="3"/>
  <c r="Q600" i="3"/>
  <c r="Q601" i="3"/>
  <c r="Q602" i="3"/>
  <c r="Q603" i="3"/>
  <c r="Q604" i="3"/>
  <c r="Q605" i="3"/>
  <c r="Q606" i="3"/>
  <c r="Q607" i="3"/>
  <c r="Q608" i="3"/>
  <c r="Q609" i="3"/>
  <c r="Q610" i="3"/>
  <c r="Q611" i="3"/>
  <c r="Q612" i="3"/>
  <c r="Q613" i="3"/>
  <c r="Q614" i="3"/>
  <c r="Q615" i="3"/>
  <c r="Q616" i="3"/>
  <c r="Q617" i="3"/>
  <c r="Q618" i="3"/>
  <c r="Q619" i="3"/>
  <c r="Q620" i="3"/>
  <c r="Q621" i="3"/>
  <c r="Q622" i="3"/>
  <c r="Q623" i="3"/>
  <c r="Q624" i="3"/>
  <c r="Q625" i="3"/>
  <c r="Q626" i="3"/>
  <c r="Q627" i="3"/>
  <c r="Q628" i="3"/>
  <c r="Q629" i="3"/>
  <c r="Q630" i="3"/>
  <c r="Q631" i="3"/>
  <c r="Q632" i="3"/>
  <c r="P3" i="3"/>
  <c r="P4" i="3"/>
  <c r="P5" i="3"/>
  <c r="P6" i="3"/>
  <c r="P7" i="3"/>
  <c r="P8" i="3"/>
  <c r="P9" i="3"/>
  <c r="P1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7" i="3"/>
  <c r="P78" i="3"/>
  <c r="P79" i="3"/>
  <c r="P80" i="3"/>
  <c r="P81" i="3"/>
  <c r="P82" i="3"/>
  <c r="P83" i="3"/>
  <c r="P84" i="3"/>
  <c r="P85" i="3"/>
  <c r="P86" i="3"/>
  <c r="P87" i="3"/>
  <c r="P88" i="3"/>
  <c r="P89" i="3"/>
  <c r="P90" i="3"/>
  <c r="P91" i="3"/>
  <c r="P92" i="3"/>
  <c r="P93" i="3"/>
  <c r="P94" i="3"/>
  <c r="P95" i="3"/>
  <c r="P96" i="3"/>
  <c r="P97" i="3"/>
  <c r="P98" i="3"/>
  <c r="P99" i="3"/>
  <c r="P100" i="3"/>
  <c r="P101" i="3"/>
  <c r="P102" i="3"/>
  <c r="P103" i="3"/>
  <c r="P104" i="3"/>
  <c r="P105" i="3"/>
  <c r="P106" i="3"/>
  <c r="P107" i="3"/>
  <c r="P108" i="3"/>
  <c r="P109" i="3"/>
  <c r="P110"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8"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4"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6"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59" i="3"/>
  <c r="P560" i="3"/>
  <c r="P561" i="3"/>
  <c r="P562" i="3"/>
  <c r="P563" i="3"/>
  <c r="P564"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O402" i="6" l="1"/>
  <c r="O13" i="6"/>
  <c r="O7" i="6"/>
  <c r="O3" i="6"/>
  <c r="O519" i="6"/>
  <c r="O518" i="6"/>
  <c r="O315" i="6"/>
  <c r="O317" i="6"/>
  <c r="O307" i="6"/>
  <c r="O314" i="6"/>
  <c r="O259" i="6"/>
  <c r="O261" i="6"/>
  <c r="O260" i="6"/>
  <c r="O128" i="6"/>
  <c r="O116" i="6"/>
  <c r="O581" i="6"/>
  <c r="O184" i="6"/>
  <c r="O419" i="6"/>
  <c r="O413" i="6"/>
  <c r="O472" i="6"/>
  <c r="O471" i="6"/>
  <c r="O44" i="6"/>
  <c r="O28" i="6"/>
  <c r="O29" i="6"/>
  <c r="O324" i="6"/>
  <c r="O273" i="6"/>
  <c r="O265" i="6"/>
  <c r="O282" i="6"/>
  <c r="O147" i="6"/>
  <c r="O145" i="6"/>
  <c r="O140" i="6"/>
  <c r="O143" i="6"/>
  <c r="O215" i="6"/>
  <c r="O202" i="6"/>
  <c r="O375" i="6"/>
  <c r="O496" i="6"/>
  <c r="O494" i="6"/>
  <c r="O105" i="6"/>
  <c r="O77" i="6"/>
  <c r="O174" i="6"/>
  <c r="O587" i="6"/>
  <c r="O180" i="6"/>
  <c r="O199" i="6"/>
  <c r="O186" i="6"/>
  <c r="O365" i="6"/>
  <c r="O370" i="6"/>
  <c r="O366" i="6"/>
  <c r="O465" i="6"/>
  <c r="O56" i="6"/>
  <c r="O537" i="6"/>
  <c r="O267" i="6"/>
  <c r="O432" i="6"/>
  <c r="O428" i="6"/>
  <c r="O396" i="6"/>
  <c r="O390" i="6"/>
  <c r="O382" i="6"/>
  <c r="O112" i="6"/>
  <c r="O109" i="6"/>
  <c r="O65" i="6"/>
  <c r="O75" i="6"/>
  <c r="O37" i="6"/>
  <c r="O35" i="6"/>
  <c r="O566" i="6"/>
  <c r="O555" i="6"/>
  <c r="O357" i="6"/>
  <c r="O352" i="6"/>
  <c r="O345" i="6"/>
  <c r="O342" i="6"/>
  <c r="O294" i="6"/>
  <c r="O289" i="6"/>
  <c r="O305" i="6"/>
  <c r="O293" i="6"/>
  <c r="O168" i="6"/>
  <c r="O160" i="6"/>
  <c r="O167" i="6"/>
  <c r="O629" i="6"/>
  <c r="O614" i="6"/>
  <c r="O230" i="6"/>
  <c r="O448" i="6"/>
  <c r="O458" i="6"/>
  <c r="O403" i="6"/>
  <c r="O410" i="6"/>
  <c r="AC8" i="6"/>
  <c r="AE8" i="6"/>
  <c r="AH8" i="6" s="1"/>
  <c r="AJ8" i="6" s="1"/>
  <c r="AC9" i="6"/>
  <c r="AE9" i="6"/>
  <c r="AC516" i="6"/>
  <c r="AE516" i="6"/>
  <c r="AH516" i="6" s="1"/>
  <c r="AJ516" i="6" s="1"/>
  <c r="AC522" i="6"/>
  <c r="AE522" i="6"/>
  <c r="AC506" i="6"/>
  <c r="AE506" i="6"/>
  <c r="AC311" i="6"/>
  <c r="AE311" i="6"/>
  <c r="AH311" i="6" s="1"/>
  <c r="AJ311" i="6" s="1"/>
  <c r="AC309" i="6"/>
  <c r="AE309" i="6"/>
  <c r="AH309" i="6" s="1"/>
  <c r="AJ309" i="6" s="1"/>
  <c r="AC242" i="6"/>
  <c r="AE242" i="6"/>
  <c r="AC254" i="6"/>
  <c r="AE254" i="6"/>
  <c r="AC247" i="6"/>
  <c r="AE247" i="6"/>
  <c r="AH247" i="6" s="1"/>
  <c r="AJ247" i="6" s="1"/>
  <c r="AC126" i="6"/>
  <c r="AE126" i="6"/>
  <c r="AC130" i="6"/>
  <c r="AE130" i="6"/>
  <c r="AH130" i="6" s="1"/>
  <c r="AJ130" i="6" s="1"/>
  <c r="AC580" i="6"/>
  <c r="AE580" i="6"/>
  <c r="AH580" i="6" s="1"/>
  <c r="AJ580" i="6" s="1"/>
  <c r="AC579" i="6"/>
  <c r="AE579" i="6"/>
  <c r="AH579" i="6" s="1"/>
  <c r="AJ579" i="6" s="1"/>
  <c r="AC574" i="6"/>
  <c r="AE574" i="6"/>
  <c r="AC196" i="6"/>
  <c r="AE196" i="6"/>
  <c r="AH196" i="6" s="1"/>
  <c r="AJ196" i="6" s="1"/>
  <c r="AC189" i="6"/>
  <c r="AE189" i="6"/>
  <c r="AC191" i="6"/>
  <c r="AE191" i="6"/>
  <c r="AH191" i="6" s="1"/>
  <c r="AJ191" i="6" s="1"/>
  <c r="AC421" i="6"/>
  <c r="AE421" i="6"/>
  <c r="AH421" i="6" s="1"/>
  <c r="AJ421" i="6" s="1"/>
  <c r="AC422" i="6"/>
  <c r="AE422" i="6"/>
  <c r="AH422" i="6" s="1"/>
  <c r="AJ422" i="6" s="1"/>
  <c r="AC360" i="6"/>
  <c r="AE360" i="6"/>
  <c r="AH360" i="6" s="1"/>
  <c r="AJ360" i="6" s="1"/>
  <c r="AC363" i="6"/>
  <c r="AE363" i="6"/>
  <c r="AH363" i="6" s="1"/>
  <c r="AJ363" i="6" s="1"/>
  <c r="AC479" i="6"/>
  <c r="AE479" i="6"/>
  <c r="AH479" i="6" s="1"/>
  <c r="AJ479" i="6" s="1"/>
  <c r="AC469" i="6"/>
  <c r="AE469" i="6"/>
  <c r="AH469" i="6" s="1"/>
  <c r="AJ469" i="6" s="1"/>
  <c r="AC468" i="6"/>
  <c r="AE468" i="6"/>
  <c r="AH468" i="6" s="1"/>
  <c r="AJ468" i="6" s="1"/>
  <c r="AC475" i="6"/>
  <c r="AE475" i="6"/>
  <c r="AH475" i="6" s="1"/>
  <c r="AJ475" i="6" s="1"/>
  <c r="AC464" i="6"/>
  <c r="AE464" i="6"/>
  <c r="AH464" i="6" s="1"/>
  <c r="AJ464" i="6" s="1"/>
  <c r="AC85" i="6"/>
  <c r="AE85" i="6"/>
  <c r="AC96" i="6"/>
  <c r="AE96" i="6"/>
  <c r="AH96" i="6" s="1"/>
  <c r="AJ96" i="6" s="1"/>
  <c r="AC93" i="6"/>
  <c r="AE93" i="6"/>
  <c r="AH93" i="6" s="1"/>
  <c r="AJ93" i="6" s="1"/>
  <c r="AC91" i="6"/>
  <c r="AE91" i="6"/>
  <c r="AH91" i="6" s="1"/>
  <c r="AJ91" i="6" s="1"/>
  <c r="AC50" i="6"/>
  <c r="AE50" i="6"/>
  <c r="AH50" i="6" s="1"/>
  <c r="AJ50" i="6" s="1"/>
  <c r="AC45" i="6"/>
  <c r="AE45" i="6"/>
  <c r="AH45" i="6" s="1"/>
  <c r="AJ45" i="6" s="1"/>
  <c r="AC60" i="6"/>
  <c r="AE60" i="6"/>
  <c r="AH60" i="6" s="1"/>
  <c r="AJ60" i="6" s="1"/>
  <c r="AC25" i="6"/>
  <c r="AE25" i="6"/>
  <c r="AC17" i="6"/>
  <c r="AE17" i="6"/>
  <c r="AC539" i="6"/>
  <c r="AE539" i="6"/>
  <c r="AH539" i="6" s="1"/>
  <c r="AJ539" i="6" s="1"/>
  <c r="AC536" i="6"/>
  <c r="AE536" i="6"/>
  <c r="AH536" i="6" s="1"/>
  <c r="AJ536" i="6" s="1"/>
  <c r="AC540" i="6"/>
  <c r="AE540" i="6"/>
  <c r="AH540" i="6" s="1"/>
  <c r="AJ540" i="6" s="1"/>
  <c r="AC335" i="6"/>
  <c r="AE335" i="6"/>
  <c r="AH335" i="6" s="1"/>
  <c r="AJ335" i="6" s="1"/>
  <c r="AC331" i="6"/>
  <c r="AE331" i="6"/>
  <c r="AH331" i="6" s="1"/>
  <c r="AJ331" i="6" s="1"/>
  <c r="AC269" i="6"/>
  <c r="AE269" i="6"/>
  <c r="AC263" i="6"/>
  <c r="AE263" i="6"/>
  <c r="AH263" i="6" s="1"/>
  <c r="AJ263" i="6" s="1"/>
  <c r="AC139" i="6"/>
  <c r="AE139" i="6"/>
  <c r="AH139" i="6" s="1"/>
  <c r="AJ139" i="6" s="1"/>
  <c r="AC153" i="6"/>
  <c r="AE153" i="6"/>
  <c r="AH153" i="6" s="1"/>
  <c r="AJ153" i="6" s="1"/>
  <c r="AC603" i="6"/>
  <c r="AE603" i="6"/>
  <c r="AH603" i="6" s="1"/>
  <c r="AJ603" i="6" s="1"/>
  <c r="AC607" i="6"/>
  <c r="AE607" i="6"/>
  <c r="AH607" i="6" s="1"/>
  <c r="AJ607" i="6" s="1"/>
  <c r="AC222" i="6"/>
  <c r="AE222" i="6"/>
  <c r="AH222" i="6" s="1"/>
  <c r="AJ222" i="6" s="1"/>
  <c r="AC207" i="6"/>
  <c r="AE207" i="6"/>
  <c r="AH207" i="6" s="1"/>
  <c r="AJ207" i="6" s="1"/>
  <c r="AC212" i="6"/>
  <c r="AE212" i="6"/>
  <c r="AH212" i="6" s="1"/>
  <c r="AJ212" i="6" s="1"/>
  <c r="AC444" i="6"/>
  <c r="AE444" i="6"/>
  <c r="AH444" i="6" s="1"/>
  <c r="AJ444" i="6" s="1"/>
  <c r="AC434" i="6"/>
  <c r="AE434" i="6"/>
  <c r="AC387" i="6"/>
  <c r="AE387" i="6"/>
  <c r="AH387" i="6" s="1"/>
  <c r="AJ387" i="6" s="1"/>
  <c r="AC380" i="6"/>
  <c r="AE380" i="6"/>
  <c r="AH380" i="6" s="1"/>
  <c r="AJ380" i="6" s="1"/>
  <c r="AC397" i="6"/>
  <c r="AE397" i="6"/>
  <c r="AH397" i="6" s="1"/>
  <c r="AJ397" i="6" s="1"/>
  <c r="AC501" i="6"/>
  <c r="AE501" i="6"/>
  <c r="AH501" i="6" s="1"/>
  <c r="AJ501" i="6" s="1"/>
  <c r="AC503" i="6"/>
  <c r="AE503" i="6"/>
  <c r="AH503" i="6" s="1"/>
  <c r="AJ503" i="6" s="1"/>
  <c r="AC492" i="6"/>
  <c r="AE492" i="6"/>
  <c r="AH492" i="6" s="1"/>
  <c r="AJ492" i="6" s="1"/>
  <c r="AC111" i="6"/>
  <c r="AE111" i="6"/>
  <c r="AH111" i="6" s="1"/>
  <c r="AJ111" i="6" s="1"/>
  <c r="AC68" i="6"/>
  <c r="AE68" i="6"/>
  <c r="AH68" i="6" s="1"/>
  <c r="AJ68" i="6" s="1"/>
  <c r="AC67" i="6"/>
  <c r="AE67" i="6"/>
  <c r="AH67" i="6" s="1"/>
  <c r="AJ67" i="6" s="1"/>
  <c r="AC38" i="6"/>
  <c r="AE38" i="6"/>
  <c r="AC36" i="6"/>
  <c r="AE36" i="6"/>
  <c r="AH36" i="6" s="1"/>
  <c r="AJ36" i="6" s="1"/>
  <c r="AC548" i="6"/>
  <c r="AE548" i="6"/>
  <c r="AH548" i="6" s="1"/>
  <c r="AJ548" i="6" s="1"/>
  <c r="AC564" i="6"/>
  <c r="AE564" i="6"/>
  <c r="AH564" i="6" s="1"/>
  <c r="AJ564" i="6" s="1"/>
  <c r="AC356" i="6"/>
  <c r="AE356" i="6"/>
  <c r="AH356" i="6" s="1"/>
  <c r="AJ356" i="6" s="1"/>
  <c r="AC351" i="6"/>
  <c r="AE351" i="6"/>
  <c r="AH351" i="6" s="1"/>
  <c r="AJ351" i="6" s="1"/>
  <c r="AC339" i="6"/>
  <c r="AE339" i="6"/>
  <c r="AH339" i="6" s="1"/>
  <c r="AJ339" i="6" s="1"/>
  <c r="AC295" i="6"/>
  <c r="AE295" i="6"/>
  <c r="AH295" i="6" s="1"/>
  <c r="AJ295" i="6" s="1"/>
  <c r="AC287" i="6"/>
  <c r="AE287" i="6"/>
  <c r="AH287" i="6" s="1"/>
  <c r="AJ287" i="6" s="1"/>
  <c r="AC175" i="6"/>
  <c r="AE175" i="6"/>
  <c r="AH175" i="6" s="1"/>
  <c r="AJ175" i="6" s="1"/>
  <c r="AC172" i="6"/>
  <c r="AE172" i="6"/>
  <c r="AH172" i="6" s="1"/>
  <c r="AJ172" i="6" s="1"/>
  <c r="AC163" i="6"/>
  <c r="AE163" i="6"/>
  <c r="AH163" i="6" s="1"/>
  <c r="AJ163" i="6" s="1"/>
  <c r="AC157" i="6"/>
  <c r="AE157" i="6"/>
  <c r="AC628" i="6"/>
  <c r="AE628" i="6"/>
  <c r="AH628" i="6" s="1"/>
  <c r="AJ628" i="6" s="1"/>
  <c r="AC625" i="6"/>
  <c r="AE625" i="6"/>
  <c r="AH625" i="6" s="1"/>
  <c r="AJ625" i="6" s="1"/>
  <c r="AC620" i="6"/>
  <c r="AE620" i="6"/>
  <c r="AH620" i="6" s="1"/>
  <c r="AJ620" i="6" s="1"/>
  <c r="AC615" i="6"/>
  <c r="AE615" i="6"/>
  <c r="AH615" i="6" s="1"/>
  <c r="AJ615" i="6" s="1"/>
  <c r="AC233" i="6"/>
  <c r="AE233" i="6"/>
  <c r="AC460" i="6"/>
  <c r="AE460" i="6"/>
  <c r="AH460" i="6" s="1"/>
  <c r="AJ460" i="6" s="1"/>
  <c r="AC451" i="6"/>
  <c r="AE451" i="6"/>
  <c r="AH451" i="6" s="1"/>
  <c r="AJ451" i="6" s="1"/>
  <c r="AC454" i="6"/>
  <c r="AE454" i="6"/>
  <c r="AC411" i="6"/>
  <c r="AE411" i="6"/>
  <c r="AH411" i="6" s="1"/>
  <c r="AJ411" i="6" s="1"/>
  <c r="O8" i="6"/>
  <c r="O10" i="6"/>
  <c r="AH9" i="6"/>
  <c r="AJ9" i="6" s="1"/>
  <c r="O9" i="6"/>
  <c r="O512" i="6"/>
  <c r="O516" i="6"/>
  <c r="AH522" i="6"/>
  <c r="AJ522" i="6" s="1"/>
  <c r="O522" i="6"/>
  <c r="O510" i="6"/>
  <c r="AH506" i="6"/>
  <c r="AJ506" i="6" s="1"/>
  <c r="O506" i="6"/>
  <c r="O505" i="6"/>
  <c r="O311" i="6"/>
  <c r="O312" i="6"/>
  <c r="O309" i="6"/>
  <c r="O320" i="6"/>
  <c r="AH242" i="6"/>
  <c r="AJ242" i="6" s="1"/>
  <c r="O242" i="6"/>
  <c r="O241" i="6"/>
  <c r="AH254" i="6"/>
  <c r="AJ254" i="6" s="1"/>
  <c r="O254" i="6"/>
  <c r="O251" i="6"/>
  <c r="O247" i="6"/>
  <c r="O246" i="6"/>
  <c r="AH126" i="6"/>
  <c r="AJ126" i="6" s="1"/>
  <c r="O126" i="6"/>
  <c r="O119" i="6"/>
  <c r="O130" i="6"/>
  <c r="O122" i="6"/>
  <c r="O580" i="6"/>
  <c r="O583" i="6"/>
  <c r="O579" i="6"/>
  <c r="O594" i="6"/>
  <c r="AH574" i="6"/>
  <c r="AJ574" i="6" s="1"/>
  <c r="O574" i="6"/>
  <c r="O584" i="6"/>
  <c r="O196" i="6"/>
  <c r="O197" i="6"/>
  <c r="AH189" i="6"/>
  <c r="AJ189" i="6" s="1"/>
  <c r="O189" i="6"/>
  <c r="O183" i="6"/>
  <c r="O191" i="6"/>
  <c r="O412" i="6"/>
  <c r="O421" i="6"/>
  <c r="O425" i="6"/>
  <c r="O422" i="6"/>
  <c r="O364" i="6"/>
  <c r="O360" i="6"/>
  <c r="O359" i="6"/>
  <c r="O363" i="6"/>
  <c r="O482" i="6"/>
  <c r="O479" i="6"/>
  <c r="O469" i="6"/>
  <c r="O468" i="6"/>
  <c r="O475" i="6"/>
  <c r="O464" i="6"/>
  <c r="AH85" i="6"/>
  <c r="AJ85" i="6" s="1"/>
  <c r="O85" i="6"/>
  <c r="O96" i="6"/>
  <c r="O89" i="6"/>
  <c r="O93" i="6"/>
  <c r="O91" i="6"/>
  <c r="O64" i="6"/>
  <c r="O50" i="6"/>
  <c r="O45" i="6"/>
  <c r="O57" i="6"/>
  <c r="O60" i="6"/>
  <c r="O26" i="6"/>
  <c r="AH25" i="6"/>
  <c r="AJ25" i="6" s="1"/>
  <c r="O25" i="6"/>
  <c r="O30" i="6"/>
  <c r="AH17" i="6"/>
  <c r="AJ17" i="6" s="1"/>
  <c r="O17" i="6"/>
  <c r="O543" i="6"/>
  <c r="O539" i="6"/>
  <c r="O536" i="6"/>
  <c r="O541" i="6"/>
  <c r="O540" i="6"/>
  <c r="O330" i="6"/>
  <c r="O335" i="6"/>
  <c r="O328" i="6"/>
  <c r="O331" i="6"/>
  <c r="O280" i="6"/>
  <c r="O272" i="6"/>
  <c r="AH269" i="6"/>
  <c r="AJ269" i="6" s="1"/>
  <c r="O269" i="6"/>
  <c r="O266" i="6"/>
  <c r="O271" i="6"/>
  <c r="O263" i="6"/>
  <c r="O136" i="6"/>
  <c r="O139" i="6"/>
  <c r="O144" i="6"/>
  <c r="O153" i="6"/>
  <c r="O146" i="6"/>
  <c r="O605" i="6"/>
  <c r="O603" i="6"/>
  <c r="O608" i="6"/>
  <c r="O607" i="6"/>
  <c r="O222" i="6"/>
  <c r="O208" i="6"/>
  <c r="O207" i="6"/>
  <c r="O218" i="6"/>
  <c r="O212" i="6"/>
  <c r="O201" i="6"/>
  <c r="O444" i="6"/>
  <c r="O435" i="6"/>
  <c r="O433" i="6"/>
  <c r="AH434" i="6"/>
  <c r="AJ434" i="6" s="1"/>
  <c r="O434" i="6"/>
  <c r="O393" i="6"/>
  <c r="O387" i="6"/>
  <c r="O383" i="6"/>
  <c r="O380" i="6"/>
  <c r="O384" i="6"/>
  <c r="O397" i="6"/>
  <c r="O501" i="6"/>
  <c r="O495" i="6"/>
  <c r="O503" i="6"/>
  <c r="O502" i="6"/>
  <c r="O492" i="6"/>
  <c r="O104" i="6"/>
  <c r="O111" i="6"/>
  <c r="O106" i="6"/>
  <c r="O68" i="6"/>
  <c r="O66" i="6"/>
  <c r="O67" i="6"/>
  <c r="O81" i="6"/>
  <c r="AH38" i="6"/>
  <c r="AJ38" i="6" s="1"/>
  <c r="O38" i="6"/>
  <c r="O43" i="6"/>
  <c r="O36" i="6"/>
  <c r="O546" i="6"/>
  <c r="O551" i="6"/>
  <c r="O548" i="6"/>
  <c r="O559" i="6"/>
  <c r="O473" i="6"/>
  <c r="O474" i="6"/>
  <c r="O99" i="6"/>
  <c r="O86" i="6"/>
  <c r="O90" i="6"/>
  <c r="O98" i="6"/>
  <c r="O49" i="6"/>
  <c r="O46" i="6"/>
  <c r="O51" i="6"/>
  <c r="O27" i="6"/>
  <c r="O530" i="6"/>
  <c r="O529" i="6"/>
  <c r="O534" i="6"/>
  <c r="O334" i="6"/>
  <c r="O329" i="6"/>
  <c r="O283" i="6"/>
  <c r="O281" i="6"/>
  <c r="O152" i="6"/>
  <c r="O142" i="6"/>
  <c r="O203" i="6"/>
  <c r="O213" i="6"/>
  <c r="O205" i="6"/>
  <c r="O389" i="6"/>
  <c r="O484" i="6"/>
  <c r="O552" i="6"/>
  <c r="O178" i="6"/>
  <c r="AC64" i="6"/>
  <c r="AE64" i="6"/>
  <c r="AH64" i="6" s="1"/>
  <c r="AJ64" i="6" s="1"/>
  <c r="AC57" i="6"/>
  <c r="AE57" i="6"/>
  <c r="AH57" i="6" s="1"/>
  <c r="AJ57" i="6" s="1"/>
  <c r="AC26" i="6"/>
  <c r="AE26" i="6"/>
  <c r="AH26" i="6" s="1"/>
  <c r="AJ26" i="6" s="1"/>
  <c r="AC30" i="6"/>
  <c r="AE30" i="6"/>
  <c r="AH30" i="6" s="1"/>
  <c r="AJ30" i="6" s="1"/>
  <c r="AC543" i="6"/>
  <c r="AE543" i="6"/>
  <c r="AH543" i="6" s="1"/>
  <c r="AJ543" i="6" s="1"/>
  <c r="AC541" i="6"/>
  <c r="AE541" i="6"/>
  <c r="AH541" i="6" s="1"/>
  <c r="AJ541" i="6" s="1"/>
  <c r="AC330" i="6"/>
  <c r="AE330" i="6"/>
  <c r="AH330" i="6" s="1"/>
  <c r="AJ330" i="6" s="1"/>
  <c r="AC328" i="6"/>
  <c r="AE328" i="6"/>
  <c r="AH328" i="6" s="1"/>
  <c r="AJ328" i="6" s="1"/>
  <c r="AC280" i="6"/>
  <c r="AE280" i="6"/>
  <c r="AH280" i="6" s="1"/>
  <c r="AJ280" i="6" s="1"/>
  <c r="AC272" i="6"/>
  <c r="AE272" i="6"/>
  <c r="AH272" i="6" s="1"/>
  <c r="AJ272" i="6" s="1"/>
  <c r="AC266" i="6"/>
  <c r="AE266" i="6"/>
  <c r="AH266" i="6" s="1"/>
  <c r="AJ266" i="6" s="1"/>
  <c r="AC271" i="6"/>
  <c r="AE271" i="6"/>
  <c r="AH271" i="6" s="1"/>
  <c r="AJ271" i="6" s="1"/>
  <c r="AC136" i="6"/>
  <c r="AE136" i="6"/>
  <c r="AH136" i="6" s="1"/>
  <c r="AJ136" i="6" s="1"/>
  <c r="AC144" i="6"/>
  <c r="AE144" i="6"/>
  <c r="AH144" i="6" s="1"/>
  <c r="AJ144" i="6" s="1"/>
  <c r="AC146" i="6"/>
  <c r="AE146" i="6"/>
  <c r="AH146" i="6" s="1"/>
  <c r="AJ146" i="6" s="1"/>
  <c r="AC605" i="6"/>
  <c r="AE605" i="6"/>
  <c r="AH605" i="6" s="1"/>
  <c r="AJ605" i="6" s="1"/>
  <c r="AC608" i="6"/>
  <c r="AE608" i="6"/>
  <c r="AH608" i="6" s="1"/>
  <c r="AJ608" i="6" s="1"/>
  <c r="AC208" i="6"/>
  <c r="AE208" i="6"/>
  <c r="AH208" i="6" s="1"/>
  <c r="AJ208" i="6" s="1"/>
  <c r="AC218" i="6"/>
  <c r="AE218" i="6"/>
  <c r="AH218" i="6" s="1"/>
  <c r="AJ218" i="6" s="1"/>
  <c r="AC201" i="6"/>
  <c r="AE201" i="6"/>
  <c r="AH201" i="6" s="1"/>
  <c r="AJ201" i="6" s="1"/>
  <c r="AC435" i="6"/>
  <c r="AE435" i="6"/>
  <c r="AH435" i="6" s="1"/>
  <c r="AJ435" i="6" s="1"/>
  <c r="AC433" i="6"/>
  <c r="AE433" i="6"/>
  <c r="AH433" i="6" s="1"/>
  <c r="AJ433" i="6" s="1"/>
  <c r="AC393" i="6"/>
  <c r="AE393" i="6"/>
  <c r="AH393" i="6" s="1"/>
  <c r="AJ393" i="6" s="1"/>
  <c r="AC383" i="6"/>
  <c r="AE383" i="6"/>
  <c r="AH383" i="6" s="1"/>
  <c r="AJ383" i="6" s="1"/>
  <c r="AC384" i="6"/>
  <c r="AE384" i="6"/>
  <c r="AH384" i="6" s="1"/>
  <c r="AJ384" i="6" s="1"/>
  <c r="AC495" i="6"/>
  <c r="AE495" i="6"/>
  <c r="AH495" i="6" s="1"/>
  <c r="AJ495" i="6" s="1"/>
  <c r="AC502" i="6"/>
  <c r="AE502" i="6"/>
  <c r="AH502" i="6" s="1"/>
  <c r="AJ502" i="6" s="1"/>
  <c r="AC104" i="6"/>
  <c r="AE104" i="6"/>
  <c r="AH104" i="6" s="1"/>
  <c r="AJ104" i="6" s="1"/>
  <c r="AC106" i="6"/>
  <c r="AE106" i="6"/>
  <c r="AH106" i="6" s="1"/>
  <c r="AJ106" i="6" s="1"/>
  <c r="AC66" i="6"/>
  <c r="AE66" i="6"/>
  <c r="AH66" i="6" s="1"/>
  <c r="AJ66" i="6" s="1"/>
  <c r="AC81" i="6"/>
  <c r="AE81" i="6"/>
  <c r="AH81" i="6" s="1"/>
  <c r="AJ81" i="6" s="1"/>
  <c r="AC43" i="6"/>
  <c r="AE43" i="6"/>
  <c r="AH43" i="6" s="1"/>
  <c r="AJ43" i="6" s="1"/>
  <c r="AC546" i="6"/>
  <c r="AE546" i="6"/>
  <c r="AH546" i="6" s="1"/>
  <c r="AJ546" i="6" s="1"/>
  <c r="AC551" i="6"/>
  <c r="AE551" i="6"/>
  <c r="AH551" i="6" s="1"/>
  <c r="AJ551" i="6" s="1"/>
  <c r="AC559" i="6"/>
  <c r="AE559" i="6"/>
  <c r="AH559" i="6" s="1"/>
  <c r="AJ559" i="6" s="1"/>
  <c r="AC553" i="6"/>
  <c r="AE553" i="6"/>
  <c r="AH553" i="6" s="1"/>
  <c r="AJ553" i="6" s="1"/>
  <c r="AC347" i="6"/>
  <c r="AE347" i="6"/>
  <c r="AH347" i="6" s="1"/>
  <c r="AJ347" i="6" s="1"/>
  <c r="AC340" i="6"/>
  <c r="AE340" i="6"/>
  <c r="AH340" i="6" s="1"/>
  <c r="AJ340" i="6" s="1"/>
  <c r="AC341" i="6"/>
  <c r="AE341" i="6"/>
  <c r="AC292" i="6"/>
  <c r="AE292" i="6"/>
  <c r="AH292" i="6" s="1"/>
  <c r="AJ292" i="6" s="1"/>
  <c r="AC286" i="6"/>
  <c r="AE286" i="6"/>
  <c r="AC303" i="6"/>
  <c r="AE303" i="6"/>
  <c r="AH303" i="6" s="1"/>
  <c r="AJ303" i="6" s="1"/>
  <c r="AC164" i="6"/>
  <c r="AE164" i="6"/>
  <c r="AH164" i="6" s="1"/>
  <c r="AJ164" i="6" s="1"/>
  <c r="AC166" i="6"/>
  <c r="AE166" i="6"/>
  <c r="AC159" i="6"/>
  <c r="AE159" i="6"/>
  <c r="AH159" i="6" s="1"/>
  <c r="AJ159" i="6" s="1"/>
  <c r="AC630" i="6"/>
  <c r="AE630" i="6"/>
  <c r="AC612" i="6"/>
  <c r="AE612" i="6"/>
  <c r="AH612" i="6" s="1"/>
  <c r="AJ612" i="6" s="1"/>
  <c r="AC224" i="6"/>
  <c r="AE224" i="6"/>
  <c r="AH224" i="6" s="1"/>
  <c r="AJ224" i="6" s="1"/>
  <c r="AC236" i="6"/>
  <c r="AE236" i="6"/>
  <c r="AH236" i="6" s="1"/>
  <c r="AJ236" i="6" s="1"/>
  <c r="AC462" i="6"/>
  <c r="AE462" i="6"/>
  <c r="AC456" i="6"/>
  <c r="AE456" i="6"/>
  <c r="AH456" i="6" s="1"/>
  <c r="AJ456" i="6" s="1"/>
  <c r="AC401" i="6"/>
  <c r="AE401" i="6"/>
  <c r="AH401" i="6" s="1"/>
  <c r="AJ401" i="6" s="1"/>
  <c r="AC405" i="6"/>
  <c r="AE405" i="6"/>
  <c r="AH405" i="6" s="1"/>
  <c r="AJ405" i="6" s="1"/>
  <c r="O2" i="6"/>
  <c r="V2" i="6"/>
  <c r="AH4" i="6"/>
  <c r="AJ4" i="6" s="1"/>
  <c r="O4" i="6"/>
  <c r="O12" i="6"/>
  <c r="O524" i="6"/>
  <c r="O525" i="6"/>
  <c r="O517" i="6"/>
  <c r="O514" i="6"/>
  <c r="O511" i="6"/>
  <c r="O310" i="6"/>
  <c r="O308" i="6"/>
  <c r="O319" i="6"/>
  <c r="O313" i="6"/>
  <c r="O257" i="6"/>
  <c r="O253" i="6"/>
  <c r="O250" i="6"/>
  <c r="O258" i="6"/>
  <c r="O238" i="6"/>
  <c r="O239" i="6"/>
  <c r="O120" i="6"/>
  <c r="O127" i="6"/>
  <c r="O113" i="6"/>
  <c r="O124" i="6"/>
  <c r="O125" i="6"/>
  <c r="O588" i="6"/>
  <c r="O572" i="6"/>
  <c r="O586" i="6"/>
  <c r="O578" i="6"/>
  <c r="O582" i="6"/>
  <c r="O570" i="6"/>
  <c r="O181" i="6"/>
  <c r="O193" i="6"/>
  <c r="O190" i="6"/>
  <c r="O182" i="6"/>
  <c r="O187" i="6"/>
  <c r="O420" i="6"/>
  <c r="O416" i="6"/>
  <c r="O417" i="6"/>
  <c r="O426" i="6"/>
  <c r="O372" i="6"/>
  <c r="O362" i="6"/>
  <c r="O368" i="6"/>
  <c r="O369" i="6"/>
  <c r="O481" i="6"/>
  <c r="O470" i="6"/>
  <c r="O478" i="6"/>
  <c r="O477" i="6"/>
  <c r="O467" i="6"/>
  <c r="O84" i="6"/>
  <c r="O87" i="6"/>
  <c r="O100" i="6"/>
  <c r="O83" i="6"/>
  <c r="O94" i="6"/>
  <c r="O54" i="6"/>
  <c r="O47" i="6"/>
  <c r="O55" i="6"/>
  <c r="O59" i="6"/>
  <c r="O48" i="6"/>
  <c r="O61" i="6"/>
  <c r="O18" i="6"/>
  <c r="O22" i="6"/>
  <c r="O15" i="6"/>
  <c r="O16" i="6"/>
  <c r="O532" i="6"/>
  <c r="O544" i="6"/>
  <c r="O538" i="6"/>
  <c r="O535" i="6"/>
  <c r="O528" i="6"/>
  <c r="O333" i="6"/>
  <c r="O327" i="6"/>
  <c r="O322" i="6"/>
  <c r="O325" i="6"/>
  <c r="O262" i="6"/>
  <c r="O264" i="6"/>
  <c r="O268" i="6"/>
  <c r="O277" i="6"/>
  <c r="O270" i="6"/>
  <c r="O135" i="6"/>
  <c r="O134" i="6"/>
  <c r="O141" i="6"/>
  <c r="O151" i="6"/>
  <c r="O132" i="6"/>
  <c r="O150" i="6"/>
  <c r="O597" i="6"/>
  <c r="O601" i="6"/>
  <c r="O606" i="6"/>
  <c r="O602" i="6"/>
  <c r="O200" i="6"/>
  <c r="O209" i="6"/>
  <c r="O221" i="6"/>
  <c r="O210" i="6"/>
  <c r="O214" i="6"/>
  <c r="O431" i="6"/>
  <c r="O445" i="6"/>
  <c r="O440" i="6"/>
  <c r="O437" i="6"/>
  <c r="O436" i="6"/>
  <c r="O381" i="6"/>
  <c r="O386" i="6"/>
  <c r="O376" i="6"/>
  <c r="O379" i="6"/>
  <c r="O378" i="6"/>
  <c r="O388" i="6"/>
  <c r="O486" i="6"/>
  <c r="O490" i="6"/>
  <c r="O489" i="6"/>
  <c r="O488" i="6"/>
  <c r="O491" i="6"/>
  <c r="O107" i="6"/>
  <c r="O110" i="6"/>
  <c r="O73" i="6"/>
  <c r="O72" i="6"/>
  <c r="O71" i="6"/>
  <c r="O70" i="6"/>
  <c r="O74" i="6"/>
  <c r="O32" i="6"/>
  <c r="O34" i="6"/>
  <c r="O33" i="6"/>
  <c r="O568" i="6"/>
  <c r="O513" i="6"/>
  <c r="O255" i="6"/>
  <c r="O252" i="6"/>
  <c r="O245" i="6"/>
  <c r="O115" i="6"/>
  <c r="O121" i="6"/>
  <c r="O573" i="6"/>
  <c r="O585" i="6"/>
  <c r="AH592" i="6"/>
  <c r="AJ592" i="6" s="1"/>
  <c r="O592" i="6"/>
  <c r="O576" i="6"/>
  <c r="O192" i="6"/>
  <c r="O414" i="6"/>
  <c r="O367" i="6"/>
  <c r="O95" i="6"/>
  <c r="O24" i="6"/>
  <c r="O20" i="6"/>
  <c r="O542" i="6"/>
  <c r="O598" i="6"/>
  <c r="O217" i="6"/>
  <c r="O441" i="6"/>
  <c r="O430" i="6"/>
  <c r="O394" i="6"/>
  <c r="O497" i="6"/>
  <c r="O498" i="6"/>
  <c r="O79" i="6"/>
  <c r="O40" i="6"/>
  <c r="O563" i="6"/>
  <c r="O560" i="6"/>
  <c r="O565" i="6"/>
  <c r="O349" i="6"/>
  <c r="O346" i="6"/>
  <c r="O291" i="6"/>
  <c r="O156" i="6"/>
  <c r="O154" i="6"/>
  <c r="O621" i="6"/>
  <c r="O611" i="6"/>
  <c r="O223" i="6"/>
  <c r="O229" i="6"/>
  <c r="O237" i="6"/>
  <c r="O446" i="6"/>
  <c r="O459" i="6"/>
  <c r="O408" i="6"/>
  <c r="AC10" i="6"/>
  <c r="AE10" i="6"/>
  <c r="AH10" i="6" s="1"/>
  <c r="AJ10" i="6" s="1"/>
  <c r="AC512" i="6"/>
  <c r="AE512" i="6"/>
  <c r="AH512" i="6" s="1"/>
  <c r="AJ512" i="6" s="1"/>
  <c r="AC510" i="6"/>
  <c r="AE510" i="6"/>
  <c r="AH510" i="6" s="1"/>
  <c r="AJ510" i="6" s="1"/>
  <c r="AC505" i="6"/>
  <c r="AE505" i="6"/>
  <c r="AH505" i="6" s="1"/>
  <c r="AJ505" i="6" s="1"/>
  <c r="AC312" i="6"/>
  <c r="AE312" i="6"/>
  <c r="AH312" i="6" s="1"/>
  <c r="AJ312" i="6" s="1"/>
  <c r="AC320" i="6"/>
  <c r="AE320" i="6"/>
  <c r="AH320" i="6" s="1"/>
  <c r="AJ320" i="6" s="1"/>
  <c r="AC241" i="6"/>
  <c r="AE241" i="6"/>
  <c r="AH241" i="6" s="1"/>
  <c r="AJ241" i="6" s="1"/>
  <c r="AC251" i="6"/>
  <c r="AE251" i="6"/>
  <c r="AH251" i="6" s="1"/>
  <c r="AJ251" i="6" s="1"/>
  <c r="AC246" i="6"/>
  <c r="AE246" i="6"/>
  <c r="AH246" i="6" s="1"/>
  <c r="AJ246" i="6" s="1"/>
  <c r="AC119" i="6"/>
  <c r="AE119" i="6"/>
  <c r="AH119" i="6" s="1"/>
  <c r="AJ119" i="6" s="1"/>
  <c r="AC122" i="6"/>
  <c r="AE122" i="6"/>
  <c r="AH122" i="6" s="1"/>
  <c r="AJ122" i="6" s="1"/>
  <c r="AC583" i="6"/>
  <c r="AE583" i="6"/>
  <c r="AH583" i="6" s="1"/>
  <c r="AJ583" i="6" s="1"/>
  <c r="AC594" i="6"/>
  <c r="AE594" i="6"/>
  <c r="AH594" i="6" s="1"/>
  <c r="AJ594" i="6" s="1"/>
  <c r="AC584" i="6"/>
  <c r="AE584" i="6"/>
  <c r="AH584" i="6" s="1"/>
  <c r="AJ584" i="6" s="1"/>
  <c r="AC197" i="6"/>
  <c r="AE197" i="6"/>
  <c r="AH197" i="6" s="1"/>
  <c r="AJ197" i="6" s="1"/>
  <c r="AC183" i="6"/>
  <c r="AE183" i="6"/>
  <c r="AH183" i="6" s="1"/>
  <c r="AJ183" i="6" s="1"/>
  <c r="AC412" i="6"/>
  <c r="AE412" i="6"/>
  <c r="AH412" i="6" s="1"/>
  <c r="AJ412" i="6" s="1"/>
  <c r="AC425" i="6"/>
  <c r="AE425" i="6"/>
  <c r="AH425" i="6" s="1"/>
  <c r="AJ425" i="6" s="1"/>
  <c r="AC364" i="6"/>
  <c r="AE364" i="6"/>
  <c r="AH364" i="6" s="1"/>
  <c r="AJ364" i="6" s="1"/>
  <c r="AC359" i="6"/>
  <c r="AE359" i="6"/>
  <c r="AH359" i="6" s="1"/>
  <c r="AJ359" i="6" s="1"/>
  <c r="AC482" i="6"/>
  <c r="AE482" i="6"/>
  <c r="AH482" i="6" s="1"/>
  <c r="AJ482" i="6" s="1"/>
  <c r="AC89" i="6"/>
  <c r="AE89" i="6"/>
  <c r="AH89" i="6" s="1"/>
  <c r="AJ89" i="6" s="1"/>
  <c r="O5" i="6"/>
  <c r="O11" i="6"/>
  <c r="O6" i="6"/>
  <c r="O515" i="6"/>
  <c r="O508" i="6"/>
  <c r="O509" i="6"/>
  <c r="O507" i="6"/>
  <c r="O520" i="6"/>
  <c r="O318" i="6"/>
  <c r="O316" i="6"/>
  <c r="O321" i="6"/>
  <c r="O306" i="6"/>
  <c r="O243" i="6"/>
  <c r="O248" i="6"/>
  <c r="O240" i="6"/>
  <c r="O244" i="6"/>
  <c r="O249" i="6"/>
  <c r="O256" i="6"/>
  <c r="O117" i="6"/>
  <c r="O118" i="6"/>
  <c r="O129" i="6"/>
  <c r="O114" i="6"/>
  <c r="O123" i="6"/>
  <c r="O591" i="6"/>
  <c r="O571" i="6"/>
  <c r="O593" i="6"/>
  <c r="O590" i="6"/>
  <c r="O575" i="6"/>
  <c r="O577" i="6"/>
  <c r="O185" i="6"/>
  <c r="O195" i="6"/>
  <c r="O198" i="6"/>
  <c r="O194" i="6"/>
  <c r="O188" i="6"/>
  <c r="O418" i="6"/>
  <c r="O424" i="6"/>
  <c r="O427" i="6"/>
  <c r="O415" i="6"/>
  <c r="O374" i="6"/>
  <c r="O371" i="6"/>
  <c r="O361" i="6"/>
  <c r="O373" i="6"/>
  <c r="O483" i="6"/>
  <c r="O466" i="6"/>
  <c r="O463" i="6"/>
  <c r="O476" i="6"/>
  <c r="O480" i="6"/>
  <c r="O88" i="6"/>
  <c r="O102" i="6"/>
  <c r="O97" i="6"/>
  <c r="O101" i="6"/>
  <c r="O92" i="6"/>
  <c r="O58" i="6"/>
  <c r="O63" i="6"/>
  <c r="O53" i="6"/>
  <c r="O52" i="6"/>
  <c r="O62" i="6"/>
  <c r="O21" i="6"/>
  <c r="O31" i="6"/>
  <c r="O19" i="6"/>
  <c r="O23" i="6"/>
  <c r="O14" i="6"/>
  <c r="O545" i="6"/>
  <c r="O526" i="6"/>
  <c r="O527" i="6"/>
  <c r="O533" i="6"/>
  <c r="O531" i="6"/>
  <c r="O332" i="6"/>
  <c r="O323" i="6"/>
  <c r="O326" i="6"/>
  <c r="O276" i="6"/>
  <c r="O284" i="6"/>
  <c r="O279" i="6"/>
  <c r="O274" i="6"/>
  <c r="O275" i="6"/>
  <c r="O278" i="6"/>
  <c r="O149" i="6"/>
  <c r="O131" i="6"/>
  <c r="O138" i="6"/>
  <c r="O137" i="6"/>
  <c r="O133" i="6"/>
  <c r="O148" i="6"/>
  <c r="O600" i="6"/>
  <c r="O596" i="6"/>
  <c r="O599" i="6"/>
  <c r="O216" i="6"/>
  <c r="O206" i="6"/>
  <c r="O219" i="6"/>
  <c r="O220" i="6"/>
  <c r="O211" i="6"/>
  <c r="O204" i="6"/>
  <c r="O443" i="6"/>
  <c r="O429" i="6"/>
  <c r="O442" i="6"/>
  <c r="O438" i="6"/>
  <c r="O439" i="6"/>
  <c r="O385" i="6"/>
  <c r="O391" i="6"/>
  <c r="O392" i="6"/>
  <c r="O395" i="6"/>
  <c r="O377" i="6"/>
  <c r="O493" i="6"/>
  <c r="O485" i="6"/>
  <c r="O499" i="6"/>
  <c r="O500" i="6"/>
  <c r="O487" i="6"/>
  <c r="O504" i="6"/>
  <c r="O103" i="6"/>
  <c r="O108" i="6"/>
  <c r="O78" i="6"/>
  <c r="O82" i="6"/>
  <c r="O69" i="6"/>
  <c r="O80" i="6"/>
  <c r="O76" i="6"/>
  <c r="O42" i="6"/>
  <c r="O39" i="6"/>
  <c r="O564" i="6"/>
  <c r="O553" i="6"/>
  <c r="O356" i="6"/>
  <c r="O347" i="6"/>
  <c r="O340" i="6"/>
  <c r="O351" i="6"/>
  <c r="AH341" i="6"/>
  <c r="AJ341" i="6" s="1"/>
  <c r="O341" i="6"/>
  <c r="O339" i="6"/>
  <c r="O292" i="6"/>
  <c r="O295" i="6"/>
  <c r="AH286" i="6"/>
  <c r="AJ286" i="6" s="1"/>
  <c r="O286" i="6"/>
  <c r="O287" i="6"/>
  <c r="O303" i="6"/>
  <c r="O175" i="6"/>
  <c r="O164" i="6"/>
  <c r="O172" i="6"/>
  <c r="O163" i="6"/>
  <c r="AH166" i="6"/>
  <c r="AJ166" i="6" s="1"/>
  <c r="O166" i="6"/>
  <c r="AH157" i="6"/>
  <c r="AJ157" i="6" s="1"/>
  <c r="O157" i="6"/>
  <c r="O159" i="6"/>
  <c r="O628" i="6"/>
  <c r="AH630" i="6"/>
  <c r="AJ630" i="6" s="1"/>
  <c r="O630" i="6"/>
  <c r="O625" i="6"/>
  <c r="O612" i="6"/>
  <c r="O620" i="6"/>
  <c r="O615" i="6"/>
  <c r="O224" i="6"/>
  <c r="AH233" i="6"/>
  <c r="AJ233" i="6" s="1"/>
  <c r="O233" i="6"/>
  <c r="O236" i="6"/>
  <c r="AH462" i="6"/>
  <c r="AJ462" i="6" s="1"/>
  <c r="O462" i="6"/>
  <c r="O460" i="6"/>
  <c r="O456" i="6"/>
  <c r="O451" i="6"/>
  <c r="AH454" i="6"/>
  <c r="AJ454" i="6" s="1"/>
  <c r="O454" i="6"/>
  <c r="O401" i="6"/>
  <c r="O411" i="6"/>
  <c r="O405" i="6"/>
  <c r="AH2" i="6"/>
  <c r="AJ2" i="6" s="1"/>
  <c r="AC12" i="6"/>
  <c r="AE12" i="6"/>
  <c r="AH12" i="6" s="1"/>
  <c r="AJ12" i="6" s="1"/>
  <c r="AC524" i="6"/>
  <c r="AE524" i="6"/>
  <c r="AH524" i="6" s="1"/>
  <c r="AJ524" i="6" s="1"/>
  <c r="AC525" i="6"/>
  <c r="AE525" i="6"/>
  <c r="AH525" i="6" s="1"/>
  <c r="AJ525" i="6" s="1"/>
  <c r="AC517" i="6"/>
  <c r="AE517" i="6"/>
  <c r="AH517" i="6" s="1"/>
  <c r="AJ517" i="6" s="1"/>
  <c r="AC514" i="6"/>
  <c r="AE514" i="6"/>
  <c r="AH514" i="6" s="1"/>
  <c r="AJ514" i="6" s="1"/>
  <c r="AC511" i="6"/>
  <c r="AE511" i="6"/>
  <c r="AH511" i="6" s="1"/>
  <c r="AJ511" i="6" s="1"/>
  <c r="AC310" i="6"/>
  <c r="AE310" i="6"/>
  <c r="AH310" i="6" s="1"/>
  <c r="AJ310" i="6" s="1"/>
  <c r="AC308" i="6"/>
  <c r="AE308" i="6"/>
  <c r="AH308" i="6" s="1"/>
  <c r="AJ308" i="6" s="1"/>
  <c r="AC319" i="6"/>
  <c r="AE319" i="6"/>
  <c r="AH319" i="6" s="1"/>
  <c r="AJ319" i="6" s="1"/>
  <c r="AC313" i="6"/>
  <c r="AE313" i="6"/>
  <c r="AH313" i="6" s="1"/>
  <c r="AJ313" i="6" s="1"/>
  <c r="AC257" i="6"/>
  <c r="AE257" i="6"/>
  <c r="AH257" i="6" s="1"/>
  <c r="AJ257" i="6" s="1"/>
  <c r="AC253" i="6"/>
  <c r="AE253" i="6"/>
  <c r="AH253" i="6" s="1"/>
  <c r="AJ253" i="6" s="1"/>
  <c r="AC250" i="6"/>
  <c r="AE250" i="6"/>
  <c r="AH250" i="6" s="1"/>
  <c r="AJ250" i="6" s="1"/>
  <c r="AC258" i="6"/>
  <c r="AE258" i="6"/>
  <c r="AH258" i="6" s="1"/>
  <c r="AJ258" i="6" s="1"/>
  <c r="AC238" i="6"/>
  <c r="AE238" i="6"/>
  <c r="AH238" i="6" s="1"/>
  <c r="AJ238" i="6" s="1"/>
  <c r="AC239" i="6"/>
  <c r="AE239" i="6"/>
  <c r="AH239" i="6" s="1"/>
  <c r="AJ239" i="6" s="1"/>
  <c r="AC120" i="6"/>
  <c r="AE120" i="6"/>
  <c r="AH120" i="6" s="1"/>
  <c r="AJ120" i="6" s="1"/>
  <c r="AC127" i="6"/>
  <c r="AE127" i="6"/>
  <c r="AH127" i="6" s="1"/>
  <c r="AJ127" i="6" s="1"/>
  <c r="AC113" i="6"/>
  <c r="AE113" i="6"/>
  <c r="AH113" i="6" s="1"/>
  <c r="AJ113" i="6" s="1"/>
  <c r="AC124" i="6"/>
  <c r="AE124" i="6"/>
  <c r="AH124" i="6" s="1"/>
  <c r="AJ124" i="6" s="1"/>
  <c r="AC125" i="6"/>
  <c r="AE125" i="6"/>
  <c r="AH125" i="6" s="1"/>
  <c r="AJ125" i="6" s="1"/>
  <c r="AC588" i="6"/>
  <c r="AE588" i="6"/>
  <c r="AH588" i="6" s="1"/>
  <c r="AJ588" i="6" s="1"/>
  <c r="AC572" i="6"/>
  <c r="AE572" i="6"/>
  <c r="AH572" i="6" s="1"/>
  <c r="AJ572" i="6" s="1"/>
  <c r="AC586" i="6"/>
  <c r="AE586" i="6"/>
  <c r="AH586" i="6" s="1"/>
  <c r="AJ586" i="6" s="1"/>
  <c r="AC578" i="6"/>
  <c r="AE578" i="6"/>
  <c r="AH578" i="6" s="1"/>
  <c r="AJ578" i="6" s="1"/>
  <c r="AC582" i="6"/>
  <c r="AE582" i="6"/>
  <c r="AH582" i="6" s="1"/>
  <c r="AJ582" i="6" s="1"/>
  <c r="AC570" i="6"/>
  <c r="AE570" i="6"/>
  <c r="AH570" i="6" s="1"/>
  <c r="AJ570" i="6" s="1"/>
  <c r="AC181" i="6"/>
  <c r="AE181" i="6"/>
  <c r="AH181" i="6" s="1"/>
  <c r="AJ181" i="6" s="1"/>
  <c r="AC193" i="6"/>
  <c r="AE193" i="6"/>
  <c r="AH193" i="6" s="1"/>
  <c r="AJ193" i="6" s="1"/>
  <c r="AC190" i="6"/>
  <c r="AE190" i="6"/>
  <c r="AH190" i="6" s="1"/>
  <c r="AJ190" i="6" s="1"/>
  <c r="AC182" i="6"/>
  <c r="AE182" i="6"/>
  <c r="AH182" i="6" s="1"/>
  <c r="AJ182" i="6" s="1"/>
  <c r="AC187" i="6"/>
  <c r="AE187" i="6"/>
  <c r="AH187" i="6" s="1"/>
  <c r="AJ187" i="6" s="1"/>
  <c r="AC420" i="6"/>
  <c r="AE420" i="6"/>
  <c r="AH420" i="6" s="1"/>
  <c r="AJ420" i="6" s="1"/>
  <c r="AC416" i="6"/>
  <c r="AE416" i="6"/>
  <c r="AH416" i="6" s="1"/>
  <c r="AJ416" i="6" s="1"/>
  <c r="AC417" i="6"/>
  <c r="AE417" i="6"/>
  <c r="AH417" i="6" s="1"/>
  <c r="AJ417" i="6" s="1"/>
  <c r="AC426" i="6"/>
  <c r="AE426" i="6"/>
  <c r="AH426" i="6" s="1"/>
  <c r="AJ426" i="6" s="1"/>
  <c r="AC372" i="6"/>
  <c r="AE372" i="6"/>
  <c r="AH372" i="6" s="1"/>
  <c r="AJ372" i="6" s="1"/>
  <c r="AC362" i="6"/>
  <c r="AE362" i="6"/>
  <c r="AH362" i="6" s="1"/>
  <c r="AJ362" i="6" s="1"/>
  <c r="AC368" i="6"/>
  <c r="AE368" i="6"/>
  <c r="AH368" i="6" s="1"/>
  <c r="AJ368" i="6" s="1"/>
  <c r="AC369" i="6"/>
  <c r="AE369" i="6"/>
  <c r="AH369" i="6" s="1"/>
  <c r="AJ369" i="6" s="1"/>
  <c r="AC481" i="6"/>
  <c r="AE481" i="6"/>
  <c r="AH481" i="6" s="1"/>
  <c r="AJ481" i="6" s="1"/>
  <c r="AC470" i="6"/>
  <c r="AE470" i="6"/>
  <c r="AH470" i="6" s="1"/>
  <c r="AJ470" i="6" s="1"/>
  <c r="AC478" i="6"/>
  <c r="AE478" i="6"/>
  <c r="AH478" i="6" s="1"/>
  <c r="AJ478" i="6" s="1"/>
  <c r="AC477" i="6"/>
  <c r="AE477" i="6"/>
  <c r="AH477" i="6" s="1"/>
  <c r="AJ477" i="6" s="1"/>
  <c r="AC467" i="6"/>
  <c r="AE467" i="6"/>
  <c r="AH467" i="6" s="1"/>
  <c r="AJ467" i="6" s="1"/>
  <c r="AC84" i="6"/>
  <c r="AE84" i="6"/>
  <c r="AH84" i="6" s="1"/>
  <c r="AJ84" i="6" s="1"/>
  <c r="AC87" i="6"/>
  <c r="AE87" i="6"/>
  <c r="AH87" i="6" s="1"/>
  <c r="AJ87" i="6" s="1"/>
  <c r="AC100" i="6"/>
  <c r="AE100" i="6"/>
  <c r="AH100" i="6" s="1"/>
  <c r="AJ100" i="6" s="1"/>
  <c r="AC83" i="6"/>
  <c r="AE83" i="6"/>
  <c r="AH83" i="6" s="1"/>
  <c r="AJ83" i="6" s="1"/>
  <c r="AC94" i="6"/>
  <c r="AE94" i="6"/>
  <c r="AH94" i="6" s="1"/>
  <c r="AJ94" i="6" s="1"/>
  <c r="AC54" i="6"/>
  <c r="AE54" i="6"/>
  <c r="AH54" i="6" s="1"/>
  <c r="AJ54" i="6" s="1"/>
  <c r="AC47" i="6"/>
  <c r="AE47" i="6"/>
  <c r="AH47" i="6" s="1"/>
  <c r="AJ47" i="6" s="1"/>
  <c r="AC55" i="6"/>
  <c r="AE55" i="6"/>
  <c r="AH55" i="6" s="1"/>
  <c r="AJ55" i="6" s="1"/>
  <c r="AC59" i="6"/>
  <c r="AE59" i="6"/>
  <c r="AH59" i="6" s="1"/>
  <c r="AJ59" i="6" s="1"/>
  <c r="AC48" i="6"/>
  <c r="AE48" i="6"/>
  <c r="AH48" i="6" s="1"/>
  <c r="AJ48" i="6" s="1"/>
  <c r="AC61" i="6"/>
  <c r="AE61" i="6"/>
  <c r="AH61" i="6" s="1"/>
  <c r="AJ61" i="6" s="1"/>
  <c r="AC18" i="6"/>
  <c r="AE18" i="6"/>
  <c r="AH18" i="6" s="1"/>
  <c r="AJ18" i="6" s="1"/>
  <c r="AC22" i="6"/>
  <c r="AE22" i="6"/>
  <c r="AH22" i="6" s="1"/>
  <c r="AJ22" i="6" s="1"/>
  <c r="AC15" i="6"/>
  <c r="AE15" i="6"/>
  <c r="AH15" i="6" s="1"/>
  <c r="AJ15" i="6" s="1"/>
  <c r="AC16" i="6"/>
  <c r="AE16" i="6"/>
  <c r="AH16" i="6" s="1"/>
  <c r="AJ16" i="6" s="1"/>
  <c r="AC532" i="6"/>
  <c r="AE532" i="6"/>
  <c r="AH532" i="6" s="1"/>
  <c r="AJ532" i="6" s="1"/>
  <c r="AC544" i="6"/>
  <c r="AE544" i="6"/>
  <c r="AH544" i="6" s="1"/>
  <c r="AJ544" i="6" s="1"/>
  <c r="AC538" i="6"/>
  <c r="AE538" i="6"/>
  <c r="AH538" i="6" s="1"/>
  <c r="AJ538" i="6" s="1"/>
  <c r="AC535" i="6"/>
  <c r="AE535" i="6"/>
  <c r="AH535" i="6" s="1"/>
  <c r="AJ535" i="6" s="1"/>
  <c r="AC528" i="6"/>
  <c r="AE528" i="6"/>
  <c r="AH528" i="6" s="1"/>
  <c r="AJ528" i="6" s="1"/>
  <c r="AC333" i="6"/>
  <c r="AE333" i="6"/>
  <c r="AH333" i="6" s="1"/>
  <c r="AJ333" i="6" s="1"/>
  <c r="AC327" i="6"/>
  <c r="AE327" i="6"/>
  <c r="AH327" i="6" s="1"/>
  <c r="AJ327" i="6" s="1"/>
  <c r="AC322" i="6"/>
  <c r="AE322" i="6"/>
  <c r="AH322" i="6" s="1"/>
  <c r="AJ322" i="6" s="1"/>
  <c r="AC325" i="6"/>
  <c r="AE325" i="6"/>
  <c r="AH325" i="6" s="1"/>
  <c r="AJ325" i="6" s="1"/>
  <c r="AC262" i="6"/>
  <c r="AE262" i="6"/>
  <c r="AH262" i="6" s="1"/>
  <c r="AJ262" i="6" s="1"/>
  <c r="AC264" i="6"/>
  <c r="AE264" i="6"/>
  <c r="AH264" i="6" s="1"/>
  <c r="AJ264" i="6" s="1"/>
  <c r="AC268" i="6"/>
  <c r="AE268" i="6"/>
  <c r="AH268" i="6" s="1"/>
  <c r="AJ268" i="6" s="1"/>
  <c r="AC277" i="6"/>
  <c r="AE277" i="6"/>
  <c r="AH277" i="6" s="1"/>
  <c r="AJ277" i="6" s="1"/>
  <c r="AC270" i="6"/>
  <c r="AE270" i="6"/>
  <c r="AH270" i="6" s="1"/>
  <c r="AJ270" i="6" s="1"/>
  <c r="AC135" i="6"/>
  <c r="AE135" i="6"/>
  <c r="AH135" i="6" s="1"/>
  <c r="AJ135" i="6" s="1"/>
  <c r="AC134" i="6"/>
  <c r="AE134" i="6"/>
  <c r="AH134" i="6" s="1"/>
  <c r="AJ134" i="6" s="1"/>
  <c r="AC141" i="6"/>
  <c r="AE141" i="6"/>
  <c r="AH141" i="6" s="1"/>
  <c r="AJ141" i="6" s="1"/>
  <c r="AC151" i="6"/>
  <c r="AE151" i="6"/>
  <c r="AH151" i="6" s="1"/>
  <c r="AJ151" i="6" s="1"/>
  <c r="AC132" i="6"/>
  <c r="AE132" i="6"/>
  <c r="AH132" i="6" s="1"/>
  <c r="AJ132" i="6" s="1"/>
  <c r="AC150" i="6"/>
  <c r="AE150" i="6"/>
  <c r="AH150" i="6" s="1"/>
  <c r="AJ150" i="6" s="1"/>
  <c r="AC597" i="6"/>
  <c r="AE597" i="6"/>
  <c r="AH597" i="6" s="1"/>
  <c r="AJ597" i="6" s="1"/>
  <c r="AC601" i="6"/>
  <c r="AE601" i="6"/>
  <c r="AH601" i="6" s="1"/>
  <c r="AJ601" i="6" s="1"/>
  <c r="AC606" i="6"/>
  <c r="AE606" i="6"/>
  <c r="AH606" i="6" s="1"/>
  <c r="AJ606" i="6" s="1"/>
  <c r="AC602" i="6"/>
  <c r="AE602" i="6"/>
  <c r="AH602" i="6" s="1"/>
  <c r="AJ602" i="6" s="1"/>
  <c r="AC200" i="6"/>
  <c r="AE200" i="6"/>
  <c r="AH200" i="6" s="1"/>
  <c r="AJ200" i="6" s="1"/>
  <c r="AC209" i="6"/>
  <c r="AE209" i="6"/>
  <c r="AH209" i="6" s="1"/>
  <c r="AJ209" i="6" s="1"/>
  <c r="AC221" i="6"/>
  <c r="AE221" i="6"/>
  <c r="AH221" i="6" s="1"/>
  <c r="AJ221" i="6" s="1"/>
  <c r="AC210" i="6"/>
  <c r="AE210" i="6"/>
  <c r="AH210" i="6" s="1"/>
  <c r="AJ210" i="6" s="1"/>
  <c r="AC214" i="6"/>
  <c r="AE214" i="6"/>
  <c r="AH214" i="6" s="1"/>
  <c r="AJ214" i="6" s="1"/>
  <c r="AC431" i="6"/>
  <c r="AE431" i="6"/>
  <c r="AH431" i="6" s="1"/>
  <c r="AJ431" i="6" s="1"/>
  <c r="AC445" i="6"/>
  <c r="AE445" i="6"/>
  <c r="AH445" i="6" s="1"/>
  <c r="AJ445" i="6" s="1"/>
  <c r="AC440" i="6"/>
  <c r="AE440" i="6"/>
  <c r="AH440" i="6" s="1"/>
  <c r="AJ440" i="6" s="1"/>
  <c r="AC437" i="6"/>
  <c r="AE437" i="6"/>
  <c r="AH437" i="6" s="1"/>
  <c r="AJ437" i="6" s="1"/>
  <c r="AC436" i="6"/>
  <c r="AE436" i="6"/>
  <c r="AH436" i="6" s="1"/>
  <c r="AJ436" i="6" s="1"/>
  <c r="AC381" i="6"/>
  <c r="AE381" i="6"/>
  <c r="AH381" i="6" s="1"/>
  <c r="AJ381" i="6" s="1"/>
  <c r="AC386" i="6"/>
  <c r="AE386" i="6"/>
  <c r="AH386" i="6" s="1"/>
  <c r="AJ386" i="6" s="1"/>
  <c r="AC376" i="6"/>
  <c r="AE376" i="6"/>
  <c r="AH376" i="6" s="1"/>
  <c r="AJ376" i="6" s="1"/>
  <c r="AC379" i="6"/>
  <c r="AE379" i="6"/>
  <c r="AH379" i="6" s="1"/>
  <c r="AJ379" i="6" s="1"/>
  <c r="AC378" i="6"/>
  <c r="AE378" i="6"/>
  <c r="AH378" i="6" s="1"/>
  <c r="AJ378" i="6" s="1"/>
  <c r="AC388" i="6"/>
  <c r="AE388" i="6"/>
  <c r="AH388" i="6" s="1"/>
  <c r="AJ388" i="6" s="1"/>
  <c r="AC486" i="6"/>
  <c r="AE486" i="6"/>
  <c r="AH486" i="6" s="1"/>
  <c r="AJ486" i="6" s="1"/>
  <c r="AC490" i="6"/>
  <c r="AE490" i="6"/>
  <c r="AH490" i="6" s="1"/>
  <c r="AJ490" i="6" s="1"/>
  <c r="AC489" i="6"/>
  <c r="AE489" i="6"/>
  <c r="AH489" i="6" s="1"/>
  <c r="AJ489" i="6" s="1"/>
  <c r="AC488" i="6"/>
  <c r="AE488" i="6"/>
  <c r="AH488" i="6" s="1"/>
  <c r="AJ488" i="6" s="1"/>
  <c r="AC491" i="6"/>
  <c r="AE491" i="6"/>
  <c r="AH491" i="6" s="1"/>
  <c r="AJ491" i="6" s="1"/>
  <c r="AC107" i="6"/>
  <c r="AE107" i="6"/>
  <c r="AH107" i="6" s="1"/>
  <c r="AJ107" i="6" s="1"/>
  <c r="AC110" i="6"/>
  <c r="AE110" i="6"/>
  <c r="AH110" i="6" s="1"/>
  <c r="AJ110" i="6" s="1"/>
  <c r="AC73" i="6"/>
  <c r="AE73" i="6"/>
  <c r="AH73" i="6" s="1"/>
  <c r="AJ73" i="6" s="1"/>
  <c r="AC72" i="6"/>
  <c r="AE72" i="6"/>
  <c r="AH72" i="6" s="1"/>
  <c r="AJ72" i="6" s="1"/>
  <c r="AC71" i="6"/>
  <c r="AE71" i="6"/>
  <c r="AH71" i="6" s="1"/>
  <c r="AJ71" i="6" s="1"/>
  <c r="AC70" i="6"/>
  <c r="AE70" i="6"/>
  <c r="AH70" i="6" s="1"/>
  <c r="AJ70" i="6" s="1"/>
  <c r="AC74" i="6"/>
  <c r="AE74" i="6"/>
  <c r="AH74" i="6" s="1"/>
  <c r="AJ74" i="6" s="1"/>
  <c r="AC32" i="6"/>
  <c r="AE32" i="6"/>
  <c r="AH32" i="6" s="1"/>
  <c r="AJ32" i="6" s="1"/>
  <c r="AC34" i="6"/>
  <c r="AE34" i="6"/>
  <c r="AH34" i="6" s="1"/>
  <c r="AJ34" i="6" s="1"/>
  <c r="AC33" i="6"/>
  <c r="AE33" i="6"/>
  <c r="AH33" i="6" s="1"/>
  <c r="AJ33" i="6" s="1"/>
  <c r="AC568" i="6"/>
  <c r="AE568" i="6"/>
  <c r="AH568" i="6" s="1"/>
  <c r="AJ568" i="6" s="1"/>
  <c r="AC567" i="6"/>
  <c r="AE567" i="6"/>
  <c r="AH567" i="6" s="1"/>
  <c r="AJ567" i="6" s="1"/>
  <c r="AC554" i="6"/>
  <c r="AE554" i="6"/>
  <c r="AC547" i="6"/>
  <c r="AE547" i="6"/>
  <c r="AH547" i="6" s="1"/>
  <c r="AJ547" i="6" s="1"/>
  <c r="AC556" i="6"/>
  <c r="AE556" i="6"/>
  <c r="AH556" i="6" s="1"/>
  <c r="AJ556" i="6" s="1"/>
  <c r="AC549" i="6"/>
  <c r="AE549" i="6"/>
  <c r="AH549" i="6" s="1"/>
  <c r="AJ549" i="6" s="1"/>
  <c r="AC348" i="6"/>
  <c r="AE348" i="6"/>
  <c r="AH348" i="6" s="1"/>
  <c r="AJ348" i="6" s="1"/>
  <c r="AC353" i="6"/>
  <c r="AE353" i="6"/>
  <c r="AH353" i="6" s="1"/>
  <c r="AJ353" i="6" s="1"/>
  <c r="AC355" i="6"/>
  <c r="AE355" i="6"/>
  <c r="AH355" i="6" s="1"/>
  <c r="AJ355" i="6" s="1"/>
  <c r="AC337" i="6"/>
  <c r="AE337" i="6"/>
  <c r="AC343" i="6"/>
  <c r="AE343" i="6"/>
  <c r="AH343" i="6" s="1"/>
  <c r="AJ343" i="6" s="1"/>
  <c r="AC350" i="6"/>
  <c r="AE350" i="6"/>
  <c r="AH350" i="6" s="1"/>
  <c r="AJ350" i="6" s="1"/>
  <c r="AC300" i="6"/>
  <c r="AE300" i="6"/>
  <c r="AH300" i="6" s="1"/>
  <c r="AJ300" i="6" s="1"/>
  <c r="AC288" i="6"/>
  <c r="AE288" i="6"/>
  <c r="AH288" i="6" s="1"/>
  <c r="AJ288" i="6" s="1"/>
  <c r="AC304" i="6"/>
  <c r="AE304" i="6"/>
  <c r="AH304" i="6" s="1"/>
  <c r="AJ304" i="6" s="1"/>
  <c r="AC301" i="6"/>
  <c r="AE301" i="6"/>
  <c r="AC296" i="6"/>
  <c r="AE296" i="6"/>
  <c r="AH296" i="6" s="1"/>
  <c r="AJ296" i="6" s="1"/>
  <c r="AC170" i="6"/>
  <c r="AE170" i="6"/>
  <c r="AH170" i="6" s="1"/>
  <c r="AJ170" i="6" s="1"/>
  <c r="AC171" i="6"/>
  <c r="AE171" i="6"/>
  <c r="AH171" i="6" s="1"/>
  <c r="AJ171" i="6" s="1"/>
  <c r="AC165" i="6"/>
  <c r="AE165" i="6"/>
  <c r="AH165" i="6" s="1"/>
  <c r="AJ165" i="6" s="1"/>
  <c r="AC179" i="6"/>
  <c r="AE179" i="6"/>
  <c r="AH179" i="6" s="1"/>
  <c r="AJ179" i="6" s="1"/>
  <c r="AC161" i="6"/>
  <c r="AE161" i="6"/>
  <c r="AH161" i="6" s="1"/>
  <c r="AJ161" i="6" s="1"/>
  <c r="AC173" i="6"/>
  <c r="AE173" i="6"/>
  <c r="AH173" i="6" s="1"/>
  <c r="AJ173" i="6" s="1"/>
  <c r="AC610" i="6"/>
  <c r="AE610" i="6"/>
  <c r="AH610" i="6" s="1"/>
  <c r="AJ610" i="6" s="1"/>
  <c r="AC622" i="6"/>
  <c r="AE622" i="6"/>
  <c r="AH622" i="6" s="1"/>
  <c r="AJ622" i="6" s="1"/>
  <c r="AC623" i="6"/>
  <c r="AE623" i="6"/>
  <c r="AH623" i="6" s="1"/>
  <c r="AJ623" i="6" s="1"/>
  <c r="AC616" i="6"/>
  <c r="AE616" i="6"/>
  <c r="AH616" i="6" s="1"/>
  <c r="AJ616" i="6" s="1"/>
  <c r="AC609" i="6"/>
  <c r="AE609" i="6"/>
  <c r="AH609" i="6" s="1"/>
  <c r="AJ609" i="6" s="1"/>
  <c r="AC631" i="6"/>
  <c r="AE631" i="6"/>
  <c r="AH631" i="6" s="1"/>
  <c r="AJ631" i="6" s="1"/>
  <c r="AC227" i="6"/>
  <c r="AE227" i="6"/>
  <c r="AH227" i="6" s="1"/>
  <c r="AJ227" i="6" s="1"/>
  <c r="AC231" i="6"/>
  <c r="AE231" i="6"/>
  <c r="AH231" i="6" s="1"/>
  <c r="AJ231" i="6" s="1"/>
  <c r="AC225" i="6"/>
  <c r="AE225" i="6"/>
  <c r="AH225" i="6" s="1"/>
  <c r="AJ225" i="6" s="1"/>
  <c r="AC228" i="6"/>
  <c r="AE228" i="6"/>
  <c r="AH228" i="6" s="1"/>
  <c r="AJ228" i="6" s="1"/>
  <c r="AC453" i="6"/>
  <c r="AE453" i="6"/>
  <c r="AH453" i="6" s="1"/>
  <c r="AJ453" i="6" s="1"/>
  <c r="AC447" i="6"/>
  <c r="AE447" i="6"/>
  <c r="AH447" i="6" s="1"/>
  <c r="AJ447" i="6" s="1"/>
  <c r="AC449" i="6"/>
  <c r="AE449" i="6"/>
  <c r="AH449" i="6" s="1"/>
  <c r="AJ449" i="6" s="1"/>
  <c r="AC452" i="6"/>
  <c r="AE452" i="6"/>
  <c r="AH452" i="6" s="1"/>
  <c r="AJ452" i="6" s="1"/>
  <c r="AC409" i="6"/>
  <c r="AE409" i="6"/>
  <c r="AH409" i="6" s="1"/>
  <c r="AJ409" i="6" s="1"/>
  <c r="AC400" i="6"/>
  <c r="AE400" i="6"/>
  <c r="AH400" i="6" s="1"/>
  <c r="AJ400" i="6" s="1"/>
  <c r="AC398" i="6"/>
  <c r="AE398" i="6"/>
  <c r="AC404" i="6"/>
  <c r="AE404" i="6"/>
  <c r="AH404" i="6" s="1"/>
  <c r="AJ404" i="6" s="1"/>
  <c r="O567" i="6"/>
  <c r="AH554" i="6"/>
  <c r="AJ554" i="6" s="1"/>
  <c r="O554" i="6"/>
  <c r="O547" i="6"/>
  <c r="O556" i="6"/>
  <c r="O549" i="6"/>
  <c r="O348" i="6"/>
  <c r="O353" i="6"/>
  <c r="O355" i="6"/>
  <c r="AH337" i="6"/>
  <c r="AJ337" i="6" s="1"/>
  <c r="O337" i="6"/>
  <c r="O343" i="6"/>
  <c r="O350" i="6"/>
  <c r="O300" i="6"/>
  <c r="O288" i="6"/>
  <c r="O304" i="6"/>
  <c r="AH301" i="6"/>
  <c r="AJ301" i="6" s="1"/>
  <c r="O301" i="6"/>
  <c r="O296" i="6"/>
  <c r="O170" i="6"/>
  <c r="O171" i="6"/>
  <c r="O165" i="6"/>
  <c r="O179" i="6"/>
  <c r="O161" i="6"/>
  <c r="O173" i="6"/>
  <c r="O610" i="6"/>
  <c r="O622" i="6"/>
  <c r="O623" i="6"/>
  <c r="O616" i="6"/>
  <c r="O609" i="6"/>
  <c r="O631" i="6"/>
  <c r="O227" i="6"/>
  <c r="O231" i="6"/>
  <c r="O225" i="6"/>
  <c r="O228" i="6"/>
  <c r="O453" i="6"/>
  <c r="O447" i="6"/>
  <c r="O449" i="6"/>
  <c r="O452" i="6"/>
  <c r="O409" i="6"/>
  <c r="O400" i="6"/>
  <c r="AH398" i="6"/>
  <c r="AJ398" i="6" s="1"/>
  <c r="O398" i="6"/>
  <c r="O404" i="6"/>
  <c r="AC5" i="6"/>
  <c r="AE5" i="6"/>
  <c r="AH5" i="6" s="1"/>
  <c r="AJ5" i="6" s="1"/>
  <c r="AC11" i="6"/>
  <c r="AE11" i="6"/>
  <c r="AH11" i="6" s="1"/>
  <c r="AJ11" i="6" s="1"/>
  <c r="AC6" i="6"/>
  <c r="AE6" i="6"/>
  <c r="AH6" i="6" s="1"/>
  <c r="AJ6" i="6" s="1"/>
  <c r="AC515" i="6"/>
  <c r="AE515" i="6"/>
  <c r="AH515" i="6" s="1"/>
  <c r="AJ515" i="6" s="1"/>
  <c r="AC508" i="6"/>
  <c r="AE508" i="6"/>
  <c r="AH508" i="6" s="1"/>
  <c r="AJ508" i="6" s="1"/>
  <c r="AC509" i="6"/>
  <c r="AE509" i="6"/>
  <c r="AH509" i="6" s="1"/>
  <c r="AJ509" i="6" s="1"/>
  <c r="AC507" i="6"/>
  <c r="AE507" i="6"/>
  <c r="AH507" i="6" s="1"/>
  <c r="AJ507" i="6" s="1"/>
  <c r="AC520" i="6"/>
  <c r="AE520" i="6"/>
  <c r="AH520" i="6" s="1"/>
  <c r="AJ520" i="6" s="1"/>
  <c r="AC318" i="6"/>
  <c r="AE318" i="6"/>
  <c r="AH318" i="6" s="1"/>
  <c r="AJ318" i="6" s="1"/>
  <c r="AC316" i="6"/>
  <c r="AE316" i="6"/>
  <c r="AH316" i="6" s="1"/>
  <c r="AJ316" i="6" s="1"/>
  <c r="AC321" i="6"/>
  <c r="AE321" i="6"/>
  <c r="AH321" i="6" s="1"/>
  <c r="AJ321" i="6" s="1"/>
  <c r="AC306" i="6"/>
  <c r="AE306" i="6"/>
  <c r="AH306" i="6" s="1"/>
  <c r="AJ306" i="6" s="1"/>
  <c r="AC243" i="6"/>
  <c r="AE243" i="6"/>
  <c r="AH243" i="6" s="1"/>
  <c r="AJ243" i="6" s="1"/>
  <c r="AC248" i="6"/>
  <c r="AE248" i="6"/>
  <c r="AH248" i="6" s="1"/>
  <c r="AJ248" i="6" s="1"/>
  <c r="AC240" i="6"/>
  <c r="AE240" i="6"/>
  <c r="AH240" i="6" s="1"/>
  <c r="AJ240" i="6" s="1"/>
  <c r="AC244" i="6"/>
  <c r="AE244" i="6"/>
  <c r="AH244" i="6" s="1"/>
  <c r="AJ244" i="6" s="1"/>
  <c r="AC249" i="6"/>
  <c r="AE249" i="6"/>
  <c r="AH249" i="6" s="1"/>
  <c r="AJ249" i="6" s="1"/>
  <c r="AC256" i="6"/>
  <c r="AE256" i="6"/>
  <c r="AH256" i="6" s="1"/>
  <c r="AJ256" i="6" s="1"/>
  <c r="AC117" i="6"/>
  <c r="AE117" i="6"/>
  <c r="AH117" i="6" s="1"/>
  <c r="AJ117" i="6" s="1"/>
  <c r="AC118" i="6"/>
  <c r="AE118" i="6"/>
  <c r="AH118" i="6" s="1"/>
  <c r="AJ118" i="6" s="1"/>
  <c r="AC129" i="6"/>
  <c r="AE129" i="6"/>
  <c r="AH129" i="6" s="1"/>
  <c r="AJ129" i="6" s="1"/>
  <c r="AC114" i="6"/>
  <c r="AE114" i="6"/>
  <c r="AH114" i="6" s="1"/>
  <c r="AJ114" i="6" s="1"/>
  <c r="AC123" i="6"/>
  <c r="AE123" i="6"/>
  <c r="AH123" i="6" s="1"/>
  <c r="AJ123" i="6" s="1"/>
  <c r="AC591" i="6"/>
  <c r="AE591" i="6"/>
  <c r="AH591" i="6" s="1"/>
  <c r="AJ591" i="6" s="1"/>
  <c r="AC571" i="6"/>
  <c r="AE571" i="6"/>
  <c r="AH571" i="6" s="1"/>
  <c r="AJ571" i="6" s="1"/>
  <c r="AC593" i="6"/>
  <c r="AE593" i="6"/>
  <c r="AH593" i="6" s="1"/>
  <c r="AJ593" i="6" s="1"/>
  <c r="AC590" i="6"/>
  <c r="AE590" i="6"/>
  <c r="AH590" i="6" s="1"/>
  <c r="AJ590" i="6" s="1"/>
  <c r="AC575" i="6"/>
  <c r="AE575" i="6"/>
  <c r="AH575" i="6" s="1"/>
  <c r="AJ575" i="6" s="1"/>
  <c r="AC577" i="6"/>
  <c r="AE577" i="6"/>
  <c r="AH577" i="6" s="1"/>
  <c r="AJ577" i="6" s="1"/>
  <c r="AC185" i="6"/>
  <c r="AE185" i="6"/>
  <c r="AH185" i="6" s="1"/>
  <c r="AJ185" i="6" s="1"/>
  <c r="AC195" i="6"/>
  <c r="AE195" i="6"/>
  <c r="AH195" i="6" s="1"/>
  <c r="AJ195" i="6" s="1"/>
  <c r="AC198" i="6"/>
  <c r="AE198" i="6"/>
  <c r="AH198" i="6" s="1"/>
  <c r="AJ198" i="6" s="1"/>
  <c r="AC194" i="6"/>
  <c r="AE194" i="6"/>
  <c r="AH194" i="6" s="1"/>
  <c r="AJ194" i="6" s="1"/>
  <c r="AC188" i="6"/>
  <c r="AE188" i="6"/>
  <c r="AH188" i="6" s="1"/>
  <c r="AJ188" i="6" s="1"/>
  <c r="AC418" i="6"/>
  <c r="AE418" i="6"/>
  <c r="AH418" i="6" s="1"/>
  <c r="AJ418" i="6" s="1"/>
  <c r="AC424" i="6"/>
  <c r="AE424" i="6"/>
  <c r="AH424" i="6" s="1"/>
  <c r="AJ424" i="6" s="1"/>
  <c r="AC427" i="6"/>
  <c r="AE427" i="6"/>
  <c r="AH427" i="6" s="1"/>
  <c r="AJ427" i="6" s="1"/>
  <c r="AC415" i="6"/>
  <c r="AE415" i="6"/>
  <c r="AH415" i="6" s="1"/>
  <c r="AJ415" i="6" s="1"/>
  <c r="AC374" i="6"/>
  <c r="AE374" i="6"/>
  <c r="AH374" i="6" s="1"/>
  <c r="AJ374" i="6" s="1"/>
  <c r="AC371" i="6"/>
  <c r="AE371" i="6"/>
  <c r="AH371" i="6" s="1"/>
  <c r="AJ371" i="6" s="1"/>
  <c r="AC361" i="6"/>
  <c r="AE361" i="6"/>
  <c r="AH361" i="6" s="1"/>
  <c r="AJ361" i="6" s="1"/>
  <c r="AC373" i="6"/>
  <c r="AE373" i="6"/>
  <c r="AH373" i="6" s="1"/>
  <c r="AJ373" i="6" s="1"/>
  <c r="AC483" i="6"/>
  <c r="AE483" i="6"/>
  <c r="AH483" i="6" s="1"/>
  <c r="AJ483" i="6" s="1"/>
  <c r="AC466" i="6"/>
  <c r="AE466" i="6"/>
  <c r="AH466" i="6" s="1"/>
  <c r="AJ466" i="6" s="1"/>
  <c r="AC463" i="6"/>
  <c r="AE463" i="6"/>
  <c r="AH463" i="6" s="1"/>
  <c r="AJ463" i="6" s="1"/>
  <c r="AC476" i="6"/>
  <c r="AE476" i="6"/>
  <c r="AH476" i="6" s="1"/>
  <c r="AJ476" i="6" s="1"/>
  <c r="AC480" i="6"/>
  <c r="AE480" i="6"/>
  <c r="AH480" i="6" s="1"/>
  <c r="AJ480" i="6" s="1"/>
  <c r="AC88" i="6"/>
  <c r="AE88" i="6"/>
  <c r="AH88" i="6" s="1"/>
  <c r="AJ88" i="6" s="1"/>
  <c r="AC102" i="6"/>
  <c r="AE102" i="6"/>
  <c r="AH102" i="6" s="1"/>
  <c r="AJ102" i="6" s="1"/>
  <c r="AC97" i="6"/>
  <c r="AE97" i="6"/>
  <c r="AH97" i="6" s="1"/>
  <c r="AJ97" i="6" s="1"/>
  <c r="AC101" i="6"/>
  <c r="AE101" i="6"/>
  <c r="AH101" i="6" s="1"/>
  <c r="AJ101" i="6" s="1"/>
  <c r="AC92" i="6"/>
  <c r="AE92" i="6"/>
  <c r="AH92" i="6" s="1"/>
  <c r="AJ92" i="6" s="1"/>
  <c r="AC58" i="6"/>
  <c r="AE58" i="6"/>
  <c r="AH58" i="6" s="1"/>
  <c r="AJ58" i="6" s="1"/>
  <c r="AC63" i="6"/>
  <c r="AE63" i="6"/>
  <c r="AH63" i="6" s="1"/>
  <c r="AJ63" i="6" s="1"/>
  <c r="AC53" i="6"/>
  <c r="AE53" i="6"/>
  <c r="AH53" i="6" s="1"/>
  <c r="AJ53" i="6" s="1"/>
  <c r="AC52" i="6"/>
  <c r="AE52" i="6"/>
  <c r="AH52" i="6" s="1"/>
  <c r="AJ52" i="6" s="1"/>
  <c r="AC62" i="6"/>
  <c r="AE62" i="6"/>
  <c r="AH62" i="6" s="1"/>
  <c r="AJ62" i="6" s="1"/>
  <c r="AC21" i="6"/>
  <c r="AE21" i="6"/>
  <c r="AH21" i="6" s="1"/>
  <c r="AJ21" i="6" s="1"/>
  <c r="AC31" i="6"/>
  <c r="AE31" i="6"/>
  <c r="AH31" i="6" s="1"/>
  <c r="AJ31" i="6" s="1"/>
  <c r="AC19" i="6"/>
  <c r="AE19" i="6"/>
  <c r="AH19" i="6" s="1"/>
  <c r="AJ19" i="6" s="1"/>
  <c r="AC23" i="6"/>
  <c r="AE23" i="6"/>
  <c r="AH23" i="6" s="1"/>
  <c r="AJ23" i="6" s="1"/>
  <c r="AC14" i="6"/>
  <c r="AE14" i="6"/>
  <c r="AH14" i="6" s="1"/>
  <c r="AJ14" i="6" s="1"/>
  <c r="AC545" i="6"/>
  <c r="AE545" i="6"/>
  <c r="AH545" i="6" s="1"/>
  <c r="AJ545" i="6" s="1"/>
  <c r="AC526" i="6"/>
  <c r="AE526" i="6"/>
  <c r="AH526" i="6" s="1"/>
  <c r="AJ526" i="6" s="1"/>
  <c r="AC527" i="6"/>
  <c r="AE527" i="6"/>
  <c r="AH527" i="6" s="1"/>
  <c r="AJ527" i="6" s="1"/>
  <c r="AC533" i="6"/>
  <c r="AE533" i="6"/>
  <c r="AH533" i="6" s="1"/>
  <c r="AJ533" i="6" s="1"/>
  <c r="AC531" i="6"/>
  <c r="AE531" i="6"/>
  <c r="AH531" i="6" s="1"/>
  <c r="AJ531" i="6" s="1"/>
  <c r="AC332" i="6"/>
  <c r="AE332" i="6"/>
  <c r="AH332" i="6" s="1"/>
  <c r="AJ332" i="6" s="1"/>
  <c r="AC323" i="6"/>
  <c r="AE323" i="6"/>
  <c r="AH323" i="6" s="1"/>
  <c r="AJ323" i="6" s="1"/>
  <c r="AC326" i="6"/>
  <c r="AE326" i="6"/>
  <c r="AH326" i="6" s="1"/>
  <c r="AJ326" i="6" s="1"/>
  <c r="AC276" i="6"/>
  <c r="AE276" i="6"/>
  <c r="AH276" i="6" s="1"/>
  <c r="AJ276" i="6" s="1"/>
  <c r="AC284" i="6"/>
  <c r="AE284" i="6"/>
  <c r="AH284" i="6" s="1"/>
  <c r="AJ284" i="6" s="1"/>
  <c r="AC279" i="6"/>
  <c r="AE279" i="6"/>
  <c r="AH279" i="6" s="1"/>
  <c r="AJ279" i="6" s="1"/>
  <c r="AC274" i="6"/>
  <c r="AE274" i="6"/>
  <c r="AH274" i="6" s="1"/>
  <c r="AJ274" i="6" s="1"/>
  <c r="AC275" i="6"/>
  <c r="AE275" i="6"/>
  <c r="AH275" i="6" s="1"/>
  <c r="AJ275" i="6" s="1"/>
  <c r="AC278" i="6"/>
  <c r="AE278" i="6"/>
  <c r="AH278" i="6" s="1"/>
  <c r="AJ278" i="6" s="1"/>
  <c r="AC149" i="6"/>
  <c r="AE149" i="6"/>
  <c r="AH149" i="6" s="1"/>
  <c r="AJ149" i="6" s="1"/>
  <c r="AC131" i="6"/>
  <c r="AE131" i="6"/>
  <c r="AH131" i="6" s="1"/>
  <c r="AJ131" i="6" s="1"/>
  <c r="AC138" i="6"/>
  <c r="AE138" i="6"/>
  <c r="AH138" i="6" s="1"/>
  <c r="AJ138" i="6" s="1"/>
  <c r="AC137" i="6"/>
  <c r="AE137" i="6"/>
  <c r="AH137" i="6" s="1"/>
  <c r="AJ137" i="6" s="1"/>
  <c r="AC133" i="6"/>
  <c r="AE133" i="6"/>
  <c r="AH133" i="6" s="1"/>
  <c r="AJ133" i="6" s="1"/>
  <c r="AC148" i="6"/>
  <c r="AE148" i="6"/>
  <c r="AH148" i="6" s="1"/>
  <c r="AJ148" i="6" s="1"/>
  <c r="AC600" i="6"/>
  <c r="AE600" i="6"/>
  <c r="AH600" i="6" s="1"/>
  <c r="AJ600" i="6" s="1"/>
  <c r="AC596" i="6"/>
  <c r="AE596" i="6"/>
  <c r="AH596" i="6" s="1"/>
  <c r="AJ596" i="6" s="1"/>
  <c r="AC599" i="6"/>
  <c r="AE599" i="6"/>
  <c r="AH599" i="6" s="1"/>
  <c r="AJ599" i="6" s="1"/>
  <c r="AC216" i="6"/>
  <c r="AE216" i="6"/>
  <c r="AH216" i="6" s="1"/>
  <c r="AJ216" i="6" s="1"/>
  <c r="AC206" i="6"/>
  <c r="AE206" i="6"/>
  <c r="AH206" i="6" s="1"/>
  <c r="AJ206" i="6" s="1"/>
  <c r="AC219" i="6"/>
  <c r="AE219" i="6"/>
  <c r="AH219" i="6" s="1"/>
  <c r="AJ219" i="6" s="1"/>
  <c r="AC220" i="6"/>
  <c r="AE220" i="6"/>
  <c r="AH220" i="6" s="1"/>
  <c r="AJ220" i="6" s="1"/>
  <c r="AC211" i="6"/>
  <c r="AE211" i="6"/>
  <c r="AH211" i="6" s="1"/>
  <c r="AJ211" i="6" s="1"/>
  <c r="AC204" i="6"/>
  <c r="AE204" i="6"/>
  <c r="AH204" i="6" s="1"/>
  <c r="AJ204" i="6" s="1"/>
  <c r="AC443" i="6"/>
  <c r="AE443" i="6"/>
  <c r="AH443" i="6" s="1"/>
  <c r="AJ443" i="6" s="1"/>
  <c r="AC429" i="6"/>
  <c r="AE429" i="6"/>
  <c r="AH429" i="6" s="1"/>
  <c r="AJ429" i="6" s="1"/>
  <c r="AC442" i="6"/>
  <c r="AE442" i="6"/>
  <c r="AH442" i="6" s="1"/>
  <c r="AJ442" i="6" s="1"/>
  <c r="AC438" i="6"/>
  <c r="AE438" i="6"/>
  <c r="AH438" i="6" s="1"/>
  <c r="AJ438" i="6" s="1"/>
  <c r="AC439" i="6"/>
  <c r="AE439" i="6"/>
  <c r="AH439" i="6" s="1"/>
  <c r="AJ439" i="6" s="1"/>
  <c r="AC385" i="6"/>
  <c r="AE385" i="6"/>
  <c r="AH385" i="6" s="1"/>
  <c r="AJ385" i="6" s="1"/>
  <c r="AC391" i="6"/>
  <c r="AE391" i="6"/>
  <c r="AH391" i="6" s="1"/>
  <c r="AJ391" i="6" s="1"/>
  <c r="AC392" i="6"/>
  <c r="AE392" i="6"/>
  <c r="AH392" i="6" s="1"/>
  <c r="AJ392" i="6" s="1"/>
  <c r="AC395" i="6"/>
  <c r="AE395" i="6"/>
  <c r="AH395" i="6" s="1"/>
  <c r="AJ395" i="6" s="1"/>
  <c r="AC377" i="6"/>
  <c r="AE377" i="6"/>
  <c r="AH377" i="6" s="1"/>
  <c r="AJ377" i="6" s="1"/>
  <c r="AC493" i="6"/>
  <c r="AE493" i="6"/>
  <c r="AH493" i="6" s="1"/>
  <c r="AJ493" i="6" s="1"/>
  <c r="AC485" i="6"/>
  <c r="AE485" i="6"/>
  <c r="AH485" i="6" s="1"/>
  <c r="AJ485" i="6" s="1"/>
  <c r="AC499" i="6"/>
  <c r="AE499" i="6"/>
  <c r="AH499" i="6" s="1"/>
  <c r="AJ499" i="6" s="1"/>
  <c r="AC500" i="6"/>
  <c r="AE500" i="6"/>
  <c r="AH500" i="6" s="1"/>
  <c r="AJ500" i="6" s="1"/>
  <c r="AC487" i="6"/>
  <c r="AE487" i="6"/>
  <c r="AH487" i="6" s="1"/>
  <c r="AJ487" i="6" s="1"/>
  <c r="AC504" i="6"/>
  <c r="AE504" i="6"/>
  <c r="AH504" i="6" s="1"/>
  <c r="AJ504" i="6" s="1"/>
  <c r="AC103" i="6"/>
  <c r="AE103" i="6"/>
  <c r="AH103" i="6" s="1"/>
  <c r="AJ103" i="6" s="1"/>
  <c r="AC108" i="6"/>
  <c r="AE108" i="6"/>
  <c r="AH108" i="6" s="1"/>
  <c r="AJ108" i="6" s="1"/>
  <c r="AC78" i="6"/>
  <c r="AE78" i="6"/>
  <c r="AH78" i="6" s="1"/>
  <c r="AJ78" i="6" s="1"/>
  <c r="AC82" i="6"/>
  <c r="AE82" i="6"/>
  <c r="AH82" i="6" s="1"/>
  <c r="AJ82" i="6" s="1"/>
  <c r="AC69" i="6"/>
  <c r="AE69" i="6"/>
  <c r="AH69" i="6" s="1"/>
  <c r="AJ69" i="6" s="1"/>
  <c r="AC80" i="6"/>
  <c r="AE80" i="6"/>
  <c r="AH80" i="6" s="1"/>
  <c r="AJ80" i="6" s="1"/>
  <c r="AC76" i="6"/>
  <c r="AE76" i="6"/>
  <c r="AH76" i="6" s="1"/>
  <c r="AJ76" i="6" s="1"/>
  <c r="AC42" i="6"/>
  <c r="AE42" i="6"/>
  <c r="AH42" i="6" s="1"/>
  <c r="AJ42" i="6" s="1"/>
  <c r="AC39" i="6"/>
  <c r="AE39" i="6"/>
  <c r="AH39" i="6" s="1"/>
  <c r="AJ39" i="6" s="1"/>
  <c r="AC41" i="6"/>
  <c r="AE41" i="6"/>
  <c r="AH41" i="6" s="1"/>
  <c r="AJ41" i="6" s="1"/>
  <c r="AC562" i="6"/>
  <c r="AE562" i="6"/>
  <c r="AH562" i="6" s="1"/>
  <c r="AJ562" i="6" s="1"/>
  <c r="AC569" i="6"/>
  <c r="AE569" i="6"/>
  <c r="AH569" i="6" s="1"/>
  <c r="AJ569" i="6" s="1"/>
  <c r="AC561" i="6"/>
  <c r="AE561" i="6"/>
  <c r="AH561" i="6" s="1"/>
  <c r="AJ561" i="6" s="1"/>
  <c r="AC557" i="6"/>
  <c r="AE557" i="6"/>
  <c r="AH557" i="6" s="1"/>
  <c r="AJ557" i="6" s="1"/>
  <c r="AC558" i="6"/>
  <c r="AE558" i="6"/>
  <c r="AC550" i="6"/>
  <c r="AE550" i="6"/>
  <c r="AH550" i="6" s="1"/>
  <c r="AJ550" i="6" s="1"/>
  <c r="AC338" i="6"/>
  <c r="AE338" i="6"/>
  <c r="AC354" i="6"/>
  <c r="AE354" i="6"/>
  <c r="AH354" i="6" s="1"/>
  <c r="AJ354" i="6" s="1"/>
  <c r="AC344" i="6"/>
  <c r="AE344" i="6"/>
  <c r="AH344" i="6" s="1"/>
  <c r="AJ344" i="6" s="1"/>
  <c r="AC358" i="6"/>
  <c r="AE358" i="6"/>
  <c r="AH358" i="6" s="1"/>
  <c r="AJ358" i="6" s="1"/>
  <c r="AC336" i="6"/>
  <c r="AE336" i="6"/>
  <c r="AH336" i="6" s="1"/>
  <c r="AJ336" i="6" s="1"/>
  <c r="AC285" i="6"/>
  <c r="AE285" i="6"/>
  <c r="AC302" i="6"/>
  <c r="AE302" i="6"/>
  <c r="AC299" i="6"/>
  <c r="AE299" i="6"/>
  <c r="AH299" i="6" s="1"/>
  <c r="AJ299" i="6" s="1"/>
  <c r="AC298" i="6"/>
  <c r="AE298" i="6"/>
  <c r="AH298" i="6" s="1"/>
  <c r="AJ298" i="6" s="1"/>
  <c r="AC290" i="6"/>
  <c r="AE290" i="6"/>
  <c r="AH290" i="6" s="1"/>
  <c r="AJ290" i="6" s="1"/>
  <c r="AC297" i="6"/>
  <c r="AE297" i="6"/>
  <c r="AH297" i="6" s="1"/>
  <c r="AJ297" i="6" s="1"/>
  <c r="AC155" i="6"/>
  <c r="AE155" i="6"/>
  <c r="AH155" i="6" s="1"/>
  <c r="AJ155" i="6" s="1"/>
  <c r="AC169" i="6"/>
  <c r="AE169" i="6"/>
  <c r="AC177" i="6"/>
  <c r="AE177" i="6"/>
  <c r="AH177" i="6" s="1"/>
  <c r="AJ177" i="6" s="1"/>
  <c r="AC176" i="6"/>
  <c r="AE176" i="6"/>
  <c r="AH176" i="6" s="1"/>
  <c r="AJ176" i="6" s="1"/>
  <c r="AC158" i="6"/>
  <c r="AE158" i="6"/>
  <c r="AH158" i="6" s="1"/>
  <c r="AJ158" i="6" s="1"/>
  <c r="AC162" i="6"/>
  <c r="AE162" i="6"/>
  <c r="AH162" i="6" s="1"/>
  <c r="AJ162" i="6" s="1"/>
  <c r="AC618" i="6"/>
  <c r="AE618" i="6"/>
  <c r="AH618" i="6" s="1"/>
  <c r="AJ618" i="6" s="1"/>
  <c r="AC619" i="6"/>
  <c r="AE619" i="6"/>
  <c r="AH619" i="6" s="1"/>
  <c r="AJ619" i="6" s="1"/>
  <c r="AC617" i="6"/>
  <c r="AE617" i="6"/>
  <c r="AH617" i="6" s="1"/>
  <c r="AJ617" i="6" s="1"/>
  <c r="AC613" i="6"/>
  <c r="AE613" i="6"/>
  <c r="AH613" i="6" s="1"/>
  <c r="AJ613" i="6" s="1"/>
  <c r="AC627" i="6"/>
  <c r="AE627" i="6"/>
  <c r="AH627" i="6" s="1"/>
  <c r="AJ627" i="6" s="1"/>
  <c r="AC626" i="6"/>
  <c r="AE626" i="6"/>
  <c r="AH626" i="6" s="1"/>
  <c r="AJ626" i="6" s="1"/>
  <c r="AC226" i="6"/>
  <c r="AE226" i="6"/>
  <c r="AH226" i="6" s="1"/>
  <c r="AJ226" i="6" s="1"/>
  <c r="AC232" i="6"/>
  <c r="AE232" i="6"/>
  <c r="AH232" i="6" s="1"/>
  <c r="AJ232" i="6" s="1"/>
  <c r="AC234" i="6"/>
  <c r="AE234" i="6"/>
  <c r="AC235" i="6"/>
  <c r="AE235" i="6"/>
  <c r="AH235" i="6" s="1"/>
  <c r="AJ235" i="6" s="1"/>
  <c r="AC457" i="6"/>
  <c r="AE457" i="6"/>
  <c r="AH457" i="6" s="1"/>
  <c r="AJ457" i="6" s="1"/>
  <c r="AC455" i="6"/>
  <c r="AE455" i="6"/>
  <c r="AH455" i="6" s="1"/>
  <c r="AJ455" i="6" s="1"/>
  <c r="AC450" i="6"/>
  <c r="AE450" i="6"/>
  <c r="AH450" i="6" s="1"/>
  <c r="AJ450" i="6" s="1"/>
  <c r="AC461" i="6"/>
  <c r="AE461" i="6"/>
  <c r="AH461" i="6" s="1"/>
  <c r="AJ461" i="6" s="1"/>
  <c r="AC399" i="6"/>
  <c r="AE399" i="6"/>
  <c r="AH399" i="6" s="1"/>
  <c r="AJ399" i="6" s="1"/>
  <c r="AC407" i="6"/>
  <c r="AE407" i="6"/>
  <c r="AH407" i="6" s="1"/>
  <c r="AJ407" i="6" s="1"/>
  <c r="AC406" i="6"/>
  <c r="AE406" i="6"/>
  <c r="AH406" i="6" s="1"/>
  <c r="AJ406" i="6" s="1"/>
  <c r="O41" i="6"/>
  <c r="O562" i="6"/>
  <c r="O569" i="6"/>
  <c r="O561" i="6"/>
  <c r="O557" i="6"/>
  <c r="AH558" i="6"/>
  <c r="AJ558" i="6" s="1"/>
  <c r="O558" i="6"/>
  <c r="O550" i="6"/>
  <c r="AH338" i="6"/>
  <c r="AJ338" i="6" s="1"/>
  <c r="O338" i="6"/>
  <c r="O354" i="6"/>
  <c r="O344" i="6"/>
  <c r="O358" i="6"/>
  <c r="O336" i="6"/>
  <c r="AH285" i="6"/>
  <c r="AJ285" i="6" s="1"/>
  <c r="O285" i="6"/>
  <c r="AH302" i="6"/>
  <c r="AJ302" i="6" s="1"/>
  <c r="O302" i="6"/>
  <c r="O299" i="6"/>
  <c r="O298" i="6"/>
  <c r="O290" i="6"/>
  <c r="O297" i="6"/>
  <c r="O155" i="6"/>
  <c r="AH169" i="6"/>
  <c r="AJ169" i="6" s="1"/>
  <c r="O169" i="6"/>
  <c r="O177" i="6"/>
  <c r="O176" i="6"/>
  <c r="O158" i="6"/>
  <c r="O162" i="6"/>
  <c r="O618" i="6"/>
  <c r="O619" i="6"/>
  <c r="O617" i="6"/>
  <c r="O613" i="6"/>
  <c r="O627" i="6"/>
  <c r="O626" i="6"/>
  <c r="O226" i="6"/>
  <c r="O232" i="6"/>
  <c r="AH234" i="6"/>
  <c r="AJ234" i="6" s="1"/>
  <c r="O234" i="6"/>
  <c r="O235" i="6"/>
  <c r="O457" i="6"/>
  <c r="O455" i="6"/>
  <c r="O450" i="6"/>
  <c r="O461" i="6"/>
  <c r="O399" i="6"/>
  <c r="O407" i="6"/>
  <c r="O406" i="6"/>
  <c r="AC402" i="6"/>
  <c r="AE402" i="6"/>
  <c r="AH402" i="6" s="1"/>
  <c r="AJ402" i="6" s="1"/>
  <c r="AC13" i="6"/>
  <c r="AE13" i="6"/>
  <c r="AH13" i="6" s="1"/>
  <c r="AJ13" i="6" s="1"/>
  <c r="AC7" i="6"/>
  <c r="AE7" i="6"/>
  <c r="AH7" i="6" s="1"/>
  <c r="AJ7" i="6" s="1"/>
  <c r="AC3" i="6"/>
  <c r="AE3" i="6"/>
  <c r="AH3" i="6" s="1"/>
  <c r="AJ3" i="6" s="1"/>
  <c r="AC521" i="6"/>
  <c r="AE521" i="6"/>
  <c r="AH521" i="6" s="1"/>
  <c r="AJ521" i="6" s="1"/>
  <c r="AC519" i="6"/>
  <c r="AE519" i="6"/>
  <c r="AH519" i="6" s="1"/>
  <c r="AJ519" i="6" s="1"/>
  <c r="AC518" i="6"/>
  <c r="AE518" i="6"/>
  <c r="AH518" i="6" s="1"/>
  <c r="AJ518" i="6" s="1"/>
  <c r="AC513" i="6"/>
  <c r="AE513" i="6"/>
  <c r="AH513" i="6" s="1"/>
  <c r="AJ513" i="6" s="1"/>
  <c r="AC523" i="6"/>
  <c r="AE523" i="6"/>
  <c r="AH523" i="6" s="1"/>
  <c r="AJ523" i="6" s="1"/>
  <c r="AC315" i="6"/>
  <c r="AE315" i="6"/>
  <c r="AH315" i="6" s="1"/>
  <c r="AJ315" i="6" s="1"/>
  <c r="AC317" i="6"/>
  <c r="AE317" i="6"/>
  <c r="AH317" i="6" s="1"/>
  <c r="AJ317" i="6" s="1"/>
  <c r="AC307" i="6"/>
  <c r="AE307" i="6"/>
  <c r="AH307" i="6" s="1"/>
  <c r="AJ307" i="6" s="1"/>
  <c r="AC314" i="6"/>
  <c r="AE314" i="6"/>
  <c r="AH314" i="6" s="1"/>
  <c r="AJ314" i="6" s="1"/>
  <c r="AC255" i="6"/>
  <c r="AE255" i="6"/>
  <c r="AH255" i="6" s="1"/>
  <c r="AJ255" i="6" s="1"/>
  <c r="AC259" i="6"/>
  <c r="AE259" i="6"/>
  <c r="AH259" i="6" s="1"/>
  <c r="AJ259" i="6" s="1"/>
  <c r="AC261" i="6"/>
  <c r="AE261" i="6"/>
  <c r="AH261" i="6" s="1"/>
  <c r="AJ261" i="6" s="1"/>
  <c r="AC252" i="6"/>
  <c r="AE252" i="6"/>
  <c r="AH252" i="6" s="1"/>
  <c r="AJ252" i="6" s="1"/>
  <c r="AC245" i="6"/>
  <c r="AE245" i="6"/>
  <c r="AH245" i="6" s="1"/>
  <c r="AJ245" i="6" s="1"/>
  <c r="AC260" i="6"/>
  <c r="AE260" i="6"/>
  <c r="AH260" i="6" s="1"/>
  <c r="AJ260" i="6" s="1"/>
  <c r="AC128" i="6"/>
  <c r="AE128" i="6"/>
  <c r="AH128" i="6" s="1"/>
  <c r="AJ128" i="6" s="1"/>
  <c r="AC115" i="6"/>
  <c r="AE115" i="6"/>
  <c r="AH115" i="6" s="1"/>
  <c r="AJ115" i="6" s="1"/>
  <c r="AC121" i="6"/>
  <c r="AE121" i="6"/>
  <c r="AH121" i="6" s="1"/>
  <c r="AJ121" i="6" s="1"/>
  <c r="AC116" i="6"/>
  <c r="AE116" i="6"/>
  <c r="AH116" i="6" s="1"/>
  <c r="AJ116" i="6" s="1"/>
  <c r="AC589" i="6"/>
  <c r="AE589" i="6"/>
  <c r="AH589" i="6" s="1"/>
  <c r="AJ589" i="6" s="1"/>
  <c r="AC587" i="6"/>
  <c r="AE587" i="6"/>
  <c r="AH587" i="6" s="1"/>
  <c r="AJ587" i="6" s="1"/>
  <c r="AC573" i="6"/>
  <c r="AE573" i="6"/>
  <c r="AH573" i="6" s="1"/>
  <c r="AJ573" i="6" s="1"/>
  <c r="AC581" i="6"/>
  <c r="AE581" i="6"/>
  <c r="AH581" i="6" s="1"/>
  <c r="AJ581" i="6" s="1"/>
  <c r="AC585" i="6"/>
  <c r="AE585" i="6"/>
  <c r="AH585" i="6" s="1"/>
  <c r="AJ585" i="6" s="1"/>
  <c r="AC576" i="6"/>
  <c r="AE576" i="6"/>
  <c r="AH576" i="6" s="1"/>
  <c r="AJ576" i="6" s="1"/>
  <c r="AC184" i="6"/>
  <c r="AE184" i="6"/>
  <c r="AH184" i="6" s="1"/>
  <c r="AJ184" i="6" s="1"/>
  <c r="AC180" i="6"/>
  <c r="AE180" i="6"/>
  <c r="AH180" i="6" s="1"/>
  <c r="AJ180" i="6" s="1"/>
  <c r="AC199" i="6"/>
  <c r="AE199" i="6"/>
  <c r="AH199" i="6" s="1"/>
  <c r="AJ199" i="6" s="1"/>
  <c r="AC192" i="6"/>
  <c r="AE192" i="6"/>
  <c r="AH192" i="6" s="1"/>
  <c r="AJ192" i="6" s="1"/>
  <c r="AC186" i="6"/>
  <c r="AE186" i="6"/>
  <c r="AH186" i="6" s="1"/>
  <c r="AJ186" i="6" s="1"/>
  <c r="AC414" i="6"/>
  <c r="AE414" i="6"/>
  <c r="AH414" i="6" s="1"/>
  <c r="AJ414" i="6" s="1"/>
  <c r="AC419" i="6"/>
  <c r="AE419" i="6"/>
  <c r="AH419" i="6" s="1"/>
  <c r="AJ419" i="6" s="1"/>
  <c r="AC413" i="6"/>
  <c r="AE413" i="6"/>
  <c r="AH413" i="6" s="1"/>
  <c r="AJ413" i="6" s="1"/>
  <c r="AC423" i="6"/>
  <c r="AE423" i="6"/>
  <c r="AH423" i="6" s="1"/>
  <c r="AJ423" i="6" s="1"/>
  <c r="AC365" i="6"/>
  <c r="AE365" i="6"/>
  <c r="AH365" i="6" s="1"/>
  <c r="AJ365" i="6" s="1"/>
  <c r="AC367" i="6"/>
  <c r="AE367" i="6"/>
  <c r="AH367" i="6" s="1"/>
  <c r="AJ367" i="6" s="1"/>
  <c r="AC370" i="6"/>
  <c r="AE370" i="6"/>
  <c r="AH370" i="6" s="1"/>
  <c r="AJ370" i="6" s="1"/>
  <c r="AC366" i="6"/>
  <c r="AE366" i="6"/>
  <c r="AH366" i="6" s="1"/>
  <c r="AJ366" i="6" s="1"/>
  <c r="AC472" i="6"/>
  <c r="AE472" i="6"/>
  <c r="AH472" i="6" s="1"/>
  <c r="AJ472" i="6" s="1"/>
  <c r="AC473" i="6"/>
  <c r="AE473" i="6"/>
  <c r="AH473" i="6" s="1"/>
  <c r="AJ473" i="6" s="1"/>
  <c r="AC471" i="6"/>
  <c r="AE471" i="6"/>
  <c r="AH471" i="6" s="1"/>
  <c r="AJ471" i="6" s="1"/>
  <c r="AC474" i="6"/>
  <c r="AE474" i="6"/>
  <c r="AH474" i="6" s="1"/>
  <c r="AJ474" i="6" s="1"/>
  <c r="AC465" i="6"/>
  <c r="AE465" i="6"/>
  <c r="AH465" i="6" s="1"/>
  <c r="AJ465" i="6" s="1"/>
  <c r="AC95" i="6"/>
  <c r="AE95" i="6"/>
  <c r="AH95" i="6" s="1"/>
  <c r="AJ95" i="6" s="1"/>
  <c r="AC99" i="6"/>
  <c r="AE99" i="6"/>
  <c r="AH99" i="6" s="1"/>
  <c r="AJ99" i="6" s="1"/>
  <c r="AC86" i="6"/>
  <c r="AE86" i="6"/>
  <c r="AH86" i="6" s="1"/>
  <c r="AJ86" i="6" s="1"/>
  <c r="AC90" i="6"/>
  <c r="AE90" i="6"/>
  <c r="AH90" i="6" s="1"/>
  <c r="AJ90" i="6" s="1"/>
  <c r="AC98" i="6"/>
  <c r="AE98" i="6"/>
  <c r="AH98" i="6" s="1"/>
  <c r="AJ98" i="6" s="1"/>
  <c r="AC49" i="6"/>
  <c r="AE49" i="6"/>
  <c r="AH49" i="6" s="1"/>
  <c r="AJ49" i="6" s="1"/>
  <c r="AC56" i="6"/>
  <c r="AE56" i="6"/>
  <c r="AH56" i="6" s="1"/>
  <c r="AJ56" i="6" s="1"/>
  <c r="AC44" i="6"/>
  <c r="AE44" i="6"/>
  <c r="AH44" i="6" s="1"/>
  <c r="AJ44" i="6" s="1"/>
  <c r="AC46" i="6"/>
  <c r="AE46" i="6"/>
  <c r="AH46" i="6" s="1"/>
  <c r="AJ46" i="6" s="1"/>
  <c r="AC51" i="6"/>
  <c r="AE51" i="6"/>
  <c r="AH51" i="6" s="1"/>
  <c r="AJ51" i="6" s="1"/>
  <c r="AC28" i="6"/>
  <c r="AE28" i="6"/>
  <c r="AH28" i="6" s="1"/>
  <c r="AJ28" i="6" s="1"/>
  <c r="AC24" i="6"/>
  <c r="AE24" i="6"/>
  <c r="AH24" i="6" s="1"/>
  <c r="AJ24" i="6" s="1"/>
  <c r="AC29" i="6"/>
  <c r="AE29" i="6"/>
  <c r="AH29" i="6" s="1"/>
  <c r="AJ29" i="6" s="1"/>
  <c r="AC27" i="6"/>
  <c r="AE27" i="6"/>
  <c r="AH27" i="6" s="1"/>
  <c r="AJ27" i="6" s="1"/>
  <c r="AC20" i="6"/>
  <c r="AE20" i="6"/>
  <c r="AH20" i="6" s="1"/>
  <c r="AJ20" i="6" s="1"/>
  <c r="AC537" i="6"/>
  <c r="AE537" i="6"/>
  <c r="AH537" i="6" s="1"/>
  <c r="AJ537" i="6" s="1"/>
  <c r="AC530" i="6"/>
  <c r="AE530" i="6"/>
  <c r="AH530" i="6" s="1"/>
  <c r="AJ530" i="6" s="1"/>
  <c r="AC542" i="6"/>
  <c r="AE542" i="6"/>
  <c r="AH542" i="6" s="1"/>
  <c r="AJ542" i="6" s="1"/>
  <c r="AC529" i="6"/>
  <c r="AE529" i="6"/>
  <c r="AH529" i="6" s="1"/>
  <c r="AJ529" i="6" s="1"/>
  <c r="AC534" i="6"/>
  <c r="AE534" i="6"/>
  <c r="AH534" i="6" s="1"/>
  <c r="AJ534" i="6" s="1"/>
  <c r="AC334" i="6"/>
  <c r="AE334" i="6"/>
  <c r="AH334" i="6" s="1"/>
  <c r="AJ334" i="6" s="1"/>
  <c r="AC324" i="6"/>
  <c r="AE324" i="6"/>
  <c r="AH324" i="6" s="1"/>
  <c r="AJ324" i="6" s="1"/>
  <c r="AC329" i="6"/>
  <c r="AE329" i="6"/>
  <c r="AH329" i="6" s="1"/>
  <c r="AJ329" i="6" s="1"/>
  <c r="AC273" i="6"/>
  <c r="AE273" i="6"/>
  <c r="AH273" i="6" s="1"/>
  <c r="AJ273" i="6" s="1"/>
  <c r="AC265" i="6"/>
  <c r="AE265" i="6"/>
  <c r="AH265" i="6" s="1"/>
  <c r="AJ265" i="6" s="1"/>
  <c r="AC282" i="6"/>
  <c r="AE282" i="6"/>
  <c r="AH282" i="6" s="1"/>
  <c r="AJ282" i="6" s="1"/>
  <c r="AC267" i="6"/>
  <c r="AE267" i="6"/>
  <c r="AH267" i="6" s="1"/>
  <c r="AJ267" i="6" s="1"/>
  <c r="AC283" i="6"/>
  <c r="AE283" i="6"/>
  <c r="AH283" i="6" s="1"/>
  <c r="AJ283" i="6" s="1"/>
  <c r="AC281" i="6"/>
  <c r="AE281" i="6"/>
  <c r="AH281" i="6" s="1"/>
  <c r="AJ281" i="6" s="1"/>
  <c r="AC147" i="6"/>
  <c r="AE147" i="6"/>
  <c r="AH147" i="6" s="1"/>
  <c r="AJ147" i="6" s="1"/>
  <c r="AC145" i="6"/>
  <c r="AE145" i="6"/>
  <c r="AH145" i="6" s="1"/>
  <c r="AJ145" i="6" s="1"/>
  <c r="AC140" i="6"/>
  <c r="AE140" i="6"/>
  <c r="AH140" i="6" s="1"/>
  <c r="AJ140" i="6" s="1"/>
  <c r="AC152" i="6"/>
  <c r="AE152" i="6"/>
  <c r="AH152" i="6" s="1"/>
  <c r="AJ152" i="6" s="1"/>
  <c r="AC142" i="6"/>
  <c r="AE142" i="6"/>
  <c r="AH142" i="6" s="1"/>
  <c r="AJ142" i="6" s="1"/>
  <c r="AC143" i="6"/>
  <c r="AE143" i="6"/>
  <c r="AH143" i="6" s="1"/>
  <c r="AJ143" i="6" s="1"/>
  <c r="AC595" i="6"/>
  <c r="AE595" i="6"/>
  <c r="AH595" i="6" s="1"/>
  <c r="AJ595" i="6" s="1"/>
  <c r="AC604" i="6"/>
  <c r="AE604" i="6"/>
  <c r="AH604" i="6" s="1"/>
  <c r="AJ604" i="6" s="1"/>
  <c r="AC598" i="6"/>
  <c r="AE598" i="6"/>
  <c r="AH598" i="6" s="1"/>
  <c r="AJ598" i="6" s="1"/>
  <c r="AC203" i="6"/>
  <c r="AE203" i="6"/>
  <c r="AH203" i="6" s="1"/>
  <c r="AJ203" i="6" s="1"/>
  <c r="AC215" i="6"/>
  <c r="AE215" i="6"/>
  <c r="AH215" i="6" s="1"/>
  <c r="AJ215" i="6" s="1"/>
  <c r="AC217" i="6"/>
  <c r="AE217" i="6"/>
  <c r="AH217" i="6" s="1"/>
  <c r="AJ217" i="6" s="1"/>
  <c r="AC213" i="6"/>
  <c r="AE213" i="6"/>
  <c r="AH213" i="6" s="1"/>
  <c r="AJ213" i="6" s="1"/>
  <c r="AC202" i="6"/>
  <c r="AE202" i="6"/>
  <c r="AH202" i="6" s="1"/>
  <c r="AJ202" i="6" s="1"/>
  <c r="AC205" i="6"/>
  <c r="AE205" i="6"/>
  <c r="AH205" i="6" s="1"/>
  <c r="AJ205" i="6" s="1"/>
  <c r="AC432" i="6"/>
  <c r="AE432" i="6"/>
  <c r="AH432" i="6" s="1"/>
  <c r="AJ432" i="6" s="1"/>
  <c r="AC441" i="6"/>
  <c r="AE441" i="6"/>
  <c r="AH441" i="6" s="1"/>
  <c r="AJ441" i="6" s="1"/>
  <c r="AC430" i="6"/>
  <c r="AE430" i="6"/>
  <c r="AH430" i="6" s="1"/>
  <c r="AJ430" i="6" s="1"/>
  <c r="AC428" i="6"/>
  <c r="AE428" i="6"/>
  <c r="AH428" i="6" s="1"/>
  <c r="AJ428" i="6" s="1"/>
  <c r="AC375" i="6"/>
  <c r="AE375" i="6"/>
  <c r="AH375" i="6" s="1"/>
  <c r="AJ375" i="6" s="1"/>
  <c r="AC394" i="6"/>
  <c r="AE394" i="6"/>
  <c r="AH394" i="6" s="1"/>
  <c r="AJ394" i="6" s="1"/>
  <c r="AC389" i="6"/>
  <c r="AE389" i="6"/>
  <c r="AH389" i="6" s="1"/>
  <c r="AJ389" i="6" s="1"/>
  <c r="AC396" i="6"/>
  <c r="AE396" i="6"/>
  <c r="AH396" i="6" s="1"/>
  <c r="AJ396" i="6" s="1"/>
  <c r="AC390" i="6"/>
  <c r="AE390" i="6"/>
  <c r="AH390" i="6" s="1"/>
  <c r="AJ390" i="6" s="1"/>
  <c r="AC382" i="6"/>
  <c r="AE382" i="6"/>
  <c r="AH382" i="6" s="1"/>
  <c r="AJ382" i="6" s="1"/>
  <c r="AC497" i="6"/>
  <c r="AE497" i="6"/>
  <c r="AH497" i="6" s="1"/>
  <c r="AJ497" i="6" s="1"/>
  <c r="AC496" i="6"/>
  <c r="AE496" i="6"/>
  <c r="AH496" i="6" s="1"/>
  <c r="AJ496" i="6" s="1"/>
  <c r="AC494" i="6"/>
  <c r="AE494" i="6"/>
  <c r="AH494" i="6" s="1"/>
  <c r="AJ494" i="6" s="1"/>
  <c r="AC498" i="6"/>
  <c r="AE498" i="6"/>
  <c r="AH498" i="6" s="1"/>
  <c r="AJ498" i="6" s="1"/>
  <c r="AC484" i="6"/>
  <c r="AE484" i="6"/>
  <c r="AH484" i="6" s="1"/>
  <c r="AJ484" i="6" s="1"/>
  <c r="AC105" i="6"/>
  <c r="AE105" i="6"/>
  <c r="AH105" i="6" s="1"/>
  <c r="AJ105" i="6" s="1"/>
  <c r="AC112" i="6"/>
  <c r="AE112" i="6"/>
  <c r="AH112" i="6" s="1"/>
  <c r="AJ112" i="6" s="1"/>
  <c r="AC109" i="6"/>
  <c r="AE109" i="6"/>
  <c r="AH109" i="6" s="1"/>
  <c r="AJ109" i="6" s="1"/>
  <c r="AC65" i="6"/>
  <c r="AE65" i="6"/>
  <c r="AH65" i="6" s="1"/>
  <c r="AJ65" i="6" s="1"/>
  <c r="AC79" i="6"/>
  <c r="AE79" i="6"/>
  <c r="AH79" i="6" s="1"/>
  <c r="AJ79" i="6" s="1"/>
  <c r="AC77" i="6"/>
  <c r="AE77" i="6"/>
  <c r="AH77" i="6" s="1"/>
  <c r="AJ77" i="6" s="1"/>
  <c r="AC75" i="6"/>
  <c r="AE75" i="6"/>
  <c r="AH75" i="6" s="1"/>
  <c r="AJ75" i="6" s="1"/>
  <c r="AC37" i="6"/>
  <c r="AE37" i="6"/>
  <c r="AH37" i="6" s="1"/>
  <c r="AJ37" i="6" s="1"/>
  <c r="AC40" i="6"/>
  <c r="AE40" i="6"/>
  <c r="AH40" i="6" s="1"/>
  <c r="AJ40" i="6" s="1"/>
  <c r="AC35" i="6"/>
  <c r="AE35" i="6"/>
  <c r="AH35" i="6" s="1"/>
  <c r="AJ35" i="6" s="1"/>
  <c r="AC566" i="6"/>
  <c r="AE566" i="6"/>
  <c r="AH566" i="6" s="1"/>
  <c r="AJ566" i="6" s="1"/>
  <c r="AC563" i="6"/>
  <c r="AE563" i="6"/>
  <c r="AH563" i="6" s="1"/>
  <c r="AJ563" i="6" s="1"/>
  <c r="AC552" i="6"/>
  <c r="AE552" i="6"/>
  <c r="AH552" i="6" s="1"/>
  <c r="AJ552" i="6" s="1"/>
  <c r="AC560" i="6"/>
  <c r="AE560" i="6"/>
  <c r="AH560" i="6" s="1"/>
  <c r="AJ560" i="6" s="1"/>
  <c r="AC555" i="6"/>
  <c r="AE555" i="6"/>
  <c r="AH555" i="6" s="1"/>
  <c r="AJ555" i="6" s="1"/>
  <c r="AC565" i="6"/>
  <c r="AE565" i="6"/>
  <c r="AH565" i="6" s="1"/>
  <c r="AJ565" i="6" s="1"/>
  <c r="AC357" i="6"/>
  <c r="AE357" i="6"/>
  <c r="AH357" i="6" s="1"/>
  <c r="AJ357" i="6" s="1"/>
  <c r="AC349" i="6"/>
  <c r="AE349" i="6"/>
  <c r="AH349" i="6" s="1"/>
  <c r="AJ349" i="6" s="1"/>
  <c r="AC352" i="6"/>
  <c r="AE352" i="6"/>
  <c r="AH352" i="6" s="1"/>
  <c r="AJ352" i="6" s="1"/>
  <c r="AC346" i="6"/>
  <c r="AE346" i="6"/>
  <c r="AH346" i="6" s="1"/>
  <c r="AJ346" i="6" s="1"/>
  <c r="AC345" i="6"/>
  <c r="AE345" i="6"/>
  <c r="AH345" i="6" s="1"/>
  <c r="AJ345" i="6" s="1"/>
  <c r="AC342" i="6"/>
  <c r="AE342" i="6"/>
  <c r="AH342" i="6" s="1"/>
  <c r="AJ342" i="6" s="1"/>
  <c r="AC294" i="6"/>
  <c r="AE294" i="6"/>
  <c r="AH294" i="6" s="1"/>
  <c r="AJ294" i="6" s="1"/>
  <c r="AC289" i="6"/>
  <c r="AE289" i="6"/>
  <c r="AH289" i="6" s="1"/>
  <c r="AJ289" i="6" s="1"/>
  <c r="AC305" i="6"/>
  <c r="AE305" i="6"/>
  <c r="AH305" i="6" s="1"/>
  <c r="AJ305" i="6" s="1"/>
  <c r="AC291" i="6"/>
  <c r="AE291" i="6"/>
  <c r="AH291" i="6" s="1"/>
  <c r="AJ291" i="6" s="1"/>
  <c r="AC293" i="6"/>
  <c r="AE293" i="6"/>
  <c r="AH293" i="6" s="1"/>
  <c r="AJ293" i="6" s="1"/>
  <c r="AC178" i="6"/>
  <c r="AE178" i="6"/>
  <c r="AH178" i="6" s="1"/>
  <c r="AJ178" i="6" s="1"/>
  <c r="AC168" i="6"/>
  <c r="AE168" i="6"/>
  <c r="AH168" i="6" s="1"/>
  <c r="AJ168" i="6" s="1"/>
  <c r="AC156" i="6"/>
  <c r="AE156" i="6"/>
  <c r="AH156" i="6" s="1"/>
  <c r="AJ156" i="6" s="1"/>
  <c r="AC154" i="6"/>
  <c r="AE154" i="6"/>
  <c r="AH154" i="6" s="1"/>
  <c r="AJ154" i="6" s="1"/>
  <c r="AC174" i="6"/>
  <c r="AE174" i="6"/>
  <c r="AH174" i="6" s="1"/>
  <c r="AJ174" i="6" s="1"/>
  <c r="AC160" i="6"/>
  <c r="AE160" i="6"/>
  <c r="AH160" i="6" s="1"/>
  <c r="AJ160" i="6" s="1"/>
  <c r="AC167" i="6"/>
  <c r="AE167" i="6"/>
  <c r="AH167" i="6" s="1"/>
  <c r="AJ167" i="6" s="1"/>
  <c r="AC624" i="6"/>
  <c r="AE624" i="6"/>
  <c r="AH624" i="6" s="1"/>
  <c r="AJ624" i="6" s="1"/>
  <c r="AC621" i="6"/>
  <c r="AE621" i="6"/>
  <c r="AH621" i="6" s="1"/>
  <c r="AJ621" i="6" s="1"/>
  <c r="AC611" i="6"/>
  <c r="AE611" i="6"/>
  <c r="AH611" i="6" s="1"/>
  <c r="AJ611" i="6" s="1"/>
  <c r="AC632" i="6"/>
  <c r="AE632" i="6"/>
  <c r="AH632" i="6" s="1"/>
  <c r="AJ632" i="6" s="1"/>
  <c r="AC629" i="6"/>
  <c r="AE629" i="6"/>
  <c r="AH629" i="6" s="1"/>
  <c r="AJ629" i="6" s="1"/>
  <c r="AC614" i="6"/>
  <c r="AE614" i="6"/>
  <c r="AH614" i="6" s="1"/>
  <c r="AJ614" i="6" s="1"/>
  <c r="AC223" i="6"/>
  <c r="AE223" i="6"/>
  <c r="AH223" i="6" s="1"/>
  <c r="AJ223" i="6" s="1"/>
  <c r="AC230" i="6"/>
  <c r="AE230" i="6"/>
  <c r="AH230" i="6" s="1"/>
  <c r="AJ230" i="6" s="1"/>
  <c r="AC229" i="6"/>
  <c r="AE229" i="6"/>
  <c r="AH229" i="6" s="1"/>
  <c r="AJ229" i="6" s="1"/>
  <c r="AC237" i="6"/>
  <c r="AE237" i="6"/>
  <c r="AH237" i="6" s="1"/>
  <c r="AJ237" i="6" s="1"/>
  <c r="AC446" i="6"/>
  <c r="AE446" i="6"/>
  <c r="AH446" i="6" s="1"/>
  <c r="AJ446" i="6" s="1"/>
  <c r="AC448" i="6"/>
  <c r="AE448" i="6"/>
  <c r="AH448" i="6" s="1"/>
  <c r="AJ448" i="6" s="1"/>
  <c r="AC458" i="6"/>
  <c r="AE458" i="6"/>
  <c r="AH458" i="6" s="1"/>
  <c r="AJ458" i="6" s="1"/>
  <c r="AC459" i="6"/>
  <c r="AE459" i="6"/>
  <c r="AH459" i="6" s="1"/>
  <c r="AJ459" i="6" s="1"/>
  <c r="AC403" i="6"/>
  <c r="AE403" i="6"/>
  <c r="AH403" i="6" s="1"/>
  <c r="AJ403" i="6" s="1"/>
  <c r="AC410" i="6"/>
  <c r="AE410" i="6"/>
  <c r="AH410" i="6" s="1"/>
  <c r="AJ410" i="6" s="1"/>
  <c r="AC408" i="6"/>
  <c r="AE408" i="6"/>
  <c r="AH408" i="6" s="1"/>
  <c r="AJ408" i="6" s="1"/>
  <c r="AC2" i="6"/>
  <c r="V13" i="6"/>
  <c r="V519" i="6"/>
  <c r="X519" i="6" s="1"/>
  <c r="Y519" i="6" s="1"/>
  <c r="V315" i="6"/>
  <c r="V255" i="6"/>
  <c r="V245" i="6"/>
  <c r="V121" i="6"/>
  <c r="X121" i="6" s="1"/>
  <c r="Y121" i="6" s="1"/>
  <c r="V573" i="6"/>
  <c r="X573" i="6" s="1"/>
  <c r="Y573" i="6" s="1"/>
  <c r="V576" i="6"/>
  <c r="X576" i="6" s="1"/>
  <c r="Y576" i="6" s="1"/>
  <c r="V192" i="6"/>
  <c r="X192" i="6" s="1"/>
  <c r="Y192" i="6" s="1"/>
  <c r="V413" i="6"/>
  <c r="X413" i="6" s="1"/>
  <c r="Y413" i="6" s="1"/>
  <c r="V370" i="6"/>
  <c r="X370" i="6" s="1"/>
  <c r="Y370" i="6" s="1"/>
  <c r="V471" i="6"/>
  <c r="X471" i="6" s="1"/>
  <c r="Y471" i="6" s="1"/>
  <c r="V99" i="6"/>
  <c r="X99" i="6" s="1"/>
  <c r="Y99" i="6" s="1"/>
  <c r="V49" i="6"/>
  <c r="X49" i="6" s="1"/>
  <c r="Y49" i="6" s="1"/>
  <c r="V51" i="6"/>
  <c r="X51" i="6" s="1"/>
  <c r="Y51" i="6" s="1"/>
  <c r="V27" i="6"/>
  <c r="X27" i="6" s="1"/>
  <c r="Y27" i="6" s="1"/>
  <c r="V542" i="6"/>
  <c r="V324" i="6"/>
  <c r="X324" i="6" s="1"/>
  <c r="Y324" i="6" s="1"/>
  <c r="V282" i="6"/>
  <c r="X282" i="6" s="1"/>
  <c r="Y282" i="6" s="1"/>
  <c r="V147" i="6"/>
  <c r="X147" i="6" s="1"/>
  <c r="Y147" i="6" s="1"/>
  <c r="V142" i="6"/>
  <c r="X142" i="6" s="1"/>
  <c r="Y142" i="6" s="1"/>
  <c r="V598" i="6"/>
  <c r="X598" i="6" s="1"/>
  <c r="Y598" i="6" s="1"/>
  <c r="V213" i="6"/>
  <c r="X213" i="6" s="1"/>
  <c r="Y213" i="6" s="1"/>
  <c r="V441" i="6"/>
  <c r="X441" i="6" s="1"/>
  <c r="Y441" i="6" s="1"/>
  <c r="V394" i="6"/>
  <c r="X394" i="6" s="1"/>
  <c r="Y394" i="6" s="1"/>
  <c r="V382" i="6"/>
  <c r="X382" i="6" s="1"/>
  <c r="Y382" i="6" s="1"/>
  <c r="V498" i="6"/>
  <c r="X498" i="6" s="1"/>
  <c r="Y498" i="6" s="1"/>
  <c r="V109" i="6"/>
  <c r="X109" i="6" s="1"/>
  <c r="Y109" i="6" s="1"/>
  <c r="V75" i="6"/>
  <c r="X75" i="6" s="1"/>
  <c r="Y75" i="6" s="1"/>
  <c r="V566" i="6"/>
  <c r="X566" i="6" s="1"/>
  <c r="Y566" i="6" s="1"/>
  <c r="V555" i="6"/>
  <c r="X555" i="6" s="1"/>
  <c r="Y555" i="6" s="1"/>
  <c r="V352" i="6"/>
  <c r="X352" i="6" s="1"/>
  <c r="Y352" i="6" s="1"/>
  <c r="V294" i="6"/>
  <c r="V293" i="6"/>
  <c r="X293" i="6" s="1"/>
  <c r="Y293" i="6" s="1"/>
  <c r="V154" i="6"/>
  <c r="X154" i="6" s="1"/>
  <c r="Y154" i="6" s="1"/>
  <c r="V624" i="6"/>
  <c r="X624" i="6" s="1"/>
  <c r="Y624" i="6" s="1"/>
  <c r="V629" i="6"/>
  <c r="X629" i="6" s="1"/>
  <c r="Y629" i="6" s="1"/>
  <c r="V229" i="6"/>
  <c r="X229" i="6" s="1"/>
  <c r="Y229" i="6" s="1"/>
  <c r="V458" i="6"/>
  <c r="X458" i="6" s="1"/>
  <c r="Y458" i="6" s="1"/>
  <c r="V408" i="6"/>
  <c r="X408" i="6" s="1"/>
  <c r="Y408" i="6" s="1"/>
  <c r="V4" i="6"/>
  <c r="X4" i="6" s="1"/>
  <c r="Y4" i="6" s="1"/>
  <c r="V517" i="6"/>
  <c r="X517" i="6" s="1"/>
  <c r="Y517" i="6" s="1"/>
  <c r="V308" i="6"/>
  <c r="X308" i="6" s="1"/>
  <c r="Y308" i="6" s="1"/>
  <c r="V253" i="6"/>
  <c r="X253" i="6" s="1"/>
  <c r="Y253" i="6" s="1"/>
  <c r="V239" i="6"/>
  <c r="X239" i="6" s="1"/>
  <c r="Y239" i="6" s="1"/>
  <c r="V124" i="6"/>
  <c r="X124" i="6" s="1"/>
  <c r="Y124" i="6" s="1"/>
  <c r="V586" i="6"/>
  <c r="X586" i="6" s="1"/>
  <c r="Y586" i="6" s="1"/>
  <c r="V181" i="6"/>
  <c r="X181" i="6" s="1"/>
  <c r="Y181" i="6" s="1"/>
  <c r="V187" i="6"/>
  <c r="X187" i="6" s="1"/>
  <c r="Y187" i="6" s="1"/>
  <c r="V369" i="6"/>
  <c r="X369" i="6" s="1"/>
  <c r="Y369" i="6" s="1"/>
  <c r="V477" i="6"/>
  <c r="X477" i="6" s="1"/>
  <c r="Y477" i="6" s="1"/>
  <c r="V100" i="6"/>
  <c r="X100" i="6" s="1"/>
  <c r="Y100" i="6" s="1"/>
  <c r="V47" i="6"/>
  <c r="V61" i="6"/>
  <c r="X61" i="6" s="1"/>
  <c r="Y61" i="6" s="1"/>
  <c r="V16" i="6"/>
  <c r="X16" i="6" s="1"/>
  <c r="Y16" i="6" s="1"/>
  <c r="V535" i="6"/>
  <c r="X535" i="6" s="1"/>
  <c r="Y535" i="6" s="1"/>
  <c r="V322" i="6"/>
  <c r="X322" i="6" s="1"/>
  <c r="Y322" i="6" s="1"/>
  <c r="V268" i="6"/>
  <c r="X268" i="6" s="1"/>
  <c r="Y268" i="6" s="1"/>
  <c r="V134" i="6"/>
  <c r="X134" i="6" s="1"/>
  <c r="Y134" i="6" s="1"/>
  <c r="V602" i="6"/>
  <c r="X602" i="6" s="1"/>
  <c r="Y602" i="6" s="1"/>
  <c r="V210" i="6"/>
  <c r="X210" i="6" s="1"/>
  <c r="Y210" i="6" s="1"/>
  <c r="V440" i="6"/>
  <c r="X440" i="6" s="1"/>
  <c r="Y440" i="6" s="1"/>
  <c r="V386" i="6"/>
  <c r="X386" i="6" s="1"/>
  <c r="Y386" i="6" s="1"/>
  <c r="V388" i="6"/>
  <c r="X388" i="6" s="1"/>
  <c r="Y388" i="6" s="1"/>
  <c r="V488" i="6"/>
  <c r="V73" i="6"/>
  <c r="X73" i="6" s="1"/>
  <c r="Y73" i="6" s="1"/>
  <c r="V74" i="6"/>
  <c r="X74" i="6" s="1"/>
  <c r="Y74" i="6" s="1"/>
  <c r="V568" i="6"/>
  <c r="X568" i="6" s="1"/>
  <c r="Y568" i="6" s="1"/>
  <c r="V556" i="6"/>
  <c r="V300" i="6"/>
  <c r="X300" i="6" s="1"/>
  <c r="Y300" i="6" s="1"/>
  <c r="V228" i="6"/>
  <c r="V355" i="6"/>
  <c r="X355" i="6" s="1"/>
  <c r="Y355" i="6" s="1"/>
  <c r="V296" i="6"/>
  <c r="X296" i="6" s="1"/>
  <c r="Y296" i="6" s="1"/>
  <c r="V179" i="6"/>
  <c r="X179" i="6" s="1"/>
  <c r="Y179" i="6" s="1"/>
  <c r="V622" i="6"/>
  <c r="X622" i="6" s="1"/>
  <c r="Y622" i="6" s="1"/>
  <c r="V631" i="6"/>
  <c r="X631" i="6" s="1"/>
  <c r="Y631" i="6" s="1"/>
  <c r="V452" i="6"/>
  <c r="X452" i="6" s="1"/>
  <c r="Y452" i="6" s="1"/>
  <c r="V404" i="6"/>
  <c r="X404" i="6" s="1"/>
  <c r="Y404" i="6" s="1"/>
  <c r="V8" i="6"/>
  <c r="X8" i="6" s="1"/>
  <c r="Y8" i="6" s="1"/>
  <c r="V516" i="6"/>
  <c r="X516" i="6" s="1"/>
  <c r="Y516" i="6" s="1"/>
  <c r="V505" i="6"/>
  <c r="X505" i="6" s="1"/>
  <c r="Y505" i="6" s="1"/>
  <c r="V320" i="6"/>
  <c r="X320" i="6" s="1"/>
  <c r="Y320" i="6" s="1"/>
  <c r="V251" i="6"/>
  <c r="V119" i="6"/>
  <c r="X119" i="6" s="1"/>
  <c r="Y119" i="6" s="1"/>
  <c r="V583" i="6"/>
  <c r="X583" i="6" s="1"/>
  <c r="Y583" i="6" s="1"/>
  <c r="V584" i="6"/>
  <c r="X584" i="6" s="1"/>
  <c r="Y584" i="6" s="1"/>
  <c r="V183" i="6"/>
  <c r="X183" i="6" s="1"/>
  <c r="Y183" i="6" s="1"/>
  <c r="V425" i="6"/>
  <c r="X425" i="6" s="1"/>
  <c r="Y425" i="6" s="1"/>
  <c r="V359" i="6"/>
  <c r="X359" i="6" s="1"/>
  <c r="Y359" i="6" s="1"/>
  <c r="V469" i="6"/>
  <c r="X469" i="6" s="1"/>
  <c r="Y469" i="6" s="1"/>
  <c r="V85" i="6"/>
  <c r="X85" i="6" s="1"/>
  <c r="Y85" i="6" s="1"/>
  <c r="V91" i="6"/>
  <c r="X91" i="6" s="1"/>
  <c r="Y91" i="6" s="1"/>
  <c r="V57" i="6"/>
  <c r="X57" i="6" s="1"/>
  <c r="Y57" i="6" s="1"/>
  <c r="V30" i="6"/>
  <c r="X30" i="6" s="1"/>
  <c r="Y30" i="6" s="1"/>
  <c r="V536" i="6"/>
  <c r="X536" i="6" s="1"/>
  <c r="Y536" i="6" s="1"/>
  <c r="V335" i="6"/>
  <c r="X335" i="6" s="1"/>
  <c r="Y335" i="6" s="1"/>
  <c r="V272" i="6"/>
  <c r="X272" i="6" s="1"/>
  <c r="Y272" i="6" s="1"/>
  <c r="V263" i="6"/>
  <c r="X263" i="6" s="1"/>
  <c r="Y263" i="6" s="1"/>
  <c r="V153" i="6"/>
  <c r="X153" i="6" s="1"/>
  <c r="Y153" i="6" s="1"/>
  <c r="V608" i="6"/>
  <c r="X608" i="6" s="1"/>
  <c r="Y608" i="6" s="1"/>
  <c r="V207" i="6"/>
  <c r="X207" i="6" s="1"/>
  <c r="Y207" i="6" s="1"/>
  <c r="V444" i="6"/>
  <c r="X444" i="6" s="1"/>
  <c r="Y444" i="6" s="1"/>
  <c r="V393" i="6"/>
  <c r="X393" i="6" s="1"/>
  <c r="Y393" i="6" s="1"/>
  <c r="V384" i="6"/>
  <c r="X384" i="6" s="1"/>
  <c r="Y384" i="6" s="1"/>
  <c r="V503" i="6"/>
  <c r="X503" i="6" s="1"/>
  <c r="Y503" i="6" s="1"/>
  <c r="V111" i="6"/>
  <c r="X111" i="6" s="1"/>
  <c r="Y111" i="6" s="1"/>
  <c r="V67" i="6"/>
  <c r="X67" i="6" s="1"/>
  <c r="Y67" i="6" s="1"/>
  <c r="V36" i="6"/>
  <c r="X36" i="6" s="1"/>
  <c r="Y36" i="6" s="1"/>
  <c r="V559" i="6"/>
  <c r="X559" i="6" s="1"/>
  <c r="Y559" i="6" s="1"/>
  <c r="V347" i="6"/>
  <c r="X347" i="6" s="1"/>
  <c r="Y347" i="6" s="1"/>
  <c r="V339" i="6"/>
  <c r="X339" i="6" s="1"/>
  <c r="Y339" i="6" s="1"/>
  <c r="V287" i="6"/>
  <c r="X287" i="6" s="1"/>
  <c r="Y287" i="6" s="1"/>
  <c r="V159" i="6"/>
  <c r="X159" i="6" s="1"/>
  <c r="Y159" i="6" s="1"/>
  <c r="V612" i="6"/>
  <c r="X612" i="6" s="1"/>
  <c r="Y612" i="6" s="1"/>
  <c r="V233" i="6"/>
  <c r="X233" i="6" s="1"/>
  <c r="Y233" i="6" s="1"/>
  <c r="V456" i="6"/>
  <c r="X456" i="6" s="1"/>
  <c r="Y456" i="6" s="1"/>
  <c r="V411" i="6"/>
  <c r="X411" i="6" s="1"/>
  <c r="Y411" i="6" s="1"/>
  <c r="V426" i="6"/>
  <c r="X426" i="6" s="1"/>
  <c r="Y426" i="6" s="1"/>
  <c r="V150" i="6"/>
  <c r="X150" i="6" s="1"/>
  <c r="Y150" i="6" s="1"/>
  <c r="V7" i="6"/>
  <c r="X7" i="6" s="1"/>
  <c r="Y7" i="6" s="1"/>
  <c r="V518" i="6"/>
  <c r="V317" i="6"/>
  <c r="X317" i="6" s="1"/>
  <c r="Y317" i="6" s="1"/>
  <c r="V259" i="6"/>
  <c r="X259" i="6" s="1"/>
  <c r="Y259" i="6" s="1"/>
  <c r="V260" i="6"/>
  <c r="X260" i="6" s="1"/>
  <c r="Y260" i="6" s="1"/>
  <c r="V116" i="6"/>
  <c r="X116" i="6" s="1"/>
  <c r="Y116" i="6" s="1"/>
  <c r="V581" i="6"/>
  <c r="X581" i="6" s="1"/>
  <c r="Y581" i="6" s="1"/>
  <c r="V184" i="6"/>
  <c r="X184" i="6" s="1"/>
  <c r="Y184" i="6" s="1"/>
  <c r="V186" i="6"/>
  <c r="X186" i="6" s="1"/>
  <c r="Y186" i="6" s="1"/>
  <c r="V423" i="6"/>
  <c r="X423" i="6" s="1"/>
  <c r="Y423" i="6" s="1"/>
  <c r="V366" i="6"/>
  <c r="X366" i="6" s="1"/>
  <c r="Y366" i="6" s="1"/>
  <c r="V474" i="6"/>
  <c r="X474" i="6" s="1"/>
  <c r="Y474" i="6" s="1"/>
  <c r="V86" i="6"/>
  <c r="X86" i="6" s="1"/>
  <c r="Y86" i="6" s="1"/>
  <c r="V56" i="6"/>
  <c r="X56" i="6" s="1"/>
  <c r="Y56" i="6" s="1"/>
  <c r="V28" i="6"/>
  <c r="X28" i="6" s="1"/>
  <c r="Y28" i="6" s="1"/>
  <c r="V20" i="6"/>
  <c r="X20" i="6" s="1"/>
  <c r="Y20" i="6" s="1"/>
  <c r="V529" i="6"/>
  <c r="X529" i="6" s="1"/>
  <c r="Y529" i="6" s="1"/>
  <c r="V329" i="6"/>
  <c r="X329" i="6" s="1"/>
  <c r="Y329" i="6" s="1"/>
  <c r="V267" i="6"/>
  <c r="X267" i="6" s="1"/>
  <c r="Y267" i="6" s="1"/>
  <c r="V145" i="6"/>
  <c r="X145" i="6" s="1"/>
  <c r="Y145" i="6" s="1"/>
  <c r="V143" i="6"/>
  <c r="X143" i="6" s="1"/>
  <c r="Y143" i="6" s="1"/>
  <c r="V203" i="6"/>
  <c r="X203" i="6" s="1"/>
  <c r="Y203" i="6" s="1"/>
  <c r="V202" i="6"/>
  <c r="X202" i="6" s="1"/>
  <c r="Y202" i="6" s="1"/>
  <c r="V430" i="6"/>
  <c r="X430" i="6" s="1"/>
  <c r="Y430" i="6" s="1"/>
  <c r="V389" i="6"/>
  <c r="X389" i="6" s="1"/>
  <c r="Y389" i="6" s="1"/>
  <c r="V497" i="6"/>
  <c r="X497" i="6" s="1"/>
  <c r="Y497" i="6" s="1"/>
  <c r="V484" i="6"/>
  <c r="X484" i="6" s="1"/>
  <c r="Y484" i="6" s="1"/>
  <c r="V65" i="6"/>
  <c r="X65" i="6" s="1"/>
  <c r="Y65" i="6" s="1"/>
  <c r="V37" i="6"/>
  <c r="X37" i="6" s="1"/>
  <c r="Y37" i="6" s="1"/>
  <c r="V563" i="6"/>
  <c r="X563" i="6" s="1"/>
  <c r="Y563" i="6" s="1"/>
  <c r="V565" i="6"/>
  <c r="X565" i="6" s="1"/>
  <c r="Y565" i="6" s="1"/>
  <c r="V346" i="6"/>
  <c r="X346" i="6" s="1"/>
  <c r="Y346" i="6" s="1"/>
  <c r="V289" i="6"/>
  <c r="X289" i="6" s="1"/>
  <c r="Y289" i="6" s="1"/>
  <c r="V178" i="6"/>
  <c r="X178" i="6" s="1"/>
  <c r="Y178" i="6" s="1"/>
  <c r="V174" i="6"/>
  <c r="X174" i="6" s="1"/>
  <c r="Y174" i="6" s="1"/>
  <c r="V621" i="6"/>
  <c r="X621" i="6" s="1"/>
  <c r="Y621" i="6" s="1"/>
  <c r="V614" i="6"/>
  <c r="X614" i="6" s="1"/>
  <c r="Y614" i="6" s="1"/>
  <c r="V237" i="6"/>
  <c r="X237" i="6" s="1"/>
  <c r="Y237" i="6" s="1"/>
  <c r="V459" i="6"/>
  <c r="X459" i="6" s="1"/>
  <c r="Y459" i="6" s="1"/>
  <c r="V172" i="6"/>
  <c r="X172" i="6" s="1"/>
  <c r="Y172" i="6" s="1"/>
  <c r="V10" i="6"/>
  <c r="X10" i="6" s="1"/>
  <c r="Y10" i="6" s="1"/>
  <c r="V522" i="6"/>
  <c r="X522" i="6" s="1"/>
  <c r="Y522" i="6" s="1"/>
  <c r="V311" i="6"/>
  <c r="X311" i="6" s="1"/>
  <c r="Y311" i="6" s="1"/>
  <c r="V242" i="6"/>
  <c r="X242" i="6" s="1"/>
  <c r="Y242" i="6" s="1"/>
  <c r="V247" i="6"/>
  <c r="X247" i="6" s="1"/>
  <c r="Y247" i="6" s="1"/>
  <c r="V130" i="6"/>
  <c r="X130" i="6" s="1"/>
  <c r="Y130" i="6" s="1"/>
  <c r="V579" i="6"/>
  <c r="X579" i="6" s="1"/>
  <c r="Y579" i="6" s="1"/>
  <c r="V196" i="6"/>
  <c r="X196" i="6" s="1"/>
  <c r="Y196" i="6" s="1"/>
  <c r="V191" i="6"/>
  <c r="X191" i="6" s="1"/>
  <c r="Y191" i="6" s="1"/>
  <c r="V422" i="6"/>
  <c r="X422" i="6" s="1"/>
  <c r="Y422" i="6" s="1"/>
  <c r="V363" i="6"/>
  <c r="X363" i="6" s="1"/>
  <c r="Y363" i="6" s="1"/>
  <c r="V468" i="6"/>
  <c r="X468" i="6" s="1"/>
  <c r="Y468" i="6" s="1"/>
  <c r="V96" i="6"/>
  <c r="X96" i="6" s="1"/>
  <c r="Y96" i="6" s="1"/>
  <c r="V64" i="6"/>
  <c r="X64" i="6" s="1"/>
  <c r="Y64" i="6" s="1"/>
  <c r="V60" i="6"/>
  <c r="X60" i="6" s="1"/>
  <c r="Y60" i="6" s="1"/>
  <c r="V17" i="6"/>
  <c r="X17" i="6" s="1"/>
  <c r="Y17" i="6" s="1"/>
  <c r="V541" i="6"/>
  <c r="X541" i="6" s="1"/>
  <c r="Y541" i="6" s="1"/>
  <c r="V328" i="6"/>
  <c r="X328" i="6" s="1"/>
  <c r="Y328" i="6" s="1"/>
  <c r="V269" i="6"/>
  <c r="X269" i="6" s="1"/>
  <c r="Y269" i="6" s="1"/>
  <c r="V136" i="6"/>
  <c r="X136" i="6" s="1"/>
  <c r="Y136" i="6" s="1"/>
  <c r="V146" i="6"/>
  <c r="X146" i="6" s="1"/>
  <c r="Y146" i="6" s="1"/>
  <c r="V607" i="6"/>
  <c r="X607" i="6" s="1"/>
  <c r="Y607" i="6" s="1"/>
  <c r="V218" i="6"/>
  <c r="X218" i="6" s="1"/>
  <c r="Y218" i="6" s="1"/>
  <c r="V435" i="6"/>
  <c r="X435" i="6" s="1"/>
  <c r="Y435" i="6" s="1"/>
  <c r="V387" i="6"/>
  <c r="X387" i="6" s="1"/>
  <c r="Y387" i="6" s="1"/>
  <c r="V397" i="6"/>
  <c r="X397" i="6" s="1"/>
  <c r="Y397" i="6" s="1"/>
  <c r="V502" i="6"/>
  <c r="X502" i="6" s="1"/>
  <c r="Y502" i="6" s="1"/>
  <c r="V106" i="6"/>
  <c r="X106" i="6" s="1"/>
  <c r="Y106" i="6" s="1"/>
  <c r="V81" i="6"/>
  <c r="X81" i="6" s="1"/>
  <c r="Y81" i="6" s="1"/>
  <c r="V546" i="6"/>
  <c r="X546" i="6" s="1"/>
  <c r="Y546" i="6" s="1"/>
  <c r="V564" i="6"/>
  <c r="X564" i="6" s="1"/>
  <c r="Y564" i="6" s="1"/>
  <c r="V340" i="6"/>
  <c r="X340" i="6" s="1"/>
  <c r="Y340" i="6" s="1"/>
  <c r="V292" i="6"/>
  <c r="X292" i="6" s="1"/>
  <c r="Y292" i="6" s="1"/>
  <c r="V303" i="6"/>
  <c r="X303" i="6" s="1"/>
  <c r="Y303" i="6" s="1"/>
  <c r="V163" i="6"/>
  <c r="X163" i="6" s="1"/>
  <c r="Y163" i="6" s="1"/>
  <c r="V628" i="6"/>
  <c r="X628" i="6" s="1"/>
  <c r="Y628" i="6" s="1"/>
  <c r="V620" i="6"/>
  <c r="X620" i="6" s="1"/>
  <c r="Y620" i="6" s="1"/>
  <c r="V236" i="6"/>
  <c r="X236" i="6" s="1"/>
  <c r="Y236" i="6" s="1"/>
  <c r="V451" i="6"/>
  <c r="X451" i="6" s="1"/>
  <c r="Y451" i="6" s="1"/>
  <c r="V405" i="6"/>
  <c r="X405" i="6" s="1"/>
  <c r="Y405" i="6" s="1"/>
  <c r="V521" i="6"/>
  <c r="X521" i="6" s="1"/>
  <c r="Y521" i="6" s="1"/>
  <c r="V115" i="6"/>
  <c r="X115" i="6" s="1"/>
  <c r="Y115" i="6" s="1"/>
  <c r="V367" i="6"/>
  <c r="X367" i="6" s="1"/>
  <c r="Y367" i="6" s="1"/>
  <c r="V98" i="6"/>
  <c r="X98" i="6" s="1"/>
  <c r="Y98" i="6" s="1"/>
  <c r="V530" i="6"/>
  <c r="X530" i="6" s="1"/>
  <c r="Y530" i="6" s="1"/>
  <c r="V152" i="6"/>
  <c r="X152" i="6" s="1"/>
  <c r="Y152" i="6" s="1"/>
  <c r="V432" i="6"/>
  <c r="X432" i="6" s="1"/>
  <c r="Y432" i="6" s="1"/>
  <c r="V494" i="6"/>
  <c r="X494" i="6" s="1"/>
  <c r="Y494" i="6" s="1"/>
  <c r="V35" i="6"/>
  <c r="X35" i="6" s="1"/>
  <c r="Y35" i="6" s="1"/>
  <c r="V291" i="6"/>
  <c r="X291" i="6" s="1"/>
  <c r="Y291" i="6" s="1"/>
  <c r="V632" i="6"/>
  <c r="X632" i="6" s="1"/>
  <c r="Y632" i="6" s="1"/>
  <c r="V410" i="6"/>
  <c r="X410" i="6" s="1"/>
  <c r="Y410" i="6" s="1"/>
  <c r="V402" i="6"/>
  <c r="X402" i="6" s="1"/>
  <c r="Y402" i="6" s="1"/>
  <c r="V523" i="6"/>
  <c r="X523" i="6" s="1"/>
  <c r="Y523" i="6" s="1"/>
  <c r="V252" i="6"/>
  <c r="X252" i="6" s="1"/>
  <c r="Y252" i="6" s="1"/>
  <c r="V592" i="6"/>
  <c r="X592" i="6" s="1"/>
  <c r="Y592" i="6" s="1"/>
  <c r="V419" i="6"/>
  <c r="X419" i="6" s="1"/>
  <c r="Y419" i="6" s="1"/>
  <c r="V473" i="6"/>
  <c r="X473" i="6" s="1"/>
  <c r="Y473" i="6" s="1"/>
  <c r="V46" i="6"/>
  <c r="X46" i="6" s="1"/>
  <c r="Y46" i="6" s="1"/>
  <c r="V334" i="6"/>
  <c r="X334" i="6" s="1"/>
  <c r="Y334" i="6" s="1"/>
  <c r="V281" i="6"/>
  <c r="X281" i="6" s="1"/>
  <c r="Y281" i="6" s="1"/>
  <c r="V604" i="6"/>
  <c r="X604" i="6" s="1"/>
  <c r="Y604" i="6" s="1"/>
  <c r="V375" i="6"/>
  <c r="X375" i="6" s="1"/>
  <c r="Y375" i="6" s="1"/>
  <c r="V112" i="6"/>
  <c r="X112" i="6" s="1"/>
  <c r="Y112" i="6" s="1"/>
  <c r="V560" i="6"/>
  <c r="X560" i="6" s="1"/>
  <c r="Y560" i="6" s="1"/>
  <c r="V342" i="6"/>
  <c r="X342" i="6" s="1"/>
  <c r="Y342" i="6" s="1"/>
  <c r="V156" i="6"/>
  <c r="X156" i="6" s="1"/>
  <c r="Y156" i="6" s="1"/>
  <c r="V448" i="6"/>
  <c r="X448" i="6" s="1"/>
  <c r="Y448" i="6" s="1"/>
  <c r="V314" i="6"/>
  <c r="X314" i="6" s="1"/>
  <c r="Y314" i="6" s="1"/>
  <c r="V587" i="6"/>
  <c r="X587" i="6" s="1"/>
  <c r="Y587" i="6" s="1"/>
  <c r="V199" i="6"/>
  <c r="X199" i="6" s="1"/>
  <c r="Y199" i="6" s="1"/>
  <c r="V95" i="6"/>
  <c r="X95" i="6" s="1"/>
  <c r="Y95" i="6" s="1"/>
  <c r="V29" i="6"/>
  <c r="X29" i="6" s="1"/>
  <c r="Y29" i="6" s="1"/>
  <c r="V265" i="6"/>
  <c r="X265" i="6" s="1"/>
  <c r="Y265" i="6" s="1"/>
  <c r="V217" i="6"/>
  <c r="X217" i="6" s="1"/>
  <c r="Y217" i="6" s="1"/>
  <c r="V390" i="6"/>
  <c r="X390" i="6" s="1"/>
  <c r="Y390" i="6" s="1"/>
  <c r="V77" i="6"/>
  <c r="X77" i="6" s="1"/>
  <c r="Y77" i="6" s="1"/>
  <c r="V349" i="6"/>
  <c r="X349" i="6" s="1"/>
  <c r="Y349" i="6" s="1"/>
  <c r="V167" i="6"/>
  <c r="X167" i="6" s="1"/>
  <c r="Y167" i="6" s="1"/>
  <c r="V230" i="6"/>
  <c r="X230" i="6" s="1"/>
  <c r="Y230" i="6" s="1"/>
  <c r="V220" i="6"/>
  <c r="X220" i="6" s="1"/>
  <c r="Y220" i="6" s="1"/>
  <c r="V429" i="6"/>
  <c r="X429" i="6" s="1"/>
  <c r="Y429" i="6" s="1"/>
  <c r="V385" i="6"/>
  <c r="X385" i="6" s="1"/>
  <c r="Y385" i="6" s="1"/>
  <c r="V377" i="6"/>
  <c r="X377" i="6" s="1"/>
  <c r="Y377" i="6" s="1"/>
  <c r="V500" i="6"/>
  <c r="X500" i="6" s="1"/>
  <c r="Y500" i="6" s="1"/>
  <c r="V108" i="6"/>
  <c r="X108" i="6" s="1"/>
  <c r="Y108" i="6" s="1"/>
  <c r="V80" i="6"/>
  <c r="X80" i="6" s="1"/>
  <c r="Y80" i="6" s="1"/>
  <c r="V41" i="6"/>
  <c r="X41" i="6" s="1"/>
  <c r="Y41" i="6" s="1"/>
  <c r="V557" i="6"/>
  <c r="X557" i="6" s="1"/>
  <c r="Y557" i="6" s="1"/>
  <c r="V354" i="6"/>
  <c r="X354" i="6" s="1"/>
  <c r="Y354" i="6" s="1"/>
  <c r="V285" i="6"/>
  <c r="X285" i="6" s="1"/>
  <c r="Y285" i="6" s="1"/>
  <c r="V290" i="6"/>
  <c r="X290" i="6" s="1"/>
  <c r="Y290" i="6" s="1"/>
  <c r="V177" i="6"/>
  <c r="X177" i="6" s="1"/>
  <c r="Y177" i="6" s="1"/>
  <c r="V618" i="6"/>
  <c r="X618" i="6" s="1"/>
  <c r="Y618" i="6" s="1"/>
  <c r="V627" i="6"/>
  <c r="X627" i="6" s="1"/>
  <c r="Y627" i="6" s="1"/>
  <c r="V234" i="6"/>
  <c r="X234" i="6" s="1"/>
  <c r="Y234" i="6" s="1"/>
  <c r="V450" i="6"/>
  <c r="X450" i="6" s="1"/>
  <c r="Y450" i="6" s="1"/>
  <c r="V406" i="6"/>
  <c r="X406" i="6" s="1"/>
  <c r="Y406" i="6" s="1"/>
  <c r="X2" i="6"/>
  <c r="Y2" i="6" s="1"/>
  <c r="V525" i="6"/>
  <c r="X525" i="6" s="1"/>
  <c r="Y525" i="6" s="1"/>
  <c r="V310" i="6"/>
  <c r="X310" i="6" s="1"/>
  <c r="Y310" i="6" s="1"/>
  <c r="V257" i="6"/>
  <c r="X257" i="6" s="1"/>
  <c r="Y257" i="6" s="1"/>
  <c r="V238" i="6"/>
  <c r="X238" i="6" s="1"/>
  <c r="Y238" i="6" s="1"/>
  <c r="V113" i="6"/>
  <c r="X113" i="6" s="1"/>
  <c r="Y113" i="6" s="1"/>
  <c r="V572" i="6"/>
  <c r="X572" i="6" s="1"/>
  <c r="Y572" i="6" s="1"/>
  <c r="V570" i="6"/>
  <c r="X570" i="6" s="1"/>
  <c r="Y570" i="6" s="1"/>
  <c r="V182" i="6"/>
  <c r="X182" i="6" s="1"/>
  <c r="Y182" i="6" s="1"/>
  <c r="V417" i="6"/>
  <c r="X417" i="6" s="1"/>
  <c r="Y417" i="6" s="1"/>
  <c r="V368" i="6"/>
  <c r="X368" i="6" s="1"/>
  <c r="Y368" i="6" s="1"/>
  <c r="V478" i="6"/>
  <c r="X478" i="6" s="1"/>
  <c r="Y478" i="6" s="1"/>
  <c r="V87" i="6"/>
  <c r="X87" i="6" s="1"/>
  <c r="Y87" i="6" s="1"/>
  <c r="V54" i="6"/>
  <c r="X54" i="6" s="1"/>
  <c r="Y54" i="6" s="1"/>
  <c r="V48" i="6"/>
  <c r="X48" i="6" s="1"/>
  <c r="Y48" i="6" s="1"/>
  <c r="V15" i="6"/>
  <c r="X15" i="6" s="1"/>
  <c r="Y15" i="6" s="1"/>
  <c r="V538" i="6"/>
  <c r="X538" i="6" s="1"/>
  <c r="Y538" i="6" s="1"/>
  <c r="V327" i="6"/>
  <c r="X327" i="6" s="1"/>
  <c r="Y327" i="6" s="1"/>
  <c r="V264" i="6"/>
  <c r="X264" i="6" s="1"/>
  <c r="Y264" i="6" s="1"/>
  <c r="V135" i="6"/>
  <c r="X135" i="6" s="1"/>
  <c r="Y135" i="6" s="1"/>
  <c r="V132" i="6"/>
  <c r="X132" i="6" s="1"/>
  <c r="Y132" i="6" s="1"/>
  <c r="V606" i="6"/>
  <c r="X606" i="6" s="1"/>
  <c r="Y606" i="6" s="1"/>
  <c r="V221" i="6"/>
  <c r="X221" i="6" s="1"/>
  <c r="Y221" i="6" s="1"/>
  <c r="V445" i="6"/>
  <c r="X445" i="6" s="1"/>
  <c r="Y445" i="6" s="1"/>
  <c r="V381" i="6"/>
  <c r="X381" i="6" s="1"/>
  <c r="Y381" i="6" s="1"/>
  <c r="V378" i="6"/>
  <c r="X378" i="6" s="1"/>
  <c r="Y378" i="6" s="1"/>
  <c r="V489" i="6"/>
  <c r="X489" i="6" s="1"/>
  <c r="Y489" i="6" s="1"/>
  <c r="V110" i="6"/>
  <c r="X110" i="6" s="1"/>
  <c r="Y110" i="6" s="1"/>
  <c r="V70" i="6"/>
  <c r="X70" i="6" s="1"/>
  <c r="Y70" i="6" s="1"/>
  <c r="V33" i="6"/>
  <c r="X33" i="6" s="1"/>
  <c r="Y33" i="6" s="1"/>
  <c r="V547" i="6"/>
  <c r="X547" i="6" s="1"/>
  <c r="Y547" i="6" s="1"/>
  <c r="V353" i="6"/>
  <c r="X353" i="6" s="1"/>
  <c r="Y353" i="6" s="1"/>
  <c r="V350" i="6"/>
  <c r="X350" i="6" s="1"/>
  <c r="Y350" i="6" s="1"/>
  <c r="V301" i="6"/>
  <c r="X301" i="6" s="1"/>
  <c r="Y301" i="6" s="1"/>
  <c r="V165" i="6"/>
  <c r="X165" i="6" s="1"/>
  <c r="Y165" i="6" s="1"/>
  <c r="V610" i="6"/>
  <c r="X610" i="6" s="1"/>
  <c r="Y610" i="6" s="1"/>
  <c r="V609" i="6"/>
  <c r="X609" i="6" s="1"/>
  <c r="Y609" i="6" s="1"/>
  <c r="V225" i="6"/>
  <c r="X225" i="6" s="1"/>
  <c r="Y225" i="6" s="1"/>
  <c r="V449" i="6"/>
  <c r="X449" i="6" s="1"/>
  <c r="Y449" i="6" s="1"/>
  <c r="V398" i="6"/>
  <c r="X398" i="6" s="1"/>
  <c r="Y398" i="6" s="1"/>
  <c r="V5" i="6"/>
  <c r="X5" i="6" s="1"/>
  <c r="Y5" i="6" s="1"/>
  <c r="V508" i="6"/>
  <c r="X508" i="6" s="1"/>
  <c r="Y508" i="6" s="1"/>
  <c r="V318" i="6"/>
  <c r="X318" i="6" s="1"/>
  <c r="Y318" i="6" s="1"/>
  <c r="V243" i="6"/>
  <c r="X243" i="6" s="1"/>
  <c r="Y243" i="6" s="1"/>
  <c r="V249" i="6"/>
  <c r="X249" i="6" s="1"/>
  <c r="Y249" i="6" s="1"/>
  <c r="V129" i="6"/>
  <c r="X129" i="6" s="1"/>
  <c r="Y129" i="6" s="1"/>
  <c r="V571" i="6"/>
  <c r="X571" i="6" s="1"/>
  <c r="Y571" i="6" s="1"/>
  <c r="V577" i="6"/>
  <c r="X577" i="6" s="1"/>
  <c r="Y577" i="6" s="1"/>
  <c r="V194" i="6"/>
  <c r="X194" i="6" s="1"/>
  <c r="Y194" i="6" s="1"/>
  <c r="V427" i="6"/>
  <c r="X427" i="6" s="1"/>
  <c r="Y427" i="6" s="1"/>
  <c r="V361" i="6"/>
  <c r="X361" i="6" s="1"/>
  <c r="Y361" i="6" s="1"/>
  <c r="V463" i="6"/>
  <c r="X463" i="6" s="1"/>
  <c r="Y463" i="6" s="1"/>
  <c r="V102" i="6"/>
  <c r="X102" i="6" s="1"/>
  <c r="Y102" i="6" s="1"/>
  <c r="V58" i="6"/>
  <c r="X58" i="6" s="1"/>
  <c r="Y58" i="6" s="1"/>
  <c r="V62" i="6"/>
  <c r="X62" i="6" s="1"/>
  <c r="Y62" i="6" s="1"/>
  <c r="V23" i="6"/>
  <c r="X23" i="6" s="1"/>
  <c r="Y23" i="6" s="1"/>
  <c r="V527" i="6"/>
  <c r="X527" i="6" s="1"/>
  <c r="Y527" i="6" s="1"/>
  <c r="V323" i="6"/>
  <c r="X323" i="6" s="1"/>
  <c r="Y323" i="6" s="1"/>
  <c r="V279" i="6"/>
  <c r="X279" i="6" s="1"/>
  <c r="Y279" i="6" s="1"/>
  <c r="V149" i="6"/>
  <c r="X149" i="6" s="1"/>
  <c r="Y149" i="6" s="1"/>
  <c r="V133" i="6"/>
  <c r="X133" i="6" s="1"/>
  <c r="Y133" i="6" s="1"/>
  <c r="V599" i="6"/>
  <c r="X599" i="6" s="1"/>
  <c r="Y599" i="6" s="1"/>
  <c r="V11" i="6"/>
  <c r="X11" i="6" s="1"/>
  <c r="Y11" i="6" s="1"/>
  <c r="V509" i="6"/>
  <c r="X509" i="6" s="1"/>
  <c r="Y509" i="6" s="1"/>
  <c r="V316" i="6"/>
  <c r="X316" i="6" s="1"/>
  <c r="Y316" i="6" s="1"/>
  <c r="V248" i="6"/>
  <c r="X248" i="6" s="1"/>
  <c r="Y248" i="6" s="1"/>
  <c r="V256" i="6"/>
  <c r="X256" i="6" s="1"/>
  <c r="Y256" i="6" s="1"/>
  <c r="V114" i="6"/>
  <c r="X114" i="6" s="1"/>
  <c r="Y114" i="6" s="1"/>
  <c r="V593" i="6"/>
  <c r="X593" i="6" s="1"/>
  <c r="Y593" i="6" s="1"/>
  <c r="V185" i="6"/>
  <c r="X185" i="6" s="1"/>
  <c r="Y185" i="6" s="1"/>
  <c r="V188" i="6"/>
  <c r="X188" i="6" s="1"/>
  <c r="Y188" i="6" s="1"/>
  <c r="V415" i="6"/>
  <c r="X415" i="6" s="1"/>
  <c r="Y415" i="6" s="1"/>
  <c r="V373" i="6"/>
  <c r="X373" i="6" s="1"/>
  <c r="Y373" i="6" s="1"/>
  <c r="V476" i="6"/>
  <c r="X476" i="6" s="1"/>
  <c r="Y476" i="6" s="1"/>
  <c r="V97" i="6"/>
  <c r="X97" i="6" s="1"/>
  <c r="Y97" i="6" s="1"/>
  <c r="V63" i="6"/>
  <c r="V21" i="6"/>
  <c r="X21" i="6" s="1"/>
  <c r="Y21" i="6" s="1"/>
  <c r="V14" i="6"/>
  <c r="X14" i="6" s="1"/>
  <c r="Y14" i="6" s="1"/>
  <c r="V533" i="6"/>
  <c r="X533" i="6" s="1"/>
  <c r="Y533" i="6" s="1"/>
  <c r="V326" i="6"/>
  <c r="X326" i="6" s="1"/>
  <c r="Y326" i="6" s="1"/>
  <c r="V274" i="6"/>
  <c r="X274" i="6" s="1"/>
  <c r="Y274" i="6" s="1"/>
  <c r="V131" i="6"/>
  <c r="X131" i="6" s="1"/>
  <c r="Y131" i="6" s="1"/>
  <c r="V148" i="6"/>
  <c r="X148" i="6" s="1"/>
  <c r="Y148" i="6" s="1"/>
  <c r="V216" i="6"/>
  <c r="X216" i="6" s="1"/>
  <c r="Y216" i="6" s="1"/>
  <c r="V211" i="6"/>
  <c r="X211" i="6" s="1"/>
  <c r="Y211" i="6" s="1"/>
  <c r="V442" i="6"/>
  <c r="X442" i="6" s="1"/>
  <c r="Y442" i="6" s="1"/>
  <c r="V391" i="6"/>
  <c r="X391" i="6" s="1"/>
  <c r="Y391" i="6" s="1"/>
  <c r="V493" i="6"/>
  <c r="X493" i="6" s="1"/>
  <c r="Y493" i="6" s="1"/>
  <c r="V487" i="6"/>
  <c r="X487" i="6" s="1"/>
  <c r="Y487" i="6" s="1"/>
  <c r="V78" i="6"/>
  <c r="X78" i="6" s="1"/>
  <c r="Y78" i="6" s="1"/>
  <c r="V76" i="6"/>
  <c r="V562" i="6"/>
  <c r="X562" i="6" s="1"/>
  <c r="Y562" i="6" s="1"/>
  <c r="V558" i="6"/>
  <c r="X558" i="6" s="1"/>
  <c r="Y558" i="6" s="1"/>
  <c r="V344" i="6"/>
  <c r="X344" i="6" s="1"/>
  <c r="Y344" i="6" s="1"/>
  <c r="V302" i="6"/>
  <c r="X302" i="6" s="1"/>
  <c r="Y302" i="6" s="1"/>
  <c r="V297" i="6"/>
  <c r="X297" i="6" s="1"/>
  <c r="Y297" i="6" s="1"/>
  <c r="V176" i="6"/>
  <c r="X176" i="6" s="1"/>
  <c r="Y176" i="6" s="1"/>
  <c r="V619" i="6"/>
  <c r="X619" i="6" s="1"/>
  <c r="Y619" i="6" s="1"/>
  <c r="V626" i="6"/>
  <c r="X626" i="6" s="1"/>
  <c r="V235" i="6"/>
  <c r="X235" i="6" s="1"/>
  <c r="Y235" i="6" s="1"/>
  <c r="V461" i="6"/>
  <c r="X461" i="6" s="1"/>
  <c r="Y461" i="6" s="1"/>
  <c r="V312" i="6"/>
  <c r="V122" i="6"/>
  <c r="X122" i="6" s="1"/>
  <c r="Y122" i="6" s="1"/>
  <c r="V364" i="6"/>
  <c r="X364" i="6" s="1"/>
  <c r="Y364" i="6" s="1"/>
  <c r="V475" i="6"/>
  <c r="X475" i="6" s="1"/>
  <c r="V543" i="6"/>
  <c r="X543" i="6" s="1"/>
  <c r="Y543" i="6" s="1"/>
  <c r="V331" i="6"/>
  <c r="X331" i="6" s="1"/>
  <c r="Y331" i="6" s="1"/>
  <c r="V222" i="6"/>
  <c r="X222" i="6" s="1"/>
  <c r="Y222" i="6" s="1"/>
  <c r="V501" i="6"/>
  <c r="X501" i="6" s="1"/>
  <c r="Y501" i="6" s="1"/>
  <c r="V68" i="6"/>
  <c r="V351" i="6"/>
  <c r="X351" i="6" s="1"/>
  <c r="Y351" i="6" s="1"/>
  <c r="V166" i="6"/>
  <c r="X166" i="6" s="1"/>
  <c r="Y166" i="6" s="1"/>
  <c r="V454" i="6"/>
  <c r="X454" i="6" s="1"/>
  <c r="Y454" i="6" s="1"/>
  <c r="V241" i="6"/>
  <c r="X241" i="6" s="1"/>
  <c r="Y241" i="6" s="1"/>
  <c r="V412" i="6"/>
  <c r="X412" i="6" s="1"/>
  <c r="Y412" i="6" s="1"/>
  <c r="V50" i="6"/>
  <c r="X50" i="6" s="1"/>
  <c r="Y50" i="6" s="1"/>
  <c r="V139" i="6"/>
  <c r="X139" i="6" s="1"/>
  <c r="Y139" i="6" s="1"/>
  <c r="V433" i="6"/>
  <c r="X433" i="6" s="1"/>
  <c r="Y433" i="6" s="1"/>
  <c r="V551" i="6"/>
  <c r="X551" i="6" s="1"/>
  <c r="Y551" i="6" s="1"/>
  <c r="V630" i="6"/>
  <c r="V12" i="6"/>
  <c r="X12" i="6" s="1"/>
  <c r="Y12" i="6" s="1"/>
  <c r="V514" i="6"/>
  <c r="X514" i="6" s="1"/>
  <c r="Y514" i="6" s="1"/>
  <c r="V319" i="6"/>
  <c r="X319" i="6" s="1"/>
  <c r="V250" i="6"/>
  <c r="X250" i="6" s="1"/>
  <c r="Y250" i="6" s="1"/>
  <c r="V120" i="6"/>
  <c r="X120" i="6" s="1"/>
  <c r="Y120" i="6" s="1"/>
  <c r="V125" i="6"/>
  <c r="X125" i="6" s="1"/>
  <c r="Y125" i="6" s="1"/>
  <c r="V578" i="6"/>
  <c r="X578" i="6" s="1"/>
  <c r="Y578" i="6" s="1"/>
  <c r="V193" i="6"/>
  <c r="X193" i="6" s="1"/>
  <c r="Y193" i="6" s="1"/>
  <c r="V420" i="6"/>
  <c r="V372" i="6"/>
  <c r="X372" i="6" s="1"/>
  <c r="Y372" i="6" s="1"/>
  <c r="V481" i="6"/>
  <c r="X481" i="6" s="1"/>
  <c r="Y481" i="6" s="1"/>
  <c r="V467" i="6"/>
  <c r="X467" i="6" s="1"/>
  <c r="Y467" i="6" s="1"/>
  <c r="V83" i="6"/>
  <c r="X83" i="6" s="1"/>
  <c r="Y83" i="6" s="1"/>
  <c r="V55" i="6"/>
  <c r="X55" i="6" s="1"/>
  <c r="Y55" i="6" s="1"/>
  <c r="V18" i="6"/>
  <c r="X18" i="6" s="1"/>
  <c r="Y18" i="6" s="1"/>
  <c r="V532" i="6"/>
  <c r="X532" i="6" s="1"/>
  <c r="Y532" i="6" s="1"/>
  <c r="V528" i="6"/>
  <c r="X528" i="6" s="1"/>
  <c r="Y528" i="6" s="1"/>
  <c r="V325" i="6"/>
  <c r="V277" i="6"/>
  <c r="X277" i="6" s="1"/>
  <c r="Y277" i="6" s="1"/>
  <c r="V141" i="6"/>
  <c r="V597" i="6"/>
  <c r="X597" i="6" s="1"/>
  <c r="Y597" i="6" s="1"/>
  <c r="V200" i="6"/>
  <c r="V214" i="6"/>
  <c r="X214" i="6" s="1"/>
  <c r="Y214" i="6" s="1"/>
  <c r="V437" i="6"/>
  <c r="X437" i="6" s="1"/>
  <c r="Y437" i="6" s="1"/>
  <c r="V376" i="6"/>
  <c r="X376" i="6" s="1"/>
  <c r="V486" i="6"/>
  <c r="X486" i="6" s="1"/>
  <c r="Y486" i="6" s="1"/>
  <c r="V491" i="6"/>
  <c r="X491" i="6" s="1"/>
  <c r="Y491" i="6" s="1"/>
  <c r="V72" i="6"/>
  <c r="X72" i="6" s="1"/>
  <c r="Y72" i="6" s="1"/>
  <c r="V32" i="6"/>
  <c r="X32" i="6" s="1"/>
  <c r="Y32" i="6" s="1"/>
  <c r="V567" i="6"/>
  <c r="X567" i="6" s="1"/>
  <c r="Y567" i="6" s="1"/>
  <c r="V549" i="6"/>
  <c r="X549" i="6" s="1"/>
  <c r="Y549" i="6" s="1"/>
  <c r="V337" i="6"/>
  <c r="V288" i="6"/>
  <c r="X288" i="6" s="1"/>
  <c r="Y288" i="6" s="1"/>
  <c r="V170" i="6"/>
  <c r="X170" i="6" s="1"/>
  <c r="Y170" i="6" s="1"/>
  <c r="V161" i="6"/>
  <c r="X161" i="6" s="1"/>
  <c r="Y161" i="6" s="1"/>
  <c r="V623" i="6"/>
  <c r="X623" i="6" s="1"/>
  <c r="Y623" i="6" s="1"/>
  <c r="V227" i="6"/>
  <c r="X227" i="6" s="1"/>
  <c r="Y227" i="6" s="1"/>
  <c r="V453" i="6"/>
  <c r="X453" i="6" s="1"/>
  <c r="Y453" i="6" s="1"/>
  <c r="V409" i="6"/>
  <c r="X409" i="6" s="1"/>
  <c r="Y409" i="6" s="1"/>
  <c r="V240" i="6"/>
  <c r="X240" i="6" s="1"/>
  <c r="Y240" i="6" s="1"/>
  <c r="V483" i="6"/>
  <c r="X483" i="6" s="1"/>
  <c r="Y483" i="6" s="1"/>
  <c r="V275" i="6"/>
  <c r="X275" i="6" s="1"/>
  <c r="Y275" i="6" s="1"/>
  <c r="V485" i="6"/>
  <c r="X485" i="6" s="1"/>
  <c r="Y485" i="6" s="1"/>
  <c r="V158" i="6"/>
  <c r="X158" i="6" s="1"/>
  <c r="Y158" i="6" s="1"/>
  <c r="V9" i="6"/>
  <c r="X9" i="6" s="1"/>
  <c r="Y9" i="6" s="1"/>
  <c r="V594" i="6"/>
  <c r="X594" i="6" s="1"/>
  <c r="Y594" i="6" s="1"/>
  <c r="V89" i="6"/>
  <c r="X89" i="6" s="1"/>
  <c r="Y89" i="6" s="1"/>
  <c r="V266" i="6"/>
  <c r="X266" i="6" s="1"/>
  <c r="Y266" i="6" s="1"/>
  <c r="V212" i="6"/>
  <c r="X212" i="6" s="1"/>
  <c r="Y212" i="6" s="1"/>
  <c r="V38" i="6"/>
  <c r="X38" i="6" s="1"/>
  <c r="Y38" i="6" s="1"/>
  <c r="V175" i="6"/>
  <c r="X175" i="6" s="1"/>
  <c r="Y175" i="6" s="1"/>
  <c r="V6" i="6"/>
  <c r="X6" i="6" s="1"/>
  <c r="Y6" i="6" s="1"/>
  <c r="V321" i="6"/>
  <c r="X321" i="6" s="1"/>
  <c r="Y321" i="6" s="1"/>
  <c r="V123" i="6"/>
  <c r="X123" i="6" s="1"/>
  <c r="Y123" i="6" s="1"/>
  <c r="V195" i="6"/>
  <c r="X195" i="6" s="1"/>
  <c r="Y195" i="6" s="1"/>
  <c r="V374" i="6"/>
  <c r="X374" i="6" s="1"/>
  <c r="Y374" i="6" s="1"/>
  <c r="V101" i="6"/>
  <c r="X101" i="6" s="1"/>
  <c r="Y101" i="6" s="1"/>
  <c r="V31" i="6"/>
  <c r="X31" i="6" s="1"/>
  <c r="Y31" i="6" s="1"/>
  <c r="V531" i="6"/>
  <c r="X531" i="6" s="1"/>
  <c r="Y531" i="6" s="1"/>
  <c r="V138" i="6"/>
  <c r="X138" i="6" s="1"/>
  <c r="Y138" i="6" s="1"/>
  <c r="V204" i="6"/>
  <c r="X204" i="6" s="1"/>
  <c r="Y204" i="6" s="1"/>
  <c r="V392" i="6"/>
  <c r="X392" i="6" s="1"/>
  <c r="Y392" i="6" s="1"/>
  <c r="V82" i="6"/>
  <c r="X82" i="6" s="1"/>
  <c r="Y82" i="6" s="1"/>
  <c r="V569" i="6"/>
  <c r="X569" i="6" s="1"/>
  <c r="Y569" i="6" s="1"/>
  <c r="V299" i="6"/>
  <c r="X299" i="6" s="1"/>
  <c r="Y299" i="6" s="1"/>
  <c r="V617" i="6"/>
  <c r="X617" i="6" s="1"/>
  <c r="Y617" i="6" s="1"/>
  <c r="V399" i="6"/>
  <c r="X399" i="6" s="1"/>
  <c r="Y399" i="6" s="1"/>
  <c r="V3" i="6"/>
  <c r="X3" i="6" s="1"/>
  <c r="Y3" i="6" s="1"/>
  <c r="V513" i="6"/>
  <c r="X513" i="6" s="1"/>
  <c r="Y513" i="6" s="1"/>
  <c r="V307" i="6"/>
  <c r="X307" i="6" s="1"/>
  <c r="Y307" i="6" s="1"/>
  <c r="V261" i="6"/>
  <c r="X261" i="6" s="1"/>
  <c r="Y261" i="6" s="1"/>
  <c r="V128" i="6"/>
  <c r="X128" i="6" s="1"/>
  <c r="Y128" i="6" s="1"/>
  <c r="V589" i="6"/>
  <c r="X589" i="6" s="1"/>
  <c r="Y589" i="6" s="1"/>
  <c r="V585" i="6"/>
  <c r="X585" i="6" s="1"/>
  <c r="Y585" i="6" s="1"/>
  <c r="V180" i="6"/>
  <c r="X180" i="6" s="1"/>
  <c r="Y180" i="6" s="1"/>
  <c r="V414" i="6"/>
  <c r="X414" i="6" s="1"/>
  <c r="Y414" i="6" s="1"/>
  <c r="V365" i="6"/>
  <c r="X365" i="6" s="1"/>
  <c r="Y365" i="6" s="1"/>
  <c r="V472" i="6"/>
  <c r="X472" i="6" s="1"/>
  <c r="Y472" i="6" s="1"/>
  <c r="V465" i="6"/>
  <c r="V90" i="6"/>
  <c r="V44" i="6"/>
  <c r="X44" i="6" s="1"/>
  <c r="Y44" i="6" s="1"/>
  <c r="V24" i="6"/>
  <c r="X24" i="6" s="1"/>
  <c r="Y24" i="6" s="1"/>
  <c r="V537" i="6"/>
  <c r="X537" i="6" s="1"/>
  <c r="Y537" i="6" s="1"/>
  <c r="V534" i="6"/>
  <c r="X534" i="6" s="1"/>
  <c r="V273" i="6"/>
  <c r="X273" i="6" s="1"/>
  <c r="Y273" i="6" s="1"/>
  <c r="V283" i="6"/>
  <c r="V140" i="6"/>
  <c r="X140" i="6" s="1"/>
  <c r="Y140" i="6" s="1"/>
  <c r="V595" i="6"/>
  <c r="X595" i="6" s="1"/>
  <c r="Y595" i="6" s="1"/>
  <c r="V215" i="6"/>
  <c r="X215" i="6" s="1"/>
  <c r="Y215" i="6" s="1"/>
  <c r="V205" i="6"/>
  <c r="X205" i="6" s="1"/>
  <c r="Y205" i="6" s="1"/>
  <c r="V428" i="6"/>
  <c r="X428" i="6" s="1"/>
  <c r="Y428" i="6" s="1"/>
  <c r="V396" i="6"/>
  <c r="X396" i="6" s="1"/>
  <c r="Y396" i="6" s="1"/>
  <c r="V496" i="6"/>
  <c r="X496" i="6" s="1"/>
  <c r="Y496" i="6" s="1"/>
  <c r="V105" i="6"/>
  <c r="X105" i="6" s="1"/>
  <c r="Y105" i="6" s="1"/>
  <c r="V79" i="6"/>
  <c r="X79" i="6" s="1"/>
  <c r="Y79" i="6" s="1"/>
  <c r="V40" i="6"/>
  <c r="X40" i="6" s="1"/>
  <c r="Y40" i="6" s="1"/>
  <c r="V552" i="6"/>
  <c r="X552" i="6" s="1"/>
  <c r="Y552" i="6" s="1"/>
  <c r="V357" i="6"/>
  <c r="X357" i="6" s="1"/>
  <c r="Y357" i="6" s="1"/>
  <c r="V345" i="6"/>
  <c r="X345" i="6" s="1"/>
  <c r="Y345" i="6" s="1"/>
  <c r="V305" i="6"/>
  <c r="V168" i="6"/>
  <c r="X168" i="6" s="1"/>
  <c r="Y168" i="6" s="1"/>
  <c r="V160" i="6"/>
  <c r="X160" i="6" s="1"/>
  <c r="Y160" i="6" s="1"/>
  <c r="V611" i="6"/>
  <c r="X611" i="6" s="1"/>
  <c r="Y611" i="6" s="1"/>
  <c r="V223" i="6"/>
  <c r="X223" i="6" s="1"/>
  <c r="Y223" i="6" s="1"/>
  <c r="V446" i="6"/>
  <c r="X446" i="6" s="1"/>
  <c r="Y446" i="6" s="1"/>
  <c r="V403" i="6"/>
  <c r="X403" i="6" s="1"/>
  <c r="Y403" i="6" s="1"/>
  <c r="V510" i="6"/>
  <c r="X510" i="6" s="1"/>
  <c r="Y510" i="6" s="1"/>
  <c r="V246" i="6"/>
  <c r="X246" i="6" s="1"/>
  <c r="V197" i="6"/>
  <c r="X197" i="6" s="1"/>
  <c r="Y197" i="6" s="1"/>
  <c r="V482" i="6"/>
  <c r="X482" i="6" s="1"/>
  <c r="Y482" i="6" s="1"/>
  <c r="V26" i="6"/>
  <c r="X26" i="6" s="1"/>
  <c r="Y26" i="6" s="1"/>
  <c r="V540" i="6"/>
  <c r="X540" i="6" s="1"/>
  <c r="Y540" i="6" s="1"/>
  <c r="V605" i="6"/>
  <c r="X605" i="6" s="1"/>
  <c r="Y605" i="6" s="1"/>
  <c r="V383" i="6"/>
  <c r="X383" i="6" s="1"/>
  <c r="Y383" i="6" s="1"/>
  <c r="V492" i="6"/>
  <c r="X492" i="6" s="1"/>
  <c r="Y492" i="6" s="1"/>
  <c r="V553" i="6"/>
  <c r="X553" i="6" s="1"/>
  <c r="Y553" i="6" s="1"/>
  <c r="V295" i="6"/>
  <c r="X295" i="6" s="1"/>
  <c r="Y295" i="6" s="1"/>
  <c r="V615" i="6"/>
  <c r="X615" i="6" s="1"/>
  <c r="Y615" i="6" s="1"/>
  <c r="V462" i="6"/>
  <c r="X462" i="6" s="1"/>
  <c r="Y462" i="6" s="1"/>
  <c r="V507" i="6"/>
  <c r="X507" i="6" s="1"/>
  <c r="Y507" i="6" s="1"/>
  <c r="V117" i="6"/>
  <c r="X117" i="6" s="1"/>
  <c r="Y117" i="6" s="1"/>
  <c r="V590" i="6"/>
  <c r="X590" i="6" s="1"/>
  <c r="Y590" i="6" s="1"/>
  <c r="V418" i="6"/>
  <c r="X418" i="6" s="1"/>
  <c r="Y418" i="6" s="1"/>
  <c r="V480" i="6"/>
  <c r="X480" i="6" s="1"/>
  <c r="Y480" i="6" s="1"/>
  <c r="V53" i="6"/>
  <c r="X53" i="6" s="1"/>
  <c r="Y53" i="6" s="1"/>
  <c r="V545" i="6"/>
  <c r="X545" i="6" s="1"/>
  <c r="Y545" i="6" s="1"/>
  <c r="V276" i="6"/>
  <c r="X276" i="6" s="1"/>
  <c r="Y276" i="6" s="1"/>
  <c r="V600" i="6"/>
  <c r="X600" i="6" s="1"/>
  <c r="Y600" i="6" s="1"/>
  <c r="V206" i="6"/>
  <c r="X206" i="6" s="1"/>
  <c r="Y206" i="6" s="1"/>
  <c r="V438" i="6"/>
  <c r="X438" i="6" s="1"/>
  <c r="Y438" i="6" s="1"/>
  <c r="V504" i="6"/>
  <c r="X504" i="6" s="1"/>
  <c r="Y504" i="6" s="1"/>
  <c r="V42" i="6"/>
  <c r="X42" i="6" s="1"/>
  <c r="Y42" i="6" s="1"/>
  <c r="V550" i="6"/>
  <c r="X550" i="6" s="1"/>
  <c r="Y550" i="6" s="1"/>
  <c r="V358" i="6"/>
  <c r="X358" i="6" s="1"/>
  <c r="Y358" i="6" s="1"/>
  <c r="V155" i="6"/>
  <c r="X155" i="6" s="1"/>
  <c r="Y155" i="6" s="1"/>
  <c r="V226" i="6"/>
  <c r="X226" i="6" s="1"/>
  <c r="Y226" i="6" s="1"/>
  <c r="V457" i="6"/>
  <c r="X457" i="6" s="1"/>
  <c r="Y457" i="6" s="1"/>
  <c r="V512" i="6"/>
  <c r="X512" i="6" s="1"/>
  <c r="V506" i="6"/>
  <c r="X506" i="6" s="1"/>
  <c r="Y506" i="6" s="1"/>
  <c r="V309" i="6"/>
  <c r="X309" i="6" s="1"/>
  <c r="Y309" i="6" s="1"/>
  <c r="V254" i="6"/>
  <c r="X254" i="6" s="1"/>
  <c r="Y254" i="6" s="1"/>
  <c r="V126" i="6"/>
  <c r="X126" i="6" s="1"/>
  <c r="V580" i="6"/>
  <c r="X580" i="6" s="1"/>
  <c r="Y580" i="6" s="1"/>
  <c r="V574" i="6"/>
  <c r="X574" i="6" s="1"/>
  <c r="Y574" i="6" s="1"/>
  <c r="V189" i="6"/>
  <c r="X189" i="6" s="1"/>
  <c r="Y189" i="6" s="1"/>
  <c r="V421" i="6"/>
  <c r="X421" i="6" s="1"/>
  <c r="Y421" i="6" s="1"/>
  <c r="V360" i="6"/>
  <c r="X360" i="6" s="1"/>
  <c r="Y360" i="6" s="1"/>
  <c r="V479" i="6"/>
  <c r="X479" i="6" s="1"/>
  <c r="Y479" i="6" s="1"/>
  <c r="V464" i="6"/>
  <c r="X464" i="6" s="1"/>
  <c r="Y464" i="6" s="1"/>
  <c r="V93" i="6"/>
  <c r="X93" i="6" s="1"/>
  <c r="Y93" i="6" s="1"/>
  <c r="V45" i="6"/>
  <c r="X45" i="6" s="1"/>
  <c r="Y45" i="6" s="1"/>
  <c r="V25" i="6"/>
  <c r="X25" i="6" s="1"/>
  <c r="Y25" i="6" s="1"/>
  <c r="V539" i="6"/>
  <c r="X539" i="6" s="1"/>
  <c r="Y539" i="6" s="1"/>
  <c r="V330" i="6"/>
  <c r="X330" i="6" s="1"/>
  <c r="Y330" i="6" s="1"/>
  <c r="V280" i="6"/>
  <c r="X280" i="6" s="1"/>
  <c r="Y280" i="6" s="1"/>
  <c r="V271" i="6"/>
  <c r="X271" i="6" s="1"/>
  <c r="Y271" i="6" s="1"/>
  <c r="V144" i="6"/>
  <c r="X144" i="6" s="1"/>
  <c r="Y144" i="6" s="1"/>
  <c r="V603" i="6"/>
  <c r="X603" i="6" s="1"/>
  <c r="Y603" i="6" s="1"/>
  <c r="V208" i="6"/>
  <c r="V201" i="6"/>
  <c r="X201" i="6" s="1"/>
  <c r="Y201" i="6" s="1"/>
  <c r="V434" i="6"/>
  <c r="X434" i="6" s="1"/>
  <c r="Y434" i="6" s="1"/>
  <c r="V380" i="6"/>
  <c r="X380" i="6" s="1"/>
  <c r="Y380" i="6" s="1"/>
  <c r="V495" i="6"/>
  <c r="X495" i="6" s="1"/>
  <c r="Y495" i="6" s="1"/>
  <c r="V104" i="6"/>
  <c r="X104" i="6" s="1"/>
  <c r="Y104" i="6" s="1"/>
  <c r="V66" i="6"/>
  <c r="V43" i="6"/>
  <c r="X43" i="6" s="1"/>
  <c r="Y43" i="6" s="1"/>
  <c r="V548" i="6"/>
  <c r="X548" i="6" s="1"/>
  <c r="Y548" i="6" s="1"/>
  <c r="V356" i="6"/>
  <c r="X356" i="6" s="1"/>
  <c r="Y356" i="6" s="1"/>
  <c r="V341" i="6"/>
  <c r="X341" i="6" s="1"/>
  <c r="Y341" i="6" s="1"/>
  <c r="V286" i="6"/>
  <c r="X286" i="6" s="1"/>
  <c r="Y286" i="6" s="1"/>
  <c r="V164" i="6"/>
  <c r="X164" i="6" s="1"/>
  <c r="Y164" i="6" s="1"/>
  <c r="V157" i="6"/>
  <c r="X157" i="6" s="1"/>
  <c r="Y157" i="6" s="1"/>
  <c r="V625" i="6"/>
  <c r="X625" i="6" s="1"/>
  <c r="Y625" i="6" s="1"/>
  <c r="V224" i="6"/>
  <c r="X224" i="6" s="1"/>
  <c r="V460" i="6"/>
  <c r="X460" i="6" s="1"/>
  <c r="Y460" i="6" s="1"/>
  <c r="V401" i="6"/>
  <c r="X401" i="6" s="1"/>
  <c r="Y401" i="6" s="1"/>
  <c r="V511" i="6"/>
  <c r="X511" i="6" s="1"/>
  <c r="Y511" i="6" s="1"/>
  <c r="V258" i="6"/>
  <c r="X258" i="6" s="1"/>
  <c r="Y258" i="6" s="1"/>
  <c r="V588" i="6"/>
  <c r="X588" i="6" s="1"/>
  <c r="Y588" i="6" s="1"/>
  <c r="V190" i="6"/>
  <c r="X190" i="6" s="1"/>
  <c r="Y190" i="6" s="1"/>
  <c r="V362" i="6"/>
  <c r="X362" i="6" s="1"/>
  <c r="Y362" i="6" s="1"/>
  <c r="V84" i="6"/>
  <c r="X84" i="6" s="1"/>
  <c r="Y84" i="6" s="1"/>
  <c r="V59" i="6"/>
  <c r="X59" i="6" s="1"/>
  <c r="Y59" i="6" s="1"/>
  <c r="V544" i="6"/>
  <c r="X544" i="6" s="1"/>
  <c r="Y544" i="6" s="1"/>
  <c r="V262" i="6"/>
  <c r="X262" i="6" s="1"/>
  <c r="Y262" i="6" s="1"/>
  <c r="V151" i="6"/>
  <c r="X151" i="6" s="1"/>
  <c r="Y151" i="6" s="1"/>
  <c r="V209" i="6"/>
  <c r="X209" i="6" s="1"/>
  <c r="Y209" i="6" s="1"/>
  <c r="V431" i="6"/>
  <c r="V379" i="6"/>
  <c r="X379" i="6" s="1"/>
  <c r="Y379" i="6" s="1"/>
  <c r="V107" i="6"/>
  <c r="X107" i="6" s="1"/>
  <c r="Y107" i="6" s="1"/>
  <c r="V34" i="6"/>
  <c r="V348" i="6"/>
  <c r="X348" i="6" s="1"/>
  <c r="Y348" i="6" s="1"/>
  <c r="V304" i="6"/>
  <c r="X304" i="6" s="1"/>
  <c r="Y304" i="6" s="1"/>
  <c r="V173" i="6"/>
  <c r="X173" i="6" s="1"/>
  <c r="Y173" i="6" s="1"/>
  <c r="V231" i="6"/>
  <c r="X231" i="6" s="1"/>
  <c r="Y231" i="6" s="1"/>
  <c r="V400" i="6"/>
  <c r="X400" i="6" s="1"/>
  <c r="Y400" i="6" s="1"/>
  <c r="V524" i="6"/>
  <c r="X524" i="6" s="1"/>
  <c r="Y524" i="6" s="1"/>
  <c r="V313" i="6"/>
  <c r="X313" i="6" s="1"/>
  <c r="Y313" i="6" s="1"/>
  <c r="V127" i="6"/>
  <c r="X127" i="6" s="1"/>
  <c r="Y127" i="6" s="1"/>
  <c r="V582" i="6"/>
  <c r="X582" i="6" s="1"/>
  <c r="Y582" i="6" s="1"/>
  <c r="V416" i="6"/>
  <c r="X416" i="6" s="1"/>
  <c r="Y416" i="6" s="1"/>
  <c r="V470" i="6"/>
  <c r="X470" i="6" s="1"/>
  <c r="Y470" i="6" s="1"/>
  <c r="V94" i="6"/>
  <c r="X94" i="6" s="1"/>
  <c r="Y94" i="6" s="1"/>
  <c r="V22" i="6"/>
  <c r="X22" i="6" s="1"/>
  <c r="Y22" i="6" s="1"/>
  <c r="V333" i="6"/>
  <c r="V270" i="6"/>
  <c r="X270" i="6" s="1"/>
  <c r="Y270" i="6" s="1"/>
  <c r="V601" i="6"/>
  <c r="X601" i="6" s="1"/>
  <c r="Y601" i="6" s="1"/>
  <c r="V436" i="6"/>
  <c r="X436" i="6" s="1"/>
  <c r="Y436" i="6" s="1"/>
  <c r="V490" i="6"/>
  <c r="X490" i="6" s="1"/>
  <c r="Y490" i="6" s="1"/>
  <c r="V71" i="6"/>
  <c r="X71" i="6" s="1"/>
  <c r="Y71" i="6" s="1"/>
  <c r="V554" i="6"/>
  <c r="X554" i="6" s="1"/>
  <c r="Y554" i="6" s="1"/>
  <c r="V343" i="6"/>
  <c r="X343" i="6" s="1"/>
  <c r="Y343" i="6" s="1"/>
  <c r="V171" i="6"/>
  <c r="V616" i="6"/>
  <c r="X616" i="6" s="1"/>
  <c r="Y616" i="6" s="1"/>
  <c r="V447" i="6"/>
  <c r="X447" i="6" s="1"/>
  <c r="Y447" i="6" s="1"/>
  <c r="V515" i="6"/>
  <c r="X515" i="6" s="1"/>
  <c r="Y515" i="6" s="1"/>
  <c r="V520" i="6"/>
  <c r="X520" i="6" s="1"/>
  <c r="Y520" i="6" s="1"/>
  <c r="V306" i="6"/>
  <c r="X306" i="6" s="1"/>
  <c r="Y306" i="6" s="1"/>
  <c r="V244" i="6"/>
  <c r="X244" i="6" s="1"/>
  <c r="Y244" i="6" s="1"/>
  <c r="V118" i="6"/>
  <c r="X118" i="6" s="1"/>
  <c r="Y118" i="6" s="1"/>
  <c r="V591" i="6"/>
  <c r="X591" i="6" s="1"/>
  <c r="Y591" i="6" s="1"/>
  <c r="V575" i="6"/>
  <c r="X575" i="6" s="1"/>
  <c r="Y575" i="6" s="1"/>
  <c r="V198" i="6"/>
  <c r="V424" i="6"/>
  <c r="X424" i="6" s="1"/>
  <c r="Y424" i="6" s="1"/>
  <c r="V371" i="6"/>
  <c r="X371" i="6" s="1"/>
  <c r="Y371" i="6" s="1"/>
  <c r="V466" i="6"/>
  <c r="X466" i="6" s="1"/>
  <c r="Y466" i="6" s="1"/>
  <c r="V88" i="6"/>
  <c r="X88" i="6" s="1"/>
  <c r="Y88" i="6" s="1"/>
  <c r="V92" i="6"/>
  <c r="X92" i="6" s="1"/>
  <c r="Y92" i="6" s="1"/>
  <c r="V52" i="6"/>
  <c r="V19" i="6"/>
  <c r="X19" i="6" s="1"/>
  <c r="Y19" i="6" s="1"/>
  <c r="V526" i="6"/>
  <c r="X526" i="6" s="1"/>
  <c r="Y526" i="6" s="1"/>
  <c r="V332" i="6"/>
  <c r="V284" i="6"/>
  <c r="X284" i="6" s="1"/>
  <c r="Y284" i="6" s="1"/>
  <c r="V278" i="6"/>
  <c r="X278" i="6" s="1"/>
  <c r="Y278" i="6" s="1"/>
  <c r="V137" i="6"/>
  <c r="X137" i="6" s="1"/>
  <c r="Y137" i="6" s="1"/>
  <c r="V596" i="6"/>
  <c r="X596" i="6" s="1"/>
  <c r="Y596" i="6" s="1"/>
  <c r="V219" i="6"/>
  <c r="X219" i="6" s="1"/>
  <c r="Y219" i="6" s="1"/>
  <c r="V443" i="6"/>
  <c r="X443" i="6" s="1"/>
  <c r="Y443" i="6" s="1"/>
  <c r="V439" i="6"/>
  <c r="X439" i="6" s="1"/>
  <c r="Y439" i="6" s="1"/>
  <c r="V395" i="6"/>
  <c r="X395" i="6" s="1"/>
  <c r="Y395" i="6" s="1"/>
  <c r="V499" i="6"/>
  <c r="X499" i="6" s="1"/>
  <c r="Y499" i="6" s="1"/>
  <c r="V103" i="6"/>
  <c r="X103" i="6" s="1"/>
  <c r="Y103" i="6" s="1"/>
  <c r="V69" i="6"/>
  <c r="X69" i="6" s="1"/>
  <c r="Y69" i="6" s="1"/>
  <c r="V39" i="6"/>
  <c r="X39" i="6" s="1"/>
  <c r="Y39" i="6" s="1"/>
  <c r="V561" i="6"/>
  <c r="X561" i="6" s="1"/>
  <c r="Y561" i="6" s="1"/>
  <c r="V338" i="6"/>
  <c r="X338" i="6" s="1"/>
  <c r="Y338" i="6" s="1"/>
  <c r="V336" i="6"/>
  <c r="X336" i="6" s="1"/>
  <c r="Y336" i="6" s="1"/>
  <c r="V298" i="6"/>
  <c r="X298" i="6" s="1"/>
  <c r="Y298" i="6" s="1"/>
  <c r="V169" i="6"/>
  <c r="X169" i="6" s="1"/>
  <c r="Y169" i="6" s="1"/>
  <c r="V162" i="6"/>
  <c r="X162" i="6" s="1"/>
  <c r="Y162" i="6" s="1"/>
  <c r="V613" i="6"/>
  <c r="X613" i="6" s="1"/>
  <c r="Y613" i="6" s="1"/>
  <c r="V232" i="6"/>
  <c r="X232" i="6" s="1"/>
  <c r="Y232" i="6" s="1"/>
  <c r="V455" i="6"/>
  <c r="X455" i="6" s="1"/>
  <c r="Y455" i="6" s="1"/>
  <c r="V407" i="6"/>
  <c r="X407" i="6" s="1"/>
  <c r="Y407" i="6" s="1"/>
  <c r="X13" i="6"/>
  <c r="Y13" i="6" s="1"/>
  <c r="X518" i="6"/>
  <c r="Y518" i="6" s="1"/>
  <c r="X315" i="6"/>
  <c r="Y315" i="6" s="1"/>
  <c r="X255" i="6"/>
  <c r="Y255" i="6" s="1"/>
  <c r="X245" i="6"/>
  <c r="Y245" i="6" s="1"/>
  <c r="X542" i="6"/>
  <c r="Y542" i="6" s="1"/>
  <c r="X294" i="6"/>
  <c r="Y294" i="6" s="1"/>
  <c r="X251" i="6"/>
  <c r="Y251" i="6" s="1"/>
  <c r="X47" i="6"/>
  <c r="Y47" i="6" s="1"/>
  <c r="X488" i="6"/>
  <c r="Y488" i="6" s="1"/>
  <c r="X556" i="6"/>
  <c r="Y556" i="6" s="1"/>
  <c r="X228" i="6"/>
  <c r="Y228" i="6" s="1"/>
  <c r="Y475" i="6" l="1"/>
  <c r="Y126" i="6"/>
  <c r="X325" i="6"/>
  <c r="Y325" i="6" s="1"/>
  <c r="X431" i="6"/>
  <c r="Y431" i="6" s="1"/>
  <c r="Y319" i="6"/>
  <c r="Y534" i="6"/>
  <c r="X305" i="6"/>
  <c r="Y305" i="6" s="1"/>
  <c r="Y246" i="6"/>
  <c r="X333" i="6"/>
  <c r="Y333" i="6" s="1"/>
  <c r="Y512" i="6"/>
  <c r="Y626" i="6"/>
  <c r="X141" i="6"/>
  <c r="Y141" i="6" s="1"/>
  <c r="Y224" i="6"/>
  <c r="X63" i="6"/>
  <c r="Y63" i="6" s="1"/>
  <c r="Y376" i="6"/>
  <c r="X465" i="6"/>
  <c r="Y465" i="6" s="1"/>
  <c r="X198" i="6"/>
  <c r="Y198" i="6" s="1"/>
  <c r="X337" i="6"/>
  <c r="Y337" i="6" s="1"/>
  <c r="X34" i="6"/>
  <c r="Y34" i="6" s="1"/>
  <c r="X420" i="6"/>
  <c r="Y420" i="6" s="1"/>
  <c r="X630" i="6"/>
  <c r="Y630" i="6" s="1"/>
  <c r="X52" i="6"/>
  <c r="Y52" i="6" s="1"/>
  <c r="X171" i="6"/>
  <c r="Y171" i="6" s="1"/>
  <c r="X200" i="6"/>
  <c r="Y200" i="6" s="1"/>
  <c r="X90" i="6"/>
  <c r="Y90" i="6" s="1"/>
  <c r="X332" i="6"/>
  <c r="Y332" i="6" s="1"/>
  <c r="X312" i="6"/>
  <c r="Y312" i="6" s="1"/>
  <c r="X66" i="6"/>
  <c r="Y66" i="6" s="1"/>
  <c r="X283" i="6"/>
  <c r="Y283" i="6" s="1"/>
  <c r="X208" i="6"/>
  <c r="Y208" i="6" s="1"/>
  <c r="X68" i="6"/>
  <c r="Y68" i="6" s="1"/>
  <c r="X76" i="6"/>
  <c r="Y76" i="6" s="1"/>
</calcChain>
</file>

<file path=xl/sharedStrings.xml><?xml version="1.0" encoding="utf-8"?>
<sst xmlns="http://schemas.openxmlformats.org/spreadsheetml/2006/main" count="24484" uniqueCount="1443">
  <si>
    <t>OrderID</t>
  </si>
  <si>
    <t>OrderDate</t>
  </si>
  <si>
    <t>RequiredDate</t>
  </si>
  <si>
    <t>Region</t>
  </si>
  <si>
    <t>Country</t>
  </si>
  <si>
    <t>City</t>
  </si>
  <si>
    <t>CustomerSegment</t>
  </si>
  <si>
    <t>Channel</t>
  </si>
  <si>
    <t>Salesperson</t>
  </si>
  <si>
    <t>ProductCategory</t>
  </si>
  <si>
    <t>SKU</t>
  </si>
  <si>
    <t>UnitCost</t>
  </si>
  <si>
    <t>UnitPrice</t>
  </si>
  <si>
    <t>DiscountPct</t>
  </si>
  <si>
    <t>Quantity</t>
  </si>
  <si>
    <t>ORD-2024-275203</t>
  </si>
  <si>
    <t>ORD-2024-358795</t>
  </si>
  <si>
    <t>ORD-2023-373538</t>
  </si>
  <si>
    <t>ORD-2025-168148</t>
  </si>
  <si>
    <t>ORD-2023-824839</t>
  </si>
  <si>
    <t>ORD-2023-723587</t>
  </si>
  <si>
    <t>ORD-2024-336584</t>
  </si>
  <si>
    <t>ORD-2023-112666</t>
  </si>
  <si>
    <t>ORD-2024-589570</t>
  </si>
  <si>
    <t>ORD-2025-997421</t>
  </si>
  <si>
    <t>ORD-2024-210687</t>
  </si>
  <si>
    <t>ORD-2025-515515</t>
  </si>
  <si>
    <t>ORD-2025-487261</t>
  </si>
  <si>
    <t>ORD-2024-890180</t>
  </si>
  <si>
    <t>ORD-2025-840976</t>
  </si>
  <si>
    <t>ORD-2023-937291</t>
  </si>
  <si>
    <t>ORD-2024-206081</t>
  </si>
  <si>
    <t>ORD-2025-233883</t>
  </si>
  <si>
    <t>ORD-2025-843974</t>
  </si>
  <si>
    <t>ORD-2025-745263</t>
  </si>
  <si>
    <t>ORD-2024-798002</t>
  </si>
  <si>
    <t>ORD-2023-867836</t>
  </si>
  <si>
    <t>ORD-2025-580047</t>
  </si>
  <si>
    <t>ORD-2024-500109</t>
  </si>
  <si>
    <t>ORD-2023-271836</t>
  </si>
  <si>
    <t>ORD-2024-215294</t>
  </si>
  <si>
    <t>ORD-2024-788105</t>
  </si>
  <si>
    <t>ORD-2024-855073</t>
  </si>
  <si>
    <t>ORD-2023-897079</t>
  </si>
  <si>
    <t>ORD-2025-548982</t>
  </si>
  <si>
    <t>ORD-2024-170313</t>
  </si>
  <si>
    <t>ORD-2023-562894</t>
  </si>
  <si>
    <t>ORD-2025-474710</t>
  </si>
  <si>
    <t>ORD-2024-629525</t>
  </si>
  <si>
    <t>ORD-2024-167215</t>
  </si>
  <si>
    <t>ORD-2023-864121</t>
  </si>
  <si>
    <t>ORD-2024-692673</t>
  </si>
  <si>
    <t>ORD-2025-718992</t>
  </si>
  <si>
    <t>ORD-2024-599522</t>
  </si>
  <si>
    <t>ORD-2023-651638</t>
  </si>
  <si>
    <t>ORD-2024-635626</t>
  </si>
  <si>
    <t>ORD-2024-296582</t>
  </si>
  <si>
    <t>ORD-2024-998320</t>
  </si>
  <si>
    <t>ORD-2025-820255</t>
  </si>
  <si>
    <t>ORD-2024-389336</t>
  </si>
  <si>
    <t>ORD-2023-308124</t>
  </si>
  <si>
    <t>ORD-2023-128295</t>
  </si>
  <si>
    <t>ORD-2024-548345</t>
  </si>
  <si>
    <t>ORD-2024-966651</t>
  </si>
  <si>
    <t>ORD-2023-292714</t>
  </si>
  <si>
    <t>ORD-2024-468501</t>
  </si>
  <si>
    <t>ORD-2024-260775</t>
  </si>
  <si>
    <t>ORD-2023-419187</t>
  </si>
  <si>
    <t>ORD-2025-578007</t>
  </si>
  <si>
    <t>ORD-2023-235230</t>
  </si>
  <si>
    <t>ORD-2025-765220</t>
  </si>
  <si>
    <t>ORD-2025-931538</t>
  </si>
  <si>
    <t>ORD-2024-289089</t>
  </si>
  <si>
    <t>ORD-2025-639542</t>
  </si>
  <si>
    <t>ORD-2025-762301</t>
  </si>
  <si>
    <t>ORD-2024-906395</t>
  </si>
  <si>
    <t>ORD-2025-779574</t>
  </si>
  <si>
    <t>ORD-2025-526650</t>
  </si>
  <si>
    <t>ORD-2024-247979</t>
  </si>
  <si>
    <t>ORD-2023-480975</t>
  </si>
  <si>
    <t>ORD-2023-239789</t>
  </si>
  <si>
    <t>ORD-2023-548874</t>
  </si>
  <si>
    <t>ORD-2024-347736</t>
  </si>
  <si>
    <t>ORD-2023-749324</t>
  </si>
  <si>
    <t>ORD-2023-809913</t>
  </si>
  <si>
    <t>ORD-2024-287210</t>
  </si>
  <si>
    <t>ORD-2025-640677</t>
  </si>
  <si>
    <t>ORD-2024-939873</t>
  </si>
  <si>
    <t>ORD-2024-800947</t>
  </si>
  <si>
    <t>ORD-2023-382272</t>
  </si>
  <si>
    <t>ORD-2023-722117</t>
  </si>
  <si>
    <t>ORD-2024-446699</t>
  </si>
  <si>
    <t>ORD-2024-451005</t>
  </si>
  <si>
    <t>ORD-2023-290279</t>
  </si>
  <si>
    <t>ORD-2024-192263</t>
  </si>
  <si>
    <t>ORD-2023-159379</t>
  </si>
  <si>
    <t>ORD-2023-343322</t>
  </si>
  <si>
    <t>ORD-2025-114382</t>
  </si>
  <si>
    <t>ORD-2025-488349</t>
  </si>
  <si>
    <t>ORD-2025-330203</t>
  </si>
  <si>
    <t>ORD-2023-841426</t>
  </si>
  <si>
    <t>ORD-2024-594592</t>
  </si>
  <si>
    <t>ORD-2025-863978</t>
  </si>
  <si>
    <t>ORD-2024-604471</t>
  </si>
  <si>
    <t>ORD-2023-258768</t>
  </si>
  <si>
    <t>ORD-2025-626047</t>
  </si>
  <si>
    <t>ORD-2025-526752</t>
  </si>
  <si>
    <t>ORD-2023-374486</t>
  </si>
  <si>
    <t>ORD-2024-997336</t>
  </si>
  <si>
    <t>ORD-2025-725646</t>
  </si>
  <si>
    <t>ORD-2023-868734</t>
  </si>
  <si>
    <t>ORD-2025-262491</t>
  </si>
  <si>
    <t>ORD-2024-638884</t>
  </si>
  <si>
    <t>ORD-2025-541501</t>
  </si>
  <si>
    <t>ORD-2023-422918</t>
  </si>
  <si>
    <t>ORD-2025-328504</t>
  </si>
  <si>
    <t>ORD-2024-851883</t>
  </si>
  <si>
    <t>ORD-2025-662997</t>
  </si>
  <si>
    <t>ORD-2024-478165</t>
  </si>
  <si>
    <t>ORD-2024-771210</t>
  </si>
  <si>
    <t>ORD-2024-155337</t>
  </si>
  <si>
    <t>ORD-2023-251563</t>
  </si>
  <si>
    <t>ORD-2024-286833</t>
  </si>
  <si>
    <t>ORD-2024-792558</t>
  </si>
  <si>
    <t>ORD-2024-166150</t>
  </si>
  <si>
    <t>ORD-2024-909942</t>
  </si>
  <si>
    <t>ORD-2024-223618</t>
  </si>
  <si>
    <t>ORD-2024-919471</t>
  </si>
  <si>
    <t>ORD-2025-649239</t>
  </si>
  <si>
    <t>ORD-2023-975863</t>
  </si>
  <si>
    <t>ORD-2023-869884</t>
  </si>
  <si>
    <t>ORD-2025-698069</t>
  </si>
  <si>
    <t>ORD-2024-474999</t>
  </si>
  <si>
    <t>ORD-2023-427304</t>
  </si>
  <si>
    <t>ORD-2025-956101</t>
  </si>
  <si>
    <t>ORD-2025-184082</t>
  </si>
  <si>
    <t>ORD-2023-576840</t>
  </si>
  <si>
    <t>ORD-2023-178249</t>
  </si>
  <si>
    <t>ORD-2024-588972</t>
  </si>
  <si>
    <t>ORD-2023-603238</t>
  </si>
  <si>
    <t>ORD-2023-883066</t>
  </si>
  <si>
    <t>ORD-2024-584090</t>
  </si>
  <si>
    <t>ORD-2025-537785</t>
  </si>
  <si>
    <t>ORD-2024-605518</t>
  </si>
  <si>
    <t>ORD-2023-521818</t>
  </si>
  <si>
    <t>ORD-2025-650719</t>
  </si>
  <si>
    <t>ORD-2025-501927</t>
  </si>
  <si>
    <t>ORD-2023-430904</t>
  </si>
  <si>
    <t>ORD-2025-354346</t>
  </si>
  <si>
    <t>ORD-2024-164288</t>
  </si>
  <si>
    <t>ORD-2023-867285</t>
  </si>
  <si>
    <t>ORD-2024-836421</t>
  </si>
  <si>
    <t>ORD-2023-613287</t>
  </si>
  <si>
    <t>ORD-2024-783321</t>
  </si>
  <si>
    <t>ORD-2024-232632</t>
  </si>
  <si>
    <t>ORD-2023-906481</t>
  </si>
  <si>
    <t>ORD-2024-902741</t>
  </si>
  <si>
    <t>ORD-2023-912395</t>
  </si>
  <si>
    <t>ORD-2024-389102</t>
  </si>
  <si>
    <t>ORD-2023-309373</t>
  </si>
  <si>
    <t>ORD-2023-825495</t>
  </si>
  <si>
    <t>ORD-2025-244832</t>
  </si>
  <si>
    <t>ORD-2024-211453</t>
  </si>
  <si>
    <t>ORD-2023-192324</t>
  </si>
  <si>
    <t>ORD-2024-438404</t>
  </si>
  <si>
    <t>ORD-2025-246470</t>
  </si>
  <si>
    <t>ORD-2023-497686</t>
  </si>
  <si>
    <t>ORD-2023-596758</t>
  </si>
  <si>
    <t>ORD-2024-201376</t>
  </si>
  <si>
    <t>ORD-2023-842488</t>
  </si>
  <si>
    <t>ORD-2024-136321</t>
  </si>
  <si>
    <t>ORD-2024-764468</t>
  </si>
  <si>
    <t>ORD-2024-553449</t>
  </si>
  <si>
    <t>ORD-2025-766923</t>
  </si>
  <si>
    <t>ORD-2025-418232</t>
  </si>
  <si>
    <t>ORD-2023-848013</t>
  </si>
  <si>
    <t>ORD-2024-357368</t>
  </si>
  <si>
    <t>ORD-2024-219735</t>
  </si>
  <si>
    <t>ORD-2023-240507</t>
  </si>
  <si>
    <t>ORD-2024-134084</t>
  </si>
  <si>
    <t>ORD-2023-884625</t>
  </si>
  <si>
    <t>ORD-2023-157993</t>
  </si>
  <si>
    <t>ORD-2024-329104</t>
  </si>
  <si>
    <t>ORD-2023-304451</t>
  </si>
  <si>
    <t>ORD-2024-942981</t>
  </si>
  <si>
    <t>ORD-2024-605629</t>
  </si>
  <si>
    <t>ORD-2023-450877</t>
  </si>
  <si>
    <t>ORD-2023-286994</t>
  </si>
  <si>
    <t>ORD-2025-700847</t>
  </si>
  <si>
    <t>ORD-2024-970848</t>
  </si>
  <si>
    <t>ORD-2025-845715</t>
  </si>
  <si>
    <t>ORD-2023-664749</t>
  </si>
  <si>
    <t>ORD-2024-960952</t>
  </si>
  <si>
    <t>ORD-2023-987700</t>
  </si>
  <si>
    <t>ORD-2025-652467</t>
  </si>
  <si>
    <t>ORD-2025-667201</t>
  </si>
  <si>
    <t>ORD-2024-237478</t>
  </si>
  <si>
    <t>ORD-2025-898843</t>
  </si>
  <si>
    <t>ORD-2023-334213</t>
  </si>
  <si>
    <t>ORD-2024-640340</t>
  </si>
  <si>
    <t>ORD-2023-399631</t>
  </si>
  <si>
    <t>ORD-2025-542939</t>
  </si>
  <si>
    <t>ORD-2023-825836</t>
  </si>
  <si>
    <t>ORD-2024-503082</t>
  </si>
  <si>
    <t>ORD-2024-760799</t>
  </si>
  <si>
    <t>ORD-2023-197661</t>
  </si>
  <si>
    <t>ORD-2024-212990</t>
  </si>
  <si>
    <t>ORD-2023-925146</t>
  </si>
  <si>
    <t>ORD-2023-177794</t>
  </si>
  <si>
    <t>ORD-2024-444710</t>
  </si>
  <si>
    <t>ORD-2024-668926</t>
  </si>
  <si>
    <t>ORD-2024-968374</t>
  </si>
  <si>
    <t>ORD-2023-575584</t>
  </si>
  <si>
    <t>ORD-2023-701153</t>
  </si>
  <si>
    <t>ORD-2023-382017</t>
  </si>
  <si>
    <t>ORD-2024-999607</t>
  </si>
  <si>
    <t>ORD-2023-133848</t>
  </si>
  <si>
    <t>ORD-2023-586275</t>
  </si>
  <si>
    <t>ORD-2025-964661</t>
  </si>
  <si>
    <t>ORD-2023-390998</t>
  </si>
  <si>
    <t>ORD-2023-920483</t>
  </si>
  <si>
    <t>ORD-2025-146850</t>
  </si>
  <si>
    <t>ORD-2024-687100</t>
  </si>
  <si>
    <t>ORD-2025-629393</t>
  </si>
  <si>
    <t>ORD-2024-686712</t>
  </si>
  <si>
    <t>ORD-2025-586799</t>
  </si>
  <si>
    <t>ORD-2024-988736</t>
  </si>
  <si>
    <t>ORD-2025-564184</t>
  </si>
  <si>
    <t>ORD-2023-653343</t>
  </si>
  <si>
    <t>ORD-2024-197852</t>
  </si>
  <si>
    <t>ORD-2023-431328</t>
  </si>
  <si>
    <t>ORD-2023-613317</t>
  </si>
  <si>
    <t>ORD-2024-720756</t>
  </si>
  <si>
    <t>ORD-2024-777623</t>
  </si>
  <si>
    <t>ORD-2025-762212</t>
  </si>
  <si>
    <t>ORD-2023-271918</t>
  </si>
  <si>
    <t>ORD-2023-713375</t>
  </si>
  <si>
    <t>ORD-2025-678688</t>
  </si>
  <si>
    <t>ORD-2023-501220</t>
  </si>
  <si>
    <t>ORD-2023-195665</t>
  </si>
  <si>
    <t>ORD-2023-290237</t>
  </si>
  <si>
    <t>ORD-2023-302041</t>
  </si>
  <si>
    <t>ORD-2025-289139</t>
  </si>
  <si>
    <t>ORD-2023-949710</t>
  </si>
  <si>
    <t>ORD-2023-603650</t>
  </si>
  <si>
    <t>ORD-2025-757957</t>
  </si>
  <si>
    <t>ORD-2024-423853</t>
  </si>
  <si>
    <t>ORD-2024-569164</t>
  </si>
  <si>
    <t>ORD-2023-946143</t>
  </si>
  <si>
    <t>ORD-2024-281211</t>
  </si>
  <si>
    <t>ORD-2024-805860</t>
  </si>
  <si>
    <t>ORD-2025-132174</t>
  </si>
  <si>
    <t>ORD-2023-964434</t>
  </si>
  <si>
    <t>ORD-2024-897622</t>
  </si>
  <si>
    <t>ORD-2023-517216</t>
  </si>
  <si>
    <t>ORD-2025-509940</t>
  </si>
  <si>
    <t>ORD-2025-646342</t>
  </si>
  <si>
    <t>ORD-2024-866535</t>
  </si>
  <si>
    <t>ORD-2023-747341</t>
  </si>
  <si>
    <t>ORD-2024-853298</t>
  </si>
  <si>
    <t>ORD-2024-544865</t>
  </si>
  <si>
    <t>ORD-2025-946490</t>
  </si>
  <si>
    <t>ORD-2024-320972</t>
  </si>
  <si>
    <t>ORD-2025-248586</t>
  </si>
  <si>
    <t>ORD-2024-664046</t>
  </si>
  <si>
    <t>ORD-2023-276806</t>
  </si>
  <si>
    <t>ORD-2024-220234</t>
  </si>
  <si>
    <t>ORD-2024-301260</t>
  </si>
  <si>
    <t>ORD-2024-350100</t>
  </si>
  <si>
    <t>ORD-2024-855600</t>
  </si>
  <si>
    <t>ORD-2023-474313</t>
  </si>
  <si>
    <t>ORD-2023-256951</t>
  </si>
  <si>
    <t>ORD-2025-184754</t>
  </si>
  <si>
    <t>ORD-2023-888140</t>
  </si>
  <si>
    <t>ORD-2023-638181</t>
  </si>
  <si>
    <t>ORD-2023-521280</t>
  </si>
  <si>
    <t>ORD-2023-630430</t>
  </si>
  <si>
    <t>ORD-2025-908258</t>
  </si>
  <si>
    <t>ORD-2025-440093</t>
  </si>
  <si>
    <t>ORD-2025-898022</t>
  </si>
  <si>
    <t>ORD-2024-500511</t>
  </si>
  <si>
    <t>ORD-2023-632893</t>
  </si>
  <si>
    <t>ORD-2023-967239</t>
  </si>
  <si>
    <t>ORD-2024-885858</t>
  </si>
  <si>
    <t>ORD-2023-253245</t>
  </si>
  <si>
    <t>ORD-2025-484073</t>
  </si>
  <si>
    <t>ORD-2024-745822</t>
  </si>
  <si>
    <t>ORD-2023-369160</t>
  </si>
  <si>
    <t>ORD-2024-834983</t>
  </si>
  <si>
    <t>ORD-2024-499009</t>
  </si>
  <si>
    <t>ORD-2024-948800</t>
  </si>
  <si>
    <t>ORD-2025-678328</t>
  </si>
  <si>
    <t>ORD-2024-580808</t>
  </si>
  <si>
    <t>ORD-2023-211715</t>
  </si>
  <si>
    <t>ORD-2023-715175</t>
  </si>
  <si>
    <t>ORD-2025-685236</t>
  </si>
  <si>
    <t>ORD-2023-274037</t>
  </si>
  <si>
    <t>ORD-2025-983096</t>
  </si>
  <si>
    <t>ORD-2024-366010</t>
  </si>
  <si>
    <t>ORD-2023-610470</t>
  </si>
  <si>
    <t>ORD-2025-541048</t>
  </si>
  <si>
    <t>ORD-2024-862371</t>
  </si>
  <si>
    <t>ORD-2024-277241</t>
  </si>
  <si>
    <t>ORD-2023-369150</t>
  </si>
  <si>
    <t>ORD-2025-922513</t>
  </si>
  <si>
    <t>ORD-2025-752845</t>
  </si>
  <si>
    <t>ORD-2023-667815</t>
  </si>
  <si>
    <t>ORD-2023-375011</t>
  </si>
  <si>
    <t>ORD-2025-487025</t>
  </si>
  <si>
    <t>ORD-2025-398335</t>
  </si>
  <si>
    <t>ORD-2024-792137</t>
  </si>
  <si>
    <t>ORD-2023-602648</t>
  </si>
  <si>
    <t>ORD-2024-207096</t>
  </si>
  <si>
    <t>ORD-2025-939953</t>
  </si>
  <si>
    <t>ORD-2025-191328</t>
  </si>
  <si>
    <t>ORD-2023-166668</t>
  </si>
  <si>
    <t>ORD-2023-594700</t>
  </si>
  <si>
    <t>ORD-2025-278048</t>
  </si>
  <si>
    <t>ORD-2024-878493</t>
  </si>
  <si>
    <t>ORD-2025-138578</t>
  </si>
  <si>
    <t>ORD-2025-944081</t>
  </si>
  <si>
    <t>ORD-2025-364852</t>
  </si>
  <si>
    <t>ORD-2025-415018</t>
  </si>
  <si>
    <t>ORD-2023-884192</t>
  </si>
  <si>
    <t>ORD-2024-165942</t>
  </si>
  <si>
    <t>ORD-2024-403664</t>
  </si>
  <si>
    <t>ORD-2023-890605</t>
  </si>
  <si>
    <t>ORD-2024-925626</t>
  </si>
  <si>
    <t>ORD-2024-427031</t>
  </si>
  <si>
    <t>ORD-2025-231184</t>
  </si>
  <si>
    <t>ORD-2023-363031</t>
  </si>
  <si>
    <t>ORD-2023-619570</t>
  </si>
  <si>
    <t>ORD-2025-861401</t>
  </si>
  <si>
    <t>ORD-2023-835010</t>
  </si>
  <si>
    <t>ORD-2024-819979</t>
  </si>
  <si>
    <t>ORD-2024-719055</t>
  </si>
  <si>
    <t>ORD-2023-888245</t>
  </si>
  <si>
    <t>ORD-2024-206121</t>
  </si>
  <si>
    <t>ORD-2024-500890</t>
  </si>
  <si>
    <t>ORD-2023-144816</t>
  </si>
  <si>
    <t>ORD-2024-153053</t>
  </si>
  <si>
    <t>ORD-2023-536542</t>
  </si>
  <si>
    <t>ORD-2025-779530</t>
  </si>
  <si>
    <t>ORD-2023-163610</t>
  </si>
  <si>
    <t>ORD-2025-653781</t>
  </si>
  <si>
    <t>ORD-2025-737787</t>
  </si>
  <si>
    <t>ORD-2023-944052</t>
  </si>
  <si>
    <t>ORD-2023-181257</t>
  </si>
  <si>
    <t>ORD-2025-323492</t>
  </si>
  <si>
    <t>ORD-2024-332076</t>
  </si>
  <si>
    <t>ORD-2024-571797</t>
  </si>
  <si>
    <t>ORD-2024-129345</t>
  </si>
  <si>
    <t>ORD-2023-660608</t>
  </si>
  <si>
    <t>ORD-2023-825084</t>
  </si>
  <si>
    <t>ORD-2023-261081</t>
  </si>
  <si>
    <t>ORD-2023-766015</t>
  </si>
  <si>
    <t>ORD-2024-333192</t>
  </si>
  <si>
    <t>ORD-2024-647473</t>
  </si>
  <si>
    <t>ORD-2024-892908</t>
  </si>
  <si>
    <t>ORD-2023-573146</t>
  </si>
  <si>
    <t>ORD-2024-901115</t>
  </si>
  <si>
    <t>ORD-2023-898009</t>
  </si>
  <si>
    <t>ORD-2023-208944</t>
  </si>
  <si>
    <t>ORD-2025-480172</t>
  </si>
  <si>
    <t>ORD-2023-735274</t>
  </si>
  <si>
    <t>ORD-2023-212701</t>
  </si>
  <si>
    <t>ORD-2023-479747</t>
  </si>
  <si>
    <t>ORD-2024-915495</t>
  </si>
  <si>
    <t>ORD-2024-225829</t>
  </si>
  <si>
    <t>ORD-2024-921935</t>
  </si>
  <si>
    <t>ORD-2025-949776</t>
  </si>
  <si>
    <t>ORD-2024-510591</t>
  </si>
  <si>
    <t>ORD-2024-961756</t>
  </si>
  <si>
    <t>ORD-2024-892173</t>
  </si>
  <si>
    <t>ORD-2024-704056</t>
  </si>
  <si>
    <t>ORD-2025-591006</t>
  </si>
  <si>
    <t>ORD-2023-159821</t>
  </si>
  <si>
    <t>ORD-2024-343877</t>
  </si>
  <si>
    <t>ORD-2023-386663</t>
  </si>
  <si>
    <t>ORD-2025-125517</t>
  </si>
  <si>
    <t>ORD-2024-819778</t>
  </si>
  <si>
    <t>ORD-2025-624006</t>
  </si>
  <si>
    <t>ORD-2023-132101</t>
  </si>
  <si>
    <t>ORD-2025-306903</t>
  </si>
  <si>
    <t>ORD-2023-813340</t>
  </si>
  <si>
    <t>ORD-2023-855675</t>
  </si>
  <si>
    <t>ORD-2023-545150</t>
  </si>
  <si>
    <t>ORD-2025-269934</t>
  </si>
  <si>
    <t>ORD-2024-690270</t>
  </si>
  <si>
    <t>ORD-2024-868223</t>
  </si>
  <si>
    <t>ORD-2025-188059</t>
  </si>
  <si>
    <t>ORD-2023-281890</t>
  </si>
  <si>
    <t>ORD-2025-636162</t>
  </si>
  <si>
    <t>ORD-2025-915869</t>
  </si>
  <si>
    <t>ORD-2025-192876</t>
  </si>
  <si>
    <t>ORD-2025-822030</t>
  </si>
  <si>
    <t>ORD-2025-789245</t>
  </si>
  <si>
    <t>ORD-2023-594955</t>
  </si>
  <si>
    <t>ORD-2024-398783</t>
  </si>
  <si>
    <t>ORD-2023-676553</t>
  </si>
  <si>
    <t>ORD-2025-866565</t>
  </si>
  <si>
    <t>ORD-2024-527858</t>
  </si>
  <si>
    <t>ORD-2023-619385</t>
  </si>
  <si>
    <t>ORD-2023-835226</t>
  </si>
  <si>
    <t>ORD-2025-485946</t>
  </si>
  <si>
    <t>ORD-2024-307849</t>
  </si>
  <si>
    <t>ORD-2023-368449</t>
  </si>
  <si>
    <t>ORD-2024-251426</t>
  </si>
  <si>
    <t>ORD-2023-927385</t>
  </si>
  <si>
    <t>ORD-2025-486350</t>
  </si>
  <si>
    <t>ORD-2025-677880</t>
  </si>
  <si>
    <t>ORD-2024-102866</t>
  </si>
  <si>
    <t>ORD-2025-588029</t>
  </si>
  <si>
    <t>ORD-2024-972999</t>
  </si>
  <si>
    <t>ORD-2025-608069</t>
  </si>
  <si>
    <t>ORD-2024-626750</t>
  </si>
  <si>
    <t>ORD-2024-170021</t>
  </si>
  <si>
    <t>ORD-2024-678110</t>
  </si>
  <si>
    <t>ORD-2025-909340</t>
  </si>
  <si>
    <t>ORD-2023-854471</t>
  </si>
  <si>
    <t>ORD-2024-390951</t>
  </si>
  <si>
    <t>ORD-2025-881624</t>
  </si>
  <si>
    <t>ORD-2025-512310</t>
  </si>
  <si>
    <t>ORD-2023-674887</t>
  </si>
  <si>
    <t>ORD-2024-542244</t>
  </si>
  <si>
    <t>ORD-2024-375848</t>
  </si>
  <si>
    <t>ORD-2023-933238</t>
  </si>
  <si>
    <t>ORD-2023-732585</t>
  </si>
  <si>
    <t>ORD-2024-465898</t>
  </si>
  <si>
    <t>ORD-2023-987081</t>
  </si>
  <si>
    <t>ORD-2024-655710</t>
  </si>
  <si>
    <t>ORD-2025-411385</t>
  </si>
  <si>
    <t>ORD-2025-222035</t>
  </si>
  <si>
    <t>ORD-2024-749242</t>
  </si>
  <si>
    <t>ORD-2023-623293</t>
  </si>
  <si>
    <t>ORD-2025-276968</t>
  </si>
  <si>
    <t>ORD-2025-650841</t>
  </si>
  <si>
    <t>ORD-2025-831576</t>
  </si>
  <si>
    <t>ORD-2024-468655</t>
  </si>
  <si>
    <t>ORD-2024-515105</t>
  </si>
  <si>
    <t>ORD-2025-803803</t>
  </si>
  <si>
    <t>ORD-2024-993481</t>
  </si>
  <si>
    <t>ORD-2024-811752</t>
  </si>
  <si>
    <t>ORD-2025-673091</t>
  </si>
  <si>
    <t>ORD-2024-381197</t>
  </si>
  <si>
    <t>ORD-2024-651852</t>
  </si>
  <si>
    <t>ORD-2023-659070</t>
  </si>
  <si>
    <t>ORD-2024-837651</t>
  </si>
  <si>
    <t>ORD-2024-581530</t>
  </si>
  <si>
    <t>ORD-2023-378104</t>
  </si>
  <si>
    <t>ORD-2024-972318</t>
  </si>
  <si>
    <t>ORD-2023-752962</t>
  </si>
  <si>
    <t>ORD-2023-808024</t>
  </si>
  <si>
    <t>ORD-2023-156396</t>
  </si>
  <si>
    <t>ORD-2023-184577</t>
  </si>
  <si>
    <t>ORD-2024-446030</t>
  </si>
  <si>
    <t>ORD-2023-842820</t>
  </si>
  <si>
    <t>ORD-2024-745424</t>
  </si>
  <si>
    <t>ORD-2024-510520</t>
  </si>
  <si>
    <t>ORD-2023-769774</t>
  </si>
  <si>
    <t>ORD-2023-580751</t>
  </si>
  <si>
    <t>ORD-2025-473192</t>
  </si>
  <si>
    <t>ORD-2024-886939</t>
  </si>
  <si>
    <t>ORD-2024-566589</t>
  </si>
  <si>
    <t>ORD-2023-109927</t>
  </si>
  <si>
    <t>ORD-2023-780206</t>
  </si>
  <si>
    <t>ORD-2024-851993</t>
  </si>
  <si>
    <t>ORD-2025-417942</t>
  </si>
  <si>
    <t>ORD-2023-172095</t>
  </si>
  <si>
    <t>ORD-2024-257550</t>
  </si>
  <si>
    <t>ORD-2023-581799</t>
  </si>
  <si>
    <t>ORD-2023-880296</t>
  </si>
  <si>
    <t>ORD-2023-191563</t>
  </si>
  <si>
    <t>ORD-2024-202166</t>
  </si>
  <si>
    <t>ORD-2023-539967</t>
  </si>
  <si>
    <t>ORD-2023-704111</t>
  </si>
  <si>
    <t>ORD-2024-356812</t>
  </si>
  <si>
    <t>ORD-2025-306251</t>
  </si>
  <si>
    <t>ORD-2025-496178</t>
  </si>
  <si>
    <t>ORD-2024-508213</t>
  </si>
  <si>
    <t>ORD-2024-787018</t>
  </si>
  <si>
    <t>ORD-2023-728177</t>
  </si>
  <si>
    <t>ORD-2025-795385</t>
  </si>
  <si>
    <t>ORD-2025-947929</t>
  </si>
  <si>
    <t>ORD-2023-931633</t>
  </si>
  <si>
    <t>ORD-2023-243704</t>
  </si>
  <si>
    <t>ORD-2025-779659</t>
  </si>
  <si>
    <t>ORD-2024-647571</t>
  </si>
  <si>
    <t>ORD-2025-683043</t>
  </si>
  <si>
    <t>ORD-2023-588455</t>
  </si>
  <si>
    <t>ORD-2024-641220</t>
  </si>
  <si>
    <t>ORD-2023-799597</t>
  </si>
  <si>
    <t>ORD-2023-569862</t>
  </si>
  <si>
    <t>ORD-2023-609394</t>
  </si>
  <si>
    <t>ORD-2024-105586</t>
  </si>
  <si>
    <t>ORD-2024-207792</t>
  </si>
  <si>
    <t>ORD-2025-417336</t>
  </si>
  <si>
    <t>ORD-2025-252117</t>
  </si>
  <si>
    <t>ORD-2023-867175</t>
  </si>
  <si>
    <t>ORD-2024-382152</t>
  </si>
  <si>
    <t>ORD-2023-597666</t>
  </si>
  <si>
    <t>ORD-2024-371409</t>
  </si>
  <si>
    <t>ORD-2024-973420</t>
  </si>
  <si>
    <t>ORD-2025-254721</t>
  </si>
  <si>
    <t>ORD-2024-247032</t>
  </si>
  <si>
    <t>ORD-2024-792353</t>
  </si>
  <si>
    <t>ORD-2025-703623</t>
  </si>
  <si>
    <t>ORD-2024-516704</t>
  </si>
  <si>
    <t>ORD-2024-578646</t>
  </si>
  <si>
    <t>ORD-2024-433936</t>
  </si>
  <si>
    <t>ORD-2023-434071</t>
  </si>
  <si>
    <t>ORD-2024-728474</t>
  </si>
  <si>
    <t>ORD-2023-406606</t>
  </si>
  <si>
    <t>ORD-2025-823055</t>
  </si>
  <si>
    <t>ORD-2023-573656</t>
  </si>
  <si>
    <t>ORD-2024-567435</t>
  </si>
  <si>
    <t>ORD-2023-744942</t>
  </si>
  <si>
    <t>ORD-2025-331237</t>
  </si>
  <si>
    <t>ORD-2025-680118</t>
  </si>
  <si>
    <t>ORD-2024-310809</t>
  </si>
  <si>
    <t>ORD-2025-474368</t>
  </si>
  <si>
    <t>ORD-2024-732543</t>
  </si>
  <si>
    <t>ORD-2023-867166</t>
  </si>
  <si>
    <t>ORD-2024-776337</t>
  </si>
  <si>
    <t>ORD-2023-913592</t>
  </si>
  <si>
    <t>ORD-2024-961501</t>
  </si>
  <si>
    <t>ORD-2024-964950</t>
  </si>
  <si>
    <t>ORD-2023-349264</t>
  </si>
  <si>
    <t>ORD-2025-137394</t>
  </si>
  <si>
    <t>ORD-2025-635337</t>
  </si>
  <si>
    <t>ORD-2023-568013</t>
  </si>
  <si>
    <t>ORD-2025-828263</t>
  </si>
  <si>
    <t>ORD-2024-402240</t>
  </si>
  <si>
    <t>ORD-2023-125739</t>
  </si>
  <si>
    <t>ORD-2024-892879</t>
  </si>
  <si>
    <t>ORD-2023-472050</t>
  </si>
  <si>
    <t>ORD-2024-468615</t>
  </si>
  <si>
    <t>ORD-2024-833375</t>
  </si>
  <si>
    <t>ORD-2024-206311</t>
  </si>
  <si>
    <t>ORD-2024-364080</t>
  </si>
  <si>
    <t>ORD-2025-460466</t>
  </si>
  <si>
    <t>ORD-2023-700699</t>
  </si>
  <si>
    <t>ORD-2024-713332</t>
  </si>
  <si>
    <t>ORD-2023-640022</t>
  </si>
  <si>
    <t>ORD-2024-532184</t>
  </si>
  <si>
    <t>ORD-2025-926547</t>
  </si>
  <si>
    <t>ORD-2025-778145</t>
  </si>
  <si>
    <t>ORD-2023-525643</t>
  </si>
  <si>
    <t>ORD-2025-312803</t>
  </si>
  <si>
    <t>ORD-2025-149156</t>
  </si>
  <si>
    <t>ORD-2023-215819</t>
  </si>
  <si>
    <t>ORD-2024-353078</t>
  </si>
  <si>
    <t>ORD-2023-621393</t>
  </si>
  <si>
    <t>ORD-2023-974506</t>
  </si>
  <si>
    <t>ORD-2023-811823</t>
  </si>
  <si>
    <t>ORD-2023-286720</t>
  </si>
  <si>
    <t>ORD-2024-626925</t>
  </si>
  <si>
    <t>ORD-2023-960380</t>
  </si>
  <si>
    <t>ORD-2023-453699</t>
  </si>
  <si>
    <t>ORD-2025-960931</t>
  </si>
  <si>
    <t>ORD-2024-419248</t>
  </si>
  <si>
    <t>ORD-2023-488227</t>
  </si>
  <si>
    <t>ORD-2023-472078</t>
  </si>
  <si>
    <t>ORD-2024-202877</t>
  </si>
  <si>
    <t>ORD-2024-140633</t>
  </si>
  <si>
    <t>ORD-2025-419532</t>
  </si>
  <si>
    <t>ORD-2023-139236</t>
  </si>
  <si>
    <t>ORD-2025-337268</t>
  </si>
  <si>
    <t>ORD-2025-332931</t>
  </si>
  <si>
    <t>ORD-2024-536442</t>
  </si>
  <si>
    <t>ORD-2023-957692</t>
  </si>
  <si>
    <t>ORD-2025-874124</t>
  </si>
  <si>
    <t>ORD-2024-687073</t>
  </si>
  <si>
    <t>ORD-2024-555229</t>
  </si>
  <si>
    <t>ORD-2024-872291</t>
  </si>
  <si>
    <t>ORD-2024-250862</t>
  </si>
  <si>
    <t>ORD-2024-331226</t>
  </si>
  <si>
    <t>ORD-2023-356427</t>
  </si>
  <si>
    <t>ORD-2025-659650</t>
  </si>
  <si>
    <t>ORD-2024-207669</t>
  </si>
  <si>
    <t>ORD-2024-979401</t>
  </si>
  <si>
    <t>ORD-2025-929414</t>
  </si>
  <si>
    <t>ORD-2024-766980</t>
  </si>
  <si>
    <t>ORD-2024-437164</t>
  </si>
  <si>
    <t>ORD-2025-169093</t>
  </si>
  <si>
    <t>ORD-2023-868460</t>
  </si>
  <si>
    <t>ORD-2025-177994</t>
  </si>
  <si>
    <t>ORD-2024-355095</t>
  </si>
  <si>
    <t>ORD-2023-126505</t>
  </si>
  <si>
    <t>ORD-2023-340056</t>
  </si>
  <si>
    <t>ORD-2025-281413</t>
  </si>
  <si>
    <t>ORD-2023-713614</t>
  </si>
  <si>
    <t>ORD-2023-173313</t>
  </si>
  <si>
    <t>ORD-2024-496601</t>
  </si>
  <si>
    <t>ORD-2025-155182</t>
  </si>
  <si>
    <t>ORD-2023-244375</t>
  </si>
  <si>
    <t>ORD-2023-856322</t>
  </si>
  <si>
    <t>ORD-2024-594527</t>
  </si>
  <si>
    <t>ORD-2024-689872</t>
  </si>
  <si>
    <t>ORD-2025-246692</t>
  </si>
  <si>
    <t>ORD-2023-378676</t>
  </si>
  <si>
    <t>ORD-2024-243988</t>
  </si>
  <si>
    <t>ORD-2024-572312</t>
  </si>
  <si>
    <t>ORD-2025-281062</t>
  </si>
  <si>
    <t>ORD-2023-727290</t>
  </si>
  <si>
    <t>ORD-2025-993993</t>
  </si>
  <si>
    <t>ORD-2023-619493</t>
  </si>
  <si>
    <t>ORD-2024-947056</t>
  </si>
  <si>
    <t>ORD-2025-856556</t>
  </si>
  <si>
    <t>ORD-2024-442776</t>
  </si>
  <si>
    <t>ORD-2025-705398</t>
  </si>
  <si>
    <t>ORD-2023-689428</t>
  </si>
  <si>
    <t>ORD-2025-683247</t>
  </si>
  <si>
    <t>ORD-2024-585443</t>
  </si>
  <si>
    <t>ORD-2024-907733</t>
  </si>
  <si>
    <t>ORD-2024-550400</t>
  </si>
  <si>
    <t>ORD-2025-189846</t>
  </si>
  <si>
    <t>ORD-2025-752192</t>
  </si>
  <si>
    <t>ORD-2023-294716</t>
  </si>
  <si>
    <t>ORD-2023-552115</t>
  </si>
  <si>
    <t>ORD-2023-107265</t>
  </si>
  <si>
    <t>ORD-2025-262434</t>
  </si>
  <si>
    <t>ORD-2024-266562</t>
  </si>
  <si>
    <t>ORD-2024-838925</t>
  </si>
  <si>
    <t>ORD-2023-664790</t>
  </si>
  <si>
    <t>ORD-2024-331408</t>
  </si>
  <si>
    <t>ORD-2024-741404</t>
  </si>
  <si>
    <t>ORD-2024-341535</t>
  </si>
  <si>
    <t>ORD-2023-451931</t>
  </si>
  <si>
    <t>ORD-2025-532859</t>
  </si>
  <si>
    <t>ORD-2023-502205</t>
  </si>
  <si>
    <t>ORD-2024-930679</t>
  </si>
  <si>
    <t>ORD-2025-150713</t>
  </si>
  <si>
    <t>ORD-2024-756884</t>
  </si>
  <si>
    <t>ORD-2023-755337</t>
  </si>
  <si>
    <t>ORD-2025-907040</t>
  </si>
  <si>
    <t>ORD-2024-817997</t>
  </si>
  <si>
    <t>ORD-2025-649633</t>
  </si>
  <si>
    <t>ORD-2023-885216</t>
  </si>
  <si>
    <t>ORD-2023-561823</t>
  </si>
  <si>
    <t>ORD-2023-249805</t>
  </si>
  <si>
    <t>ORD-2023-548934</t>
  </si>
  <si>
    <t>ORD-2023-921939</t>
  </si>
  <si>
    <t>ORD-2023-961864</t>
  </si>
  <si>
    <t>ORD-2023-455933</t>
  </si>
  <si>
    <t>ORD-2025-728935</t>
  </si>
  <si>
    <t>Africa</t>
  </si>
  <si>
    <t>Asia</t>
  </si>
  <si>
    <t>Americas</t>
  </si>
  <si>
    <t>Europe</t>
  </si>
  <si>
    <t>Kenya</t>
  </si>
  <si>
    <t>Nigeria</t>
  </si>
  <si>
    <t>Japan</t>
  </si>
  <si>
    <t>Canada</t>
  </si>
  <si>
    <t>India</t>
  </si>
  <si>
    <t>Brazil</t>
  </si>
  <si>
    <t>Germany</t>
  </si>
  <si>
    <t>France</t>
  </si>
  <si>
    <t>United Kingdom</t>
  </si>
  <si>
    <t>China</t>
  </si>
  <si>
    <t>USA</t>
  </si>
  <si>
    <t>South Africa</t>
  </si>
  <si>
    <t>Kisumu</t>
  </si>
  <si>
    <t>Port Harcourt</t>
  </si>
  <si>
    <t>Nairobi</t>
  </si>
  <si>
    <t>Lagos</t>
  </si>
  <si>
    <t>Osaka</t>
  </si>
  <si>
    <t>Toronto</t>
  </si>
  <si>
    <t>Bengaluru</t>
  </si>
  <si>
    <t>Abuja</t>
  </si>
  <si>
    <t>São Paulo</t>
  </si>
  <si>
    <t>Berlin</t>
  </si>
  <si>
    <t>Brasília</t>
  </si>
  <si>
    <t>Marseille</t>
  </si>
  <si>
    <t>Birmingham</t>
  </si>
  <si>
    <t>Mombasa</t>
  </si>
  <si>
    <t>Shenzhen</t>
  </si>
  <si>
    <t>Chicago</t>
  </si>
  <si>
    <t>Nakuru</t>
  </si>
  <si>
    <t>Lyon</t>
  </si>
  <si>
    <t>Delhi</t>
  </si>
  <si>
    <t>Montreal</t>
  </si>
  <si>
    <t>Johannesburg</t>
  </si>
  <si>
    <t>London</t>
  </si>
  <si>
    <t>Munich</t>
  </si>
  <si>
    <t>Shanghai</t>
  </si>
  <si>
    <t>San Francisco</t>
  </si>
  <si>
    <t>Durban</t>
  </si>
  <si>
    <t>Vancouver</t>
  </si>
  <si>
    <t>Tokyo</t>
  </si>
  <si>
    <t>Paris</t>
  </si>
  <si>
    <t>Mumbai</t>
  </si>
  <si>
    <t>Rio de Janeiro</t>
  </si>
  <si>
    <t>Manchester</t>
  </si>
  <si>
    <t>Nagoya</t>
  </si>
  <si>
    <t>Cape Town</t>
  </si>
  <si>
    <t>Hyderabad</t>
  </si>
  <si>
    <t>Austin</t>
  </si>
  <si>
    <t>Frankfurt</t>
  </si>
  <si>
    <t>Beijing</t>
  </si>
  <si>
    <t>New York</t>
  </si>
  <si>
    <t>Corporate</t>
  </si>
  <si>
    <t>Education</t>
  </si>
  <si>
    <t>Non-Profit</t>
  </si>
  <si>
    <t>Consumer</t>
  </si>
  <si>
    <t>Small Business</t>
  </si>
  <si>
    <t>Enterprise</t>
  </si>
  <si>
    <t>Retail</t>
  </si>
  <si>
    <t>Online</t>
  </si>
  <si>
    <t>Marketplace</t>
  </si>
  <si>
    <t>Distributor</t>
  </si>
  <si>
    <t>Direct</t>
  </si>
  <si>
    <t>C. Otieno</t>
  </si>
  <si>
    <t>J. Njeri</t>
  </si>
  <si>
    <t>I. Johnson</t>
  </si>
  <si>
    <t>G. Dubois</t>
  </si>
  <si>
    <t>L. Okafor</t>
  </si>
  <si>
    <t>B. Chen</t>
  </si>
  <si>
    <t>E. Garcia</t>
  </si>
  <si>
    <t>O. Wang</t>
  </si>
  <si>
    <t>A. Patel</t>
  </si>
  <si>
    <t>F. Müller</t>
  </si>
  <si>
    <t>H. Kim</t>
  </si>
  <si>
    <t>K. Singh</t>
  </si>
  <si>
    <t>M. Rossi</t>
  </si>
  <si>
    <t>N. Brown</t>
  </si>
  <si>
    <t>D. Smith</t>
  </si>
  <si>
    <t>Components</t>
  </si>
  <si>
    <t>Printers</t>
  </si>
  <si>
    <t>Networking</t>
  </si>
  <si>
    <t>Phones</t>
  </si>
  <si>
    <t>Laptops</t>
  </si>
  <si>
    <t>Monitors</t>
  </si>
  <si>
    <t>Accessories</t>
  </si>
  <si>
    <t>CMP-8270</t>
  </si>
  <si>
    <t>PRN-9322</t>
  </si>
  <si>
    <t>NET-9666</t>
  </si>
  <si>
    <t>PHN-4556</t>
  </si>
  <si>
    <t>PRN-8041</t>
  </si>
  <si>
    <t>LAP-8555</t>
  </si>
  <si>
    <t>MON-8629</t>
  </si>
  <si>
    <t>PRN-6276</t>
  </si>
  <si>
    <t>MON-6892</t>
  </si>
  <si>
    <t>CMP-3731</t>
  </si>
  <si>
    <t>ACC-7938</t>
  </si>
  <si>
    <t>PHN-7019</t>
  </si>
  <si>
    <t>CMP-3693</t>
  </si>
  <si>
    <t>PRN-8392</t>
  </si>
  <si>
    <t>ACC-1663</t>
  </si>
  <si>
    <t>LAP-1698</t>
  </si>
  <si>
    <t>PRN-6791</t>
  </si>
  <si>
    <t>PHN-1197</t>
  </si>
  <si>
    <t>ACC-8098</t>
  </si>
  <si>
    <t>LAP-3385</t>
  </si>
  <si>
    <t>LAP-9815</t>
  </si>
  <si>
    <t>NET-3255</t>
  </si>
  <si>
    <t>ACC-3961</t>
  </si>
  <si>
    <t>LAP-4987</t>
  </si>
  <si>
    <t>CMP-2693</t>
  </si>
  <si>
    <t>ACC-8683</t>
  </si>
  <si>
    <t>PRN-4170</t>
  </si>
  <si>
    <t>PHN-6854</t>
  </si>
  <si>
    <t>PHN-1784</t>
  </si>
  <si>
    <t>NET-9716</t>
  </si>
  <si>
    <t>CMP-6919</t>
  </si>
  <si>
    <t>PHN-4854</t>
  </si>
  <si>
    <t>NET-7966</t>
  </si>
  <si>
    <t>LAP-9932</t>
  </si>
  <si>
    <t>CMP-1559</t>
  </si>
  <si>
    <t>PRN-4506</t>
  </si>
  <si>
    <t>CMP-7617</t>
  </si>
  <si>
    <t>CMP-8390</t>
  </si>
  <si>
    <t>PRN-7303</t>
  </si>
  <si>
    <t>PRN-6536</t>
  </si>
  <si>
    <t>MON-9967</t>
  </si>
  <si>
    <t>NET-1412</t>
  </si>
  <si>
    <t>PRN-3143</t>
  </si>
  <si>
    <t>PRN-9787</t>
  </si>
  <si>
    <t>CMP-5946</t>
  </si>
  <si>
    <t>NET-2062</t>
  </si>
  <si>
    <t>PRN-2542</t>
  </si>
  <si>
    <t>NET-2365</t>
  </si>
  <si>
    <t>NET-5268</t>
  </si>
  <si>
    <t>PRN-1504</t>
  </si>
  <si>
    <t>ACC-6348</t>
  </si>
  <si>
    <t>MON-4330</t>
  </si>
  <si>
    <t>LAP-7819</t>
  </si>
  <si>
    <t>LAP-3779</t>
  </si>
  <si>
    <t>NET-9989</t>
  </si>
  <si>
    <t>MON-4925</t>
  </si>
  <si>
    <t>LAP-6989</t>
  </si>
  <si>
    <t>ACC-5780</t>
  </si>
  <si>
    <t>ACC-1770</t>
  </si>
  <si>
    <t>ACC-2252</t>
  </si>
  <si>
    <t>CMP-8002</t>
  </si>
  <si>
    <t>CMP-6971</t>
  </si>
  <si>
    <t>PHN-8350</t>
  </si>
  <si>
    <t>MON-5188</t>
  </si>
  <si>
    <t>LAP-3393</t>
  </si>
  <si>
    <t>PHN-4644</t>
  </si>
  <si>
    <t>ACC-9150</t>
  </si>
  <si>
    <t>MON-6870</t>
  </si>
  <si>
    <t>MON-2296</t>
  </si>
  <si>
    <t>CMP-7371</t>
  </si>
  <si>
    <t>ACC-2761</t>
  </si>
  <si>
    <t>LAP-4517</t>
  </si>
  <si>
    <t>LAP-8489</t>
  </si>
  <si>
    <t>NET-1846</t>
  </si>
  <si>
    <t>CMP-5208</t>
  </si>
  <si>
    <t>CMP-1009</t>
  </si>
  <si>
    <t>ACC-4490</t>
  </si>
  <si>
    <t>ACC-9162</t>
  </si>
  <si>
    <t>CMP-5820</t>
  </si>
  <si>
    <t>MON-7943</t>
  </si>
  <si>
    <t>NET-5018</t>
  </si>
  <si>
    <t>PRN-9669</t>
  </si>
  <si>
    <t>CMP-2865</t>
  </si>
  <si>
    <t>MON-3371</t>
  </si>
  <si>
    <t>NET-7166</t>
  </si>
  <si>
    <t>CMP-4531</t>
  </si>
  <si>
    <t>CMP-8196</t>
  </si>
  <si>
    <t>CMP-2854</t>
  </si>
  <si>
    <t>MON-8973</t>
  </si>
  <si>
    <t>MON-2990</t>
  </si>
  <si>
    <t>NET-1966</t>
  </si>
  <si>
    <t>PHN-3482</t>
  </si>
  <si>
    <t>PRN-6490</t>
  </si>
  <si>
    <t>ACC-9038</t>
  </si>
  <si>
    <t>PHN-6954</t>
  </si>
  <si>
    <t>PRN-8970</t>
  </si>
  <si>
    <t>MON-1822</t>
  </si>
  <si>
    <t>ACC-5177</t>
  </si>
  <si>
    <t>NET-1804</t>
  </si>
  <si>
    <t>LAP-3679</t>
  </si>
  <si>
    <t>PHN-8368</t>
  </si>
  <si>
    <t>CMP-8141</t>
  </si>
  <si>
    <t>LAP-7136</t>
  </si>
  <si>
    <t>ACC-2386</t>
  </si>
  <si>
    <t>LAP-5150</t>
  </si>
  <si>
    <t>CMP-8101</t>
  </si>
  <si>
    <t>PHN-8970</t>
  </si>
  <si>
    <t>PHN-2341</t>
  </si>
  <si>
    <t>NET-6387</t>
  </si>
  <si>
    <t>ACC-9820</t>
  </si>
  <si>
    <t>CMP-6392</t>
  </si>
  <si>
    <t>LAP-9230</t>
  </si>
  <si>
    <t>NET-4241</t>
  </si>
  <si>
    <t>ACC-4511</t>
  </si>
  <si>
    <t>NET-3033</t>
  </si>
  <si>
    <t>MON-2828</t>
  </si>
  <si>
    <t>PRN-6429</t>
  </si>
  <si>
    <t>LAP-8214</t>
  </si>
  <si>
    <t>MON-9194</t>
  </si>
  <si>
    <t>LAP-2218</t>
  </si>
  <si>
    <t>NET-6370</t>
  </si>
  <si>
    <t>MON-3745</t>
  </si>
  <si>
    <t>PHN-7924</t>
  </si>
  <si>
    <t>NET-8561</t>
  </si>
  <si>
    <t>CMP-2136</t>
  </si>
  <si>
    <t>CMP-6352</t>
  </si>
  <si>
    <t>CMP-2040</t>
  </si>
  <si>
    <t>CMP-6346</t>
  </si>
  <si>
    <t>PHN-4356</t>
  </si>
  <si>
    <t>NET-4155</t>
  </si>
  <si>
    <t>MON-5179</t>
  </si>
  <si>
    <t>ACC-4056</t>
  </si>
  <si>
    <t>LAP-9782</t>
  </si>
  <si>
    <t>PHN-2875</t>
  </si>
  <si>
    <t>PRN-4788</t>
  </si>
  <si>
    <t>MON-3043</t>
  </si>
  <si>
    <t>CMP-3720</t>
  </si>
  <si>
    <t>PHN-8014</t>
  </si>
  <si>
    <t>PRN-4911</t>
  </si>
  <si>
    <t>ACC-1021</t>
  </si>
  <si>
    <t>MON-2266</t>
  </si>
  <si>
    <t>PHN-8057</t>
  </si>
  <si>
    <t>ACC-7078</t>
  </si>
  <si>
    <t>PRN-4453</t>
  </si>
  <si>
    <t>NET-2394</t>
  </si>
  <si>
    <t>LAP-1525</t>
  </si>
  <si>
    <t>LAP-3278</t>
  </si>
  <si>
    <t>ACC-6543</t>
  </si>
  <si>
    <t>PRN-4432</t>
  </si>
  <si>
    <t>PHN-4568</t>
  </si>
  <si>
    <t>PRN-6178</t>
  </si>
  <si>
    <t>LAP-6342</t>
  </si>
  <si>
    <t>PRN-8175</t>
  </si>
  <si>
    <t>PRN-7089</t>
  </si>
  <si>
    <t>ACC-4124</t>
  </si>
  <si>
    <t>NET-7924</t>
  </si>
  <si>
    <t>NET-8761</t>
  </si>
  <si>
    <t>CMP-3875</t>
  </si>
  <si>
    <t>ACC-3989</t>
  </si>
  <si>
    <t>PHN-9234</t>
  </si>
  <si>
    <t>MON-9906</t>
  </si>
  <si>
    <t>CMP-4610</t>
  </si>
  <si>
    <t>PHN-5445</t>
  </si>
  <si>
    <t>MON-9227</t>
  </si>
  <si>
    <t>PRN-4097</t>
  </si>
  <si>
    <t>MON-6699</t>
  </si>
  <si>
    <t>LAP-1482</t>
  </si>
  <si>
    <t>MON-2100</t>
  </si>
  <si>
    <t>MON-7602</t>
  </si>
  <si>
    <t>CMP-1072</t>
  </si>
  <si>
    <t>ACC-2735</t>
  </si>
  <si>
    <t>CMP-5211</t>
  </si>
  <si>
    <t>CMP-1632</t>
  </si>
  <si>
    <t>LAP-7099</t>
  </si>
  <si>
    <t>PRN-3785</t>
  </si>
  <si>
    <t>MON-6962</t>
  </si>
  <si>
    <t>PRN-5107</t>
  </si>
  <si>
    <t>CMP-9264</t>
  </si>
  <si>
    <t>MON-5259</t>
  </si>
  <si>
    <t>PRN-8137</t>
  </si>
  <si>
    <t>ACC-6777</t>
  </si>
  <si>
    <t>PHN-7488</t>
  </si>
  <si>
    <t>ACC-9591</t>
  </si>
  <si>
    <t>MON-5517</t>
  </si>
  <si>
    <t>MON-8758</t>
  </si>
  <si>
    <t>ACC-3385</t>
  </si>
  <si>
    <t>MON-1593</t>
  </si>
  <si>
    <t>ACC-4631</t>
  </si>
  <si>
    <t>MON-7869</t>
  </si>
  <si>
    <t>MON-4271</t>
  </si>
  <si>
    <t>LAP-5531</t>
  </si>
  <si>
    <t>MON-7511</t>
  </si>
  <si>
    <t>LAP-7979</t>
  </si>
  <si>
    <t>PRN-4983</t>
  </si>
  <si>
    <t>NET-5941</t>
  </si>
  <si>
    <t>MON-6341</t>
  </si>
  <si>
    <t>PHN-9789</t>
  </si>
  <si>
    <t>PHN-5082</t>
  </si>
  <si>
    <t>NET-3460</t>
  </si>
  <si>
    <t>PRN-7019</t>
  </si>
  <si>
    <t>PHN-3159</t>
  </si>
  <si>
    <t>PRN-8604</t>
  </si>
  <si>
    <t>PHN-2013</t>
  </si>
  <si>
    <t>NET-6036</t>
  </si>
  <si>
    <t>MON-4959</t>
  </si>
  <si>
    <t>MON-1663</t>
  </si>
  <si>
    <t>CMP-7256</t>
  </si>
  <si>
    <t>ACC-1659</t>
  </si>
  <si>
    <t>PRN-6068</t>
  </si>
  <si>
    <t>ACC-8999</t>
  </si>
  <si>
    <t>CMP-3978</t>
  </si>
  <si>
    <t>MON-7868</t>
  </si>
  <si>
    <t>PRN-3014</t>
  </si>
  <si>
    <t>PHN-1671</t>
  </si>
  <si>
    <t>ACC-5260</t>
  </si>
  <si>
    <t>NET-7588</t>
  </si>
  <si>
    <t>MON-1572</t>
  </si>
  <si>
    <t>MON-2537</t>
  </si>
  <si>
    <t>PRN-5666</t>
  </si>
  <si>
    <t>PRN-2749</t>
  </si>
  <si>
    <t>CMP-4970</t>
  </si>
  <si>
    <t>ACC-3551</t>
  </si>
  <si>
    <t>CMP-7063</t>
  </si>
  <si>
    <t>NET-1612</t>
  </si>
  <si>
    <t>LAP-9766</t>
  </si>
  <si>
    <t>PHN-7274</t>
  </si>
  <si>
    <t>NET-1645</t>
  </si>
  <si>
    <t>ACC-5079</t>
  </si>
  <si>
    <t>PRN-2098</t>
  </si>
  <si>
    <t>PRN-7049</t>
  </si>
  <si>
    <t>CMP-6925</t>
  </si>
  <si>
    <t>PHN-2787</t>
  </si>
  <si>
    <t>PRN-1141</t>
  </si>
  <si>
    <t>MON-5249</t>
  </si>
  <si>
    <t>CMP-8230</t>
  </si>
  <si>
    <t>PRN-7816</t>
  </si>
  <si>
    <t>PHN-8804</t>
  </si>
  <si>
    <t>CMP-8851</t>
  </si>
  <si>
    <t>PHN-2447</t>
  </si>
  <si>
    <t>LAP-2846</t>
  </si>
  <si>
    <t>PRN-5005</t>
  </si>
  <si>
    <t>PHN-3800</t>
  </si>
  <si>
    <t>LAP-4828</t>
  </si>
  <si>
    <t>PRN-5492</t>
  </si>
  <si>
    <t>PHN-7132</t>
  </si>
  <si>
    <t>PHN-4741</t>
  </si>
  <si>
    <t>LAP-2774</t>
  </si>
  <si>
    <t>MON-2842</t>
  </si>
  <si>
    <t>NET-2628</t>
  </si>
  <si>
    <t>MON-2998</t>
  </si>
  <si>
    <t>CMP-7563</t>
  </si>
  <si>
    <t>LAP-6160</t>
  </si>
  <si>
    <t>MON-4361</t>
  </si>
  <si>
    <t>PRN-2829</t>
  </si>
  <si>
    <t>MON-8939</t>
  </si>
  <si>
    <t>LAP-5009</t>
  </si>
  <si>
    <t>CMP-4807</t>
  </si>
  <si>
    <t>NET-2439</t>
  </si>
  <si>
    <t>MON-7626</t>
  </si>
  <si>
    <t>ACC-3567</t>
  </si>
  <si>
    <t>CMP-4630</t>
  </si>
  <si>
    <t>ACC-1882</t>
  </si>
  <si>
    <t>NET-9125</t>
  </si>
  <si>
    <t>PHN-3819</t>
  </si>
  <si>
    <t>LAP-3490</t>
  </si>
  <si>
    <t>PRN-1276</t>
  </si>
  <si>
    <t>MON-9733</t>
  </si>
  <si>
    <t>CMP-9392</t>
  </si>
  <si>
    <t>PHN-3014</t>
  </si>
  <si>
    <t>PRN-6776</t>
  </si>
  <si>
    <t>ACC-3951</t>
  </si>
  <si>
    <t>MON-1436</t>
  </si>
  <si>
    <t>MON-8651</t>
  </si>
  <si>
    <t>MON-3307</t>
  </si>
  <si>
    <t>PRN-8758</t>
  </si>
  <si>
    <t>LAP-7056</t>
  </si>
  <si>
    <t>NET-5523</t>
  </si>
  <si>
    <t>ACC-8094</t>
  </si>
  <si>
    <t>PHN-6832</t>
  </si>
  <si>
    <t>LAP-2378</t>
  </si>
  <si>
    <t>MON-5424</t>
  </si>
  <si>
    <t>NET-8430</t>
  </si>
  <si>
    <t>PHN-1234</t>
  </si>
  <si>
    <t>LAP-9016</t>
  </si>
  <si>
    <t>LAP-9931</t>
  </si>
  <si>
    <t>PHN-6818</t>
  </si>
  <si>
    <t>PHN-3803</t>
  </si>
  <si>
    <t>NET-9835</t>
  </si>
  <si>
    <t>ACC-6223</t>
  </si>
  <si>
    <t>CMP-8659</t>
  </si>
  <si>
    <t>ACC-4483</t>
  </si>
  <si>
    <t>PRN-8763</t>
  </si>
  <si>
    <t>ACC-8557</t>
  </si>
  <si>
    <t>ACC-1492</t>
  </si>
  <si>
    <t>CMP-3743</t>
  </si>
  <si>
    <t>LAP-1619</t>
  </si>
  <si>
    <t>PRN-7976</t>
  </si>
  <si>
    <t>MON-4326</t>
  </si>
  <si>
    <t>MON-5444</t>
  </si>
  <si>
    <t>ACC-5422</t>
  </si>
  <si>
    <t>CMP-9307</t>
  </si>
  <si>
    <t>PRN-6520</t>
  </si>
  <si>
    <t>NET-1699</t>
  </si>
  <si>
    <t>PHN-5316</t>
  </si>
  <si>
    <t>LAP-4607</t>
  </si>
  <si>
    <t>MON-5276</t>
  </si>
  <si>
    <t>ACC-9533</t>
  </si>
  <si>
    <t>NET-3749</t>
  </si>
  <si>
    <t>PRN-2991</t>
  </si>
  <si>
    <t>LAP-4551</t>
  </si>
  <si>
    <t>MON-6310</t>
  </si>
  <si>
    <t>NET-1166</t>
  </si>
  <si>
    <t>ACC-2903</t>
  </si>
  <si>
    <t>PRN-2293</t>
  </si>
  <si>
    <t>MON-1389</t>
  </si>
  <si>
    <t>CMP-4093</t>
  </si>
  <si>
    <t>PHN-6131</t>
  </si>
  <si>
    <t>NET-4104</t>
  </si>
  <si>
    <t>MON-9319</t>
  </si>
  <si>
    <t>ACC-2988</t>
  </si>
  <si>
    <t>PHN-9399</t>
  </si>
  <si>
    <t>NET-4554</t>
  </si>
  <si>
    <t>NET-5195</t>
  </si>
  <si>
    <t>CMP-9801</t>
  </si>
  <si>
    <t>CMP-3093</t>
  </si>
  <si>
    <t>ACC-2364</t>
  </si>
  <si>
    <t>CMP-5138</t>
  </si>
  <si>
    <t>PHN-2337</t>
  </si>
  <si>
    <t>MON-2993</t>
  </si>
  <si>
    <t>LAP-9024</t>
  </si>
  <si>
    <t>PHN-6307</t>
  </si>
  <si>
    <t>NET-9003</t>
  </si>
  <si>
    <t>ACC-3068</t>
  </si>
  <si>
    <t>ACC-1060</t>
  </si>
  <si>
    <t>PHN-3854</t>
  </si>
  <si>
    <t>PRN-1086</t>
  </si>
  <si>
    <t>PHN-7815</t>
  </si>
  <si>
    <t>PRN-5384</t>
  </si>
  <si>
    <t>ACC-8178</t>
  </si>
  <si>
    <t>MON-1018</t>
  </si>
  <si>
    <t>ACC-1238</t>
  </si>
  <si>
    <t>NET-1816</t>
  </si>
  <si>
    <t>PRN-4893</t>
  </si>
  <si>
    <t>PHN-1717</t>
  </si>
  <si>
    <t>NET-9575</t>
  </si>
  <si>
    <t>LAP-3604</t>
  </si>
  <si>
    <t>ACC-6626</t>
  </si>
  <si>
    <t>PHN-1670</t>
  </si>
  <si>
    <t>CMP-4792</t>
  </si>
  <si>
    <t>LAP-1990</t>
  </si>
  <si>
    <t>PRN-7410</t>
  </si>
  <si>
    <t>MON-4278</t>
  </si>
  <si>
    <t>ACC-5334</t>
  </si>
  <si>
    <t>NET-8957</t>
  </si>
  <si>
    <t>PRN-9960</t>
  </si>
  <si>
    <t>ACC-3103</t>
  </si>
  <si>
    <t>PRN-9490</t>
  </si>
  <si>
    <t>NET-3850</t>
  </si>
  <si>
    <t>ACC-7047</t>
  </si>
  <si>
    <t>PRN-6660</t>
  </si>
  <si>
    <t>ACC-7838</t>
  </si>
  <si>
    <t>PHN-5383</t>
  </si>
  <si>
    <t>LAP-3904</t>
  </si>
  <si>
    <t>MON-5749</t>
  </si>
  <si>
    <t>PRN-3690</t>
  </si>
  <si>
    <t>CMP-7055</t>
  </si>
  <si>
    <t>PHN-6866</t>
  </si>
  <si>
    <t>CMP-3259</t>
  </si>
  <si>
    <t>LAP-6750</t>
  </si>
  <si>
    <t>PRN-3775</t>
  </si>
  <si>
    <t>LAP-2942</t>
  </si>
  <si>
    <t>PHN-2036</t>
  </si>
  <si>
    <t>MON-4373</t>
  </si>
  <si>
    <t>PRN-8657</t>
  </si>
  <si>
    <t>PHN-7974</t>
  </si>
  <si>
    <t>PHN-4915</t>
  </si>
  <si>
    <t>NET-3535</t>
  </si>
  <si>
    <t>CMP-2574</t>
  </si>
  <si>
    <t>NET-7901</t>
  </si>
  <si>
    <t>NET-5482</t>
  </si>
  <si>
    <t>NET-1336</t>
  </si>
  <si>
    <t>PRN-5876</t>
  </si>
  <si>
    <t>NET-3828</t>
  </si>
  <si>
    <t>MON-7622</t>
  </si>
  <si>
    <t>LAP-2806</t>
  </si>
  <si>
    <t>PRN-8850</t>
  </si>
  <si>
    <t>LAP-9100</t>
  </si>
  <si>
    <t>LAP-5763</t>
  </si>
  <si>
    <t>LAP-7320</t>
  </si>
  <si>
    <t>MON-5891</t>
  </si>
  <si>
    <t>PRN-1183</t>
  </si>
  <si>
    <t>CMP-2096</t>
  </si>
  <si>
    <t>PHN-3398</t>
  </si>
  <si>
    <t>CMP-8545</t>
  </si>
  <si>
    <t>ACC-1249</t>
  </si>
  <si>
    <t>MON-9662</t>
  </si>
  <si>
    <t>LAP-8347</t>
  </si>
  <si>
    <t>CMP-6898</t>
  </si>
  <si>
    <t>MON-3504</t>
  </si>
  <si>
    <t>NET-3432</t>
  </si>
  <si>
    <t>PRN-5591</t>
  </si>
  <si>
    <t>CMP-2015</t>
  </si>
  <si>
    <t>LAP-9901</t>
  </si>
  <si>
    <t>CMP-8658</t>
  </si>
  <si>
    <t>MON-2073</t>
  </si>
  <si>
    <t>PRN-9378</t>
  </si>
  <si>
    <t>PHN-5887</t>
  </si>
  <si>
    <t>LAP-8119</t>
  </si>
  <si>
    <t>ACC-9644</t>
  </si>
  <si>
    <t>LAP-7009</t>
  </si>
  <si>
    <t>PRN-1725</t>
  </si>
  <si>
    <t>PHN-8483</t>
  </si>
  <si>
    <t>PHN-3971</t>
  </si>
  <si>
    <t>NET-6578</t>
  </si>
  <si>
    <t>PRN-9975</t>
  </si>
  <si>
    <t>ACC-1075</t>
  </si>
  <si>
    <t>ACC-2902</t>
  </si>
  <si>
    <t>PRN-5815</t>
  </si>
  <si>
    <t>MON-4195</t>
  </si>
  <si>
    <t>PHN-8478</t>
  </si>
  <si>
    <t>PHN-1044</t>
  </si>
  <si>
    <t>LAP-8910</t>
  </si>
  <si>
    <t>PHN-2859</t>
  </si>
  <si>
    <t>PRN-6308</t>
  </si>
  <si>
    <t>LAP-8469</t>
  </si>
  <si>
    <t>LAP-7553</t>
  </si>
  <si>
    <t>PHN-3077</t>
  </si>
  <si>
    <t>MON-3350</t>
  </si>
  <si>
    <t>PHN-5683</t>
  </si>
  <si>
    <t>PRN-2409</t>
  </si>
  <si>
    <t>LAP-8825</t>
  </si>
  <si>
    <t>MON-8697</t>
  </si>
  <si>
    <t>MON-4789</t>
  </si>
  <si>
    <t>NET-7998</t>
  </si>
  <si>
    <t>PHN-8891</t>
  </si>
  <si>
    <t>NET-9832</t>
  </si>
  <si>
    <t>CMP-8604</t>
  </si>
  <si>
    <t>ACC-6594</t>
  </si>
  <si>
    <t>NET-2499</t>
  </si>
  <si>
    <t>PRN-1923</t>
  </si>
  <si>
    <t>PHN-4346</t>
  </si>
  <si>
    <t>ACC-1375</t>
  </si>
  <si>
    <t>PRN-4892</t>
  </si>
  <si>
    <t>PRN-9557</t>
  </si>
  <si>
    <t>PRN-8008</t>
  </si>
  <si>
    <t>LAP-1946</t>
  </si>
  <si>
    <t>MON-7106</t>
  </si>
  <si>
    <t>MON-5386</t>
  </si>
  <si>
    <t>PHN-2436</t>
  </si>
  <si>
    <t>PRN-2301</t>
  </si>
  <si>
    <t>ACC-3645</t>
  </si>
  <si>
    <t>CMP-6811</t>
  </si>
  <si>
    <t>PHN-5675</t>
  </si>
  <si>
    <t>MON-6882</t>
  </si>
  <si>
    <t>ACC-8620</t>
  </si>
  <si>
    <t>PHN-6506</t>
  </si>
  <si>
    <t>MON-5086</t>
  </si>
  <si>
    <t>LAP-4899</t>
  </si>
  <si>
    <t>CMP-3313</t>
  </si>
  <si>
    <t>CMP-6649</t>
  </si>
  <si>
    <t>ACC-5206</t>
  </si>
  <si>
    <t>PRN-6911</t>
  </si>
  <si>
    <t>NET-5270</t>
  </si>
  <si>
    <t>CMP-5658</t>
  </si>
  <si>
    <t>CMP-3938</t>
  </si>
  <si>
    <t>ACC-7671</t>
  </si>
  <si>
    <t>NET-6014</t>
  </si>
  <si>
    <t>CMP-4159</t>
  </si>
  <si>
    <t>PRN-3159</t>
  </si>
  <si>
    <t>PRN-9488</t>
  </si>
  <si>
    <t>PRN-7079</t>
  </si>
  <si>
    <t>CMP-1220</t>
  </si>
  <si>
    <t>MON-2462</t>
  </si>
  <si>
    <t>PHN-9465</t>
  </si>
  <si>
    <t>PRN-1271</t>
  </si>
  <si>
    <t>LAP-1066</t>
  </si>
  <si>
    <t>CMP-8675</t>
  </si>
  <si>
    <t>LAP-1178</t>
  </si>
  <si>
    <t>ACC-1731</t>
  </si>
  <si>
    <t>NET-1893</t>
  </si>
  <si>
    <t>PRN-3917</t>
  </si>
  <si>
    <t>LAP-3220</t>
  </si>
  <si>
    <t>PHN-2462</t>
  </si>
  <si>
    <t>NET-2894</t>
  </si>
  <si>
    <t>CMP-2335</t>
  </si>
  <si>
    <t>PHN-5938</t>
  </si>
  <si>
    <t>PRN-1371</t>
  </si>
  <si>
    <t>PRN-5813</t>
  </si>
  <si>
    <t>PHN-6480</t>
  </si>
  <si>
    <t>ACC-2990</t>
  </si>
  <si>
    <t>CMP-5435</t>
  </si>
  <si>
    <t>ACC-1596</t>
  </si>
  <si>
    <t>PHN-7852</t>
  </si>
  <si>
    <t>ACC-7240</t>
  </si>
  <si>
    <t>MON-8867</t>
  </si>
  <si>
    <t>NET-1228</t>
  </si>
  <si>
    <t>NET-1145</t>
  </si>
  <si>
    <t>ACC-2867</t>
  </si>
  <si>
    <t>MON-9274</t>
  </si>
  <si>
    <t>MON-4830</t>
  </si>
  <si>
    <t>PHN-9107</t>
  </si>
  <si>
    <t>PRN-1060</t>
  </si>
  <si>
    <t>NET-8329</t>
  </si>
  <si>
    <t>NET-6269</t>
  </si>
  <si>
    <t>CMP-6529</t>
  </si>
  <si>
    <t>PHN-8776</t>
  </si>
  <si>
    <t>NET-3728</t>
  </si>
  <si>
    <t>LAP-3565</t>
  </si>
  <si>
    <t>LAP-5078</t>
  </si>
  <si>
    <t>MON-2465</t>
  </si>
  <si>
    <t>CMP-3223</t>
  </si>
  <si>
    <t>CMP-8127</t>
  </si>
  <si>
    <t>PHN-1924</t>
  </si>
  <si>
    <t>CMP-1156</t>
  </si>
  <si>
    <t>LAP-3905</t>
  </si>
  <si>
    <t>PRN-1786</t>
  </si>
  <si>
    <t>ACC-3349</t>
  </si>
  <si>
    <t>NET-4228</t>
  </si>
  <si>
    <t>CMP-5633</t>
  </si>
  <si>
    <t>CMP-5825</t>
  </si>
  <si>
    <t>LAP-6499</t>
  </si>
  <si>
    <t>ACC-3721</t>
  </si>
  <si>
    <t>MON-6190</t>
  </si>
  <si>
    <t>CMP-2410</t>
  </si>
  <si>
    <t>PRN-2641</t>
  </si>
  <si>
    <t>PRN-1882</t>
  </si>
  <si>
    <t>PRN-1641</t>
  </si>
  <si>
    <t>LAP-1739</t>
  </si>
  <si>
    <t>PRN-4732</t>
  </si>
  <si>
    <t>NET-9569</t>
  </si>
  <si>
    <t>PHN-3007</t>
  </si>
  <si>
    <t>MON-9216</t>
  </si>
  <si>
    <t>PHN-8072</t>
  </si>
  <si>
    <t>LAP-1308</t>
  </si>
  <si>
    <t>LAP-7353</t>
  </si>
  <si>
    <t>NET-6533</t>
  </si>
  <si>
    <t>ACC-9445</t>
  </si>
  <si>
    <t>PRN-1654</t>
  </si>
  <si>
    <t>NET-8787</t>
  </si>
  <si>
    <t>LAP-1989</t>
  </si>
  <si>
    <t>MON-8688</t>
  </si>
  <si>
    <t>ACC-8242</t>
  </si>
  <si>
    <t>LAP-4666</t>
  </si>
  <si>
    <t>NET-5196</t>
  </si>
  <si>
    <t>MON-8422</t>
  </si>
  <si>
    <t>ACC-3415</t>
  </si>
  <si>
    <t>PRN-9624</t>
  </si>
  <si>
    <t>MON-6287</t>
  </si>
  <si>
    <t>NET-4491</t>
  </si>
  <si>
    <t>MON-4317</t>
  </si>
  <si>
    <t>NET-7349</t>
  </si>
  <si>
    <t>ACC-5150</t>
  </si>
  <si>
    <t>ACC-5144</t>
  </si>
  <si>
    <t>PHN-6111</t>
  </si>
  <si>
    <t>ACC-9283</t>
  </si>
  <si>
    <t>PRN-2407</t>
  </si>
  <si>
    <t>MON-7099</t>
  </si>
  <si>
    <t>ACC-7354</t>
  </si>
  <si>
    <t>PRN-6585</t>
  </si>
  <si>
    <t>CMP-9498</t>
  </si>
  <si>
    <t>PHN-1919</t>
  </si>
  <si>
    <t>MON-6053</t>
  </si>
  <si>
    <t>NET-2502</t>
  </si>
  <si>
    <t>LAP-5689</t>
  </si>
  <si>
    <t>CMP-5911</t>
  </si>
  <si>
    <t>LAP-7523</t>
  </si>
  <si>
    <t>MON-1118</t>
  </si>
  <si>
    <t>NET-9177</t>
  </si>
  <si>
    <t>CMP-6495</t>
  </si>
  <si>
    <t>ACC-4587</t>
  </si>
  <si>
    <t>PHN-4395</t>
  </si>
  <si>
    <t>LAP-3581</t>
  </si>
  <si>
    <t>MON-6065</t>
  </si>
  <si>
    <t>CMP-4945</t>
  </si>
  <si>
    <t>NET-3785</t>
  </si>
  <si>
    <t>NET-3689</t>
  </si>
  <si>
    <t>ACC-3833</t>
  </si>
  <si>
    <t>NET-2932</t>
  </si>
  <si>
    <t>PHN-7636</t>
  </si>
  <si>
    <t>CMP-1223</t>
  </si>
  <si>
    <t>MON-7207</t>
  </si>
  <si>
    <t>LAP-4483</t>
  </si>
  <si>
    <t>LAP-1969</t>
  </si>
  <si>
    <t>PHN-4566</t>
  </si>
  <si>
    <t>PHN-5366</t>
  </si>
  <si>
    <t>CMP-9001</t>
  </si>
  <si>
    <t>PHN-9677</t>
  </si>
  <si>
    <t>ACC-1604</t>
  </si>
  <si>
    <t>ACC-4815</t>
  </si>
  <si>
    <t>CMP-5311</t>
  </si>
  <si>
    <t>NET-1282</t>
  </si>
  <si>
    <t>MON-1564</t>
  </si>
  <si>
    <t>ACC-7906</t>
  </si>
  <si>
    <t>LAP-6577</t>
  </si>
  <si>
    <t>CMP-5065</t>
  </si>
  <si>
    <t>PRN-4787</t>
  </si>
  <si>
    <t>PRN-9867</t>
  </si>
  <si>
    <t>MON-2849</t>
  </si>
  <si>
    <t>LAP-8633</t>
  </si>
  <si>
    <t>PRN-9793</t>
  </si>
  <si>
    <t>NET-6218</t>
  </si>
  <si>
    <t>PRN-6131</t>
  </si>
  <si>
    <t>PRN-5067</t>
  </si>
  <si>
    <t>LAP-4932</t>
  </si>
  <si>
    <t>ACC-7713</t>
  </si>
  <si>
    <t>PHN-7379</t>
  </si>
  <si>
    <t>PRN-5569</t>
  </si>
  <si>
    <t>CMP-1470</t>
  </si>
  <si>
    <t>PRN-9249</t>
  </si>
  <si>
    <t>PRN-4906</t>
  </si>
  <si>
    <t>MON-8129</t>
  </si>
  <si>
    <t>NET-5987</t>
  </si>
  <si>
    <t>NET-5423</t>
  </si>
  <si>
    <t>PRN-5264</t>
  </si>
  <si>
    <t>NET-8856</t>
  </si>
  <si>
    <t>MON-4215</t>
  </si>
  <si>
    <t>PRN-5753</t>
  </si>
  <si>
    <t>CMP-5006</t>
  </si>
  <si>
    <t>ACC-4766</t>
  </si>
  <si>
    <t>NET-8610</t>
  </si>
  <si>
    <t>NET-4675</t>
  </si>
  <si>
    <t>ACC-1028</t>
  </si>
  <si>
    <t>NET-4735</t>
  </si>
  <si>
    <t>NET-2460</t>
  </si>
  <si>
    <t>CMP-1555</t>
  </si>
  <si>
    <t>MON-3773</t>
  </si>
  <si>
    <t>PHN-4677</t>
  </si>
  <si>
    <t>CMP-1940</t>
  </si>
  <si>
    <t>PHN-9184</t>
  </si>
  <si>
    <t>LAP-3017</t>
  </si>
  <si>
    <t>City_Clean</t>
  </si>
  <si>
    <t>Salesperson_Clean</t>
  </si>
  <si>
    <t>Channel_Clean</t>
  </si>
  <si>
    <t>Unknown</t>
  </si>
  <si>
    <t>Unassigned</t>
  </si>
  <si>
    <t>UnitPrice_Flag</t>
  </si>
  <si>
    <t>Discount_Flag</t>
  </si>
  <si>
    <t>RequiredDate_Flag</t>
  </si>
  <si>
    <t>LeadTimeDays</t>
  </si>
  <si>
    <t>Correct RequiredDate</t>
  </si>
  <si>
    <t>GrossRevenue</t>
  </si>
  <si>
    <t>CostOfGoods</t>
  </si>
  <si>
    <t>GrossProfit</t>
  </si>
  <si>
    <t>MarginPct</t>
  </si>
  <si>
    <t>Quarters</t>
  </si>
  <si>
    <t>Unspecified</t>
  </si>
  <si>
    <t>CorrectUnitPrice</t>
  </si>
  <si>
    <t>CorrectDiscountPct</t>
  </si>
  <si>
    <t>CorrectRequiredDate</t>
  </si>
  <si>
    <t>RequiredDate&lt;OrderDate</t>
  </si>
  <si>
    <t>Proper</t>
  </si>
  <si>
    <t>TRIM</t>
  </si>
  <si>
    <t>ORD-2023-521918</t>
  </si>
  <si>
    <t>Row Labels</t>
  </si>
  <si>
    <t>Grand Total</t>
  </si>
  <si>
    <t>Sum of GrossRevenue</t>
  </si>
  <si>
    <t>Price Compliance</t>
  </si>
  <si>
    <t>LeadTimeDays ≤ 7</t>
  </si>
  <si>
    <t>Count of OrderID</t>
  </si>
  <si>
    <t>Column Labels</t>
  </si>
  <si>
    <t>On-time</t>
  </si>
  <si>
    <t>2023</t>
  </si>
  <si>
    <t>2024</t>
  </si>
  <si>
    <t>2025</t>
  </si>
  <si>
    <t>Jan</t>
  </si>
  <si>
    <t>Feb</t>
  </si>
  <si>
    <t>Mar</t>
  </si>
  <si>
    <t>Apr</t>
  </si>
  <si>
    <t>May</t>
  </si>
  <si>
    <t>Jun</t>
  </si>
  <si>
    <t>Jul</t>
  </si>
  <si>
    <t>Aug</t>
  </si>
  <si>
    <t>Oct</t>
  </si>
  <si>
    <t>Nov</t>
  </si>
  <si>
    <t>Dec</t>
  </si>
  <si>
    <t>Sept</t>
  </si>
  <si>
    <t>Sum of GrossProfit</t>
  </si>
  <si>
    <t>Sum of MarginPct</t>
  </si>
  <si>
    <t>Late</t>
  </si>
  <si>
    <t>Avg Order Value</t>
  </si>
  <si>
    <t>PriceBand</t>
  </si>
  <si>
    <t>Compliant</t>
  </si>
  <si>
    <t>Non-compliant</t>
  </si>
  <si>
    <t>High</t>
  </si>
  <si>
    <t>Low</t>
  </si>
  <si>
    <t>Middle</t>
  </si>
  <si>
    <t>Count of CorrectUnitPrice</t>
  </si>
  <si>
    <t>Revenue/Order</t>
  </si>
  <si>
    <t>Profit/Order</t>
  </si>
  <si>
    <t>Cumulative Revenue</t>
  </si>
  <si>
    <t>Average of DiscountPct</t>
  </si>
  <si>
    <t>Max of DiscountPct</t>
  </si>
  <si>
    <t>Min of DiscountPct</t>
  </si>
  <si>
    <t>(All)</t>
  </si>
  <si>
    <t>Global Discount Cap</t>
  </si>
  <si>
    <t>Unit Cost Inflation</t>
  </si>
  <si>
    <t>Quantity Uplift</t>
  </si>
  <si>
    <t>ScenarioDiscount</t>
  </si>
  <si>
    <t>ScenarioUnitCost</t>
  </si>
  <si>
    <t>ScenarioQuantity</t>
  </si>
  <si>
    <t>ScenarioRevenue</t>
  </si>
  <si>
    <t>ScenarioCost</t>
  </si>
  <si>
    <t>ScenarioGrossProfit</t>
  </si>
  <si>
    <t>Sum of ScenarioRevenue</t>
  </si>
  <si>
    <t>Sum of ScenarioGrossProfit</t>
  </si>
  <si>
    <t>Revenue Change %</t>
  </si>
  <si>
    <t>Profit Change %</t>
  </si>
  <si>
    <t>Max of CorrectDiscountPct</t>
  </si>
  <si>
    <t>Average of CorrectDiscountPct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</si>
</sst>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yyyy\-mm\-dd"/>
    <numFmt numFmtId="165" formatCode="&quot;Ksh&quot;#,##0.00"/>
    <numFmt numFmtId="166" formatCode="[$KES]\ #,##0.00"/>
    <numFmt numFmtId="167" formatCode="0.000000%"/>
  </numFmts>
  <fonts count="4" x14ac:knownFonts="1">
    <font>
      <sz val="11"/>
      <color theme="1"/>
      <name val="Calibri"/>
      <family val="2"/>
      <scheme val="minor"/>
    </font>
    <font>
      <b/>
      <sz val="11"/>
      <color theme="1"/>
      <name val="Calibri"/>
      <family val="2"/>
      <scheme val="minor"/>
    </font>
    <font>
      <sz val="11"/>
      <color theme="1"/>
      <name val="Calibri"/>
      <family val="2"/>
      <scheme val="minor"/>
    </font>
    <font>
      <sz val="11"/>
      <color rgb="FFFF0000"/>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3" tint="0.59999389629810485"/>
        <bgColor indexed="64"/>
      </patternFill>
    </fill>
    <fill>
      <patternFill patternType="solid">
        <fgColor rgb="FF92D050"/>
        <bgColor indexed="64"/>
      </patternFill>
    </fill>
    <fill>
      <patternFill patternType="solid">
        <fgColor rgb="FF00B0F0"/>
        <bgColor indexed="64"/>
      </patternFill>
    </fill>
    <fill>
      <patternFill patternType="solid">
        <fgColor rgb="FF7030A0"/>
        <bgColor indexed="64"/>
      </patternFill>
    </fill>
    <fill>
      <patternFill patternType="solid">
        <fgColor theme="5" tint="0.39997558519241921"/>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top/>
      <bottom style="thin">
        <color theme="4" tint="0.39997558519241921"/>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55">
    <xf numFmtId="0" fontId="0" fillId="0" borderId="0" xfId="0"/>
    <xf numFmtId="0" fontId="1" fillId="0" borderId="1" xfId="0" applyFont="1" applyBorder="1" applyAlignment="1">
      <alignment horizontal="center" vertical="top"/>
    </xf>
    <xf numFmtId="164" fontId="0" fillId="0" borderId="0" xfId="0" applyNumberFormat="1"/>
    <xf numFmtId="14" fontId="1" fillId="0" borderId="1" xfId="0" applyNumberFormat="1" applyFont="1" applyBorder="1" applyAlignment="1">
      <alignment horizontal="center" vertical="top"/>
    </xf>
    <xf numFmtId="14" fontId="0" fillId="0" borderId="0" xfId="0" applyNumberFormat="1"/>
    <xf numFmtId="2" fontId="1" fillId="0" borderId="1" xfId="0" applyNumberFormat="1" applyFont="1" applyBorder="1" applyAlignment="1">
      <alignment horizontal="center" vertical="top"/>
    </xf>
    <xf numFmtId="2" fontId="0" fillId="0" borderId="0" xfId="0" applyNumberFormat="1"/>
    <xf numFmtId="0" fontId="0" fillId="2" borderId="0" xfId="0" applyFill="1"/>
    <xf numFmtId="9" fontId="0" fillId="0" borderId="0" xfId="1" applyFont="1"/>
    <xf numFmtId="9" fontId="0" fillId="2" borderId="0" xfId="1" applyFont="1" applyFill="1"/>
    <xf numFmtId="0" fontId="1" fillId="0" borderId="0" xfId="0" applyFont="1"/>
    <xf numFmtId="1" fontId="0" fillId="0" borderId="0" xfId="0" applyNumberFormat="1"/>
    <xf numFmtId="49" fontId="0" fillId="0" borderId="0" xfId="0" applyNumberFormat="1"/>
    <xf numFmtId="49" fontId="1" fillId="0" borderId="1" xfId="0" applyNumberFormat="1" applyFont="1" applyBorder="1" applyAlignment="1">
      <alignment horizontal="center" vertical="top"/>
    </xf>
    <xf numFmtId="49" fontId="3" fillId="0" borderId="0" xfId="0" applyNumberFormat="1" applyFont="1"/>
    <xf numFmtId="49" fontId="3" fillId="0" borderId="0" xfId="0" applyNumberFormat="1" applyFont="1" applyFill="1" applyBorder="1"/>
    <xf numFmtId="49" fontId="0" fillId="3" borderId="0" xfId="0" applyNumberFormat="1" applyFill="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xf numFmtId="10" fontId="0" fillId="0" borderId="0" xfId="0" applyNumberFormat="1"/>
    <xf numFmtId="2" fontId="1" fillId="2" borderId="1" xfId="0" applyNumberFormat="1" applyFont="1" applyFill="1" applyBorder="1" applyAlignment="1">
      <alignment horizontal="center" vertical="top"/>
    </xf>
    <xf numFmtId="0" fontId="1" fillId="2" borderId="1" xfId="0" applyFont="1" applyFill="1" applyBorder="1" applyAlignment="1">
      <alignment horizontal="center" vertical="top"/>
    </xf>
    <xf numFmtId="0" fontId="1" fillId="2" borderId="2" xfId="0" applyFont="1" applyFill="1" applyBorder="1" applyAlignment="1">
      <alignment horizontal="center" vertical="top"/>
    </xf>
    <xf numFmtId="0" fontId="1" fillId="4" borderId="3" xfId="0" applyFont="1" applyFill="1" applyBorder="1"/>
    <xf numFmtId="17" fontId="1" fillId="0" borderId="1" xfId="0" applyNumberFormat="1" applyFont="1" applyBorder="1" applyAlignment="1">
      <alignment horizontal="center" vertical="top"/>
    </xf>
    <xf numFmtId="17" fontId="0" fillId="0" borderId="0" xfId="0" applyNumberFormat="1"/>
    <xf numFmtId="14" fontId="0" fillId="0" borderId="0" xfId="0" applyNumberFormat="1" applyAlignment="1">
      <alignment horizontal="left" indent="1"/>
    </xf>
    <xf numFmtId="165" fontId="0" fillId="0" borderId="0" xfId="0" applyNumberFormat="1"/>
    <xf numFmtId="165" fontId="0" fillId="0" borderId="0" xfId="2" applyNumberFormat="1" applyFont="1"/>
    <xf numFmtId="0" fontId="0" fillId="5" borderId="0" xfId="0" applyFill="1"/>
    <xf numFmtId="10" fontId="0" fillId="3" borderId="0" xfId="0" applyNumberFormat="1" applyFill="1"/>
    <xf numFmtId="166" fontId="0" fillId="0" borderId="0" xfId="0" applyNumberFormat="1"/>
    <xf numFmtId="0" fontId="1" fillId="0" borderId="0" xfId="0" pivotButton="1" applyFont="1"/>
    <xf numFmtId="0" fontId="0" fillId="3" borderId="0" xfId="0" applyFill="1"/>
    <xf numFmtId="166" fontId="0" fillId="3" borderId="0" xfId="0" applyNumberFormat="1" applyFill="1"/>
    <xf numFmtId="0" fontId="0" fillId="6" borderId="0" xfId="0" applyFill="1"/>
    <xf numFmtId="166" fontId="0" fillId="6" borderId="0" xfId="0" applyNumberFormat="1" applyFill="1"/>
    <xf numFmtId="0" fontId="0" fillId="7" borderId="0" xfId="0" applyFill="1"/>
    <xf numFmtId="166" fontId="0" fillId="7" borderId="0" xfId="0" applyNumberFormat="1" applyFill="1"/>
    <xf numFmtId="0" fontId="0" fillId="8" borderId="0" xfId="0" applyFill="1"/>
    <xf numFmtId="166" fontId="0" fillId="8" borderId="0" xfId="0" applyNumberFormat="1" applyFill="1"/>
    <xf numFmtId="0" fontId="0" fillId="9" borderId="0" xfId="0" applyFill="1"/>
    <xf numFmtId="0" fontId="0" fillId="0" borderId="0" xfId="0" applyAlignment="1">
      <alignment horizontal="left" indent="2"/>
    </xf>
    <xf numFmtId="10" fontId="0" fillId="0" borderId="0" xfId="1" applyNumberFormat="1" applyFont="1"/>
    <xf numFmtId="10" fontId="0" fillId="2" borderId="0" xfId="0" applyNumberFormat="1" applyFill="1"/>
    <xf numFmtId="10" fontId="0" fillId="6" borderId="0" xfId="0" applyNumberFormat="1" applyFill="1"/>
    <xf numFmtId="10" fontId="0" fillId="7" borderId="0" xfId="0" applyNumberFormat="1" applyFill="1"/>
    <xf numFmtId="166" fontId="1" fillId="0" borderId="0" xfId="0" applyNumberFormat="1" applyFont="1"/>
    <xf numFmtId="0" fontId="0" fillId="0" borderId="0" xfId="0" applyFill="1"/>
    <xf numFmtId="166" fontId="0" fillId="0" borderId="0" xfId="0" applyNumberFormat="1" applyFill="1"/>
    <xf numFmtId="167" fontId="0" fillId="0" borderId="0" xfId="1" applyNumberFormat="1" applyFont="1" applyFill="1"/>
    <xf numFmtId="10" fontId="0" fillId="0" borderId="0" xfId="1" applyNumberFormat="1" applyFont="1" applyFill="1"/>
    <xf numFmtId="9" fontId="0" fillId="0" borderId="0" xfId="0" applyNumberFormat="1"/>
  </cellXfs>
  <cellStyles count="3">
    <cellStyle name="Comma" xfId="2" builtinId="3"/>
    <cellStyle name="Normal" xfId="0" builtinId="0"/>
    <cellStyle name="Percent" xfId="1" builtinId="5"/>
  </cellStyles>
  <dxfs count="92">
    <dxf>
      <numFmt numFmtId="13" formatCode="0%"/>
    </dxf>
    <dxf>
      <numFmt numFmtId="165" formatCode="&quot;Ksh&quot;#,##0.00"/>
    </dxf>
    <dxf>
      <numFmt numFmtId="166" formatCode="[$KES]\ #,##0.00"/>
    </dxf>
    <dxf>
      <numFmt numFmtId="166" formatCode="[$KES]\ #,##0.00"/>
    </dxf>
    <dxf>
      <fill>
        <patternFill patternType="solid">
          <bgColor rgb="FFFFC000"/>
        </patternFill>
      </fill>
    </dxf>
    <dxf>
      <fill>
        <patternFill patternType="solid">
          <bgColor rgb="FFFFC000"/>
        </patternFill>
      </fill>
    </dxf>
    <dxf>
      <numFmt numFmtId="166" formatCode="[$KES]\ #,##0.00"/>
    </dxf>
    <dxf>
      <numFmt numFmtId="166" formatCode="[$KES]\ #,##0.00"/>
    </dxf>
    <dxf>
      <fill>
        <patternFill patternType="none">
          <bgColor auto="1"/>
        </patternFill>
      </fill>
    </dxf>
    <dxf>
      <fill>
        <patternFill patternType="none">
          <bgColor auto="1"/>
        </patternFill>
      </fill>
    </dxf>
    <dxf>
      <numFmt numFmtId="165" formatCode="&quot;Ksh&quot;#,##0.00"/>
    </dxf>
    <dxf>
      <numFmt numFmtId="166" formatCode="[$KES]\ #,##0.00"/>
    </dxf>
    <dxf>
      <numFmt numFmtId="166" formatCode="[$KES]\ #,##0.00"/>
    </dxf>
    <dxf>
      <fill>
        <patternFill patternType="solid">
          <bgColor rgb="FFFFC000"/>
        </patternFill>
      </fill>
    </dxf>
    <dxf>
      <fill>
        <patternFill patternType="solid">
          <bgColor rgb="FFFFC000"/>
        </patternFill>
      </fill>
    </dxf>
    <dxf>
      <numFmt numFmtId="166" formatCode="[$KES]\ #,##0.00"/>
    </dxf>
    <dxf>
      <numFmt numFmtId="166" formatCode="[$KES]\ #,##0.00"/>
    </dxf>
    <dxf>
      <fill>
        <patternFill patternType="none">
          <bgColor auto="1"/>
        </patternFill>
      </fill>
    </dxf>
    <dxf>
      <fill>
        <patternFill patternType="none">
          <bgColor auto="1"/>
        </patternFill>
      </fill>
    </dxf>
    <dxf>
      <numFmt numFmtId="165" formatCode="&quot;Ksh&quot;#,##0.00"/>
    </dxf>
    <dxf>
      <numFmt numFmtId="166" formatCode="[$KES]\ #,##0.00"/>
    </dxf>
    <dxf>
      <numFmt numFmtId="166" formatCode="[$KES]\ #,##0.00"/>
    </dxf>
    <dxf>
      <fill>
        <patternFill patternType="solid">
          <bgColor rgb="FFFFC000"/>
        </patternFill>
      </fill>
    </dxf>
    <dxf>
      <fill>
        <patternFill patternType="solid">
          <bgColor rgb="FFFFC000"/>
        </patternFill>
      </fill>
    </dxf>
    <dxf>
      <numFmt numFmtId="166" formatCode="[$KES]\ #,##0.00"/>
    </dxf>
    <dxf>
      <numFmt numFmtId="166" formatCode="[$KES]\ #,##0.00"/>
    </dxf>
    <dxf>
      <fill>
        <patternFill patternType="none">
          <bgColor auto="1"/>
        </patternFill>
      </fill>
    </dxf>
    <dxf>
      <fill>
        <patternFill patternType="none">
          <bgColor auto="1"/>
        </patternFill>
      </fill>
    </dxf>
    <dxf>
      <numFmt numFmtId="165" formatCode="&quot;Ksh&quot;#,##0.00"/>
    </dxf>
    <dxf>
      <numFmt numFmtId="166" formatCode="[$KES]\ #,##0.00"/>
    </dxf>
    <dxf>
      <numFmt numFmtId="166" formatCode="[$KES]\ #,##0.00"/>
    </dxf>
    <dxf>
      <fill>
        <patternFill patternType="solid">
          <bgColor rgb="FFFFC000"/>
        </patternFill>
      </fill>
    </dxf>
    <dxf>
      <fill>
        <patternFill patternType="solid">
          <bgColor rgb="FFFFC000"/>
        </patternFill>
      </fill>
    </dxf>
    <dxf>
      <numFmt numFmtId="166" formatCode="[$KES]\ #,##0.00"/>
    </dxf>
    <dxf>
      <numFmt numFmtId="166" formatCode="[$KES]\ #,##0.00"/>
    </dxf>
    <dxf>
      <fill>
        <patternFill patternType="none">
          <bgColor auto="1"/>
        </patternFill>
      </fill>
    </dxf>
    <dxf>
      <fill>
        <patternFill patternType="none">
          <bgColor auto="1"/>
        </patternFill>
      </fill>
    </dxf>
    <dxf>
      <numFmt numFmtId="165" formatCode="&quot;Ksh&quot;#,##0.00"/>
    </dxf>
    <dxf>
      <numFmt numFmtId="166" formatCode="[$KES]\ #,##0.00"/>
    </dxf>
    <dxf>
      <numFmt numFmtId="166" formatCode="[$KES]\ #,##0.00"/>
    </dxf>
    <dxf>
      <fill>
        <patternFill patternType="solid">
          <bgColor rgb="FFFFC000"/>
        </patternFill>
      </fill>
    </dxf>
    <dxf>
      <fill>
        <patternFill patternType="solid">
          <bgColor rgb="FFFFC000"/>
        </patternFill>
      </fill>
    </dxf>
    <dxf>
      <numFmt numFmtId="166" formatCode="[$KES]\ #,##0.00"/>
    </dxf>
    <dxf>
      <numFmt numFmtId="166" formatCode="[$KES]\ #,##0.00"/>
    </dxf>
    <dxf>
      <fill>
        <patternFill patternType="none">
          <bgColor auto="1"/>
        </patternFill>
      </fill>
    </dxf>
    <dxf>
      <fill>
        <patternFill patternType="none">
          <bgColor auto="1"/>
        </patternFill>
      </fill>
    </dxf>
    <dxf>
      <numFmt numFmtId="165" formatCode="&quot;Ksh&quot;#,##0.00"/>
    </dxf>
    <dxf>
      <numFmt numFmtId="166" formatCode="[$KES]\ #,##0.00"/>
    </dxf>
    <dxf>
      <numFmt numFmtId="166" formatCode="[$KES]\ #,##0.00"/>
    </dxf>
    <dxf>
      <fill>
        <patternFill patternType="solid">
          <bgColor rgb="FFFFC000"/>
        </patternFill>
      </fill>
    </dxf>
    <dxf>
      <fill>
        <patternFill patternType="solid">
          <bgColor rgb="FFFFC000"/>
        </patternFill>
      </fill>
    </dxf>
    <dxf>
      <numFmt numFmtId="166" formatCode="[$KES]\ #,##0.00"/>
    </dxf>
    <dxf>
      <numFmt numFmtId="166" formatCode="[$KES]\ #,##0.00"/>
    </dxf>
    <dxf>
      <fill>
        <patternFill patternType="none">
          <bgColor auto="1"/>
        </patternFill>
      </fill>
    </dxf>
    <dxf>
      <fill>
        <patternFill patternType="none">
          <bgColor auto="1"/>
        </patternFill>
      </fill>
    </dxf>
    <dxf>
      <numFmt numFmtId="165" formatCode="&quot;Ksh&quot;#,##0.00"/>
    </dxf>
    <dxf>
      <numFmt numFmtId="166" formatCode="[$KES]\ #,##0.00"/>
    </dxf>
    <dxf>
      <numFmt numFmtId="166" formatCode="[$KES]\ #,##0.00"/>
    </dxf>
    <dxf>
      <fill>
        <patternFill patternType="solid">
          <bgColor rgb="FFFFC000"/>
        </patternFill>
      </fill>
    </dxf>
    <dxf>
      <fill>
        <patternFill patternType="solid">
          <bgColor rgb="FFFFC000"/>
        </patternFill>
      </fill>
    </dxf>
    <dxf>
      <numFmt numFmtId="166" formatCode="[$KES]\ #,##0.00"/>
    </dxf>
    <dxf>
      <numFmt numFmtId="166" formatCode="[$KES]\ #,##0.00"/>
    </dxf>
    <dxf>
      <fill>
        <patternFill patternType="none">
          <bgColor auto="1"/>
        </patternFill>
      </fill>
    </dxf>
    <dxf>
      <fill>
        <patternFill patternType="none">
          <bgColor auto="1"/>
        </patternFill>
      </fill>
    </dxf>
    <dxf>
      <numFmt numFmtId="13" formatCode="0%"/>
    </dxf>
    <dxf>
      <numFmt numFmtId="13" formatCode="0%"/>
    </dxf>
    <dxf>
      <numFmt numFmtId="13" formatCode="0%"/>
    </dxf>
    <dxf>
      <numFmt numFmtId="166" formatCode="[$KES]\ #,##0.0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FF00"/>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none">
          <bgColor auto="1"/>
        </patternFill>
      </fill>
    </dxf>
    <dxf>
      <fill>
        <patternFill patternType="none">
          <bgColor auto="1"/>
        </patternFill>
      </fill>
    </dxf>
    <dxf>
      <numFmt numFmtId="166" formatCode="[$KES]\ #,##0.00"/>
    </dxf>
    <dxf>
      <numFmt numFmtId="166" formatCode="[$KES]\ #,##0.00"/>
    </dxf>
    <dxf>
      <font>
        <color rgb="FF9C0006"/>
      </font>
      <fill>
        <patternFill>
          <bgColor rgb="FFFFC7CE"/>
        </patternFill>
      </fill>
    </dxf>
    <dxf>
      <font>
        <color rgb="FF9C0006"/>
      </font>
      <fill>
        <patternFill>
          <bgColor rgb="FFFFC7CE"/>
        </patternFill>
      </fill>
    </dxf>
    <dxf>
      <numFmt numFmtId="166" formatCode="[$KES]\ #,##0.00"/>
    </dxf>
    <dxf>
      <numFmt numFmtId="166" formatCode="[$KES]\ #,##0.00"/>
    </dxf>
    <dxf>
      <numFmt numFmtId="165" formatCode="&quot;Ksh&quot;#,##0.00"/>
    </dxf>
    <dxf>
      <fill>
        <patternFill patternType="solid">
          <bgColor rgb="FFFFC000"/>
        </patternFill>
      </fill>
    </dxf>
    <dxf>
      <fill>
        <patternFill patternType="solid">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3.xml"/><Relationship Id="rId33" Type="http://schemas.microsoft.com/office/2007/relationships/slicerCache" Target="slicerCaches/slicerCache8.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2.xml"/><Relationship Id="rId32" Type="http://schemas.microsoft.com/office/2007/relationships/slicerCache" Target="slicerCaches/slicerCache7.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1.xml"/><Relationship Id="rId28" Type="http://schemas.microsoft.com/office/2007/relationships/slicerCache" Target="slicerCaches/slicerCache3.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[Sales-Operations-Analytics-Workings.xlsx]Revenue by Month!PivotTable9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 By</a:t>
            </a:r>
            <a:r>
              <a:rPr lang="en-US" b="1" baseline="0"/>
              <a:t> Month</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pivotFmt>
    </c:pivotFmts>
    <c:plotArea>
      <c:layout/>
      <c:lineChart>
        <c:grouping val="standard"/>
        <c:varyColors val="0"/>
        <c:ser>
          <c:idx val="0"/>
          <c:order val="0"/>
          <c:tx>
            <c:strRef>
              <c:f>'Revenue by Month'!$B$3</c:f>
              <c:strCache>
                <c:ptCount val="1"/>
                <c:pt idx="0">
                  <c:v>Total</c:v>
                </c:pt>
              </c:strCache>
            </c:strRef>
          </c:tx>
          <c:spPr>
            <a:ln w="28575" cap="rnd">
              <a:solidFill>
                <a:schemeClr val="accent1"/>
              </a:solidFill>
              <a:round/>
            </a:ln>
            <a:effectLst/>
          </c:spPr>
          <c:marker>
            <c:symbol val="none"/>
          </c:marker>
          <c:cat>
            <c:multiLvlStrRef>
              <c:f>'Revenue by Month'!$A$4:$A$40</c:f>
              <c:multiLvlStrCache>
                <c:ptCount val="33"/>
                <c:lvl>
                  <c:pt idx="0">
                    <c:v>Jan</c:v>
                  </c:pt>
                  <c:pt idx="1">
                    <c:v>Feb</c:v>
                  </c:pt>
                  <c:pt idx="2">
                    <c:v>Mar</c:v>
                  </c:pt>
                  <c:pt idx="3">
                    <c:v>Apr</c:v>
                  </c:pt>
                  <c:pt idx="4">
                    <c:v>May</c:v>
                  </c:pt>
                  <c:pt idx="5">
                    <c:v>Jun</c:v>
                  </c:pt>
                  <c:pt idx="6">
                    <c:v>Jul</c:v>
                  </c:pt>
                  <c:pt idx="7">
                    <c:v>Aug</c:v>
                  </c:pt>
                  <c:pt idx="8">
                    <c:v>Sept</c:v>
                  </c:pt>
                  <c:pt idx="9">
                    <c:v>Oct</c:v>
                  </c:pt>
                  <c:pt idx="10">
                    <c:v>Nov</c:v>
                  </c:pt>
                  <c:pt idx="11">
                    <c:v>Dec</c:v>
                  </c:pt>
                  <c:pt idx="12">
                    <c:v>Jan</c:v>
                  </c:pt>
                  <c:pt idx="13">
                    <c:v>Feb</c:v>
                  </c:pt>
                  <c:pt idx="14">
                    <c:v>Mar</c:v>
                  </c:pt>
                  <c:pt idx="15">
                    <c:v>Apr</c:v>
                  </c:pt>
                  <c:pt idx="16">
                    <c:v>May</c:v>
                  </c:pt>
                  <c:pt idx="17">
                    <c:v>Jun</c:v>
                  </c:pt>
                  <c:pt idx="18">
                    <c:v>Jul</c:v>
                  </c:pt>
                  <c:pt idx="19">
                    <c:v>Aug</c:v>
                  </c:pt>
                  <c:pt idx="20">
                    <c:v>Sept</c:v>
                  </c:pt>
                  <c:pt idx="21">
                    <c:v>Oct</c:v>
                  </c:pt>
                  <c:pt idx="22">
                    <c:v>Nov</c:v>
                  </c:pt>
                  <c:pt idx="23">
                    <c:v>Dec</c:v>
                  </c:pt>
                  <c:pt idx="24">
                    <c:v>Jan</c:v>
                  </c:pt>
                  <c:pt idx="25">
                    <c:v>Feb</c:v>
                  </c:pt>
                  <c:pt idx="26">
                    <c:v>Mar</c:v>
                  </c:pt>
                  <c:pt idx="27">
                    <c:v>Apr</c:v>
                  </c:pt>
                  <c:pt idx="28">
                    <c:v>May</c:v>
                  </c:pt>
                  <c:pt idx="29">
                    <c:v>Jun</c:v>
                  </c:pt>
                  <c:pt idx="30">
                    <c:v>Jul</c:v>
                  </c:pt>
                  <c:pt idx="31">
                    <c:v>Aug</c:v>
                  </c:pt>
                  <c:pt idx="32">
                    <c:v>Sept</c:v>
                  </c:pt>
                </c:lvl>
                <c:lvl>
                  <c:pt idx="0">
                    <c:v>2023</c:v>
                  </c:pt>
                  <c:pt idx="12">
                    <c:v>2024</c:v>
                  </c:pt>
                  <c:pt idx="24">
                    <c:v>2025</c:v>
                  </c:pt>
                </c:lvl>
              </c:multiLvlStrCache>
            </c:multiLvlStrRef>
          </c:cat>
          <c:val>
            <c:numRef>
              <c:f>'Revenue by Month'!$B$4:$B$40</c:f>
              <c:numCache>
                <c:formatCode>General</c:formatCode>
                <c:ptCount val="33"/>
                <c:pt idx="0">
                  <c:v>151883.44939999998</c:v>
                </c:pt>
                <c:pt idx="1">
                  <c:v>433788.64049000002</c:v>
                </c:pt>
                <c:pt idx="2">
                  <c:v>215576.67437999998</c:v>
                </c:pt>
                <c:pt idx="3">
                  <c:v>371604.58273999998</c:v>
                </c:pt>
                <c:pt idx="4">
                  <c:v>470192.17181999993</c:v>
                </c:pt>
                <c:pt idx="5">
                  <c:v>236474.06157000002</c:v>
                </c:pt>
                <c:pt idx="6">
                  <c:v>560860.55604000005</c:v>
                </c:pt>
                <c:pt idx="7">
                  <c:v>339044.67038999998</c:v>
                </c:pt>
                <c:pt idx="8">
                  <c:v>141266.51418999999</c:v>
                </c:pt>
                <c:pt idx="9">
                  <c:v>246114.84045000005</c:v>
                </c:pt>
                <c:pt idx="10">
                  <c:v>127009.5058</c:v>
                </c:pt>
                <c:pt idx="11">
                  <c:v>382101.36679999996</c:v>
                </c:pt>
                <c:pt idx="12">
                  <c:v>299100.37307999993</c:v>
                </c:pt>
                <c:pt idx="13">
                  <c:v>307793.71461999998</c:v>
                </c:pt>
                <c:pt idx="14">
                  <c:v>374300.10980999999</c:v>
                </c:pt>
                <c:pt idx="15">
                  <c:v>239506.82713999998</c:v>
                </c:pt>
                <c:pt idx="16">
                  <c:v>416985.76566999999</c:v>
                </c:pt>
                <c:pt idx="17">
                  <c:v>634490.72337999998</c:v>
                </c:pt>
                <c:pt idx="18">
                  <c:v>275628.61963000003</c:v>
                </c:pt>
                <c:pt idx="19">
                  <c:v>384156.19037999999</c:v>
                </c:pt>
                <c:pt idx="20">
                  <c:v>347613.18766999996</c:v>
                </c:pt>
                <c:pt idx="21">
                  <c:v>417732.48301000003</c:v>
                </c:pt>
                <c:pt idx="22">
                  <c:v>416944.18554999994</c:v>
                </c:pt>
                <c:pt idx="23">
                  <c:v>354378.93715999997</c:v>
                </c:pt>
                <c:pt idx="24">
                  <c:v>223498.20032</c:v>
                </c:pt>
                <c:pt idx="25">
                  <c:v>221608.49787000005</c:v>
                </c:pt>
                <c:pt idx="26">
                  <c:v>209425.98853999999</c:v>
                </c:pt>
                <c:pt idx="27">
                  <c:v>336135.16749999998</c:v>
                </c:pt>
                <c:pt idx="28">
                  <c:v>375723.96025999996</c:v>
                </c:pt>
                <c:pt idx="29">
                  <c:v>382009.37595999998</c:v>
                </c:pt>
                <c:pt idx="30">
                  <c:v>486970.83348000003</c:v>
                </c:pt>
                <c:pt idx="31">
                  <c:v>366808.72249999997</c:v>
                </c:pt>
                <c:pt idx="32">
                  <c:v>172279.72760000001</c:v>
                </c:pt>
              </c:numCache>
            </c:numRef>
          </c:val>
          <c:smooth val="0"/>
          <c:extLst>
            <c:ext xmlns:c16="http://schemas.microsoft.com/office/drawing/2014/chart" uri="{C3380CC4-5D6E-409C-BE32-E72D297353CC}">
              <c16:uniqueId val="{00000000-A91D-434B-9027-0875C615B29A}"/>
            </c:ext>
          </c:extLst>
        </c:ser>
        <c:dLbls>
          <c:showLegendKey val="0"/>
          <c:showVal val="0"/>
          <c:showCatName val="0"/>
          <c:showSerName val="0"/>
          <c:showPercent val="0"/>
          <c:showBubbleSize val="0"/>
        </c:dLbls>
        <c:smooth val="0"/>
        <c:axId val="37619952"/>
        <c:axId val="37630352"/>
      </c:lineChart>
      <c:catAx>
        <c:axId val="37619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30352"/>
        <c:crosses val="autoZero"/>
        <c:auto val="1"/>
        <c:lblAlgn val="ctr"/>
        <c:lblOffset val="100"/>
        <c:noMultiLvlLbl val="0"/>
      </c:catAx>
      <c:valAx>
        <c:axId val="376303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19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[Sales-Operations-Analytics-Workings.xlsx]Profit by region!PivotTable12</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Profit By Region</a:t>
            </a:r>
            <a:r>
              <a:rPr lang="en-US" b="1" baseline="0"/>
              <a:t> &amp; Channel</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stacked"/>
        <c:varyColors val="0"/>
        <c:ser>
          <c:idx val="0"/>
          <c:order val="0"/>
          <c:tx>
            <c:strRef>
              <c:f>'Profit by region'!$B$3</c:f>
              <c:strCache>
                <c:ptCount val="1"/>
                <c:pt idx="0">
                  <c:v>Total</c:v>
                </c:pt>
              </c:strCache>
            </c:strRef>
          </c:tx>
          <c:spPr>
            <a:solidFill>
              <a:schemeClr val="accent1"/>
            </a:solidFill>
            <a:ln>
              <a:noFill/>
            </a:ln>
            <a:effectLst/>
          </c:spPr>
          <c:invertIfNegative val="0"/>
          <c:cat>
            <c:multiLvlStrRef>
              <c:f>'Profit by region'!$A$4:$A$32</c:f>
              <c:multiLvlStrCache>
                <c:ptCount val="24"/>
                <c:lvl>
                  <c:pt idx="0">
                    <c:v>Direct</c:v>
                  </c:pt>
                  <c:pt idx="1">
                    <c:v>Distributor</c:v>
                  </c:pt>
                  <c:pt idx="2">
                    <c:v>Marketplace</c:v>
                  </c:pt>
                  <c:pt idx="3">
                    <c:v>Online</c:v>
                  </c:pt>
                  <c:pt idx="4">
                    <c:v>Retail</c:v>
                  </c:pt>
                  <c:pt idx="5">
                    <c:v>Unspecified</c:v>
                  </c:pt>
                  <c:pt idx="6">
                    <c:v>Direct</c:v>
                  </c:pt>
                  <c:pt idx="7">
                    <c:v>Distributor</c:v>
                  </c:pt>
                  <c:pt idx="8">
                    <c:v>Marketplace</c:v>
                  </c:pt>
                  <c:pt idx="9">
                    <c:v>Online</c:v>
                  </c:pt>
                  <c:pt idx="10">
                    <c:v>Retail</c:v>
                  </c:pt>
                  <c:pt idx="11">
                    <c:v>Unspecified</c:v>
                  </c:pt>
                  <c:pt idx="12">
                    <c:v>Direct</c:v>
                  </c:pt>
                  <c:pt idx="13">
                    <c:v>Distributor</c:v>
                  </c:pt>
                  <c:pt idx="14">
                    <c:v>Marketplace</c:v>
                  </c:pt>
                  <c:pt idx="15">
                    <c:v>Online</c:v>
                  </c:pt>
                  <c:pt idx="16">
                    <c:v>Retail</c:v>
                  </c:pt>
                  <c:pt idx="17">
                    <c:v>Unspecified</c:v>
                  </c:pt>
                  <c:pt idx="18">
                    <c:v>Direct</c:v>
                  </c:pt>
                  <c:pt idx="19">
                    <c:v>Distributor</c:v>
                  </c:pt>
                  <c:pt idx="20">
                    <c:v>Marketplace</c:v>
                  </c:pt>
                  <c:pt idx="21">
                    <c:v>Online</c:v>
                  </c:pt>
                  <c:pt idx="22">
                    <c:v>Retail</c:v>
                  </c:pt>
                  <c:pt idx="23">
                    <c:v>Unspecified</c:v>
                  </c:pt>
                </c:lvl>
                <c:lvl>
                  <c:pt idx="0">
                    <c:v>Africa</c:v>
                  </c:pt>
                  <c:pt idx="6">
                    <c:v>Americas</c:v>
                  </c:pt>
                  <c:pt idx="12">
                    <c:v>Asia</c:v>
                  </c:pt>
                  <c:pt idx="18">
                    <c:v>Europe</c:v>
                  </c:pt>
                </c:lvl>
              </c:multiLvlStrCache>
            </c:multiLvlStrRef>
          </c:cat>
          <c:val>
            <c:numRef>
              <c:f>'Profit by region'!$B$4:$B$32</c:f>
              <c:numCache>
                <c:formatCode>[$KES]\ #,##0.00</c:formatCode>
                <c:ptCount val="24"/>
                <c:pt idx="0">
                  <c:v>178727.35370000001</c:v>
                </c:pt>
                <c:pt idx="1">
                  <c:v>202729.86446999994</c:v>
                </c:pt>
                <c:pt idx="2">
                  <c:v>164839.30456000002</c:v>
                </c:pt>
                <c:pt idx="3">
                  <c:v>145453.94626999999</c:v>
                </c:pt>
                <c:pt idx="4">
                  <c:v>141171.08467000001</c:v>
                </c:pt>
                <c:pt idx="5">
                  <c:v>16237.344230000001</c:v>
                </c:pt>
                <c:pt idx="6">
                  <c:v>258674.92591000005</c:v>
                </c:pt>
                <c:pt idx="7">
                  <c:v>175736.86191999997</c:v>
                </c:pt>
                <c:pt idx="8">
                  <c:v>96609.64751999997</c:v>
                </c:pt>
                <c:pt idx="9">
                  <c:v>261943.84436999995</c:v>
                </c:pt>
                <c:pt idx="10">
                  <c:v>69035.70921999999</c:v>
                </c:pt>
                <c:pt idx="11">
                  <c:v>777.95999999999913</c:v>
                </c:pt>
                <c:pt idx="12">
                  <c:v>229541.94635999991</c:v>
                </c:pt>
                <c:pt idx="13">
                  <c:v>151146.74599000002</c:v>
                </c:pt>
                <c:pt idx="14">
                  <c:v>132709.51273000002</c:v>
                </c:pt>
                <c:pt idx="15">
                  <c:v>149042.38969000001</c:v>
                </c:pt>
                <c:pt idx="16">
                  <c:v>158051.77209000004</c:v>
                </c:pt>
                <c:pt idx="17">
                  <c:v>20547.545489999997</c:v>
                </c:pt>
                <c:pt idx="18">
                  <c:v>292716.95204000006</c:v>
                </c:pt>
                <c:pt idx="19">
                  <c:v>105550.85219999998</c:v>
                </c:pt>
                <c:pt idx="20">
                  <c:v>111692.81025000002</c:v>
                </c:pt>
                <c:pt idx="21">
                  <c:v>200067.16277</c:v>
                </c:pt>
                <c:pt idx="22">
                  <c:v>151779.17228999996</c:v>
                </c:pt>
                <c:pt idx="23">
                  <c:v>8028.7064599999994</c:v>
                </c:pt>
              </c:numCache>
            </c:numRef>
          </c:val>
          <c:extLst>
            <c:ext xmlns:c16="http://schemas.microsoft.com/office/drawing/2014/chart" uri="{C3380CC4-5D6E-409C-BE32-E72D297353CC}">
              <c16:uniqueId val="{00000000-EB62-47CD-9CE7-764CB8A28842}"/>
            </c:ext>
          </c:extLst>
        </c:ser>
        <c:dLbls>
          <c:showLegendKey val="0"/>
          <c:showVal val="0"/>
          <c:showCatName val="0"/>
          <c:showSerName val="0"/>
          <c:showPercent val="0"/>
          <c:showBubbleSize val="0"/>
        </c:dLbls>
        <c:gapWidth val="150"/>
        <c:overlap val="100"/>
        <c:axId val="334846192"/>
        <c:axId val="615052448"/>
      </c:barChart>
      <c:catAx>
        <c:axId val="334846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15052448"/>
        <c:crosses val="autoZero"/>
        <c:auto val="1"/>
        <c:lblAlgn val="ctr"/>
        <c:lblOffset val="100"/>
        <c:noMultiLvlLbl val="0"/>
      </c:catAx>
      <c:valAx>
        <c:axId val="615052448"/>
        <c:scaling>
          <c:orientation val="minMax"/>
        </c:scaling>
        <c:delete val="0"/>
        <c:axPos val="l"/>
        <c:majorGridlines>
          <c:spPr>
            <a:ln w="9525" cap="flat" cmpd="sng" algn="ctr">
              <a:solidFill>
                <a:schemeClr val="tx1">
                  <a:lumMod val="15000"/>
                  <a:lumOff val="85000"/>
                </a:schemeClr>
              </a:solidFill>
              <a:round/>
            </a:ln>
            <a:effectLst/>
          </c:spPr>
        </c:majorGridlines>
        <c:numFmt formatCode="[$KES]\ #,##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348461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 SKUs by Revenue</a:t>
            </a:r>
          </a:p>
        </c:rich>
      </c:tx>
      <c:layout>
        <c:manualLayout>
          <c:xMode val="edge"/>
          <c:yMode val="edge"/>
          <c:x val="0.3517662678491556"/>
          <c:y val="1.596806387225548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'ABC Analysis'!$D$4:$D$13</c:f>
              <c:strCache>
                <c:ptCount val="10"/>
                <c:pt idx="0">
                  <c:v>CMP-8851</c:v>
                </c:pt>
                <c:pt idx="1">
                  <c:v>NET-2365</c:v>
                </c:pt>
                <c:pt idx="2">
                  <c:v>LAP-8910</c:v>
                </c:pt>
                <c:pt idx="3">
                  <c:v>MON-6962</c:v>
                </c:pt>
                <c:pt idx="4">
                  <c:v>MON-2266</c:v>
                </c:pt>
                <c:pt idx="5">
                  <c:v>MON-6699</c:v>
                </c:pt>
                <c:pt idx="6">
                  <c:v>CMP-3938</c:v>
                </c:pt>
                <c:pt idx="7">
                  <c:v>LAP-3904</c:v>
                </c:pt>
                <c:pt idx="8">
                  <c:v>NET-5987</c:v>
                </c:pt>
                <c:pt idx="9">
                  <c:v>NET-5523</c:v>
                </c:pt>
              </c:strCache>
            </c:strRef>
          </c:cat>
          <c:val>
            <c:numRef>
              <c:f>'ABC Analysis'!$E$4:$E$13</c:f>
              <c:numCache>
                <c:formatCode>[$KES]\ #,##0.00</c:formatCode>
                <c:ptCount val="10"/>
                <c:pt idx="0">
                  <c:v>139277.83032000001</c:v>
                </c:pt>
                <c:pt idx="1">
                  <c:v>109244</c:v>
                </c:pt>
                <c:pt idx="2">
                  <c:v>102122.94203999999</c:v>
                </c:pt>
                <c:pt idx="3">
                  <c:v>92715.25</c:v>
                </c:pt>
                <c:pt idx="4">
                  <c:v>87404.929919999995</c:v>
                </c:pt>
                <c:pt idx="5">
                  <c:v>85637.740319999997</c:v>
                </c:pt>
                <c:pt idx="6">
                  <c:v>84136.119600000005</c:v>
                </c:pt>
                <c:pt idx="7">
                  <c:v>82514.711519999997</c:v>
                </c:pt>
                <c:pt idx="8">
                  <c:v>82141.339799999987</c:v>
                </c:pt>
                <c:pt idx="9">
                  <c:v>79548.755999999994</c:v>
                </c:pt>
              </c:numCache>
            </c:numRef>
          </c:val>
          <c:extLst>
            <c:ext xmlns:c16="http://schemas.microsoft.com/office/drawing/2014/chart" uri="{C3380CC4-5D6E-409C-BE32-E72D297353CC}">
              <c16:uniqueId val="{00000000-A4AE-4900-B813-DF33810F0184}"/>
            </c:ext>
          </c:extLst>
        </c:ser>
        <c:dLbls>
          <c:showLegendKey val="0"/>
          <c:showVal val="0"/>
          <c:showCatName val="0"/>
          <c:showSerName val="0"/>
          <c:showPercent val="0"/>
          <c:showBubbleSize val="0"/>
        </c:dLbls>
        <c:gapWidth val="182"/>
        <c:axId val="423481488"/>
        <c:axId val="313126720"/>
      </c:barChart>
      <c:catAx>
        <c:axId val="42348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3126720"/>
        <c:crosses val="autoZero"/>
        <c:auto val="1"/>
        <c:lblAlgn val="ctr"/>
        <c:lblOffset val="100"/>
        <c:noMultiLvlLbl val="0"/>
      </c:catAx>
      <c:valAx>
        <c:axId val="313126720"/>
        <c:scaling>
          <c:orientation val="minMax"/>
        </c:scaling>
        <c:delete val="1"/>
        <c:axPos val="b"/>
        <c:majorGridlines>
          <c:spPr>
            <a:ln w="9525" cap="flat" cmpd="sng" algn="ctr">
              <a:solidFill>
                <a:schemeClr val="tx1">
                  <a:lumMod val="15000"/>
                  <a:lumOff val="85000"/>
                </a:schemeClr>
              </a:solidFill>
              <a:round/>
            </a:ln>
            <a:effectLst/>
          </c:spPr>
        </c:majorGridlines>
        <c:numFmt formatCode="[$KES]\ #,##0.00" sourceLinked="1"/>
        <c:majorTickMark val="none"/>
        <c:minorTickMark val="none"/>
        <c:tickLblPos val="nextTo"/>
        <c:crossAx val="4234814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[Sales-Operations-Analytics-Workings.xlsx]ABC 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baseline="0">
                <a:effectLst/>
              </a:rPr>
              <a:t>Top 10 SKUs by Revenue</a:t>
            </a:r>
            <a:endParaRPr lang="en-US">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'ABC Analysis'!$B$3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'ABC Analysis'!$A$4:$A$14</c:f>
              <c:strCache>
                <c:ptCount val="10"/>
                <c:pt idx="0">
                  <c:v>CMP-8851</c:v>
                </c:pt>
                <c:pt idx="1">
                  <c:v>NET-2365</c:v>
                </c:pt>
                <c:pt idx="2">
                  <c:v>LAP-8910</c:v>
                </c:pt>
                <c:pt idx="3">
                  <c:v>MON-6962</c:v>
                </c:pt>
                <c:pt idx="4">
                  <c:v>MON-2266</c:v>
                </c:pt>
                <c:pt idx="5">
                  <c:v>MON-6699</c:v>
                </c:pt>
                <c:pt idx="6">
                  <c:v>CMP-3938</c:v>
                </c:pt>
                <c:pt idx="7">
                  <c:v>LAP-3904</c:v>
                </c:pt>
                <c:pt idx="8">
                  <c:v>NET-5987</c:v>
                </c:pt>
                <c:pt idx="9">
                  <c:v>NET-5523</c:v>
                </c:pt>
              </c:strCache>
            </c:strRef>
          </c:cat>
          <c:val>
            <c:numRef>
              <c:f>'ABC Analysis'!$B$4:$B$14</c:f>
              <c:numCache>
                <c:formatCode>[$KES]\ #,##0.00</c:formatCode>
                <c:ptCount val="10"/>
                <c:pt idx="0">
                  <c:v>139277.83032000001</c:v>
                </c:pt>
                <c:pt idx="1">
                  <c:v>109244</c:v>
                </c:pt>
                <c:pt idx="2">
                  <c:v>102122.94203999999</c:v>
                </c:pt>
                <c:pt idx="3">
                  <c:v>92715.25</c:v>
                </c:pt>
                <c:pt idx="4">
                  <c:v>87404.929919999995</c:v>
                </c:pt>
                <c:pt idx="5">
                  <c:v>85637.740319999997</c:v>
                </c:pt>
                <c:pt idx="6">
                  <c:v>84136.119600000005</c:v>
                </c:pt>
                <c:pt idx="7">
                  <c:v>82514.711519999997</c:v>
                </c:pt>
                <c:pt idx="8">
                  <c:v>82141.339799999987</c:v>
                </c:pt>
                <c:pt idx="9">
                  <c:v>79548.755999999994</c:v>
                </c:pt>
              </c:numCache>
            </c:numRef>
          </c:val>
          <c:extLst>
            <c:ext xmlns:c16="http://schemas.microsoft.com/office/drawing/2014/chart" uri="{C3380CC4-5D6E-409C-BE32-E72D297353CC}">
              <c16:uniqueId val="{00000000-83F4-472D-97A8-3946CA91DC0A}"/>
            </c:ext>
          </c:extLst>
        </c:ser>
        <c:dLbls>
          <c:showLegendKey val="0"/>
          <c:showVal val="0"/>
          <c:showCatName val="0"/>
          <c:showSerName val="0"/>
          <c:showPercent val="0"/>
          <c:showBubbleSize val="0"/>
        </c:dLbls>
        <c:gapWidth val="182"/>
        <c:axId val="555973024"/>
        <c:axId val="312045552"/>
      </c:barChart>
      <c:catAx>
        <c:axId val="555973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2045552"/>
        <c:crosses val="autoZero"/>
        <c:auto val="1"/>
        <c:lblAlgn val="ctr"/>
        <c:lblOffset val="100"/>
        <c:noMultiLvlLbl val="0"/>
      </c:catAx>
      <c:valAx>
        <c:axId val="312045552"/>
        <c:scaling>
          <c:orientation val="minMax"/>
        </c:scaling>
        <c:delete val="1"/>
        <c:axPos val="b"/>
        <c:majorGridlines>
          <c:spPr>
            <a:ln w="9525" cap="flat" cmpd="sng" algn="ctr">
              <a:solidFill>
                <a:schemeClr val="tx1">
                  <a:lumMod val="15000"/>
                  <a:lumOff val="85000"/>
                </a:schemeClr>
              </a:solidFill>
              <a:round/>
            </a:ln>
            <a:effectLst/>
          </c:spPr>
        </c:majorGridlines>
        <c:numFmt formatCode="[$KES]\ #,##0.00" sourceLinked="1"/>
        <c:majorTickMark val="none"/>
        <c:minorTickMark val="none"/>
        <c:tickLblPos val="nextTo"/>
        <c:crossAx val="5559730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Sheet1!$H$3</c:f>
              <c:strCache>
                <c:ptCount val="1"/>
                <c:pt idx="0">
                  <c:v>Average of DiscountPct</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strRef>
              <c:f>Sheet1!$G$4:$G$15</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xVal>
          <c:yVal>
            <c:numRef>
              <c:f>Sheet1!$H$4:$H$15</c:f>
              <c:numCache>
                <c:formatCode>0%</c:formatCode>
                <c:ptCount val="12"/>
                <c:pt idx="0">
                  <c:v>0.12148387096774195</c:v>
                </c:pt>
                <c:pt idx="1">
                  <c:v>0.12322727272727278</c:v>
                </c:pt>
                <c:pt idx="2">
                  <c:v>0.11176470588235293</c:v>
                </c:pt>
                <c:pt idx="3">
                  <c:v>0.1113703703703704</c:v>
                </c:pt>
                <c:pt idx="4">
                  <c:v>0.11566666666666665</c:v>
                </c:pt>
                <c:pt idx="5">
                  <c:v>0.13293333333333332</c:v>
                </c:pt>
                <c:pt idx="6">
                  <c:v>0.13186440677966099</c:v>
                </c:pt>
                <c:pt idx="7">
                  <c:v>0.12455357142857146</c:v>
                </c:pt>
                <c:pt idx="8">
                  <c:v>0.11254545454545456</c:v>
                </c:pt>
                <c:pt idx="9">
                  <c:v>0.12015555555555552</c:v>
                </c:pt>
                <c:pt idx="10">
                  <c:v>0.11749999999999999</c:v>
                </c:pt>
                <c:pt idx="11">
                  <c:v>0.12664705882352942</c:v>
                </c:pt>
              </c:numCache>
            </c:numRef>
          </c:yVal>
          <c:smooth val="1"/>
          <c:extLst>
            <c:ext xmlns:c16="http://schemas.microsoft.com/office/drawing/2014/chart" uri="{C3380CC4-5D6E-409C-BE32-E72D297353CC}">
              <c16:uniqueId val="{00000000-F543-4898-8ECE-656F49C133B6}"/>
            </c:ext>
          </c:extLst>
        </c:ser>
        <c:ser>
          <c:idx val="1"/>
          <c:order val="1"/>
          <c:tx>
            <c:strRef>
              <c:f>Sheet1!$I$3</c:f>
              <c:strCache>
                <c:ptCount val="1"/>
                <c:pt idx="0">
                  <c:v>Max of DiscountPct</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strRef>
              <c:f>Sheet1!$G$4:$G$15</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xVal>
          <c:yVal>
            <c:numRef>
              <c:f>Sheet1!$I$4:$I$15</c:f>
              <c:numCache>
                <c:formatCode>0%</c:formatCode>
                <c:ptCount val="12"/>
                <c:pt idx="0">
                  <c:v>0.34599999999999997</c:v>
                </c:pt>
                <c:pt idx="1">
                  <c:v>0.29199999999999998</c:v>
                </c:pt>
                <c:pt idx="2">
                  <c:v>0.35699999999999998</c:v>
                </c:pt>
                <c:pt idx="3">
                  <c:v>0.254</c:v>
                </c:pt>
                <c:pt idx="4">
                  <c:v>0.29199999999999998</c:v>
                </c:pt>
                <c:pt idx="5">
                  <c:v>0.314</c:v>
                </c:pt>
                <c:pt idx="6">
                  <c:v>0.317</c:v>
                </c:pt>
                <c:pt idx="7">
                  <c:v>0.56499999999999995</c:v>
                </c:pt>
                <c:pt idx="8">
                  <c:v>0.25</c:v>
                </c:pt>
                <c:pt idx="9">
                  <c:v>0.34300000000000003</c:v>
                </c:pt>
                <c:pt idx="10">
                  <c:v>0.25700000000000001</c:v>
                </c:pt>
                <c:pt idx="11">
                  <c:v>0.28199999999999997</c:v>
                </c:pt>
              </c:numCache>
            </c:numRef>
          </c:yVal>
          <c:smooth val="1"/>
          <c:extLst>
            <c:ext xmlns:c16="http://schemas.microsoft.com/office/drawing/2014/chart" uri="{C3380CC4-5D6E-409C-BE32-E72D297353CC}">
              <c16:uniqueId val="{00000001-F543-4898-8ECE-656F49C133B6}"/>
            </c:ext>
          </c:extLst>
        </c:ser>
        <c:ser>
          <c:idx val="2"/>
          <c:order val="2"/>
          <c:tx>
            <c:strRef>
              <c:f>Sheet1!$J$3</c:f>
              <c:strCache>
                <c:ptCount val="1"/>
                <c:pt idx="0">
                  <c:v>Min of DiscountPct</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strRef>
              <c:f>Sheet1!$G$4:$G$15</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xVal>
          <c:yVal>
            <c:numRef>
              <c:f>Sheet1!$J$4:$J$15</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yVal>
          <c:smooth val="1"/>
          <c:extLst>
            <c:ext xmlns:c16="http://schemas.microsoft.com/office/drawing/2014/chart" uri="{C3380CC4-5D6E-409C-BE32-E72D297353CC}">
              <c16:uniqueId val="{00000002-F543-4898-8ECE-656F49C133B6}"/>
            </c:ext>
          </c:extLst>
        </c:ser>
        <c:dLbls>
          <c:showLegendKey val="0"/>
          <c:showVal val="0"/>
          <c:showCatName val="0"/>
          <c:showSerName val="0"/>
          <c:showPercent val="0"/>
          <c:showBubbleSize val="0"/>
        </c:dLbls>
        <c:axId val="1047942575"/>
        <c:axId val="1146869087"/>
      </c:scatterChart>
      <c:valAx>
        <c:axId val="1047942575"/>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869087"/>
        <c:crosses val="autoZero"/>
        <c:crossBetween val="midCat"/>
      </c:valAx>
      <c:valAx>
        <c:axId val="114686908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7942575"/>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Discount Outliers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'Staging data'!$Q$1</c:f>
              <c:strCache>
                <c:ptCount val="1"/>
                <c:pt idx="0">
                  <c:v>CorrectDiscountPct</c:v>
                </c:pt>
              </c:strCache>
            </c:strRef>
          </c:tx>
          <c:spPr>
            <a:ln w="28575" cap="rnd">
              <a:noFill/>
              <a:round/>
            </a:ln>
            <a:effectLst/>
          </c:spPr>
          <c:marker>
            <c:symbol val="circle"/>
            <c:size val="5"/>
            <c:spPr>
              <a:solidFill>
                <a:schemeClr val="accent1"/>
              </a:solidFill>
              <a:ln w="9525">
                <a:solidFill>
                  <a:schemeClr val="accent1"/>
                </a:solidFill>
              </a:ln>
              <a:effectLst/>
            </c:spPr>
          </c:marker>
          <c:yVal>
            <c:numRef>
              <c:f>'Staging data'!$Q$2:$Q$632</c:f>
              <c:numCache>
                <c:formatCode>0.00</c:formatCode>
                <c:ptCount val="159"/>
                <c:pt idx="0">
                  <c:v>0.23899999999999999</c:v>
                </c:pt>
                <c:pt idx="1">
                  <c:v>4.2000000000000003E-2</c:v>
                </c:pt>
                <c:pt idx="2">
                  <c:v>0.188</c:v>
                </c:pt>
                <c:pt idx="3">
                  <c:v>0.13900000000000001</c:v>
                </c:pt>
                <c:pt idx="4">
                  <c:v>4.7E-2</c:v>
                </c:pt>
                <c:pt idx="5">
                  <c:v>0.14599999999999999</c:v>
                </c:pt>
                <c:pt idx="6">
                  <c:v>0.184</c:v>
                </c:pt>
                <c:pt idx="7">
                  <c:v>5.6000000000000001E-2</c:v>
                </c:pt>
                <c:pt idx="8">
                  <c:v>0.222</c:v>
                </c:pt>
                <c:pt idx="9">
                  <c:v>0.20699999999999999</c:v>
                </c:pt>
                <c:pt idx="10">
                  <c:v>0</c:v>
                </c:pt>
                <c:pt idx="11">
                  <c:v>6.7000000000000004E-2</c:v>
                </c:pt>
                <c:pt idx="12">
                  <c:v>0.115</c:v>
                </c:pt>
                <c:pt idx="13">
                  <c:v>0</c:v>
                </c:pt>
                <c:pt idx="14">
                  <c:v>0.19700000000000001</c:v>
                </c:pt>
                <c:pt idx="15">
                  <c:v>0.129</c:v>
                </c:pt>
                <c:pt idx="16">
                  <c:v>0.186</c:v>
                </c:pt>
                <c:pt idx="17">
                  <c:v>0.125</c:v>
                </c:pt>
                <c:pt idx="18">
                  <c:v>2.8000000000000001E-2</c:v>
                </c:pt>
                <c:pt idx="19">
                  <c:v>6.9000000000000006E-2</c:v>
                </c:pt>
                <c:pt idx="20">
                  <c:v>8.4000000000000005E-2</c:v>
                </c:pt>
                <c:pt idx="21">
                  <c:v>0.14599999999999999</c:v>
                </c:pt>
                <c:pt idx="22">
                  <c:v>3.7999999999999999E-2</c:v>
                </c:pt>
                <c:pt idx="23">
                  <c:v>0.19700000000000001</c:v>
                </c:pt>
                <c:pt idx="24">
                  <c:v>8.8999999999999996E-2</c:v>
                </c:pt>
                <c:pt idx="25">
                  <c:v>0.23899999999999999</c:v>
                </c:pt>
                <c:pt idx="26">
                  <c:v>0.13800000000000001</c:v>
                </c:pt>
                <c:pt idx="27">
                  <c:v>0.254</c:v>
                </c:pt>
                <c:pt idx="28">
                  <c:v>0</c:v>
                </c:pt>
                <c:pt idx="29">
                  <c:v>7.5999999999999998E-2</c:v>
                </c:pt>
                <c:pt idx="30">
                  <c:v>0</c:v>
                </c:pt>
                <c:pt idx="31">
                  <c:v>4.0000000000000001E-3</c:v>
                </c:pt>
                <c:pt idx="32">
                  <c:v>0.14799999999999999</c:v>
                </c:pt>
                <c:pt idx="33">
                  <c:v>0.122</c:v>
                </c:pt>
                <c:pt idx="34">
                  <c:v>4.5999999999999999E-2</c:v>
                </c:pt>
                <c:pt idx="35">
                  <c:v>0.104</c:v>
                </c:pt>
                <c:pt idx="36">
                  <c:v>0.13500000000000001</c:v>
                </c:pt>
                <c:pt idx="37">
                  <c:v>0.24299999999999999</c:v>
                </c:pt>
                <c:pt idx="38">
                  <c:v>0.152</c:v>
                </c:pt>
                <c:pt idx="39">
                  <c:v>6.8000000000000005E-2</c:v>
                </c:pt>
                <c:pt idx="40">
                  <c:v>0.13900000000000001</c:v>
                </c:pt>
                <c:pt idx="41">
                  <c:v>8.9999999999999993E-3</c:v>
                </c:pt>
                <c:pt idx="42">
                  <c:v>0.11899999999999999</c:v>
                </c:pt>
                <c:pt idx="43">
                  <c:v>0.16500000000000001</c:v>
                </c:pt>
                <c:pt idx="44">
                  <c:v>0.112</c:v>
                </c:pt>
                <c:pt idx="45">
                  <c:v>0.189</c:v>
                </c:pt>
                <c:pt idx="46">
                  <c:v>7.4999999999999997E-2</c:v>
                </c:pt>
                <c:pt idx="47">
                  <c:v>7.8E-2</c:v>
                </c:pt>
                <c:pt idx="48">
                  <c:v>0.20499999999999999</c:v>
                </c:pt>
                <c:pt idx="49">
                  <c:v>0.08</c:v>
                </c:pt>
                <c:pt idx="50">
                  <c:v>0.09</c:v>
                </c:pt>
                <c:pt idx="51">
                  <c:v>0.151</c:v>
                </c:pt>
                <c:pt idx="52">
                  <c:v>0.17399999999999999</c:v>
                </c:pt>
                <c:pt idx="53">
                  <c:v>0.123</c:v>
                </c:pt>
                <c:pt idx="54">
                  <c:v>0.23</c:v>
                </c:pt>
                <c:pt idx="55">
                  <c:v>0.113</c:v>
                </c:pt>
                <c:pt idx="56">
                  <c:v>0.11</c:v>
                </c:pt>
                <c:pt idx="57">
                  <c:v>1.2E-2</c:v>
                </c:pt>
                <c:pt idx="58">
                  <c:v>7.2999999999999995E-2</c:v>
                </c:pt>
                <c:pt idx="59">
                  <c:v>0.25700000000000001</c:v>
                </c:pt>
                <c:pt idx="60">
                  <c:v>0.13200000000000001</c:v>
                </c:pt>
                <c:pt idx="61">
                  <c:v>2.5000000000000001E-2</c:v>
                </c:pt>
                <c:pt idx="62">
                  <c:v>3.2000000000000001E-2</c:v>
                </c:pt>
                <c:pt idx="63">
                  <c:v>0.13500000000000001</c:v>
                </c:pt>
                <c:pt idx="64">
                  <c:v>0.109</c:v>
                </c:pt>
                <c:pt idx="65">
                  <c:v>7.8E-2</c:v>
                </c:pt>
                <c:pt idx="66">
                  <c:v>5.8000000000000003E-2</c:v>
                </c:pt>
                <c:pt idx="67">
                  <c:v>0.126</c:v>
                </c:pt>
                <c:pt idx="68">
                  <c:v>0.18</c:v>
                </c:pt>
                <c:pt idx="69">
                  <c:v>3.7999999999999999E-2</c:v>
                </c:pt>
                <c:pt idx="70">
                  <c:v>0.14899999999999999</c:v>
                </c:pt>
                <c:pt idx="71">
                  <c:v>0.115</c:v>
                </c:pt>
                <c:pt idx="72">
                  <c:v>0.126</c:v>
                </c:pt>
                <c:pt idx="73">
                  <c:v>0.216</c:v>
                </c:pt>
                <c:pt idx="74">
                  <c:v>0.17100000000000001</c:v>
                </c:pt>
                <c:pt idx="75">
                  <c:v>0.182</c:v>
                </c:pt>
                <c:pt idx="76">
                  <c:v>0.16300000000000001</c:v>
                </c:pt>
                <c:pt idx="77">
                  <c:v>0</c:v>
                </c:pt>
                <c:pt idx="78">
                  <c:v>0.21099999999999999</c:v>
                </c:pt>
                <c:pt idx="79">
                  <c:v>6.0000000000000001E-3</c:v>
                </c:pt>
                <c:pt idx="80">
                  <c:v>0.22600000000000001</c:v>
                </c:pt>
                <c:pt idx="81">
                  <c:v>0.154</c:v>
                </c:pt>
                <c:pt idx="82">
                  <c:v>0.14299999999999999</c:v>
                </c:pt>
                <c:pt idx="83">
                  <c:v>0.16700000000000001</c:v>
                </c:pt>
                <c:pt idx="84">
                  <c:v>0</c:v>
                </c:pt>
                <c:pt idx="85">
                  <c:v>0.155</c:v>
                </c:pt>
                <c:pt idx="86">
                  <c:v>0.19600000000000001</c:v>
                </c:pt>
                <c:pt idx="87">
                  <c:v>8.8999999999999996E-2</c:v>
                </c:pt>
                <c:pt idx="88">
                  <c:v>0.22</c:v>
                </c:pt>
                <c:pt idx="89">
                  <c:v>8.8999999999999996E-2</c:v>
                </c:pt>
                <c:pt idx="90">
                  <c:v>0.186</c:v>
                </c:pt>
                <c:pt idx="91">
                  <c:v>6.6000000000000003E-2</c:v>
                </c:pt>
                <c:pt idx="92">
                  <c:v>6.8000000000000005E-2</c:v>
                </c:pt>
                <c:pt idx="93">
                  <c:v>4.2000000000000003E-2</c:v>
                </c:pt>
                <c:pt idx="94">
                  <c:v>0.127</c:v>
                </c:pt>
                <c:pt idx="95">
                  <c:v>8.7999999999999995E-2</c:v>
                </c:pt>
                <c:pt idx="96">
                  <c:v>5.5E-2</c:v>
                </c:pt>
                <c:pt idx="97">
                  <c:v>0.17699999999999999</c:v>
                </c:pt>
                <c:pt idx="98">
                  <c:v>0</c:v>
                </c:pt>
                <c:pt idx="99">
                  <c:v>1.7999999999999999E-2</c:v>
                </c:pt>
                <c:pt idx="100">
                  <c:v>0.188</c:v>
                </c:pt>
                <c:pt idx="101">
                  <c:v>0.123</c:v>
                </c:pt>
                <c:pt idx="102">
                  <c:v>0.29199999999999998</c:v>
                </c:pt>
                <c:pt idx="103">
                  <c:v>5.2999999999999999E-2</c:v>
                </c:pt>
                <c:pt idx="104">
                  <c:v>0.10299999999999999</c:v>
                </c:pt>
                <c:pt idx="105">
                  <c:v>0.10199999999999999</c:v>
                </c:pt>
                <c:pt idx="106">
                  <c:v>0.23799999999999999</c:v>
                </c:pt>
                <c:pt idx="107">
                  <c:v>9.1999999999999998E-2</c:v>
                </c:pt>
                <c:pt idx="108">
                  <c:v>0.14699999999999999</c:v>
                </c:pt>
                <c:pt idx="109">
                  <c:v>0.01</c:v>
                </c:pt>
                <c:pt idx="110">
                  <c:v>0.109</c:v>
                </c:pt>
                <c:pt idx="111">
                  <c:v>0.17</c:v>
                </c:pt>
                <c:pt idx="112">
                  <c:v>0.185</c:v>
                </c:pt>
                <c:pt idx="113">
                  <c:v>0.184</c:v>
                </c:pt>
                <c:pt idx="114">
                  <c:v>5.8000000000000003E-2</c:v>
                </c:pt>
                <c:pt idx="115">
                  <c:v>0.113</c:v>
                </c:pt>
                <c:pt idx="116">
                  <c:v>0.17399999999999999</c:v>
                </c:pt>
                <c:pt idx="117">
                  <c:v>6.2E-2</c:v>
                </c:pt>
                <c:pt idx="118">
                  <c:v>0.17899999999999999</c:v>
                </c:pt>
                <c:pt idx="119">
                  <c:v>7.0999999999999994E-2</c:v>
                </c:pt>
                <c:pt idx="120">
                  <c:v>0.17399999999999999</c:v>
                </c:pt>
                <c:pt idx="121">
                  <c:v>0.20499999999999999</c:v>
                </c:pt>
                <c:pt idx="122">
                  <c:v>0.13200000000000001</c:v>
                </c:pt>
                <c:pt idx="123">
                  <c:v>0.10299999999999999</c:v>
                </c:pt>
                <c:pt idx="124">
                  <c:v>4.2999999999999997E-2</c:v>
                </c:pt>
                <c:pt idx="125">
                  <c:v>0.105</c:v>
                </c:pt>
                <c:pt idx="126">
                  <c:v>0</c:v>
                </c:pt>
                <c:pt idx="127">
                  <c:v>3.6999999999999998E-2</c:v>
                </c:pt>
                <c:pt idx="128">
                  <c:v>0.123</c:v>
                </c:pt>
                <c:pt idx="129">
                  <c:v>0.14399999999999999</c:v>
                </c:pt>
                <c:pt idx="130">
                  <c:v>5.8999999999999997E-2</c:v>
                </c:pt>
                <c:pt idx="131">
                  <c:v>9.4E-2</c:v>
                </c:pt>
                <c:pt idx="132">
                  <c:v>0.13800000000000001</c:v>
                </c:pt>
                <c:pt idx="133">
                  <c:v>9.0999999999999998E-2</c:v>
                </c:pt>
                <c:pt idx="134">
                  <c:v>0.13400000000000001</c:v>
                </c:pt>
                <c:pt idx="135">
                  <c:v>0.151</c:v>
                </c:pt>
                <c:pt idx="136">
                  <c:v>0.114</c:v>
                </c:pt>
                <c:pt idx="137">
                  <c:v>3.7999999999999999E-2</c:v>
                </c:pt>
                <c:pt idx="138">
                  <c:v>3.4000000000000002E-2</c:v>
                </c:pt>
                <c:pt idx="139">
                  <c:v>5.2999999999999999E-2</c:v>
                </c:pt>
                <c:pt idx="140">
                  <c:v>0.2</c:v>
                </c:pt>
                <c:pt idx="142">
                  <c:v>0.255</c:v>
                </c:pt>
                <c:pt idx="143">
                  <c:v>0.16700000000000001</c:v>
                </c:pt>
                <c:pt idx="144">
                  <c:v>0</c:v>
                </c:pt>
                <c:pt idx="145">
                  <c:v>0</c:v>
                </c:pt>
                <c:pt idx="146">
                  <c:v>3.4000000000000002E-2</c:v>
                </c:pt>
                <c:pt idx="147">
                  <c:v>0.158</c:v>
                </c:pt>
                <c:pt idx="148">
                  <c:v>0.121</c:v>
                </c:pt>
                <c:pt idx="149">
                  <c:v>9.8000000000000004E-2</c:v>
                </c:pt>
                <c:pt idx="150">
                  <c:v>0</c:v>
                </c:pt>
                <c:pt idx="151">
                  <c:v>0.02</c:v>
                </c:pt>
                <c:pt idx="152">
                  <c:v>0.19700000000000001</c:v>
                </c:pt>
                <c:pt idx="153">
                  <c:v>0.19</c:v>
                </c:pt>
                <c:pt idx="154">
                  <c:v>5.0999999999999997E-2</c:v>
                </c:pt>
                <c:pt idx="155">
                  <c:v>9.4E-2</c:v>
                </c:pt>
                <c:pt idx="156">
                  <c:v>2.9000000000000001E-2</c:v>
                </c:pt>
                <c:pt idx="157">
                  <c:v>3.4000000000000002E-2</c:v>
                </c:pt>
                <c:pt idx="158">
                  <c:v>0.155</c:v>
                </c:pt>
              </c:numCache>
            </c:numRef>
          </c:yVal>
          <c:smooth val="0"/>
          <c:extLst>
            <c:ext xmlns:c16="http://schemas.microsoft.com/office/drawing/2014/chart" uri="{C3380CC4-5D6E-409C-BE32-E72D297353CC}">
              <c16:uniqueId val="{00000000-F9C7-4D89-973C-021DE396AAEA}"/>
            </c:ext>
          </c:extLst>
        </c:ser>
        <c:dLbls>
          <c:showLegendKey val="0"/>
          <c:showVal val="0"/>
          <c:showCatName val="0"/>
          <c:showSerName val="0"/>
          <c:showPercent val="0"/>
          <c:showBubbleSize val="0"/>
        </c:dLbls>
        <c:axId val="301106176"/>
        <c:axId val="305241264"/>
      </c:scatterChart>
      <c:valAx>
        <c:axId val="301106176"/>
        <c:scaling>
          <c:orientation val="minMax"/>
        </c:scaling>
        <c:delete val="1"/>
        <c:axPos val="b"/>
        <c:majorGridlines>
          <c:spPr>
            <a:ln w="9525" cap="flat" cmpd="sng" algn="ctr">
              <a:solidFill>
                <a:schemeClr val="tx1">
                  <a:lumMod val="15000"/>
                  <a:lumOff val="85000"/>
                </a:schemeClr>
              </a:solidFill>
              <a:round/>
            </a:ln>
            <a:effectLst/>
          </c:spPr>
        </c:majorGridlines>
        <c:majorTickMark val="none"/>
        <c:minorTickMark val="none"/>
        <c:tickLblPos val="nextTo"/>
        <c:crossAx val="305241264"/>
        <c:crosses val="autoZero"/>
        <c:crossBetween val="midCat"/>
      </c:valAx>
      <c:valAx>
        <c:axId val="3052412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110617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[Sales-Operations-Analytics-Workings.xlsx]Revenue by Month!PivotTable9</c:name>
    <c:fmtId val="2"/>
  </c:pivotSource>
  <c:chart>
    <c:title>
      <c:tx>
        <c:rich>
          <a:bodyPr rot="0" spcFirstLastPara="1" vertOverflow="ellipsis" vert="horz" wrap="square" anchor="ctr" anchorCtr="1"/>
          <a:lstStyle/>
          <a:p>
            <a:pPr algn="ctr" rtl="0">
              <a:defRPr lang="en-US" sz="1800" b="1" i="0" u="none" strike="noStrike" kern="1200" spc="0" baseline="0">
                <a:solidFill>
                  <a:sysClr val="windowText" lastClr="000000">
                    <a:lumMod val="65000"/>
                    <a:lumOff val="35000"/>
                  </a:sysClr>
                </a:solidFill>
                <a:effectLst/>
                <a:latin typeface="+mn-lt"/>
                <a:ea typeface="+mn-ea"/>
                <a:cs typeface="+mn-cs"/>
              </a:defRPr>
            </a:pPr>
            <a:r>
              <a:rPr lang="en-US" sz="1800" b="1" i="0" u="none" strike="noStrike" kern="1200" spc="0" baseline="0">
                <a:solidFill>
                  <a:sysClr val="windowText" lastClr="000000">
                    <a:lumMod val="65000"/>
                    <a:lumOff val="35000"/>
                  </a:sysClr>
                </a:solidFill>
                <a:effectLst/>
                <a:latin typeface="+mn-lt"/>
                <a:ea typeface="+mn-ea"/>
                <a:cs typeface="+mn-cs"/>
              </a:rPr>
              <a:t>Revenue By Month</a:t>
            </a:r>
          </a:p>
        </c:rich>
      </c:tx>
      <c:overlay val="0"/>
      <c:spPr>
        <a:noFill/>
        <a:ln>
          <a:noFill/>
        </a:ln>
        <a:effectLst/>
      </c:spPr>
      <c:txPr>
        <a:bodyPr rot="0" spcFirstLastPara="1" vertOverflow="ellipsis" vert="horz" wrap="square" anchor="ctr" anchorCtr="1"/>
        <a:lstStyle/>
        <a:p>
          <a:pPr algn="ctr" rtl="0">
            <a:defRPr lang="en-US" sz="1800" b="1" i="0" u="none" strike="noStrike" kern="1200" spc="0" baseline="0">
              <a:solidFill>
                <a:sysClr val="windowText" lastClr="000000">
                  <a:lumMod val="65000"/>
                  <a:lumOff val="35000"/>
                </a:sysClr>
              </a:solidFill>
              <a:effectLst/>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ln w="28575" cap="rnd">
            <a:solidFill>
              <a:schemeClr val="accent1"/>
            </a:solidFill>
            <a:round/>
          </a:ln>
          <a:effectLst/>
        </c:spPr>
        <c:marker>
          <c:symbol val="none"/>
        </c:marker>
      </c:pivotFmt>
    </c:pivotFmts>
    <c:plotArea>
      <c:layout/>
      <c:lineChart>
        <c:grouping val="standard"/>
        <c:varyColors val="0"/>
        <c:ser>
          <c:idx val="0"/>
          <c:order val="0"/>
          <c:tx>
            <c:strRef>
              <c:f>'Revenue by Month'!$B$3</c:f>
              <c:strCache>
                <c:ptCount val="1"/>
                <c:pt idx="0">
                  <c:v>Total</c:v>
                </c:pt>
              </c:strCache>
            </c:strRef>
          </c:tx>
          <c:spPr>
            <a:ln w="28575" cap="rnd">
              <a:solidFill>
                <a:schemeClr val="accent1"/>
              </a:solidFill>
              <a:round/>
            </a:ln>
            <a:effectLst/>
          </c:spPr>
          <c:marker>
            <c:symbol val="none"/>
          </c:marker>
          <c:cat>
            <c:multiLvlStrRef>
              <c:f>'Revenue by Month'!$A$4:$A$40</c:f>
              <c:multiLvlStrCache>
                <c:ptCount val="33"/>
                <c:lvl>
                  <c:pt idx="0">
                    <c:v>Jan</c:v>
                  </c:pt>
                  <c:pt idx="1">
                    <c:v>Feb</c:v>
                  </c:pt>
                  <c:pt idx="2">
                    <c:v>Mar</c:v>
                  </c:pt>
                  <c:pt idx="3">
                    <c:v>Apr</c:v>
                  </c:pt>
                  <c:pt idx="4">
                    <c:v>May</c:v>
                  </c:pt>
                  <c:pt idx="5">
                    <c:v>Jun</c:v>
                  </c:pt>
                  <c:pt idx="6">
                    <c:v>Jul</c:v>
                  </c:pt>
                  <c:pt idx="7">
                    <c:v>Aug</c:v>
                  </c:pt>
                  <c:pt idx="8">
                    <c:v>Sept</c:v>
                  </c:pt>
                  <c:pt idx="9">
                    <c:v>Oct</c:v>
                  </c:pt>
                  <c:pt idx="10">
                    <c:v>Nov</c:v>
                  </c:pt>
                  <c:pt idx="11">
                    <c:v>Dec</c:v>
                  </c:pt>
                  <c:pt idx="12">
                    <c:v>Jan</c:v>
                  </c:pt>
                  <c:pt idx="13">
                    <c:v>Feb</c:v>
                  </c:pt>
                  <c:pt idx="14">
                    <c:v>Mar</c:v>
                  </c:pt>
                  <c:pt idx="15">
                    <c:v>Apr</c:v>
                  </c:pt>
                  <c:pt idx="16">
                    <c:v>May</c:v>
                  </c:pt>
                  <c:pt idx="17">
                    <c:v>Jun</c:v>
                  </c:pt>
                  <c:pt idx="18">
                    <c:v>Jul</c:v>
                  </c:pt>
                  <c:pt idx="19">
                    <c:v>Aug</c:v>
                  </c:pt>
                  <c:pt idx="20">
                    <c:v>Sept</c:v>
                  </c:pt>
                  <c:pt idx="21">
                    <c:v>Oct</c:v>
                  </c:pt>
                  <c:pt idx="22">
                    <c:v>Nov</c:v>
                  </c:pt>
                  <c:pt idx="23">
                    <c:v>Dec</c:v>
                  </c:pt>
                  <c:pt idx="24">
                    <c:v>Jan</c:v>
                  </c:pt>
                  <c:pt idx="25">
                    <c:v>Feb</c:v>
                  </c:pt>
                  <c:pt idx="26">
                    <c:v>Mar</c:v>
                  </c:pt>
                  <c:pt idx="27">
                    <c:v>Apr</c:v>
                  </c:pt>
                  <c:pt idx="28">
                    <c:v>May</c:v>
                  </c:pt>
                  <c:pt idx="29">
                    <c:v>Jun</c:v>
                  </c:pt>
                  <c:pt idx="30">
                    <c:v>Jul</c:v>
                  </c:pt>
                  <c:pt idx="31">
                    <c:v>Aug</c:v>
                  </c:pt>
                  <c:pt idx="32">
                    <c:v>Sept</c:v>
                  </c:pt>
                </c:lvl>
                <c:lvl>
                  <c:pt idx="0">
                    <c:v>2023</c:v>
                  </c:pt>
                  <c:pt idx="12">
                    <c:v>2024</c:v>
                  </c:pt>
                  <c:pt idx="24">
                    <c:v>2025</c:v>
                  </c:pt>
                </c:lvl>
              </c:multiLvlStrCache>
            </c:multiLvlStrRef>
          </c:cat>
          <c:val>
            <c:numRef>
              <c:f>'Revenue by Month'!$B$4:$B$40</c:f>
              <c:numCache>
                <c:formatCode>General</c:formatCode>
                <c:ptCount val="33"/>
                <c:pt idx="0">
                  <c:v>151883.44939999998</c:v>
                </c:pt>
                <c:pt idx="1">
                  <c:v>433788.64049000002</c:v>
                </c:pt>
                <c:pt idx="2">
                  <c:v>215576.67437999998</c:v>
                </c:pt>
                <c:pt idx="3">
                  <c:v>371604.58273999998</c:v>
                </c:pt>
                <c:pt idx="4">
                  <c:v>470192.17181999993</c:v>
                </c:pt>
                <c:pt idx="5">
                  <c:v>236474.06157000002</c:v>
                </c:pt>
                <c:pt idx="6">
                  <c:v>560860.55604000005</c:v>
                </c:pt>
                <c:pt idx="7">
                  <c:v>339044.67038999998</c:v>
                </c:pt>
                <c:pt idx="8">
                  <c:v>141266.51418999999</c:v>
                </c:pt>
                <c:pt idx="9">
                  <c:v>246114.84045000005</c:v>
                </c:pt>
                <c:pt idx="10">
                  <c:v>127009.5058</c:v>
                </c:pt>
                <c:pt idx="11">
                  <c:v>382101.36679999996</c:v>
                </c:pt>
                <c:pt idx="12">
                  <c:v>299100.37307999993</c:v>
                </c:pt>
                <c:pt idx="13">
                  <c:v>307793.71461999998</c:v>
                </c:pt>
                <c:pt idx="14">
                  <c:v>374300.10980999999</c:v>
                </c:pt>
                <c:pt idx="15">
                  <c:v>239506.82713999998</c:v>
                </c:pt>
                <c:pt idx="16">
                  <c:v>416985.76566999999</c:v>
                </c:pt>
                <c:pt idx="17">
                  <c:v>634490.72337999998</c:v>
                </c:pt>
                <c:pt idx="18">
                  <c:v>275628.61963000003</c:v>
                </c:pt>
                <c:pt idx="19">
                  <c:v>384156.19037999999</c:v>
                </c:pt>
                <c:pt idx="20">
                  <c:v>347613.18766999996</c:v>
                </c:pt>
                <c:pt idx="21">
                  <c:v>417732.48301000003</c:v>
                </c:pt>
                <c:pt idx="22">
                  <c:v>416944.18554999994</c:v>
                </c:pt>
                <c:pt idx="23">
                  <c:v>354378.93715999997</c:v>
                </c:pt>
                <c:pt idx="24">
                  <c:v>223498.20032</c:v>
                </c:pt>
                <c:pt idx="25">
                  <c:v>221608.49787000005</c:v>
                </c:pt>
                <c:pt idx="26">
                  <c:v>209425.98853999999</c:v>
                </c:pt>
                <c:pt idx="27">
                  <c:v>336135.16749999998</c:v>
                </c:pt>
                <c:pt idx="28">
                  <c:v>375723.96025999996</c:v>
                </c:pt>
                <c:pt idx="29">
                  <c:v>382009.37595999998</c:v>
                </c:pt>
                <c:pt idx="30">
                  <c:v>486970.83348000003</c:v>
                </c:pt>
                <c:pt idx="31">
                  <c:v>366808.72249999997</c:v>
                </c:pt>
                <c:pt idx="32">
                  <c:v>172279.72760000001</c:v>
                </c:pt>
              </c:numCache>
            </c:numRef>
          </c:val>
          <c:smooth val="0"/>
          <c:extLst>
            <c:ext xmlns:c16="http://schemas.microsoft.com/office/drawing/2014/chart" uri="{C3380CC4-5D6E-409C-BE32-E72D297353CC}">
              <c16:uniqueId val="{00000000-BE4E-4BF7-95ED-39D4F3CB5367}"/>
            </c:ext>
          </c:extLst>
        </c:ser>
        <c:dLbls>
          <c:showLegendKey val="0"/>
          <c:showVal val="0"/>
          <c:showCatName val="0"/>
          <c:showSerName val="0"/>
          <c:showPercent val="0"/>
          <c:showBubbleSize val="0"/>
        </c:dLbls>
        <c:smooth val="0"/>
        <c:axId val="37619952"/>
        <c:axId val="37630352"/>
      </c:lineChart>
      <c:catAx>
        <c:axId val="37619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30352"/>
        <c:crosses val="autoZero"/>
        <c:auto val="1"/>
        <c:lblAlgn val="ctr"/>
        <c:lblOffset val="100"/>
        <c:noMultiLvlLbl val="0"/>
      </c:catAx>
      <c:valAx>
        <c:axId val="376303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19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[Sales-Operations-Analytics-Workings.xlsx]Profit by region!PivotTable12</c:name>
    <c:fmtId val="2"/>
  </c:pivotSource>
  <c:chart>
    <c:title>
      <c:tx>
        <c:rich>
          <a:bodyPr rot="0" spcFirstLastPara="1" vertOverflow="ellipsis" vert="horz" wrap="square" anchor="ctr" anchorCtr="1"/>
          <a:lstStyle/>
          <a:p>
            <a:pPr algn="ctr" rtl="0">
              <a:defRPr lang="en-US" sz="1800" b="1" i="0" u="none" strike="noStrike" kern="1200" spc="0" baseline="0">
                <a:solidFill>
                  <a:sysClr val="windowText" lastClr="000000">
                    <a:lumMod val="65000"/>
                    <a:lumOff val="35000"/>
                  </a:sysClr>
                </a:solidFill>
                <a:effectLst/>
                <a:latin typeface="+mn-lt"/>
                <a:ea typeface="+mn-ea"/>
                <a:cs typeface="+mn-cs"/>
              </a:defRPr>
            </a:pPr>
            <a:r>
              <a:rPr lang="en-US" sz="1800" b="1" i="0" u="none" strike="noStrike" kern="1200" spc="0" baseline="0">
                <a:solidFill>
                  <a:sysClr val="windowText" lastClr="000000">
                    <a:lumMod val="65000"/>
                    <a:lumOff val="35000"/>
                  </a:sysClr>
                </a:solidFill>
                <a:effectLst/>
                <a:latin typeface="+mn-lt"/>
                <a:ea typeface="+mn-ea"/>
                <a:cs typeface="+mn-cs"/>
              </a:rPr>
              <a:t>Profit By Region &amp; Channel</a:t>
            </a:r>
          </a:p>
        </c:rich>
      </c:tx>
      <c:overlay val="0"/>
      <c:spPr>
        <a:noFill/>
        <a:ln>
          <a:noFill/>
        </a:ln>
        <a:effectLst/>
      </c:spPr>
      <c:txPr>
        <a:bodyPr rot="0" spcFirstLastPara="1" vertOverflow="ellipsis" vert="horz" wrap="square" anchor="ctr" anchorCtr="1"/>
        <a:lstStyle/>
        <a:p>
          <a:pPr algn="ctr" rtl="0">
            <a:defRPr lang="en-US" sz="1800" b="1" i="0" u="none" strike="noStrike" kern="1200" spc="0" baseline="0">
              <a:solidFill>
                <a:sysClr val="windowText" lastClr="000000">
                  <a:lumMod val="65000"/>
                  <a:lumOff val="35000"/>
                </a:sysClr>
              </a:solidFill>
              <a:effectLst/>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stacked"/>
        <c:varyColors val="0"/>
        <c:ser>
          <c:idx val="0"/>
          <c:order val="0"/>
          <c:tx>
            <c:strRef>
              <c:f>'Profit by region'!$B$3</c:f>
              <c:strCache>
                <c:ptCount val="1"/>
                <c:pt idx="0">
                  <c:v>Total</c:v>
                </c:pt>
              </c:strCache>
            </c:strRef>
          </c:tx>
          <c:spPr>
            <a:solidFill>
              <a:schemeClr val="accent1"/>
            </a:solidFill>
            <a:ln>
              <a:noFill/>
            </a:ln>
            <a:effectLst/>
          </c:spPr>
          <c:invertIfNegative val="0"/>
          <c:cat>
            <c:multiLvlStrRef>
              <c:f>'Profit by region'!$A$4:$A$32</c:f>
              <c:multiLvlStrCache>
                <c:ptCount val="24"/>
                <c:lvl>
                  <c:pt idx="0">
                    <c:v>Direct</c:v>
                  </c:pt>
                  <c:pt idx="1">
                    <c:v>Distributor</c:v>
                  </c:pt>
                  <c:pt idx="2">
                    <c:v>Marketplace</c:v>
                  </c:pt>
                  <c:pt idx="3">
                    <c:v>Online</c:v>
                  </c:pt>
                  <c:pt idx="4">
                    <c:v>Retail</c:v>
                  </c:pt>
                  <c:pt idx="5">
                    <c:v>Unspecified</c:v>
                  </c:pt>
                  <c:pt idx="6">
                    <c:v>Direct</c:v>
                  </c:pt>
                  <c:pt idx="7">
                    <c:v>Distributor</c:v>
                  </c:pt>
                  <c:pt idx="8">
                    <c:v>Marketplace</c:v>
                  </c:pt>
                  <c:pt idx="9">
                    <c:v>Online</c:v>
                  </c:pt>
                  <c:pt idx="10">
                    <c:v>Retail</c:v>
                  </c:pt>
                  <c:pt idx="11">
                    <c:v>Unspecified</c:v>
                  </c:pt>
                  <c:pt idx="12">
                    <c:v>Direct</c:v>
                  </c:pt>
                  <c:pt idx="13">
                    <c:v>Distributor</c:v>
                  </c:pt>
                  <c:pt idx="14">
                    <c:v>Marketplace</c:v>
                  </c:pt>
                  <c:pt idx="15">
                    <c:v>Online</c:v>
                  </c:pt>
                  <c:pt idx="16">
                    <c:v>Retail</c:v>
                  </c:pt>
                  <c:pt idx="17">
                    <c:v>Unspecified</c:v>
                  </c:pt>
                  <c:pt idx="18">
                    <c:v>Direct</c:v>
                  </c:pt>
                  <c:pt idx="19">
                    <c:v>Distributor</c:v>
                  </c:pt>
                  <c:pt idx="20">
                    <c:v>Marketplace</c:v>
                  </c:pt>
                  <c:pt idx="21">
                    <c:v>Online</c:v>
                  </c:pt>
                  <c:pt idx="22">
                    <c:v>Retail</c:v>
                  </c:pt>
                  <c:pt idx="23">
                    <c:v>Unspecified</c:v>
                  </c:pt>
                </c:lvl>
                <c:lvl>
                  <c:pt idx="0">
                    <c:v>Africa</c:v>
                  </c:pt>
                  <c:pt idx="6">
                    <c:v>Americas</c:v>
                  </c:pt>
                  <c:pt idx="12">
                    <c:v>Asia</c:v>
                  </c:pt>
                  <c:pt idx="18">
                    <c:v>Europe</c:v>
                  </c:pt>
                </c:lvl>
              </c:multiLvlStrCache>
            </c:multiLvlStrRef>
          </c:cat>
          <c:val>
            <c:numRef>
              <c:f>'Profit by region'!$B$4:$B$32</c:f>
              <c:numCache>
                <c:formatCode>[$KES]\ #,##0.00</c:formatCode>
                <c:ptCount val="24"/>
                <c:pt idx="0">
                  <c:v>178727.35370000001</c:v>
                </c:pt>
                <c:pt idx="1">
                  <c:v>202729.86446999994</c:v>
                </c:pt>
                <c:pt idx="2">
                  <c:v>164839.30456000002</c:v>
                </c:pt>
                <c:pt idx="3">
                  <c:v>145453.94626999999</c:v>
                </c:pt>
                <c:pt idx="4">
                  <c:v>141171.08467000001</c:v>
                </c:pt>
                <c:pt idx="5">
                  <c:v>16237.344230000001</c:v>
                </c:pt>
                <c:pt idx="6">
                  <c:v>258674.92591000005</c:v>
                </c:pt>
                <c:pt idx="7">
                  <c:v>175736.86191999997</c:v>
                </c:pt>
                <c:pt idx="8">
                  <c:v>96609.64751999997</c:v>
                </c:pt>
                <c:pt idx="9">
                  <c:v>261943.84436999995</c:v>
                </c:pt>
                <c:pt idx="10">
                  <c:v>69035.70921999999</c:v>
                </c:pt>
                <c:pt idx="11">
                  <c:v>777.95999999999913</c:v>
                </c:pt>
                <c:pt idx="12">
                  <c:v>229541.94635999991</c:v>
                </c:pt>
                <c:pt idx="13">
                  <c:v>151146.74599000002</c:v>
                </c:pt>
                <c:pt idx="14">
                  <c:v>132709.51273000002</c:v>
                </c:pt>
                <c:pt idx="15">
                  <c:v>149042.38969000001</c:v>
                </c:pt>
                <c:pt idx="16">
                  <c:v>158051.77209000004</c:v>
                </c:pt>
                <c:pt idx="17">
                  <c:v>20547.545489999997</c:v>
                </c:pt>
                <c:pt idx="18">
                  <c:v>292716.95204000006</c:v>
                </c:pt>
                <c:pt idx="19">
                  <c:v>105550.85219999998</c:v>
                </c:pt>
                <c:pt idx="20">
                  <c:v>111692.81025000002</c:v>
                </c:pt>
                <c:pt idx="21">
                  <c:v>200067.16277</c:v>
                </c:pt>
                <c:pt idx="22">
                  <c:v>151779.17228999996</c:v>
                </c:pt>
                <c:pt idx="23">
                  <c:v>8028.7064599999994</c:v>
                </c:pt>
              </c:numCache>
            </c:numRef>
          </c:val>
          <c:extLst>
            <c:ext xmlns:c16="http://schemas.microsoft.com/office/drawing/2014/chart" uri="{C3380CC4-5D6E-409C-BE32-E72D297353CC}">
              <c16:uniqueId val="{00000000-91A6-44E9-80D1-2DD119E677E0}"/>
            </c:ext>
          </c:extLst>
        </c:ser>
        <c:dLbls>
          <c:showLegendKey val="0"/>
          <c:showVal val="0"/>
          <c:showCatName val="0"/>
          <c:showSerName val="0"/>
          <c:showPercent val="0"/>
          <c:showBubbleSize val="0"/>
        </c:dLbls>
        <c:gapWidth val="150"/>
        <c:overlap val="100"/>
        <c:axId val="334846192"/>
        <c:axId val="615052448"/>
      </c:barChart>
      <c:catAx>
        <c:axId val="334846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052448"/>
        <c:crosses val="autoZero"/>
        <c:auto val="1"/>
        <c:lblAlgn val="ctr"/>
        <c:lblOffset val="100"/>
        <c:noMultiLvlLbl val="0"/>
      </c:catAx>
      <c:valAx>
        <c:axId val="615052448"/>
        <c:scaling>
          <c:orientation val="minMax"/>
        </c:scaling>
        <c:delete val="0"/>
        <c:axPos val="l"/>
        <c:majorGridlines>
          <c:spPr>
            <a:ln w="9525" cap="flat" cmpd="sng" algn="ctr">
              <a:solidFill>
                <a:schemeClr val="tx1">
                  <a:lumMod val="15000"/>
                  <a:lumOff val="85000"/>
                </a:schemeClr>
              </a:solidFill>
              <a:round/>
            </a:ln>
            <a:effectLst/>
          </c:spPr>
        </c:majorGridlines>
        <c:numFmt formatCode="[$KES]\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48461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[Sales-Operations-Analytics-Workings.xlsx]ABC Analysis!PivotTable1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baseline="0">
                <a:effectLst/>
              </a:rPr>
              <a:t>Top 10 SKUs by Revenue</a:t>
            </a:r>
            <a:endParaRPr lang="en-US">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'ABC Analysis'!$B$3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'ABC Analysis'!$A$4:$A$14</c:f>
              <c:strCache>
                <c:ptCount val="10"/>
                <c:pt idx="0">
                  <c:v>CMP-8851</c:v>
                </c:pt>
                <c:pt idx="1">
                  <c:v>NET-2365</c:v>
                </c:pt>
                <c:pt idx="2">
                  <c:v>LAP-8910</c:v>
                </c:pt>
                <c:pt idx="3">
                  <c:v>MON-6962</c:v>
                </c:pt>
                <c:pt idx="4">
                  <c:v>MON-2266</c:v>
                </c:pt>
                <c:pt idx="5">
                  <c:v>MON-6699</c:v>
                </c:pt>
                <c:pt idx="6">
                  <c:v>CMP-3938</c:v>
                </c:pt>
                <c:pt idx="7">
                  <c:v>LAP-3904</c:v>
                </c:pt>
                <c:pt idx="8">
                  <c:v>NET-5987</c:v>
                </c:pt>
                <c:pt idx="9">
                  <c:v>NET-5523</c:v>
                </c:pt>
              </c:strCache>
            </c:strRef>
          </c:cat>
          <c:val>
            <c:numRef>
              <c:f>'ABC Analysis'!$B$4:$B$14</c:f>
              <c:numCache>
                <c:formatCode>[$KES]\ #,##0.00</c:formatCode>
                <c:ptCount val="10"/>
                <c:pt idx="0">
                  <c:v>139277.83032000001</c:v>
                </c:pt>
                <c:pt idx="1">
                  <c:v>109244</c:v>
                </c:pt>
                <c:pt idx="2">
                  <c:v>102122.94203999999</c:v>
                </c:pt>
                <c:pt idx="3">
                  <c:v>92715.25</c:v>
                </c:pt>
                <c:pt idx="4">
                  <c:v>87404.929919999995</c:v>
                </c:pt>
                <c:pt idx="5">
                  <c:v>85637.740319999997</c:v>
                </c:pt>
                <c:pt idx="6">
                  <c:v>84136.119600000005</c:v>
                </c:pt>
                <c:pt idx="7">
                  <c:v>82514.711519999997</c:v>
                </c:pt>
                <c:pt idx="8">
                  <c:v>82141.339799999987</c:v>
                </c:pt>
                <c:pt idx="9">
                  <c:v>79548.755999999994</c:v>
                </c:pt>
              </c:numCache>
            </c:numRef>
          </c:val>
          <c:extLst>
            <c:ext xmlns:c16="http://schemas.microsoft.com/office/drawing/2014/chart" uri="{C3380CC4-5D6E-409C-BE32-E72D297353CC}">
              <c16:uniqueId val="{00000000-7101-46BE-9A30-4E20E5582A22}"/>
            </c:ext>
          </c:extLst>
        </c:ser>
        <c:dLbls>
          <c:dLblPos val="outEnd"/>
          <c:showLegendKey val="0"/>
          <c:showVal val="1"/>
          <c:showCatName val="0"/>
          <c:showSerName val="0"/>
          <c:showPercent val="0"/>
          <c:showBubbleSize val="0"/>
        </c:dLbls>
        <c:gapWidth val="182"/>
        <c:axId val="555973024"/>
        <c:axId val="312045552"/>
      </c:barChart>
      <c:catAx>
        <c:axId val="555973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2045552"/>
        <c:crosses val="autoZero"/>
        <c:auto val="1"/>
        <c:lblAlgn val="ctr"/>
        <c:lblOffset val="100"/>
        <c:noMultiLvlLbl val="0"/>
      </c:catAx>
      <c:valAx>
        <c:axId val="312045552"/>
        <c:scaling>
          <c:orientation val="minMax"/>
        </c:scaling>
        <c:delete val="1"/>
        <c:axPos val="b"/>
        <c:majorGridlines>
          <c:spPr>
            <a:ln w="9525" cap="flat" cmpd="sng" algn="ctr">
              <a:solidFill>
                <a:schemeClr val="tx1">
                  <a:lumMod val="15000"/>
                  <a:lumOff val="85000"/>
                </a:schemeClr>
              </a:solidFill>
              <a:round/>
            </a:ln>
            <a:effectLst/>
          </c:spPr>
        </c:majorGridlines>
        <c:numFmt formatCode="[$KES]\ #,##0.00" sourceLinked="1"/>
        <c:majorTickMark val="none"/>
        <c:minorTickMark val="none"/>
        <c:tickLblPos val="nextTo"/>
        <c:crossAx val="5559730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800" b="1" i="0" u="none" strike="noStrike" kern="1200" spc="0" baseline="0">
                <a:solidFill>
                  <a:sysClr val="windowText" lastClr="000000">
                    <a:lumMod val="65000"/>
                    <a:lumOff val="35000"/>
                  </a:sysClr>
                </a:solidFill>
                <a:effectLst/>
                <a:latin typeface="+mn-lt"/>
                <a:ea typeface="+mn-ea"/>
                <a:cs typeface="+mn-cs"/>
              </a:defRPr>
            </a:pPr>
            <a:r>
              <a:rPr lang="en-US" sz="1800" b="1" i="0" u="none" strike="noStrike" kern="1200" spc="0" baseline="0">
                <a:solidFill>
                  <a:sysClr val="windowText" lastClr="000000">
                    <a:lumMod val="65000"/>
                    <a:lumOff val="35000"/>
                  </a:sysClr>
                </a:solidFill>
                <a:effectLst/>
                <a:latin typeface="+mn-lt"/>
                <a:ea typeface="+mn-ea"/>
                <a:cs typeface="+mn-cs"/>
              </a:rPr>
              <a:t>Discount Outliers</a:t>
            </a:r>
          </a:p>
        </c:rich>
      </c:tx>
      <c:overlay val="0"/>
      <c:spPr>
        <a:noFill/>
        <a:ln>
          <a:noFill/>
        </a:ln>
        <a:effectLst/>
      </c:spPr>
      <c:txPr>
        <a:bodyPr rot="0" spcFirstLastPara="1" vertOverflow="ellipsis" vert="horz" wrap="square" anchor="ctr" anchorCtr="1"/>
        <a:lstStyle/>
        <a:p>
          <a:pPr algn="ctr" rtl="0">
            <a:defRPr lang="en-US" sz="1800" b="1" i="0" u="none" strike="noStrike" kern="1200" spc="0" baseline="0">
              <a:solidFill>
                <a:sysClr val="windowText" lastClr="000000">
                  <a:lumMod val="65000"/>
                  <a:lumOff val="35000"/>
                </a:sysClr>
              </a:solidFill>
              <a:effectLst/>
              <a:latin typeface="+mn-lt"/>
              <a:ea typeface="+mn-ea"/>
              <a:cs typeface="+mn-cs"/>
            </a:defRPr>
          </a:pPr>
          <a:endParaRPr lang="en-US"/>
        </a:p>
      </c:txPr>
    </c:title>
    <c:autoTitleDeleted val="0"/>
    <c:plotArea>
      <c:layout/>
      <c:scatterChart>
        <c:scatterStyle val="smoothMarker"/>
        <c:varyColors val="0"/>
        <c:ser>
          <c:idx val="0"/>
          <c:order val="0"/>
          <c:tx>
            <c:strRef>
              <c:f>Sheet1!$H$3</c:f>
              <c:strCache>
                <c:ptCount val="1"/>
                <c:pt idx="0">
                  <c:v>Average of DiscountPct</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strRef>
              <c:f>Sheet1!$G$4:$G$15</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xVal>
          <c:yVal>
            <c:numRef>
              <c:f>Sheet1!$H$4:$H$15</c:f>
              <c:numCache>
                <c:formatCode>0%</c:formatCode>
                <c:ptCount val="12"/>
                <c:pt idx="0">
                  <c:v>0.12148387096774195</c:v>
                </c:pt>
                <c:pt idx="1">
                  <c:v>0.12322727272727278</c:v>
                </c:pt>
                <c:pt idx="2">
                  <c:v>0.11176470588235293</c:v>
                </c:pt>
                <c:pt idx="3">
                  <c:v>0.1113703703703704</c:v>
                </c:pt>
                <c:pt idx="4">
                  <c:v>0.11566666666666665</c:v>
                </c:pt>
                <c:pt idx="5">
                  <c:v>0.13293333333333332</c:v>
                </c:pt>
                <c:pt idx="6">
                  <c:v>0.13186440677966099</c:v>
                </c:pt>
                <c:pt idx="7">
                  <c:v>0.12455357142857146</c:v>
                </c:pt>
                <c:pt idx="8">
                  <c:v>0.11254545454545456</c:v>
                </c:pt>
                <c:pt idx="9">
                  <c:v>0.12015555555555552</c:v>
                </c:pt>
                <c:pt idx="10">
                  <c:v>0.11749999999999999</c:v>
                </c:pt>
                <c:pt idx="11">
                  <c:v>0.12664705882352942</c:v>
                </c:pt>
              </c:numCache>
            </c:numRef>
          </c:yVal>
          <c:smooth val="1"/>
          <c:extLst>
            <c:ext xmlns:c16="http://schemas.microsoft.com/office/drawing/2014/chart" uri="{C3380CC4-5D6E-409C-BE32-E72D297353CC}">
              <c16:uniqueId val="{00000000-489E-4B20-B235-369B7B09EC52}"/>
            </c:ext>
          </c:extLst>
        </c:ser>
        <c:ser>
          <c:idx val="1"/>
          <c:order val="1"/>
          <c:tx>
            <c:strRef>
              <c:f>Sheet1!$I$3</c:f>
              <c:strCache>
                <c:ptCount val="1"/>
                <c:pt idx="0">
                  <c:v>Max of DiscountPct</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strRef>
              <c:f>Sheet1!$G$4:$G$15</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xVal>
          <c:yVal>
            <c:numRef>
              <c:f>Sheet1!$I$4:$I$15</c:f>
              <c:numCache>
                <c:formatCode>0%</c:formatCode>
                <c:ptCount val="12"/>
                <c:pt idx="0">
                  <c:v>0.34599999999999997</c:v>
                </c:pt>
                <c:pt idx="1">
                  <c:v>0.29199999999999998</c:v>
                </c:pt>
                <c:pt idx="2">
                  <c:v>0.35699999999999998</c:v>
                </c:pt>
                <c:pt idx="3">
                  <c:v>0.254</c:v>
                </c:pt>
                <c:pt idx="4">
                  <c:v>0.29199999999999998</c:v>
                </c:pt>
                <c:pt idx="5">
                  <c:v>0.314</c:v>
                </c:pt>
                <c:pt idx="6">
                  <c:v>0.317</c:v>
                </c:pt>
                <c:pt idx="7">
                  <c:v>0.56499999999999995</c:v>
                </c:pt>
                <c:pt idx="8">
                  <c:v>0.25</c:v>
                </c:pt>
                <c:pt idx="9">
                  <c:v>0.34300000000000003</c:v>
                </c:pt>
                <c:pt idx="10">
                  <c:v>0.25700000000000001</c:v>
                </c:pt>
                <c:pt idx="11">
                  <c:v>0.28199999999999997</c:v>
                </c:pt>
              </c:numCache>
            </c:numRef>
          </c:yVal>
          <c:smooth val="1"/>
          <c:extLst>
            <c:ext xmlns:c16="http://schemas.microsoft.com/office/drawing/2014/chart" uri="{C3380CC4-5D6E-409C-BE32-E72D297353CC}">
              <c16:uniqueId val="{00000001-489E-4B20-B235-369B7B09EC52}"/>
            </c:ext>
          </c:extLst>
        </c:ser>
        <c:ser>
          <c:idx val="2"/>
          <c:order val="2"/>
          <c:tx>
            <c:strRef>
              <c:f>Sheet1!$J$3</c:f>
              <c:strCache>
                <c:ptCount val="1"/>
                <c:pt idx="0">
                  <c:v>Min of DiscountPct</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strRef>
              <c:f>Sheet1!$G$4:$G$15</c:f>
              <c:strCache>
                <c:ptCount val="12"/>
                <c:pt idx="0">
                  <c:v>Brazil</c:v>
                </c:pt>
                <c:pt idx="1">
                  <c:v>Canada</c:v>
                </c:pt>
                <c:pt idx="2">
                  <c:v>China</c:v>
                </c:pt>
                <c:pt idx="3">
                  <c:v>France</c:v>
                </c:pt>
                <c:pt idx="4">
                  <c:v>Germany</c:v>
                </c:pt>
                <c:pt idx="5">
                  <c:v>India</c:v>
                </c:pt>
                <c:pt idx="6">
                  <c:v>Japan</c:v>
                </c:pt>
                <c:pt idx="7">
                  <c:v>Kenya</c:v>
                </c:pt>
                <c:pt idx="8">
                  <c:v>Nigeria</c:v>
                </c:pt>
                <c:pt idx="9">
                  <c:v>South Africa</c:v>
                </c:pt>
                <c:pt idx="10">
                  <c:v>United Kingdom</c:v>
                </c:pt>
                <c:pt idx="11">
                  <c:v>USA</c:v>
                </c:pt>
              </c:strCache>
            </c:strRef>
          </c:xVal>
          <c:yVal>
            <c:numRef>
              <c:f>Sheet1!$J$4:$J$15</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yVal>
          <c:smooth val="1"/>
          <c:extLst>
            <c:ext xmlns:c16="http://schemas.microsoft.com/office/drawing/2014/chart" uri="{C3380CC4-5D6E-409C-BE32-E72D297353CC}">
              <c16:uniqueId val="{00000002-489E-4B20-B235-369B7B09EC52}"/>
            </c:ext>
          </c:extLst>
        </c:ser>
        <c:dLbls>
          <c:showLegendKey val="0"/>
          <c:showVal val="0"/>
          <c:showCatName val="0"/>
          <c:showSerName val="0"/>
          <c:showPercent val="0"/>
          <c:showBubbleSize val="0"/>
        </c:dLbls>
        <c:axId val="1047942575"/>
        <c:axId val="1146869087"/>
      </c:scatterChart>
      <c:valAx>
        <c:axId val="1047942575"/>
        <c:scaling>
          <c:orientation val="minMax"/>
        </c:scaling>
        <c:delete val="1"/>
        <c:axPos val="b"/>
        <c:majorGridlines>
          <c:spPr>
            <a:ln w="9525" cap="flat" cmpd="sng" algn="ctr">
              <a:solidFill>
                <a:schemeClr val="tx1">
                  <a:lumMod val="15000"/>
                  <a:lumOff val="85000"/>
                </a:schemeClr>
              </a:solidFill>
              <a:round/>
            </a:ln>
            <a:effectLst/>
          </c:spPr>
        </c:majorGridlines>
        <c:majorTickMark val="none"/>
        <c:minorTickMark val="none"/>
        <c:tickLblPos val="nextTo"/>
        <c:crossAx val="1146869087"/>
        <c:crosses val="autoZero"/>
        <c:crossBetween val="midCat"/>
      </c:valAx>
      <c:valAx>
        <c:axId val="114686908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7942575"/>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4</xdr:col>
      <xdr:colOff>166687</xdr:colOff>
      <xdr:row>8</xdr:row>
      <xdr:rowOff>0</xdr:rowOff>
    </xdr:from>
    <xdr:to>
      <xdr:col>11</xdr:col>
      <xdr:colOff>471487</xdr:colOff>
      <xdr:row>22</xdr:row>
      <xdr:rowOff>76200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428625</xdr:colOff>
      <xdr:row>2</xdr:row>
      <xdr:rowOff>152400</xdr:rowOff>
    </xdr:from>
    <xdr:to>
      <xdr:col>15</xdr:col>
      <xdr:colOff>428625</xdr:colOff>
      <xdr:row>16</xdr:row>
      <xdr:rowOff>9525</xdr:rowOff>
    </xdr:to>
    <mc:AlternateContent xmlns:mc="http://schemas.openxmlformats.org/markup-compatibility/2006" xmlns:a14="http://schemas.microsoft.com/office/drawing/2010/main">
      <mc:Choice Requires="a14">
        <xdr:graphicFrame macro="">
          <xdr:nvGraphicFramePr>
            <xdr:cNvPr id="3" name="OrderDate">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microsoft.com/office/drawing/2010/slicer">
              <sle:slicer xmlns:sle="http://schemas.microsoft.com/office/drawing/2010/slicer" name="OrderDate"/>
            </a:graphicData>
          </a:graphic>
        </xdr:graphicFrame>
      </mc:Choice>
      <mc:Fallback xmlns="">
        <xdr:sp macro="" textlink="">
          <xdr:nvSpPr>
            <xdr:cNvPr id="0" name=""/>
            <xdr:cNvSpPr>
              <a:spLocks noTextEdit="1"/>
            </xdr:cNvSpPr>
          </xdr:nvSpPr>
          <xdr:spPr>
            <a:xfrm>
              <a:off x="8782050" y="5334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361950</xdr:colOff>
      <xdr:row>21</xdr:row>
      <xdr:rowOff>38100</xdr:rowOff>
    </xdr:from>
    <xdr:to>
      <xdr:col>15</xdr:col>
      <xdr:colOff>361950</xdr:colOff>
      <xdr:row>34</xdr:row>
      <xdr:rowOff>85725</xdr:rowOff>
    </xdr:to>
    <mc:AlternateContent xmlns:mc="http://schemas.openxmlformats.org/markup-compatibility/2006" xmlns:a14="http://schemas.microsoft.com/office/drawing/2010/main">
      <mc:Choice Requires="a14">
        <xdr:graphicFrame macro="">
          <xdr:nvGraphicFramePr>
            <xdr:cNvPr id="5" name="Region">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715375" y="40386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209550</xdr:colOff>
      <xdr:row>20</xdr:row>
      <xdr:rowOff>152400</xdr:rowOff>
    </xdr:from>
    <xdr:to>
      <xdr:col>20</xdr:col>
      <xdr:colOff>209550</xdr:colOff>
      <xdr:row>34</xdr:row>
      <xdr:rowOff>9525</xdr:rowOff>
    </xdr:to>
    <mc:AlternateContent xmlns:mc="http://schemas.openxmlformats.org/markup-compatibility/2006" xmlns:a14="http://schemas.microsoft.com/office/drawing/2010/main">
      <mc:Choice Requires="a14">
        <xdr:graphicFrame macro="">
          <xdr:nvGraphicFramePr>
            <xdr:cNvPr id="6" name="Country">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1610975" y="39624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295275</xdr:colOff>
      <xdr:row>20</xdr:row>
      <xdr:rowOff>142875</xdr:rowOff>
    </xdr:from>
    <xdr:to>
      <xdr:col>24</xdr:col>
      <xdr:colOff>295275</xdr:colOff>
      <xdr:row>34</xdr:row>
      <xdr:rowOff>0</xdr:rowOff>
    </xdr:to>
    <mc:AlternateContent xmlns:mc="http://schemas.openxmlformats.org/markup-compatibility/2006" xmlns:a14="http://schemas.microsoft.com/office/drawing/2010/main">
      <mc:Choice Requires="a14">
        <xdr:graphicFrame macro="">
          <xdr:nvGraphicFramePr>
            <xdr:cNvPr id="7" name="Channel">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mlns="">
        <xdr:sp macro="" textlink="">
          <xdr:nvSpPr>
            <xdr:cNvPr id="0" name=""/>
            <xdr:cNvSpPr>
              <a:spLocks noTextEdit="1"/>
            </xdr:cNvSpPr>
          </xdr:nvSpPr>
          <xdr:spPr>
            <a:xfrm>
              <a:off x="14135100" y="39528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361950</xdr:colOff>
      <xdr:row>4</xdr:row>
      <xdr:rowOff>114300</xdr:rowOff>
    </xdr:from>
    <xdr:to>
      <xdr:col>19</xdr:col>
      <xdr:colOff>361950</xdr:colOff>
      <xdr:row>17</xdr:row>
      <xdr:rowOff>161925</xdr:rowOff>
    </xdr:to>
    <mc:AlternateContent xmlns:mc="http://schemas.openxmlformats.org/markup-compatibility/2006" xmlns:a14="http://schemas.microsoft.com/office/drawing/2010/main">
      <mc:Choice Requires="a14">
        <xdr:graphicFrame macro="">
          <xdr:nvGraphicFramePr>
            <xdr:cNvPr id="8" name="Salesperson">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11153775" y="8763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38100</xdr:colOff>
      <xdr:row>3</xdr:row>
      <xdr:rowOff>133350</xdr:rowOff>
    </xdr:from>
    <xdr:to>
      <xdr:col>24</xdr:col>
      <xdr:colOff>38100</xdr:colOff>
      <xdr:row>16</xdr:row>
      <xdr:rowOff>180975</xdr:rowOff>
    </xdr:to>
    <mc:AlternateContent xmlns:mc="http://schemas.openxmlformats.org/markup-compatibility/2006" xmlns:a14="http://schemas.microsoft.com/office/drawing/2010/main">
      <mc:Choice Requires="a14">
        <xdr:graphicFrame macro="">
          <xdr:nvGraphicFramePr>
            <xdr:cNvPr id="9" name="ProductCategory">
              <a:extLst>
                <a:ext uri="{FF2B5EF4-FFF2-40B4-BE49-F238E27FC236}">
                  <a16:creationId xmlns:a16="http://schemas.microsoft.com/office/drawing/2014/main" id="{00000000-0008-0000-0500-000009000000}"/>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13877925" y="7048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238125</xdr:colOff>
      <xdr:row>15</xdr:row>
      <xdr:rowOff>104775</xdr:rowOff>
    </xdr:from>
    <xdr:to>
      <xdr:col>12</xdr:col>
      <xdr:colOff>238125</xdr:colOff>
      <xdr:row>28</xdr:row>
      <xdr:rowOff>152400</xdr:rowOff>
    </xdr:to>
    <mc:AlternateContent xmlns:mc="http://schemas.openxmlformats.org/markup-compatibility/2006">
      <mc:Choice xmlns:a14="http://schemas.microsoft.com/office/drawing/2010/main" Requires="a14">
        <xdr:graphicFrame macro="">
          <xdr:nvGraphicFramePr>
            <xdr:cNvPr id="2" name="LeadTimeDays ≤ 7">
              <a:extLst>
                <a:ext uri="{FF2B5EF4-FFF2-40B4-BE49-F238E27FC236}">
                  <a16:creationId xmlns:a16="http://schemas.microsoft.com/office/drawing/2014/main" id="{91218FD5-EB48-4345-B121-AABA5285AC1F}"/>
                </a:ext>
              </a:extLst>
            </xdr:cNvPr>
            <xdr:cNvGraphicFramePr/>
          </xdr:nvGraphicFramePr>
          <xdr:xfrm>
            <a:off x="0" y="0"/>
            <a:ext cx="0" cy="0"/>
          </xdr:xfrm>
          <a:graphic>
            <a:graphicData uri="http://schemas.microsoft.com/office/drawing/2010/slicer">
              <sle:slicer xmlns:sle="http://schemas.microsoft.com/office/drawing/2010/slicer" name="LeadTimeDays ≤ 7"/>
            </a:graphicData>
          </a:graphic>
        </xdr:graphicFrame>
      </mc:Choice>
      <mc:Fallback>
        <xdr:sp macro="" textlink="">
          <xdr:nvSpPr>
            <xdr:cNvPr id="0" name=""/>
            <xdr:cNvSpPr>
              <a:spLocks noTextEdit="1"/>
            </xdr:cNvSpPr>
          </xdr:nvSpPr>
          <xdr:spPr>
            <a:xfrm>
              <a:off x="6457950" y="29622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381000</xdr:colOff>
      <xdr:row>13</xdr:row>
      <xdr:rowOff>85725</xdr:rowOff>
    </xdr:from>
    <xdr:to>
      <xdr:col>8</xdr:col>
      <xdr:colOff>381000</xdr:colOff>
      <xdr:row>26</xdr:row>
      <xdr:rowOff>133350</xdr:rowOff>
    </xdr:to>
    <mc:AlternateContent xmlns:mc="http://schemas.openxmlformats.org/markup-compatibility/2006" xmlns:a14="http://schemas.microsoft.com/office/drawing/2010/main">
      <mc:Choice Requires="a14">
        <xdr:graphicFrame macro="">
          <xdr:nvGraphicFramePr>
            <xdr:cNvPr id="2" name="PriceBand">
              <a:extLst>
                <a:ext uri="{FF2B5EF4-FFF2-40B4-BE49-F238E27FC236}">
                  <a16:creationId xmlns:a16="http://schemas.microsoft.com/office/drawing/2014/main" id="{531300DD-715A-4122-8A6D-2124D4BA067A}"/>
                </a:ext>
              </a:extLst>
            </xdr:cNvPr>
            <xdr:cNvGraphicFramePr/>
          </xdr:nvGraphicFramePr>
          <xdr:xfrm>
            <a:off x="0" y="0"/>
            <a:ext cx="0" cy="0"/>
          </xdr:xfrm>
          <a:graphic>
            <a:graphicData uri="http://schemas.microsoft.com/office/drawing/2010/slicer">
              <sle:slicer xmlns:sle="http://schemas.microsoft.com/office/drawing/2010/slicer" name="PriceBand"/>
            </a:graphicData>
          </a:graphic>
        </xdr:graphicFrame>
      </mc:Choice>
      <mc:Fallback xmlns="">
        <xdr:sp macro="" textlink="">
          <xdr:nvSpPr>
            <xdr:cNvPr id="0" name=""/>
            <xdr:cNvSpPr>
              <a:spLocks noTextEdit="1"/>
            </xdr:cNvSpPr>
          </xdr:nvSpPr>
          <xdr:spPr>
            <a:xfrm>
              <a:off x="4695825" y="25622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4</xdr:col>
      <xdr:colOff>247649</xdr:colOff>
      <xdr:row>10</xdr:row>
      <xdr:rowOff>119061</xdr:rowOff>
    </xdr:from>
    <xdr:to>
      <xdr:col>12</xdr:col>
      <xdr:colOff>238124</xdr:colOff>
      <xdr:row>26</xdr:row>
      <xdr:rowOff>28574</xdr:rowOff>
    </xdr:to>
    <xdr:graphicFrame macro="">
      <xdr:nvGraphicFramePr>
        <xdr:cNvPr id="2" name="Chart 1">
          <a:extLst>
            <a:ext uri="{FF2B5EF4-FFF2-40B4-BE49-F238E27FC236}">
              <a16:creationId xmlns:a16="http://schemas.microsoft.com/office/drawing/2014/main" id="{EE61F030-D85C-4685-97E5-3296EC9D3C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8</xdr:col>
      <xdr:colOff>74082</xdr:colOff>
      <xdr:row>12</xdr:row>
      <xdr:rowOff>120650</xdr:rowOff>
    </xdr:from>
    <xdr:to>
      <xdr:col>18</xdr:col>
      <xdr:colOff>137583</xdr:colOff>
      <xdr:row>29</xdr:row>
      <xdr:rowOff>63500</xdr:rowOff>
    </xdr:to>
    <xdr:graphicFrame macro="">
      <xdr:nvGraphicFramePr>
        <xdr:cNvPr id="2" name="Chart 1">
          <a:extLst>
            <a:ext uri="{FF2B5EF4-FFF2-40B4-BE49-F238E27FC236}">
              <a16:creationId xmlns:a16="http://schemas.microsoft.com/office/drawing/2014/main" id="{949380E2-69B8-48E7-B3EC-F0E10C097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359832</xdr:colOff>
      <xdr:row>30</xdr:row>
      <xdr:rowOff>131234</xdr:rowOff>
    </xdr:from>
    <xdr:to>
      <xdr:col>18</xdr:col>
      <xdr:colOff>10582</xdr:colOff>
      <xdr:row>45</xdr:row>
      <xdr:rowOff>63500</xdr:rowOff>
    </xdr:to>
    <xdr:graphicFrame macro="">
      <xdr:nvGraphicFramePr>
        <xdr:cNvPr id="3" name="Chart 2">
          <a:extLst>
            <a:ext uri="{FF2B5EF4-FFF2-40B4-BE49-F238E27FC236}">
              <a16:creationId xmlns:a16="http://schemas.microsoft.com/office/drawing/2014/main" id="{D555900F-40E8-4571-8F5E-72B6AADB37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1143000</xdr:colOff>
      <xdr:row>19</xdr:row>
      <xdr:rowOff>28575</xdr:rowOff>
    </xdr:from>
    <xdr:to>
      <xdr:col>3</xdr:col>
      <xdr:colOff>295275</xdr:colOff>
      <xdr:row>32</xdr:row>
      <xdr:rowOff>76200</xdr:rowOff>
    </xdr:to>
    <mc:AlternateContent xmlns:mc="http://schemas.openxmlformats.org/markup-compatibility/2006" xmlns:a14="http://schemas.microsoft.com/office/drawing/2010/main">
      <mc:Choice Requires="a14">
        <xdr:graphicFrame macro="">
          <xdr:nvGraphicFramePr>
            <xdr:cNvPr id="3" name="ProductCategory 2">
              <a:extLst>
                <a:ext uri="{FF2B5EF4-FFF2-40B4-BE49-F238E27FC236}">
                  <a16:creationId xmlns:a16="http://schemas.microsoft.com/office/drawing/2014/main" id="{004457CB-AFAE-4457-BFE9-874BE8D867F9}"/>
                </a:ext>
              </a:extLst>
            </xdr:cNvPr>
            <xdr:cNvGraphicFramePr/>
          </xdr:nvGraphicFramePr>
          <xdr:xfrm>
            <a:off x="0" y="0"/>
            <a:ext cx="0" cy="0"/>
          </xdr:xfrm>
          <a:graphic>
            <a:graphicData uri="http://schemas.microsoft.com/office/drawing/2010/slicer">
              <sle:slicer xmlns:sle="http://schemas.microsoft.com/office/drawing/2010/slicer" name="ProductCategory 2"/>
            </a:graphicData>
          </a:graphic>
        </xdr:graphicFrame>
      </mc:Choice>
      <mc:Fallback xmlns="">
        <xdr:sp macro="" textlink="">
          <xdr:nvSpPr>
            <xdr:cNvPr id="0" name=""/>
            <xdr:cNvSpPr>
              <a:spLocks noTextEdit="1"/>
            </xdr:cNvSpPr>
          </xdr:nvSpPr>
          <xdr:spPr>
            <a:xfrm>
              <a:off x="2171700" y="36480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152400</xdr:colOff>
      <xdr:row>17</xdr:row>
      <xdr:rowOff>109537</xdr:rowOff>
    </xdr:from>
    <xdr:to>
      <xdr:col>9</xdr:col>
      <xdr:colOff>419100</xdr:colOff>
      <xdr:row>31</xdr:row>
      <xdr:rowOff>185737</xdr:rowOff>
    </xdr:to>
    <xdr:graphicFrame macro="">
      <xdr:nvGraphicFramePr>
        <xdr:cNvPr id="4" name="Chart 3">
          <a:extLst>
            <a:ext uri="{FF2B5EF4-FFF2-40B4-BE49-F238E27FC236}">
              <a16:creationId xmlns:a16="http://schemas.microsoft.com/office/drawing/2014/main" id="{09FB10C2-DB34-4B53-B07D-ABA49244C0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6</xdr:col>
      <xdr:colOff>42862</xdr:colOff>
      <xdr:row>633</xdr:row>
      <xdr:rowOff>90487</xdr:rowOff>
    </xdr:from>
    <xdr:to>
      <xdr:col>11</xdr:col>
      <xdr:colOff>109537</xdr:colOff>
      <xdr:row>647</xdr:row>
      <xdr:rowOff>166687</xdr:rowOff>
    </xdr:to>
    <xdr:graphicFrame macro="">
      <xdr:nvGraphicFramePr>
        <xdr:cNvPr id="2" name="Chart 1">
          <a:extLst>
            <a:ext uri="{FF2B5EF4-FFF2-40B4-BE49-F238E27FC236}">
              <a16:creationId xmlns:a16="http://schemas.microsoft.com/office/drawing/2014/main" id="{3FC9B66D-45EB-45AE-A911-A80110A959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9</xdr:col>
      <xdr:colOff>224118</xdr:colOff>
      <xdr:row>0</xdr:row>
      <xdr:rowOff>189379</xdr:rowOff>
    </xdr:from>
    <xdr:to>
      <xdr:col>20</xdr:col>
      <xdr:colOff>333936</xdr:colOff>
      <xdr:row>4</xdr:row>
      <xdr:rowOff>17929</xdr:rowOff>
    </xdr:to>
    <xdr:sp macro="" textlink="">
      <xdr:nvSpPr>
        <xdr:cNvPr id="2" name="Rounded Rectangle 1">
          <a:extLst>
            <a:ext uri="{FF2B5EF4-FFF2-40B4-BE49-F238E27FC236}">
              <a16:creationId xmlns:a16="http://schemas.microsoft.com/office/drawing/2014/main" id="{00000000-0008-0000-0A00-000002000000}"/>
            </a:ext>
          </a:extLst>
        </xdr:cNvPr>
        <xdr:cNvSpPr/>
      </xdr:nvSpPr>
      <xdr:spPr>
        <a:xfrm>
          <a:off x="5670177" y="189379"/>
          <a:ext cx="6766112" cy="5905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800"/>
            <a:t>	</a:t>
          </a:r>
          <a:r>
            <a:rPr lang="en-US" sz="2400" b="1"/>
            <a:t>Sales Operations and Analytics Dashboard</a:t>
          </a:r>
        </a:p>
      </xdr:txBody>
    </xdr:sp>
    <xdr:clientData/>
  </xdr:twoCellAnchor>
  <xdr:twoCellAnchor>
    <xdr:from>
      <xdr:col>4</xdr:col>
      <xdr:colOff>466726</xdr:colOff>
      <xdr:row>5</xdr:row>
      <xdr:rowOff>64995</xdr:rowOff>
    </xdr:from>
    <xdr:to>
      <xdr:col>8</xdr:col>
      <xdr:colOff>581025</xdr:colOff>
      <xdr:row>7</xdr:row>
      <xdr:rowOff>103095</xdr:rowOff>
    </xdr:to>
    <xdr:sp macro="" textlink="">
      <xdr:nvSpPr>
        <xdr:cNvPr id="4" name="Rounded Rectangle 3">
          <a:extLst>
            <a:ext uri="{FF2B5EF4-FFF2-40B4-BE49-F238E27FC236}">
              <a16:creationId xmlns:a16="http://schemas.microsoft.com/office/drawing/2014/main" id="{00000000-0008-0000-0A00-000004000000}"/>
            </a:ext>
          </a:extLst>
        </xdr:cNvPr>
        <xdr:cNvSpPr/>
      </xdr:nvSpPr>
      <xdr:spPr>
        <a:xfrm>
          <a:off x="2905126" y="1017495"/>
          <a:ext cx="2552699" cy="4191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t>Total Revenue = </a:t>
          </a:r>
          <a:r>
            <a:rPr lang="en-US" sz="1200" b="1" i="0" u="none" strike="noStrike">
              <a:solidFill>
                <a:schemeClr val="lt1"/>
              </a:solidFill>
              <a:effectLst/>
              <a:latin typeface="+mn-lt"/>
              <a:ea typeface="+mn-ea"/>
              <a:cs typeface="+mn-cs"/>
            </a:rPr>
            <a:t>Ksh 10,919,008.63</a:t>
          </a:r>
          <a:r>
            <a:rPr lang="en-US" sz="1200" b="1"/>
            <a:t> </a:t>
          </a:r>
        </a:p>
      </xdr:txBody>
    </xdr:sp>
    <xdr:clientData/>
  </xdr:twoCellAnchor>
  <xdr:twoCellAnchor>
    <xdr:from>
      <xdr:col>9</xdr:col>
      <xdr:colOff>249331</xdr:colOff>
      <xdr:row>5</xdr:row>
      <xdr:rowOff>84043</xdr:rowOff>
    </xdr:from>
    <xdr:to>
      <xdr:col>13</xdr:col>
      <xdr:colOff>363631</xdr:colOff>
      <xdr:row>7</xdr:row>
      <xdr:rowOff>131668</xdr:rowOff>
    </xdr:to>
    <xdr:sp macro="" textlink="">
      <xdr:nvSpPr>
        <xdr:cNvPr id="5" name="Rounded Rectangle 4">
          <a:extLst>
            <a:ext uri="{FF2B5EF4-FFF2-40B4-BE49-F238E27FC236}">
              <a16:creationId xmlns:a16="http://schemas.microsoft.com/office/drawing/2014/main" id="{00000000-0008-0000-0A00-000005000000}"/>
            </a:ext>
          </a:extLst>
        </xdr:cNvPr>
        <xdr:cNvSpPr/>
      </xdr:nvSpPr>
      <xdr:spPr>
        <a:xfrm>
          <a:off x="5735731" y="1036543"/>
          <a:ext cx="2552700" cy="42862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t>Total</a:t>
          </a:r>
          <a:r>
            <a:rPr lang="en-US" sz="1200" b="1" baseline="0"/>
            <a:t> Gross Profit = </a:t>
          </a:r>
          <a:r>
            <a:rPr lang="en-US" sz="1200" b="1" i="0" u="none" strike="noStrike">
              <a:solidFill>
                <a:schemeClr val="lt1"/>
              </a:solidFill>
              <a:effectLst/>
              <a:latin typeface="+mn-lt"/>
              <a:ea typeface="+mn-ea"/>
              <a:cs typeface="+mn-cs"/>
            </a:rPr>
            <a:t>Ksh 3,422,813.42</a:t>
          </a:r>
          <a:r>
            <a:rPr lang="en-US" sz="1200" b="1"/>
            <a:t> </a:t>
          </a:r>
          <a:r>
            <a:rPr lang="en-US" sz="1200" b="1" baseline="0"/>
            <a:t> </a:t>
          </a:r>
          <a:endParaRPr lang="en-US" sz="1200" b="1"/>
        </a:p>
      </xdr:txBody>
    </xdr:sp>
    <xdr:clientData/>
  </xdr:twoCellAnchor>
  <xdr:twoCellAnchor>
    <xdr:from>
      <xdr:col>14</xdr:col>
      <xdr:colOff>118782</xdr:colOff>
      <xdr:row>5</xdr:row>
      <xdr:rowOff>79561</xdr:rowOff>
    </xdr:from>
    <xdr:to>
      <xdr:col>18</xdr:col>
      <xdr:colOff>233083</xdr:colOff>
      <xdr:row>7</xdr:row>
      <xdr:rowOff>127186</xdr:rowOff>
    </xdr:to>
    <xdr:sp macro="" textlink="">
      <xdr:nvSpPr>
        <xdr:cNvPr id="6" name="Rounded Rectangle 5">
          <a:extLst>
            <a:ext uri="{FF2B5EF4-FFF2-40B4-BE49-F238E27FC236}">
              <a16:creationId xmlns:a16="http://schemas.microsoft.com/office/drawing/2014/main" id="{00000000-0008-0000-0A00-000006000000}"/>
            </a:ext>
          </a:extLst>
        </xdr:cNvPr>
        <xdr:cNvSpPr/>
      </xdr:nvSpPr>
      <xdr:spPr>
        <a:xfrm>
          <a:off x="8653182" y="1032061"/>
          <a:ext cx="2552701" cy="42862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t>Total Margin % = </a:t>
          </a:r>
          <a:r>
            <a:rPr lang="en-US" sz="1200" b="1" i="0" u="none" strike="noStrike">
              <a:solidFill>
                <a:schemeClr val="lt1"/>
              </a:solidFill>
              <a:effectLst/>
              <a:latin typeface="+mn-lt"/>
              <a:ea typeface="+mn-ea"/>
              <a:cs typeface="+mn-cs"/>
            </a:rPr>
            <a:t>(Ksh171.65)</a:t>
          </a:r>
          <a:r>
            <a:rPr lang="en-US" sz="1200" b="1"/>
            <a:t>  </a:t>
          </a:r>
          <a:r>
            <a:rPr lang="en-US" sz="1200" b="1" baseline="0"/>
            <a:t> </a:t>
          </a:r>
          <a:endParaRPr lang="en-US" sz="1200" b="1"/>
        </a:p>
      </xdr:txBody>
    </xdr:sp>
    <xdr:clientData/>
  </xdr:twoCellAnchor>
  <xdr:twoCellAnchor>
    <xdr:from>
      <xdr:col>18</xdr:col>
      <xdr:colOff>578223</xdr:colOff>
      <xdr:row>5</xdr:row>
      <xdr:rowOff>70037</xdr:rowOff>
    </xdr:from>
    <xdr:to>
      <xdr:col>23</xdr:col>
      <xdr:colOff>123264</xdr:colOff>
      <xdr:row>7</xdr:row>
      <xdr:rowOff>117662</xdr:rowOff>
    </xdr:to>
    <xdr:sp macro="" textlink="">
      <xdr:nvSpPr>
        <xdr:cNvPr id="7" name="Rounded Rectangle 6">
          <a:extLst>
            <a:ext uri="{FF2B5EF4-FFF2-40B4-BE49-F238E27FC236}">
              <a16:creationId xmlns:a16="http://schemas.microsoft.com/office/drawing/2014/main" id="{00000000-0008-0000-0A00-000007000000}"/>
            </a:ext>
          </a:extLst>
        </xdr:cNvPr>
        <xdr:cNvSpPr/>
      </xdr:nvSpPr>
      <xdr:spPr>
        <a:xfrm>
          <a:off x="11470341" y="1022537"/>
          <a:ext cx="2570629" cy="42862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t>Average Order</a:t>
          </a:r>
          <a:r>
            <a:rPr lang="en-US" sz="1200" b="1" baseline="0"/>
            <a:t> Value = </a:t>
          </a:r>
          <a:r>
            <a:rPr lang="en-US" sz="1200" b="1" i="0" u="none" strike="noStrike">
              <a:solidFill>
                <a:schemeClr val="lt1"/>
              </a:solidFill>
              <a:effectLst/>
              <a:latin typeface="+mn-lt"/>
              <a:ea typeface="+mn-ea"/>
              <a:cs typeface="+mn-cs"/>
            </a:rPr>
            <a:t>Ksh17,304.29</a:t>
          </a:r>
          <a:r>
            <a:rPr lang="en-US" sz="1200" b="1"/>
            <a:t> </a:t>
          </a:r>
        </a:p>
      </xdr:txBody>
    </xdr:sp>
    <xdr:clientData/>
  </xdr:twoCellAnchor>
  <xdr:twoCellAnchor>
    <xdr:from>
      <xdr:col>23</xdr:col>
      <xdr:colOff>516031</xdr:colOff>
      <xdr:row>5</xdr:row>
      <xdr:rowOff>89087</xdr:rowOff>
    </xdr:from>
    <xdr:to>
      <xdr:col>28</xdr:col>
      <xdr:colOff>25213</xdr:colOff>
      <xdr:row>7</xdr:row>
      <xdr:rowOff>136712</xdr:rowOff>
    </xdr:to>
    <xdr:sp macro="" textlink="">
      <xdr:nvSpPr>
        <xdr:cNvPr id="8" name="Rounded Rectangle 7">
          <a:extLst>
            <a:ext uri="{FF2B5EF4-FFF2-40B4-BE49-F238E27FC236}">
              <a16:creationId xmlns:a16="http://schemas.microsoft.com/office/drawing/2014/main" id="{00000000-0008-0000-0A00-000008000000}"/>
            </a:ext>
          </a:extLst>
        </xdr:cNvPr>
        <xdr:cNvSpPr/>
      </xdr:nvSpPr>
      <xdr:spPr>
        <a:xfrm>
          <a:off x="14433737" y="1041587"/>
          <a:ext cx="2534770" cy="42862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t>%</a:t>
          </a:r>
          <a:r>
            <a:rPr lang="en-US" sz="1200" b="1" baseline="0"/>
            <a:t> of On-Time Orders = 27.26%</a:t>
          </a:r>
          <a:endParaRPr lang="en-US" sz="1200" b="1"/>
        </a:p>
      </xdr:txBody>
    </xdr:sp>
    <xdr:clientData/>
  </xdr:twoCellAnchor>
  <xdr:twoCellAnchor editAs="oneCell">
    <xdr:from>
      <xdr:col>3</xdr:col>
      <xdr:colOff>277906</xdr:colOff>
      <xdr:row>8</xdr:row>
      <xdr:rowOff>86286</xdr:rowOff>
    </xdr:from>
    <xdr:to>
      <xdr:col>6</xdr:col>
      <xdr:colOff>277906</xdr:colOff>
      <xdr:row>19</xdr:row>
      <xdr:rowOff>10085</xdr:rowOff>
    </xdr:to>
    <mc:AlternateContent xmlns:mc="http://schemas.openxmlformats.org/markup-compatibility/2006" xmlns:a14="http://schemas.microsoft.com/office/drawing/2010/main">
      <mc:Choice Requires="a14">
        <xdr:graphicFrame macro="">
          <xdr:nvGraphicFramePr>
            <xdr:cNvPr id="9" name="Region 1">
              <a:extLst>
                <a:ext uri="{FF2B5EF4-FFF2-40B4-BE49-F238E27FC236}">
                  <a16:creationId xmlns:a16="http://schemas.microsoft.com/office/drawing/2014/main" id="{00000000-0008-0000-0A00-00000900000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093259" y="1610286"/>
              <a:ext cx="1815353" cy="20192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276224</xdr:colOff>
      <xdr:row>19</xdr:row>
      <xdr:rowOff>110378</xdr:rowOff>
    </xdr:from>
    <xdr:to>
      <xdr:col>6</xdr:col>
      <xdr:colOff>276224</xdr:colOff>
      <xdr:row>33</xdr:row>
      <xdr:rowOff>145677</xdr:rowOff>
    </xdr:to>
    <mc:AlternateContent xmlns:mc="http://schemas.openxmlformats.org/markup-compatibility/2006" xmlns:a14="http://schemas.microsoft.com/office/drawing/2010/main">
      <mc:Choice Requires="a14">
        <xdr:graphicFrame macro="">
          <xdr:nvGraphicFramePr>
            <xdr:cNvPr id="10" name="Country 1">
              <a:extLst>
                <a:ext uri="{FF2B5EF4-FFF2-40B4-BE49-F238E27FC236}">
                  <a16:creationId xmlns:a16="http://schemas.microsoft.com/office/drawing/2014/main" id="{00000000-0008-0000-0A00-00000A000000}"/>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2091577" y="3729878"/>
              <a:ext cx="1815353" cy="27022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601194</xdr:colOff>
      <xdr:row>21</xdr:row>
      <xdr:rowOff>45385</xdr:rowOff>
    </xdr:from>
    <xdr:to>
      <xdr:col>29</xdr:col>
      <xdr:colOff>601194</xdr:colOff>
      <xdr:row>32</xdr:row>
      <xdr:rowOff>134471</xdr:rowOff>
    </xdr:to>
    <mc:AlternateContent xmlns:mc="http://schemas.openxmlformats.org/markup-compatibility/2006">
      <mc:Choice xmlns:a14="http://schemas.microsoft.com/office/drawing/2010/main" Requires="a14">
        <xdr:graphicFrame macro="">
          <xdr:nvGraphicFramePr>
            <xdr:cNvPr id="11" name="Channel 1">
              <a:extLst>
                <a:ext uri="{FF2B5EF4-FFF2-40B4-BE49-F238E27FC236}">
                  <a16:creationId xmlns:a16="http://schemas.microsoft.com/office/drawing/2014/main" id="{00000000-0008-0000-0A00-00000B000000}"/>
                </a:ext>
              </a:extLst>
            </xdr:cNvPr>
            <xdr:cNvGraphicFramePr/>
          </xdr:nvGraphicFramePr>
          <xdr:xfrm>
            <a:off x="0" y="0"/>
            <a:ext cx="0" cy="0"/>
          </xdr:xfrm>
          <a:graphic>
            <a:graphicData uri="http://schemas.microsoft.com/office/drawing/2010/slicer">
              <sle:slicer xmlns:sle="http://schemas.microsoft.com/office/drawing/2010/slicer" name="Channel 1"/>
            </a:graphicData>
          </a:graphic>
        </xdr:graphicFrame>
      </mc:Choice>
      <mc:Fallback>
        <xdr:sp macro="" textlink="">
          <xdr:nvSpPr>
            <xdr:cNvPr id="0" name=""/>
            <xdr:cNvSpPr>
              <a:spLocks noTextEdit="1"/>
            </xdr:cNvSpPr>
          </xdr:nvSpPr>
          <xdr:spPr>
            <a:xfrm>
              <a:off x="16560861" y="4045885"/>
              <a:ext cx="1841500" cy="218458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279586</xdr:colOff>
      <xdr:row>34</xdr:row>
      <xdr:rowOff>35860</xdr:rowOff>
    </xdr:from>
    <xdr:to>
      <xdr:col>6</xdr:col>
      <xdr:colOff>279586</xdr:colOff>
      <xdr:row>46</xdr:row>
      <xdr:rowOff>156884</xdr:rowOff>
    </xdr:to>
    <mc:AlternateContent xmlns:mc="http://schemas.openxmlformats.org/markup-compatibility/2006" xmlns:a14="http://schemas.microsoft.com/office/drawing/2010/main">
      <mc:Choice Requires="a14">
        <xdr:graphicFrame macro="">
          <xdr:nvGraphicFramePr>
            <xdr:cNvPr id="12" name="ProductCategory 1">
              <a:extLst>
                <a:ext uri="{FF2B5EF4-FFF2-40B4-BE49-F238E27FC236}">
                  <a16:creationId xmlns:a16="http://schemas.microsoft.com/office/drawing/2014/main" id="{00000000-0008-0000-0A00-00000C000000}"/>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mlns="">
        <xdr:sp macro="" textlink="">
          <xdr:nvSpPr>
            <xdr:cNvPr id="0" name=""/>
            <xdr:cNvSpPr>
              <a:spLocks noTextEdit="1"/>
            </xdr:cNvSpPr>
          </xdr:nvSpPr>
          <xdr:spPr>
            <a:xfrm>
              <a:off x="2094939" y="6512860"/>
              <a:ext cx="1815353" cy="24070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29697</xdr:colOff>
      <xdr:row>33</xdr:row>
      <xdr:rowOff>33619</xdr:rowOff>
    </xdr:from>
    <xdr:to>
      <xdr:col>30</xdr:col>
      <xdr:colOff>29697</xdr:colOff>
      <xdr:row>46</xdr:row>
      <xdr:rowOff>186019</xdr:rowOff>
    </xdr:to>
    <mc:AlternateContent xmlns:mc="http://schemas.openxmlformats.org/markup-compatibility/2006">
      <mc:Choice xmlns:a14="http://schemas.microsoft.com/office/drawing/2010/main" Requires="a14">
        <xdr:graphicFrame macro="">
          <xdr:nvGraphicFramePr>
            <xdr:cNvPr id="13" name="OrderDate 1">
              <a:extLst>
                <a:ext uri="{FF2B5EF4-FFF2-40B4-BE49-F238E27FC236}">
                  <a16:creationId xmlns:a16="http://schemas.microsoft.com/office/drawing/2014/main" id="{00000000-0008-0000-0A00-00000D000000}"/>
                </a:ext>
              </a:extLst>
            </xdr:cNvPr>
            <xdr:cNvGraphicFramePr/>
          </xdr:nvGraphicFramePr>
          <xdr:xfrm>
            <a:off x="0" y="0"/>
            <a:ext cx="0" cy="0"/>
          </xdr:xfrm>
          <a:graphic>
            <a:graphicData uri="http://schemas.microsoft.com/office/drawing/2010/slicer">
              <sle:slicer xmlns:sle="http://schemas.microsoft.com/office/drawing/2010/slicer" name="OrderDate 1"/>
            </a:graphicData>
          </a:graphic>
        </xdr:graphicFrame>
      </mc:Choice>
      <mc:Fallback>
        <xdr:sp macro="" textlink="">
          <xdr:nvSpPr>
            <xdr:cNvPr id="0" name=""/>
            <xdr:cNvSpPr>
              <a:spLocks noTextEdit="1"/>
            </xdr:cNvSpPr>
          </xdr:nvSpPr>
          <xdr:spPr>
            <a:xfrm>
              <a:off x="16603197" y="6320119"/>
              <a:ext cx="1841500" cy="2628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416858</xdr:colOff>
      <xdr:row>8</xdr:row>
      <xdr:rowOff>77320</xdr:rowOff>
    </xdr:from>
    <xdr:to>
      <xdr:col>16</xdr:col>
      <xdr:colOff>529478</xdr:colOff>
      <xdr:row>26</xdr:row>
      <xdr:rowOff>25213</xdr:rowOff>
    </xdr:to>
    <xdr:graphicFrame macro="">
      <xdr:nvGraphicFramePr>
        <xdr:cNvPr id="15" name="Chart 14">
          <a:extLst>
            <a:ext uri="{FF2B5EF4-FFF2-40B4-BE49-F238E27FC236}">
              <a16:creationId xmlns:a16="http://schemas.microsoft.com/office/drawing/2014/main" id="{00000000-0008-0000-0A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77318</xdr:colOff>
      <xdr:row>8</xdr:row>
      <xdr:rowOff>84605</xdr:rowOff>
    </xdr:from>
    <xdr:to>
      <xdr:col>26</xdr:col>
      <xdr:colOff>449354</xdr:colOff>
      <xdr:row>26</xdr:row>
      <xdr:rowOff>64994</xdr:rowOff>
    </xdr:to>
    <xdr:graphicFrame macro="">
      <xdr:nvGraphicFramePr>
        <xdr:cNvPr id="17" name="Chart 16">
          <a:extLst>
            <a:ext uri="{FF2B5EF4-FFF2-40B4-BE49-F238E27FC236}">
              <a16:creationId xmlns:a16="http://schemas.microsoft.com/office/drawing/2014/main" id="{431DE3D9-70CC-4A4A-9363-9369763700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420780</xdr:colOff>
      <xdr:row>26</xdr:row>
      <xdr:rowOff>183775</xdr:rowOff>
    </xdr:from>
    <xdr:to>
      <xdr:col>16</xdr:col>
      <xdr:colOff>489138</xdr:colOff>
      <xdr:row>44</xdr:row>
      <xdr:rowOff>134470</xdr:rowOff>
    </xdr:to>
    <xdr:graphicFrame macro="">
      <xdr:nvGraphicFramePr>
        <xdr:cNvPr id="18" name="Chart 17">
          <a:extLst>
            <a:ext uri="{FF2B5EF4-FFF2-40B4-BE49-F238E27FC236}">
              <a16:creationId xmlns:a16="http://schemas.microsoft.com/office/drawing/2014/main" id="{4F7239A6-6C0F-4F19-8319-75EA1C6A46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89648</xdr:colOff>
      <xdr:row>27</xdr:row>
      <xdr:rowOff>33616</xdr:rowOff>
    </xdr:from>
    <xdr:to>
      <xdr:col>26</xdr:col>
      <xdr:colOff>481853</xdr:colOff>
      <xdr:row>44</xdr:row>
      <xdr:rowOff>145675</xdr:rowOff>
    </xdr:to>
    <xdr:graphicFrame macro="">
      <xdr:nvGraphicFramePr>
        <xdr:cNvPr id="20" name="Chart 19">
          <a:extLst>
            <a:ext uri="{FF2B5EF4-FFF2-40B4-BE49-F238E27FC236}">
              <a16:creationId xmlns:a16="http://schemas.microsoft.com/office/drawing/2014/main" id="{0923A25D-5CF1-4BA6-BADA-07AF71DE8F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26</xdr:col>
      <xdr:colOff>571500</xdr:colOff>
      <xdr:row>8</xdr:row>
      <xdr:rowOff>112059</xdr:rowOff>
    </xdr:from>
    <xdr:to>
      <xdr:col>29</xdr:col>
      <xdr:colOff>584947</xdr:colOff>
      <xdr:row>20</xdr:row>
      <xdr:rowOff>145676</xdr:rowOff>
    </xdr:to>
    <mc:AlternateContent xmlns:mc="http://schemas.openxmlformats.org/markup-compatibility/2006">
      <mc:Choice xmlns:a14="http://schemas.microsoft.com/office/drawing/2010/main" Requires="a14">
        <xdr:graphicFrame macro="">
          <xdr:nvGraphicFramePr>
            <xdr:cNvPr id="19" name="LeadTimeDays ≤ 8">
              <a:extLst>
                <a:ext uri="{FF2B5EF4-FFF2-40B4-BE49-F238E27FC236}">
                  <a16:creationId xmlns:a16="http://schemas.microsoft.com/office/drawing/2014/main" id="{525142EF-4652-4D85-8F14-31A8A61332B9}"/>
                </a:ext>
              </a:extLst>
            </xdr:cNvPr>
            <xdr:cNvGraphicFramePr/>
          </xdr:nvGraphicFramePr>
          <xdr:xfrm>
            <a:off x="0" y="0"/>
            <a:ext cx="0" cy="0"/>
          </xdr:xfrm>
          <a:graphic>
            <a:graphicData uri="http://schemas.microsoft.com/office/drawing/2010/slicer">
              <sle:slicer xmlns:sle="http://schemas.microsoft.com/office/drawing/2010/slicer" name="LeadTimeDays ≤ 8"/>
            </a:graphicData>
          </a:graphic>
        </xdr:graphicFrame>
      </mc:Choice>
      <mc:Fallback>
        <xdr:sp macro="" textlink="">
          <xdr:nvSpPr>
            <xdr:cNvPr id="0" name=""/>
            <xdr:cNvSpPr>
              <a:spLocks noTextEdit="1"/>
            </xdr:cNvSpPr>
          </xdr:nvSpPr>
          <xdr:spPr>
            <a:xfrm>
              <a:off x="16531167" y="1636059"/>
              <a:ext cx="1854947" cy="23196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ter Mutua" refreshedDate="46052.502710763889" createdVersion="6" refreshedVersion="6" minRefreshableVersion="3" recordCount="631" xr:uid="{00000000-000A-0000-FFFF-FFFF01000000}">
  <cacheSource type="worksheet">
    <worksheetSource ref="A1:AD632" sheet="Staging data"/>
  </cacheSource>
  <cacheFields count="31">
    <cacheField name="OrderID" numFmtId="49">
      <sharedItems count="631">
        <s v="ORD-2025-667201"/>
        <s v="ORD-2025-840976"/>
        <s v="ORD-2025-244832"/>
        <s v="ORD-2025-737787"/>
        <s v="ORD-2025-898022"/>
        <s v="ORD-2025-725646"/>
        <s v="ORD-2025-831576"/>
        <s v="ORD-2025-823055"/>
        <s v="ORD-2025-248586"/>
        <s v="ORD-2025-779574"/>
        <s v="ORD-2025-233883"/>
        <s v="ORD-2025-588029"/>
        <s v="ORD-2024-207792"/>
        <s v="ORD-2024-581530"/>
        <s v="ORD-2024-423853"/>
        <s v="ORD-2024-569164"/>
        <s v="ORD-2024-777623"/>
        <s v="ORD-2024-728474"/>
        <s v="ORD-2024-664046"/>
        <s v="ORD-2024-510520"/>
        <s v="ORD-2024-988736"/>
        <s v="ORD-2024-972999"/>
        <s v="ORD-2024-805860"/>
        <s v="ORD-2024-687100"/>
        <s v="ORD-2024-444710"/>
        <s v="ORD-2024-594527"/>
        <s v="ORD-2024-438404"/>
        <s v="ORD-2024-500890"/>
        <s v="ORD-2024-862371"/>
        <s v="ORD-2024-771210"/>
        <s v="ORD-2023-271918"/>
        <s v="ORD-2023-755337"/>
        <s v="ORD-2023-517216"/>
        <s v="ORD-2023-552115"/>
        <s v="ORD-2023-192324"/>
        <s v="ORD-2023-619385"/>
        <s v="ORD-2023-568013"/>
        <s v="ORD-2023-722117"/>
        <s v="ORD-2023-450877"/>
        <s v="ORD-2023-488227"/>
        <s v="ORD-2023-132101"/>
        <s v="ORD-2023-842820"/>
        <s v="ORD-2024-260775"/>
        <s v="ORD-2024-792558"/>
        <s v="ORD-2024-720756"/>
        <s v="ORD-2024-250862"/>
        <s v="ORD-2024-942981"/>
        <s v="ORD-2024-350100"/>
        <s v="ORD-2024-358795"/>
        <s v="ORD-2024-997336"/>
        <s v="ORD-2024-756884"/>
        <s v="ORD-2024-741404"/>
        <s v="ORD-2024-357368"/>
        <s v="ORD-2024-640340"/>
        <s v="ORD-2024-668926"/>
        <s v="ORD-2024-964950"/>
        <s v="ORD-2024-333192"/>
        <s v="ORD-2024-966651"/>
        <s v="ORD-2024-237478"/>
        <s v="ORD-2024-686712"/>
        <s v="ORD-2024-500511"/>
        <s v="ORD-2024-732543"/>
        <s v="ORD-2024-998320"/>
        <s v="ORD-2023-835226"/>
        <s v="ORD-2023-659070"/>
        <s v="ORD-2023-888140"/>
        <s v="ORD-2023-597666"/>
        <s v="ORD-2023-925146"/>
        <s v="ORD-2023-502205"/>
        <s v="ORD-2023-378104"/>
        <s v="ORD-2023-406606"/>
        <s v="ORD-2023-842488"/>
        <s v="ORD-2023-166668"/>
        <s v="ORD-2023-304451"/>
        <s v="ORD-2023-302041"/>
        <s v="ORD-2023-623293"/>
        <s v="ORD-2023-211715"/>
        <s v="ORD-2023-667815"/>
        <s v="ORD-2023-368449"/>
        <s v="ORD-2023-474313"/>
        <s v="ORD-2023-163610"/>
        <s v="ORD-2024-225829"/>
        <s v="ORD-2024-788105"/>
        <s v="ORD-2024-266562"/>
        <s v="ORD-2024-496601"/>
        <s v="ORD-2024-961756"/>
        <s v="ORD-2024-655710"/>
        <s v="ORD-2024-320972"/>
        <s v="ORD-2024-170021"/>
        <s v="ORD-2024-381197"/>
        <s v="ORD-2024-588972"/>
        <s v="ORD-2024-925626"/>
        <s v="ORD-2024-766980"/>
        <s v="ORD-2024-331226"/>
        <s v="ORD-2024-783321"/>
        <s v="ORD-2024-776337"/>
        <s v="ORD-2024-247979"/>
        <s v="ORD-2024-192263"/>
        <s v="ORD-2024-371409"/>
        <s v="ORD-2024-468501"/>
        <s v="ORD-2024-508213"/>
        <s v="ORD-2023-975863"/>
        <s v="ORD-2023-191563"/>
        <s v="ORD-2023-825495"/>
        <s v="ORD-2023-653343"/>
        <s v="ORD-2023-964434"/>
        <s v="ORD-2023-181257"/>
        <s v="ORD-2023-619570"/>
        <s v="ORD-2023-455933"/>
        <s v="ORD-2023-561823"/>
        <s v="ORD-2023-576840"/>
        <s v="ORD-2025-828263"/>
        <s v="ORD-2025-114382"/>
        <s v="ORD-2025-364852"/>
        <s v="ORD-2025-866565"/>
        <s v="ORD-2025-486350"/>
        <s v="ORD-2025-779530"/>
        <s v="ORD-2025-983096"/>
        <s v="ORD-2025-820255"/>
        <s v="ORD-2025-509940"/>
        <s v="ORD-2025-191328"/>
        <s v="ORD-2025-762301"/>
        <s v="ORD-2025-874124"/>
        <s v="ORD-2025-673091"/>
        <s v="ORD-2025-745263"/>
        <s v="ORD-2025-700847"/>
        <s v="ORD-2025-997421"/>
        <s v="ORD-2025-752192"/>
        <s v="ORD-2025-254721"/>
        <s v="ORD-2024-403664"/>
        <s v="ORD-2024-973420"/>
        <s v="ORD-2024-641220"/>
        <s v="ORD-2024-970848"/>
        <s v="ORD-2024-605518"/>
        <s v="ORD-2024-578646"/>
        <s v="ORD-2024-375848"/>
        <s v="ORD-2024-389336"/>
        <s v="ORD-2024-347736"/>
        <s v="ORD-2024-503082"/>
        <s v="ORD-2024-155337"/>
        <s v="ORD-2024-527858"/>
        <s v="ORD-2024-402240"/>
        <s v="ORD-2024-555229"/>
        <s v="ORD-2024-329104"/>
        <s v="ORD-2024-202166"/>
        <s v="ORD-2024-638884"/>
        <s v="ORD-2024-851993"/>
        <s v="ORD-2024-819979"/>
        <s v="ORD-2024-589570"/>
        <s v="ORD-2024-500109"/>
        <s v="ORD-2024-690270"/>
        <s v="ORD-2024-548345"/>
        <s v="ORD-2023-251563"/>
        <s v="ORD-2023-603650"/>
        <s v="ORD-2023-704111"/>
        <s v="ORD-2023-378676"/>
        <s v="ORD-2023-898009"/>
        <s v="ORD-2023-125739"/>
        <s v="ORD-2023-177794"/>
        <s v="ORD-2023-363031"/>
        <s v="ORD-2023-880296"/>
        <s v="ORD-2023-913592"/>
        <s v="ORD-2023-676553"/>
        <s v="ORD-2023-931633"/>
        <s v="ORD-2023-144816"/>
        <s v="ORD-2023-573656"/>
        <s v="ORD-2023-588455"/>
        <s v="ORD-2023-382272"/>
        <s v="ORD-2023-172095"/>
        <s v="ORD-2023-638181"/>
        <s v="ORD-2023-184577"/>
        <s v="ORD-2023-906481"/>
        <s v="ORD-2023-632893"/>
        <s v="ORD-2023-521280"/>
        <s v="ORD-2023-957692"/>
        <s v="ORD-2023-867836"/>
        <s v="ORD-2023-927385"/>
        <s v="ORD-2023-472050"/>
        <s v="ORD-2025-177994"/>
        <s v="ORD-2025-752845"/>
        <s v="ORD-2025-926547"/>
        <s v="ORD-2025-222035"/>
        <s v="ORD-2025-168148"/>
        <s v="ORD-2025-473192"/>
        <s v="ORD-2025-501927"/>
        <s v="ORD-2025-512310"/>
        <s v="ORD-2025-487261"/>
        <s v="ORD-2025-947929"/>
        <s v="ORD-2025-125517"/>
        <s v="ORD-2025-680118"/>
        <s v="ORD-2025-683247"/>
        <s v="ORD-2025-330203"/>
        <s v="ORD-2025-532859"/>
        <s v="ORD-2025-331237"/>
        <s v="ORD-2025-662997"/>
        <s v="ORD-2025-944081"/>
        <s v="ORD-2025-624006"/>
        <s v="ORD-2025-685236"/>
        <s v="ORD-2024-207096"/>
        <s v="ORD-2024-516704"/>
        <s v="ORD-2024-853298"/>
        <s v="ORD-2024-897622"/>
        <s v="ORD-2024-961501"/>
        <s v="ORD-2024-792137"/>
        <s v="ORD-2024-446030"/>
        <s v="ORD-2024-275203"/>
        <s v="ORD-2024-834983"/>
        <s v="ORD-2024-220234"/>
        <s v="ORD-2024-692673"/>
        <s v="ORD-2024-356812"/>
        <s v="ORD-2024-419248"/>
        <s v="ORD-2024-343877"/>
        <s v="ORD-2024-868223"/>
        <s v="ORD-2024-287210"/>
        <s v="ORD-2024-745822"/>
        <s v="ORD-2024-687073"/>
        <s v="ORD-2024-251426"/>
        <s v="ORD-2024-243988"/>
        <s v="ORD-2024-907733"/>
        <s v="ORD-2024-906395"/>
        <s v="ORD-2024-948800"/>
        <s v="ORD-2023-864121"/>
        <s v="ORD-2023-240507"/>
        <s v="ORD-2023-799597"/>
        <s v="ORD-2023-419187"/>
        <s v="ORD-2023-613287"/>
        <s v="ORD-2023-276806"/>
        <s v="ORD-2023-949710"/>
        <s v="ORD-2023-933238"/>
        <s v="ORD-2023-835010"/>
        <s v="ORD-2023-548874"/>
        <s v="ORD-2023-946143"/>
        <s v="ORD-2023-281890"/>
        <s v="ORD-2023-139236"/>
        <s v="ORD-2023-854471"/>
        <s v="ORD-2023-869884"/>
        <s v="ORD-2025-639542"/>
        <s v="ORD-2025-698069"/>
        <s v="ORD-2025-908258"/>
        <s v="ORD-2025-306903"/>
        <s v="ORD-2025-591006"/>
        <s v="ORD-2025-184754"/>
        <s v="ORD-2025-856556"/>
        <s v="ORD-2025-417942"/>
        <s v="ORD-2025-231184"/>
        <s v="ORD-2025-411385"/>
        <s v="ORD-2025-678328"/>
        <s v="ORD-2025-526752"/>
        <s v="ORD-2025-278048"/>
        <s v="ORD-2025-580047"/>
        <s v="ORD-2025-485946"/>
        <s v="ORD-2025-718992"/>
        <s v="ORD-2025-184082"/>
        <s v="ORD-2025-929414"/>
        <s v="ORD-2025-795385"/>
        <s v="ORD-2025-188059"/>
        <s v="ORD-2025-480172"/>
        <s v="ORD-2025-312803"/>
        <s v="ORD-2025-398335"/>
        <s v="ORD-2025-262434"/>
        <s v="ORD-2024-919471"/>
        <s v="ORD-2024-166150"/>
        <s v="ORD-2024-878493"/>
        <s v="ORD-2024-787018"/>
        <s v="ORD-2024-427031"/>
        <s v="ORD-2024-909942"/>
        <s v="ORD-2024-566589"/>
        <s v="ORD-2024-389102"/>
        <s v="ORD-2024-134084"/>
        <s v="ORD-2024-713332"/>
        <s v="ORD-2024-704056"/>
        <s v="ORD-2024-442776"/>
        <s v="ORD-2024-223618"/>
        <s v="ORD-2024-584090"/>
        <s v="ORD-2024-451005"/>
        <s v="ORD-2024-626925"/>
        <s v="ORD-2024-886939"/>
        <s v="ORD-2024-580808"/>
        <s v="ORD-2024-215294"/>
        <s v="ORD-2024-819778"/>
        <s v="ORD-2024-572312"/>
        <s v="ORD-2024-465898"/>
        <s v="ORD-2024-341535"/>
        <s v="ORD-2023-258768"/>
        <s v="ORD-2023-651638"/>
        <s v="ORD-2023-769774"/>
        <s v="ORD-2023-602648"/>
        <s v="ORD-2023-128295"/>
        <s v="ORD-2023-427304"/>
        <s v="ORD-2023-290279"/>
        <s v="ORD-2023-610470"/>
        <s v="ORD-2023-386663"/>
        <s v="ORD-2023-890605"/>
        <s v="ORD-2023-399631"/>
        <s v="ORD-2023-868460"/>
        <s v="ORD-2023-349264"/>
        <s v="ORD-2023-173313"/>
        <s v="ORD-2023-594955"/>
        <s v="ORD-2023-374486"/>
        <s v="ORD-2023-536542"/>
        <s v="ORD-2023-921939"/>
        <s v="ORD-2023-244375"/>
        <s v="ORD-2023-715175"/>
        <s v="ORD-2023-434071"/>
        <s v="ORD-2025-956101"/>
        <s v="ORD-2025-586799"/>
        <s v="ORD-2025-541501"/>
        <s v="ORD-2025-155182"/>
        <s v="ORD-2025-496178"/>
        <s v="ORD-2025-703623"/>
        <s v="ORD-2025-649633"/>
        <s v="ORD-2025-150713"/>
        <s v="ORD-2025-779659"/>
        <s v="ORD-2025-789245"/>
        <s v="ORD-2025-629393"/>
        <s v="ORD-2025-843974"/>
        <s v="ORD-2025-474710"/>
        <s v="ORD-2025-132174"/>
        <s v="ORD-2025-650841"/>
        <s v="ORD-2025-678688"/>
        <s v="ORD-2024-892908"/>
        <s v="ORD-2024-855073"/>
        <s v="ORD-2024-398783"/>
        <s v="ORD-2024-468615"/>
        <s v="ORD-2024-202877"/>
        <s v="ORD-2024-678110"/>
        <s v="ORD-2024-605629"/>
        <s v="ORD-2024-571797"/>
        <s v="ORD-2024-947056"/>
        <s v="ORD-2024-892879"/>
        <s v="ORD-2024-817997"/>
        <s v="ORD-2024-301260"/>
        <s v="ORD-2024-901115"/>
        <s v="ORD-2024-798002"/>
        <s v="ORD-2023-920483"/>
        <s v="ORD-2023-539967"/>
        <s v="ORD-2023-660608"/>
        <s v="ORD-2023-215819"/>
        <s v="ORD-2023-369150"/>
        <s v="ORD-2023-309373"/>
        <s v="ORD-2023-453699"/>
        <s v="ORD-2023-497686"/>
        <s v="ORD-2023-825084"/>
        <s v="ORD-2023-621393"/>
        <s v="ORD-2023-479747"/>
        <s v="ORD-2023-261081"/>
        <s v="ORD-2023-912395"/>
        <s v="ORD-2023-369160"/>
        <s v="ORD-2023-159821"/>
        <s v="ORD-2023-292714"/>
        <s v="ORD-2023-594700"/>
        <s v="ORD-2023-109927"/>
        <s v="ORD-2023-825836"/>
        <s v="ORD-2023-569862"/>
        <s v="ORD-2023-290237"/>
        <s v="ORD-2023-451931"/>
        <s v="ORD-2023-286720"/>
        <s v="ORD-2025-649239"/>
        <s v="ORD-2025-415018"/>
        <s v="ORD-2025-653781"/>
        <s v="ORD-2025-578007"/>
        <s v="ORD-2025-354346"/>
        <s v="ORD-2025-192876"/>
        <s v="ORD-2025-939953"/>
        <s v="ORD-2025-515515"/>
        <s v="ORD-2025-909340"/>
        <s v="ORD-2025-542939"/>
        <s v="ORD-2025-636162"/>
        <s v="ORD-2025-149156"/>
        <s v="ORD-2025-146850"/>
        <s v="ORD-2025-564184"/>
        <s v="ORD-2025-137394"/>
        <s v="ORD-2025-328504"/>
        <s v="ORD-2024-838925"/>
        <s v="ORD-2024-851883"/>
        <s v="ORD-2024-719055"/>
        <s v="ORD-2024-872291"/>
        <s v="ORD-2024-153053"/>
        <s v="ORD-2024-999607"/>
        <s v="ORD-2024-210687"/>
        <s v="ORD-2024-355095"/>
        <s v="ORD-2024-749242"/>
        <s v="ORD-2024-885858"/>
        <s v="ORD-2024-532184"/>
        <s v="ORD-2024-604471"/>
        <s v="ORD-2024-207669"/>
        <s v="ORD-2024-921935"/>
        <s v="ORD-2024-892173"/>
        <s v="ORD-2024-281211"/>
        <s v="ORD-2024-890180"/>
        <s v="ORD-2024-366010"/>
        <s v="ORD-2024-277241"/>
        <s v="ORD-2024-499009"/>
        <s v="ORD-2024-296582"/>
        <s v="ORD-2024-206311"/>
        <s v="ORD-2024-105586"/>
        <s v="ORD-2023-112666"/>
        <s v="ORD-2023-856322"/>
        <s v="ORD-2023-613317"/>
        <s v="ORD-2023-811823"/>
        <s v="ORD-2023-723587"/>
        <s v="ORD-2023-430904"/>
        <s v="ORD-2023-689428"/>
        <s v="ORD-2023-884192"/>
        <s v="ORD-2023-382017"/>
        <s v="ORD-2023-521818"/>
        <s v="ORD-2023-700699"/>
        <s v="ORD-2023-575584"/>
        <s v="ORD-2023-586275"/>
        <s v="ORD-2023-780206"/>
        <s v="ORD-2025-728935"/>
        <s v="ORD-2025-460466"/>
        <s v="ORD-2025-484073"/>
        <s v="ORD-2025-659650"/>
        <s v="ORD-2025-337268"/>
        <s v="ORD-2025-650719"/>
        <s v="ORD-2025-881624"/>
        <s v="ORD-2025-332931"/>
        <s v="ORD-2025-276968"/>
        <s v="ORD-2025-705398"/>
        <s v="ORD-2025-915869"/>
        <s v="ORD-2025-898843"/>
        <s v="ORD-2025-766923"/>
        <s v="ORD-2025-281062"/>
        <s v="ORD-2025-964661"/>
        <s v="ORD-2025-931538"/>
        <s v="ORD-2024-960952"/>
        <s v="ORD-2024-206121"/>
        <s v="ORD-2024-232632"/>
        <s v="ORD-2024-197852"/>
        <s v="ORD-2024-811752"/>
        <s v="ORD-2024-968374"/>
        <s v="ORD-2024-760799"/>
        <s v="ORD-2024-129345"/>
        <s v="ORD-2024-764468"/>
        <s v="ORD-2024-979401"/>
        <s v="ORD-2024-647571"/>
        <s v="ORD-2024-331408"/>
        <s v="ORD-2024-647473"/>
        <s v="ORD-2024-201376"/>
        <s v="ORD-2024-544865"/>
        <s v="ORD-2024-515105"/>
        <s v="ORD-2024-437164"/>
        <s v="ORD-2024-468655"/>
        <s v="ORD-2023-373538"/>
        <s v="ORD-2023-286994"/>
        <s v="ORD-2023-735274"/>
        <s v="ORD-2023-156396"/>
        <s v="ORD-2023-848013"/>
        <s v="ORD-2023-480975"/>
        <s v="ORD-2023-960380"/>
        <s v="ORD-2023-472078"/>
        <s v="ORD-2023-855675"/>
        <s v="ORD-2023-744942"/>
        <s v="ORD-2023-562894"/>
        <s v="ORD-2023-422918"/>
        <s v="ORD-2023-884625"/>
        <s v="ORD-2023-271836"/>
        <s v="ORD-2023-619493"/>
        <s v="ORD-2023-159379"/>
        <s v="ORD-2023-888245"/>
        <s v="ORD-2024-930679"/>
        <s v="ORD-2024-866535"/>
        <s v="ORD-2024-478165"/>
        <s v="ORD-2024-972318"/>
        <s v="ORD-2024-382152"/>
        <s v="ORD-2024-800947"/>
        <s v="ORD-2024-164288"/>
        <s v="ORD-2024-170313"/>
        <s v="ORD-2024-289089"/>
        <s v="ORD-2024-336584"/>
        <s v="ORD-2024-902741"/>
        <s v="ORD-2024-837651"/>
        <s v="ORD-2024-206081"/>
        <s v="ORD-2024-102866"/>
        <s v="ORD-2024-836421"/>
        <s v="ORD-2024-390951"/>
        <s v="ORD-2024-257550"/>
        <s v="ORD-2024-140633"/>
        <s v="ORD-2024-651852"/>
        <s v="ORD-2024-165942"/>
        <s v="ORD-2024-474999"/>
        <s v="ORD-2023-581799"/>
        <s v="ORD-2023-967239"/>
        <s v="ORD-2023-813340"/>
        <s v="ORD-2023-824839"/>
        <s v="ORD-2023-596758"/>
        <s v="ORD-2023-126505"/>
        <s v="ORD-2023-249805"/>
        <s v="ORD-2023-212701"/>
        <s v="ORD-2023-239789"/>
        <s v="ORD-2023-808024"/>
        <s v="ORD-2023-431328"/>
        <s v="ORD-2023-841426"/>
        <s v="ORD-2023-580751"/>
        <s v="ORD-2023-178249"/>
        <s v="ORD-2023-674887"/>
        <s v="ORD-2023-208944"/>
        <s v="ORD-2023-728177"/>
        <s v="ORD-2023-974506"/>
        <s v="ORD-2023-961864"/>
        <s v="ORD-2023-195665"/>
        <s v="ORD-2023-573146"/>
        <s v="ORD-2025-262491"/>
        <s v="ORD-2025-537785"/>
        <s v="ORD-2025-419532"/>
        <s v="ORD-2025-652467"/>
        <s v="ORD-2025-189846"/>
        <s v="ORD-2025-863978"/>
        <s v="ORD-2025-281413"/>
        <s v="ORD-2025-993993"/>
        <s v="ORD-2025-635337"/>
        <s v="ORD-2025-822030"/>
        <s v="ORD-2025-922513"/>
        <s v="ORD-2025-762212"/>
        <s v="ORD-2025-683043"/>
        <s v="ORD-2025-289139"/>
        <s v="ORD-2025-960931"/>
        <s v="ORD-2025-646342"/>
        <s v="ORD-2025-803803"/>
        <s v="ORD-2025-949776"/>
        <s v="ORD-2025-418232"/>
        <s v="ORD-2025-417336"/>
        <s v="ORD-2025-677880"/>
        <s v="ORD-2024-745424"/>
        <s v="ORD-2024-585443"/>
        <s v="ORD-2024-136321"/>
        <s v="ORD-2024-307849"/>
        <s v="ORD-2024-792353"/>
        <s v="ORD-2024-433936"/>
        <s v="ORD-2024-542244"/>
        <s v="ORD-2024-212990"/>
        <s v="ORD-2024-689872"/>
        <s v="ORD-2024-626750"/>
        <s v="ORD-2024-550400"/>
        <s v="ORD-2024-635626"/>
        <s v="ORD-2024-993481"/>
        <s v="ORD-2024-553449"/>
        <s v="ORD-2024-915495"/>
        <s v="ORD-2024-286833"/>
        <s v="ORD-2024-353078"/>
        <s v="ORD-2024-536442"/>
        <s v="ORD-2024-167215"/>
        <s v="ORD-2024-446699"/>
        <s v="ORD-2023-235230"/>
        <s v="ORD-2023-274037"/>
        <s v="ORD-2023-603238"/>
        <s v="ORD-2023-253245"/>
        <s v="ORD-2023-713614"/>
        <s v="ORD-2023-713375"/>
        <s v="ORD-2023-375011"/>
        <s v="ORD-2023-548934"/>
        <s v="ORD-2023-749324"/>
        <s v="ORD-2023-883066"/>
        <s v="ORD-2023-197661"/>
        <s v="ORD-2023-133848"/>
        <s v="ORD-2023-630430"/>
        <s v="ORD-2023-525643"/>
        <s v="ORD-2023-334213"/>
        <s v="ORD-2023-343322"/>
        <s v="ORD-2023-243704"/>
        <s v="ORD-2023-664749"/>
        <s v="ORD-2023-867175"/>
        <s v="ORD-2023-885216"/>
        <s v="ORD-2023-944052"/>
        <s v="ORD-2023-732585"/>
        <s v="ORD-2023-987081"/>
        <s v="ORD-2023-640022"/>
        <s v="ORD-2025-541048"/>
        <s v="ORD-2025-946490"/>
        <s v="ORD-2025-488349"/>
        <s v="ORD-2025-778145"/>
        <s v="ORD-2025-306251"/>
        <s v="ORD-2025-138578"/>
        <s v="ORD-2025-861401"/>
        <s v="ORD-2025-269934"/>
        <s v="ORD-2025-169093"/>
        <s v="ORD-2025-907040"/>
        <s v="ORD-2025-252117"/>
        <s v="ORD-2025-246470"/>
        <s v="ORD-2025-640677"/>
        <s v="ORD-2025-757957"/>
        <s v="ORD-2025-765220"/>
        <s v="ORD-2025-487025"/>
        <s v="ORD-2025-246692"/>
        <s v="ORD-2025-323492"/>
        <s v="ORD-2025-526650"/>
        <s v="ORD-2025-626047"/>
        <s v="ORD-2025-608069"/>
        <s v="ORD-2025-474368"/>
        <s v="ORD-2025-548982"/>
        <s v="ORD-2025-440093"/>
        <s v="ORD-2025-845715"/>
        <s v="ORD-2024-247032"/>
        <s v="ORD-2024-364080"/>
        <s v="ORD-2024-567435"/>
        <s v="ORD-2024-211453"/>
        <s v="ORD-2024-310809"/>
        <s v="ORD-2024-833375"/>
        <s v="ORD-2024-629525"/>
        <s v="ORD-2024-219735"/>
        <s v="ORD-2024-599522"/>
        <s v="ORD-2024-939873"/>
        <s v="ORD-2024-855600"/>
        <s v="ORD-2024-594592"/>
        <s v="ORD-2024-510591"/>
        <s v="ORD-2024-332076"/>
        <s v="ORD-2023-766015"/>
        <s v="ORD-2023-340056"/>
        <s v="ORD-2023-157993"/>
        <s v="ORD-2023-867166"/>
        <s v="ORD-2023-897079"/>
        <s v="ORD-2023-987700"/>
        <s v="ORD-2023-727290"/>
        <s v="ORD-2023-609394"/>
        <s v="ORD-2023-256951"/>
        <s v="ORD-2023-937291"/>
        <s v="ORD-2023-747341"/>
        <s v="ORD-2023-294716"/>
        <s v="ORD-2023-501220"/>
        <s v="ORD-2023-752962"/>
        <s v="ORD-2023-308124"/>
        <s v="ORD-2023-107265"/>
        <s v="ORD-2023-664790"/>
        <s v="ORD-2023-545150"/>
        <s v="ORD-2023-356427"/>
        <s v="ORD-2023-809913"/>
        <s v="ORD-2023-867285"/>
        <s v="ORD-2023-390998"/>
        <s v="ORD-2023-868734"/>
        <s v="ORD-2023-701153"/>
      </sharedItems>
    </cacheField>
    <cacheField name="OrderDate" numFmtId="17">
      <sharedItems containsSemiMixedTypes="0" containsNonDate="0" containsDate="1" containsString="0" minDate="2023-01-02T00:00:00" maxDate="2025-09-16T00:00:00" count="468">
        <d v="2025-09-15T00:00:00"/>
        <d v="2025-09-01T00:00:00"/>
        <d v="2025-09-11T00:00:00"/>
        <d v="2025-09-14T00:00:00"/>
        <d v="2025-09-02T00:00:00"/>
        <d v="2025-09-10T00:00:00"/>
        <d v="2025-09-08T00:00:00"/>
        <d v="2025-09-12T00:00:00"/>
        <d v="2024-09-03T00:00:00"/>
        <d v="2024-09-07T00:00:00"/>
        <d v="2024-09-05T00:00:00"/>
        <d v="2024-09-19T00:00:00"/>
        <d v="2024-09-09T00:00:00"/>
        <d v="2024-09-02T00:00:00"/>
        <d v="2024-09-25T00:00:00"/>
        <d v="2024-09-06T00:00:00"/>
        <d v="2024-09-13T00:00:00"/>
        <d v="2024-09-10T00:00:00"/>
        <d v="2024-09-22T00:00:00"/>
        <d v="2024-09-23T00:00:00"/>
        <d v="2024-09-14T00:00:00"/>
        <d v="2023-09-25T00:00:00"/>
        <d v="2023-09-08T00:00:00"/>
        <d v="2023-09-19T00:00:00"/>
        <d v="2023-09-17T00:00:00"/>
        <d v="2023-09-14T00:00:00"/>
        <d v="2023-09-30T00:00:00"/>
        <d v="2023-09-18T00:00:00"/>
        <d v="2023-09-21T00:00:00"/>
        <d v="2023-09-20T00:00:00"/>
        <d v="2024-10-17T00:00:00"/>
        <d v="2024-10-16T00:00:00"/>
        <d v="2024-10-11T00:00:00"/>
        <d v="2024-10-25T00:00:00"/>
        <d v="2024-10-09T00:00:00"/>
        <d v="2024-10-27T00:00:00"/>
        <d v="2024-10-23T00:00:00"/>
        <d v="2024-10-04T00:00:00"/>
        <d v="2024-10-13T00:00:00"/>
        <d v="2024-10-19T00:00:00"/>
        <d v="2024-10-30T00:00:00"/>
        <d v="2024-10-22T00:00:00"/>
        <d v="2024-10-10T00:00:00"/>
        <d v="2024-10-29T00:00:00"/>
        <d v="2024-10-14T00:00:00"/>
        <d v="2024-10-03T00:00:00"/>
        <d v="2024-10-02T00:00:00"/>
        <d v="2024-10-08T00:00:00"/>
        <d v="2024-10-24T00:00:00"/>
        <d v="2023-10-26T00:00:00"/>
        <d v="2023-10-21T00:00:00"/>
        <d v="2023-10-11T00:00:00"/>
        <d v="2023-10-25T00:00:00"/>
        <d v="2023-10-15T00:00:00"/>
        <d v="2023-10-09T00:00:00"/>
        <d v="2023-10-18T00:00:00"/>
        <d v="2023-10-31T00:00:00"/>
        <d v="2023-10-05T00:00:00"/>
        <d v="2023-10-07T00:00:00"/>
        <d v="2023-10-04T00:00:00"/>
        <d v="2023-10-12T00:00:00"/>
        <d v="2023-10-30T00:00:00"/>
        <d v="2023-10-22T00:00:00"/>
        <d v="2024-11-07T00:00:00"/>
        <d v="2024-11-30T00:00:00"/>
        <d v="2024-11-27T00:00:00"/>
        <d v="2024-11-11T00:00:00"/>
        <d v="2024-11-25T00:00:00"/>
        <d v="2024-11-08T00:00:00"/>
        <d v="2024-11-05T00:00:00"/>
        <d v="2024-11-01T00:00:00"/>
        <d v="2024-11-02T00:00:00"/>
        <d v="2024-11-04T00:00:00"/>
        <d v="2024-11-20T00:00:00"/>
        <d v="2024-11-12T00:00:00"/>
        <d v="2024-11-21T00:00:00"/>
        <d v="2024-11-17T00:00:00"/>
        <d v="2024-11-06T00:00:00"/>
        <d v="2024-11-22T00:00:00"/>
        <d v="2023-11-20T00:00:00"/>
        <d v="2023-11-30T00:00:00"/>
        <d v="2023-11-10T00:00:00"/>
        <d v="2023-11-28T00:00:00"/>
        <d v="2023-11-15T00:00:00"/>
        <d v="2023-11-14T00:00:00"/>
        <d v="2023-11-19T00:00:00"/>
        <d v="2025-05-17T00:00:00"/>
        <d v="2025-05-14T00:00:00"/>
        <d v="2025-05-18T00:00:00"/>
        <d v="2025-05-12T00:00:00"/>
        <d v="2025-05-27T00:00:00"/>
        <d v="2025-05-19T00:00:00"/>
        <d v="2025-05-29T00:00:00"/>
        <d v="2025-05-16T00:00:00"/>
        <d v="2025-05-10T00:00:00"/>
        <d v="2025-05-02T00:00:00"/>
        <d v="2025-05-07T00:00:00"/>
        <d v="2025-05-21T00:00:00"/>
        <d v="2025-05-15T00:00:00"/>
        <d v="2024-05-23T00:00:00"/>
        <d v="2024-05-12T00:00:00"/>
        <d v="2024-05-10T00:00:00"/>
        <d v="2024-05-30T00:00:00"/>
        <d v="2024-05-27T00:00:00"/>
        <d v="2024-05-18T00:00:00"/>
        <d v="2024-05-20T00:00:00"/>
        <d v="2024-05-22T00:00:00"/>
        <d v="2024-05-19T00:00:00"/>
        <d v="2024-05-21T00:00:00"/>
        <d v="2024-05-07T00:00:00"/>
        <d v="2024-05-01T00:00:00"/>
        <d v="2024-05-05T00:00:00"/>
        <d v="2024-05-28T00:00:00"/>
        <d v="2024-05-04T00:00:00"/>
        <d v="2024-05-17T00:00:00"/>
        <d v="2024-05-14T00:00:00"/>
        <d v="2023-05-11T00:00:00"/>
        <d v="2023-05-23T00:00:00"/>
        <d v="2023-05-17T00:00:00"/>
        <d v="2023-05-03T00:00:00"/>
        <d v="2023-05-04T00:00:00"/>
        <d v="2023-05-01T00:00:00"/>
        <d v="2023-05-06T00:00:00"/>
        <d v="2023-05-02T00:00:00"/>
        <d v="2023-05-10T00:00:00"/>
        <d v="2023-05-20T00:00:00"/>
        <d v="2023-05-14T00:00:00"/>
        <d v="2023-05-07T00:00:00"/>
        <d v="2023-05-24T00:00:00"/>
        <d v="2023-05-27T00:00:00"/>
        <d v="2023-05-29T00:00:00"/>
        <d v="2025-03-24T00:00:00"/>
        <d v="2025-03-30T00:00:00"/>
        <d v="2025-03-11T00:00:00"/>
        <d v="2025-03-14T00:00:00"/>
        <d v="2025-03-29T00:00:00"/>
        <d v="2025-03-03T00:00:00"/>
        <d v="2025-03-08T00:00:00"/>
        <d v="2025-03-06T00:00:00"/>
        <d v="2025-03-23T00:00:00"/>
        <d v="2025-03-21T00:00:00"/>
        <d v="2025-03-10T00:00:00"/>
        <d v="2025-03-25T00:00:00"/>
        <d v="2025-03-31T00:00:00"/>
        <d v="2025-03-15T00:00:00"/>
        <d v="2024-03-26T00:00:00"/>
        <d v="2024-03-01T00:00:00"/>
        <d v="2024-03-06T00:00:00"/>
        <d v="2024-03-30T00:00:00"/>
        <d v="2024-03-02T00:00:00"/>
        <d v="2024-03-23T00:00:00"/>
        <d v="2024-03-11T00:00:00"/>
        <d v="2024-03-16T00:00:00"/>
        <d v="2024-03-15T00:00:00"/>
        <d v="2024-03-07T00:00:00"/>
        <d v="2024-03-04T00:00:00"/>
        <d v="2024-03-09T00:00:00"/>
        <d v="2024-03-03T00:00:00"/>
        <d v="2024-03-18T00:00:00"/>
        <d v="2024-03-31T00:00:00"/>
        <d v="2024-03-13T00:00:00"/>
        <d v="2024-03-10T00:00:00"/>
        <d v="2024-03-27T00:00:00"/>
        <d v="2023-03-27T00:00:00"/>
        <d v="2023-03-25T00:00:00"/>
        <d v="2023-03-14T00:00:00"/>
        <d v="2023-03-31T00:00:00"/>
        <d v="2023-03-04T00:00:00"/>
        <d v="2023-03-07T00:00:00"/>
        <d v="2023-03-17T00:00:00"/>
        <d v="2023-03-23T00:00:00"/>
        <d v="2023-03-19T00:00:00"/>
        <d v="2023-03-13T00:00:00"/>
        <d v="2023-03-03T00:00:00"/>
        <d v="2023-03-06T00:00:00"/>
        <d v="2023-03-02T00:00:00"/>
        <d v="2025-06-09T00:00:00"/>
        <d v="2025-06-03T00:00:00"/>
        <d v="2025-06-21T00:00:00"/>
        <d v="2025-06-24T00:00:00"/>
        <d v="2025-06-25T00:00:00"/>
        <d v="2025-06-27T00:00:00"/>
        <d v="2025-06-15T00:00:00"/>
        <d v="2025-06-01T00:00:00"/>
        <d v="2025-06-05T00:00:00"/>
        <d v="2025-06-22T00:00:00"/>
        <d v="2025-06-14T00:00:00"/>
        <d v="2025-06-19T00:00:00"/>
        <d v="2025-06-26T00:00:00"/>
        <d v="2025-06-17T00:00:00"/>
        <d v="2024-06-29T00:00:00"/>
        <d v="2024-06-02T00:00:00"/>
        <d v="2024-06-19T00:00:00"/>
        <d v="2024-06-23T00:00:00"/>
        <d v="2024-06-08T00:00:00"/>
        <d v="2024-06-09T00:00:00"/>
        <d v="2024-06-11T00:00:00"/>
        <d v="2024-06-15T00:00:00"/>
        <d v="2024-06-04T00:00:00"/>
        <d v="2024-06-05T00:00:00"/>
        <d v="2024-06-30T00:00:00"/>
        <d v="2024-06-10T00:00:00"/>
        <d v="2024-06-07T00:00:00"/>
        <d v="2024-06-03T00:00:00"/>
        <d v="2024-06-16T00:00:00"/>
        <d v="2024-06-06T00:00:00"/>
        <d v="2024-06-25T00:00:00"/>
        <d v="2023-06-29T00:00:00"/>
        <d v="2023-06-17T00:00:00"/>
        <d v="2023-06-13T00:00:00"/>
        <d v="2023-06-20T00:00:00"/>
        <d v="2023-06-23T00:00:00"/>
        <d v="2023-06-09T00:00:00"/>
        <d v="2023-06-14T00:00:00"/>
        <d v="2023-06-24T00:00:00"/>
        <d v="2023-06-05T00:00:00"/>
        <d v="2023-06-22T00:00:00"/>
        <d v="2023-06-01T00:00:00"/>
        <d v="2023-06-15T00:00:00"/>
        <d v="2023-06-10T00:00:00"/>
        <d v="2023-06-03T00:00:00"/>
        <d v="2025-07-09T00:00:00"/>
        <d v="2025-07-14T00:00:00"/>
        <d v="2025-07-22T00:00:00"/>
        <d v="2025-07-11T00:00:00"/>
        <d v="2025-07-27T00:00:00"/>
        <d v="2025-07-23T00:00:00"/>
        <d v="2025-07-19T00:00:00"/>
        <d v="2025-07-03T00:00:00"/>
        <d v="2025-07-21T00:00:00"/>
        <d v="2025-07-20T00:00:00"/>
        <d v="2025-07-24T00:00:00"/>
        <d v="2025-07-17T00:00:00"/>
        <d v="2025-07-16T00:00:00"/>
        <d v="2024-07-13T00:00:00"/>
        <d v="2024-07-19T00:00:00"/>
        <d v="2024-07-18T00:00:00"/>
        <d v="2024-07-09T00:00:00"/>
        <d v="2024-07-24T00:00:00"/>
        <d v="2024-07-15T00:00:00"/>
        <d v="2024-07-11T00:00:00"/>
        <d v="2024-07-31T00:00:00"/>
        <d v="2024-07-28T00:00:00"/>
        <d v="2024-07-29T00:00:00"/>
        <d v="2024-07-25T00:00:00"/>
        <d v="2023-07-02T00:00:00"/>
        <d v="2023-07-09T00:00:00"/>
        <d v="2023-07-25T00:00:00"/>
        <d v="2023-07-01T00:00:00"/>
        <d v="2023-07-18T00:00:00"/>
        <d v="2023-07-05T00:00:00"/>
        <d v="2023-07-03T00:00:00"/>
        <d v="2023-07-14T00:00:00"/>
        <d v="2023-07-07T00:00:00"/>
        <d v="2023-07-24T00:00:00"/>
        <d v="2023-07-26T00:00:00"/>
        <d v="2023-07-10T00:00:00"/>
        <d v="2023-07-22T00:00:00"/>
        <d v="2023-07-19T00:00:00"/>
        <d v="2023-07-16T00:00:00"/>
        <d v="2023-07-30T00:00:00"/>
        <d v="2023-07-08T00:00:00"/>
        <d v="2025-01-17T00:00:00"/>
        <d v="2025-01-22T00:00:00"/>
        <d v="2025-01-11T00:00:00"/>
        <d v="2025-01-21T00:00:00"/>
        <d v="2025-01-09T00:00:00"/>
        <d v="2025-01-31T00:00:00"/>
        <d v="2025-01-03T00:00:00"/>
        <d v="2025-01-20T00:00:00"/>
        <d v="2025-01-13T00:00:00"/>
        <d v="2025-01-07T00:00:00"/>
        <d v="2025-01-10T00:00:00"/>
        <d v="2025-01-29T00:00:00"/>
        <d v="2025-01-04T00:00:00"/>
        <d v="2025-01-27T00:00:00"/>
        <d v="2024-01-28T00:00:00"/>
        <d v="2024-01-13T00:00:00"/>
        <d v="2024-01-02T00:00:00"/>
        <d v="2024-01-08T00:00:00"/>
        <d v="2024-01-12T00:00:00"/>
        <d v="2024-01-16T00:00:00"/>
        <d v="2024-01-10T00:00:00"/>
        <d v="2024-01-25T00:00:00"/>
        <d v="2024-01-21T00:00:00"/>
        <d v="2024-01-24T00:00:00"/>
        <d v="2024-01-01T00:00:00"/>
        <d v="2024-01-18T00:00:00"/>
        <d v="2024-01-11T00:00:00"/>
        <d v="2024-01-20T00:00:00"/>
        <d v="2023-01-15T00:00:00"/>
        <d v="2023-01-29T00:00:00"/>
        <d v="2023-01-22T00:00:00"/>
        <d v="2023-01-26T00:00:00"/>
        <d v="2023-01-02T00:00:00"/>
        <d v="2023-01-27T00:00:00"/>
        <d v="2023-01-07T00:00:00"/>
        <d v="2023-01-10T00:00:00"/>
        <d v="2023-01-13T00:00:00"/>
        <d v="2023-01-12T00:00:00"/>
        <d v="2023-01-30T00:00:00"/>
        <d v="2023-01-20T00:00:00"/>
        <d v="2023-01-19T00:00:00"/>
        <d v="2025-02-28T00:00:00"/>
        <d v="2025-02-07T00:00:00"/>
        <d v="2025-02-19T00:00:00"/>
        <d v="2025-02-04T00:00:00"/>
        <d v="2025-02-16T00:00:00"/>
        <d v="2025-02-12T00:00:00"/>
        <d v="2025-02-21T00:00:00"/>
        <d v="2025-02-15T00:00:00"/>
        <d v="2025-02-25T00:00:00"/>
        <d v="2025-02-17T00:00:00"/>
        <d v="2025-02-06T00:00:00"/>
        <d v="2025-02-02T00:00:00"/>
        <d v="2025-02-09T00:00:00"/>
        <d v="2024-02-03T00:00:00"/>
        <d v="2024-02-18T00:00:00"/>
        <d v="2024-02-14T00:00:00"/>
        <d v="2024-02-29T00:00:00"/>
        <d v="2024-02-25T00:00:00"/>
        <d v="2024-02-11T00:00:00"/>
        <d v="2024-02-01T00:00:00"/>
        <d v="2024-02-08T00:00:00"/>
        <d v="2024-02-06T00:00:00"/>
        <d v="2024-02-17T00:00:00"/>
        <d v="2024-02-16T00:00:00"/>
        <d v="2024-02-27T00:00:00"/>
        <d v="2024-02-20T00:00:00"/>
        <d v="2024-02-19T00:00:00"/>
        <d v="2023-02-28T00:00:00"/>
        <d v="2023-02-24T00:00:00"/>
        <d v="2023-02-23T00:00:00"/>
        <d v="2023-02-21T00:00:00"/>
        <d v="2023-02-20T00:00:00"/>
        <d v="2023-02-15T00:00:00"/>
        <d v="2023-02-11T00:00:00"/>
        <d v="2023-02-05T00:00:00"/>
        <d v="2023-02-19T00:00:00"/>
        <d v="2023-02-07T00:00:00"/>
        <d v="2023-02-27T00:00:00"/>
        <d v="2023-02-08T00:00:00"/>
        <d v="2024-12-17T00:00:00"/>
        <d v="2024-12-04T00:00:00"/>
        <d v="2024-12-05T00:00:00"/>
        <d v="2024-12-24T00:00:00"/>
        <d v="2024-12-08T00:00:00"/>
        <d v="2024-12-15T00:00:00"/>
        <d v="2024-12-21T00:00:00"/>
        <d v="2024-12-27T00:00:00"/>
        <d v="2024-12-23T00:00:00"/>
        <d v="2024-12-10T00:00:00"/>
        <d v="2024-12-12T00:00:00"/>
        <d v="2024-12-14T00:00:00"/>
        <d v="2024-12-20T00:00:00"/>
        <d v="2024-12-07T00:00:00"/>
        <d v="2024-12-28T00:00:00"/>
        <d v="2024-12-29T00:00:00"/>
        <d v="2023-12-05T00:00:00"/>
        <d v="2023-12-24T00:00:00"/>
        <d v="2023-12-26T00:00:00"/>
        <d v="2023-12-06T00:00:00"/>
        <d v="2023-12-07T00:00:00"/>
        <d v="2023-12-19T00:00:00"/>
        <d v="2023-12-22T00:00:00"/>
        <d v="2023-12-02T00:00:00"/>
        <d v="2023-12-03T00:00:00"/>
        <d v="2023-12-30T00:00:00"/>
        <d v="2023-12-20T00:00:00"/>
        <d v="2023-12-29T00:00:00"/>
        <d v="2023-12-16T00:00:00"/>
        <d v="2023-12-21T00:00:00"/>
        <d v="2023-12-18T00:00:00"/>
        <d v="2023-12-28T00:00:00"/>
        <d v="2023-12-01T00:00:00"/>
        <d v="2025-08-01T00:00:00"/>
        <d v="2025-08-05T00:00:00"/>
        <d v="2025-08-06T00:00:00"/>
        <d v="2025-08-21T00:00:00"/>
        <d v="2025-08-11T00:00:00"/>
        <d v="2025-08-07T00:00:00"/>
        <d v="2025-08-03T00:00:00"/>
        <d v="2025-08-30T00:00:00"/>
        <d v="2025-08-28T00:00:00"/>
        <d v="2025-08-25T00:00:00"/>
        <d v="2025-08-13T00:00:00"/>
        <d v="2025-08-10T00:00:00"/>
        <d v="2025-08-20T00:00:00"/>
        <d v="2025-08-02T00:00:00"/>
        <d v="2025-08-14T00:00:00"/>
        <d v="2024-08-22T00:00:00"/>
        <d v="2024-08-17T00:00:00"/>
        <d v="2024-08-07T00:00:00"/>
        <d v="2024-08-10T00:00:00"/>
        <d v="2024-08-19T00:00:00"/>
        <d v="2024-08-04T00:00:00"/>
        <d v="2024-08-30T00:00:00"/>
        <d v="2024-08-12T00:00:00"/>
        <d v="2024-08-03T00:00:00"/>
        <d v="2024-08-27T00:00:00"/>
        <d v="2024-08-18T00:00:00"/>
        <d v="2024-08-08T00:00:00"/>
        <d v="2024-08-14T00:00:00"/>
        <d v="2024-08-16T00:00:00"/>
        <d v="2024-08-31T00:00:00"/>
        <d v="2024-08-23T00:00:00"/>
        <d v="2024-08-28T00:00:00"/>
        <d v="2023-08-30T00:00:00"/>
        <d v="2023-08-15T00:00:00"/>
        <d v="2023-08-21T00:00:00"/>
        <d v="2023-08-03T00:00:00"/>
        <d v="2023-08-02T00:00:00"/>
        <d v="2023-08-26T00:00:00"/>
        <d v="2023-08-23T00:00:00"/>
        <d v="2023-08-19T00:00:00"/>
        <d v="2023-08-12T00:00:00"/>
        <d v="2023-08-08T00:00:00"/>
        <d v="2023-08-04T00:00:00"/>
        <d v="2023-08-17T00:00:00"/>
        <d v="2023-08-29T00:00:00"/>
        <d v="2023-08-27T00:00:00"/>
        <d v="2023-08-10T00:00:00"/>
        <d v="2023-08-25T00:00:00"/>
        <d v="2023-08-24T00:00:00"/>
        <d v="2025-04-04T00:00:00"/>
        <d v="2025-04-22T00:00:00"/>
        <d v="2025-04-23T00:00:00"/>
        <d v="2025-04-10T00:00:00"/>
        <d v="2025-04-09T00:00:00"/>
        <d v="2025-04-01T00:00:00"/>
        <d v="2025-04-13T00:00:00"/>
        <d v="2025-04-17T00:00:00"/>
        <d v="2025-04-28T00:00:00"/>
        <d v="2025-04-16T00:00:00"/>
        <d v="2025-04-24T00:00:00"/>
        <d v="2025-04-06T00:00:00"/>
        <d v="2025-04-11T00:00:00"/>
        <d v="2025-04-27T00:00:00"/>
        <d v="2025-04-12T00:00:00"/>
        <d v="2025-04-07T00:00:00"/>
        <d v="2025-04-14T00:00:00"/>
        <d v="2024-04-21T00:00:00"/>
        <d v="2024-04-16T00:00:00"/>
        <d v="2024-04-26T00:00:00"/>
        <d v="2024-04-04T00:00:00"/>
        <d v="2024-04-05T00:00:00"/>
        <d v="2024-04-24T00:00:00"/>
        <d v="2024-04-18T00:00:00"/>
        <d v="2024-04-03T00:00:00"/>
        <d v="2024-04-19T00:00:00"/>
        <d v="2024-04-12T00:00:00"/>
        <d v="2024-04-29T00:00:00"/>
        <d v="2024-04-06T00:00:00"/>
        <d v="2024-04-09T00:00:00"/>
        <d v="2023-04-13T00:00:00"/>
        <d v="2023-04-26T00:00:00"/>
        <d v="2023-04-18T00:00:00"/>
        <d v="2023-04-14T00:00:00"/>
        <d v="2023-04-05T00:00:00"/>
        <d v="2023-04-03T00:00:00"/>
        <d v="2023-04-16T00:00:00"/>
        <d v="2023-04-19T00:00:00"/>
        <d v="2023-04-23T00:00:00"/>
        <d v="2023-04-10T00:00:00"/>
        <d v="2023-04-21T00:00:00"/>
        <d v="2023-04-22T00:00:00"/>
        <d v="2023-04-06T00:00:00"/>
        <d v="2023-04-12T00:00:00"/>
      </sharedItems>
      <fieldGroup par="30" base="1">
        <rangePr groupBy="months" startDate="2023-01-02T00:00:00" endDate="2025-09-16T00:00:00"/>
        <groupItems count="14">
          <s v="&lt;02/01/2023"/>
          <s v="Jan"/>
          <s v="Feb"/>
          <s v="Mar"/>
          <s v="Apr"/>
          <s v="May"/>
          <s v="Jun"/>
          <s v="Jul"/>
          <s v="Aug"/>
          <s v="Sept"/>
          <s v="Oct"/>
          <s v="Nov"/>
          <s v="Dec"/>
          <s v="&gt;16/09/2025"/>
        </groupItems>
      </fieldGroup>
    </cacheField>
    <cacheField name="RequiredDate" numFmtId="14">
      <sharedItems containsSemiMixedTypes="0" containsNonDate="0" containsDate="1" containsString="0" minDate="2023-01-05T00:00:00" maxDate="2025-10-06T00:00:00"/>
    </cacheField>
    <cacheField name="Region" numFmtId="49">
      <sharedItems count="4">
        <s v="Americas"/>
        <s v="Africa"/>
        <s v="Europe"/>
        <s v="Asia"/>
      </sharedItems>
    </cacheField>
    <cacheField name="Country" numFmtId="49">
      <sharedItems count="12">
        <s v="Brazil"/>
        <s v="Kenya"/>
        <s v="United Kingdom"/>
        <s v="Canada"/>
        <s v="India"/>
        <s v="Japan"/>
        <s v="South Africa"/>
        <s v="China"/>
        <s v="Nigeria"/>
        <s v="USA"/>
        <s v="France"/>
        <s v="Germany"/>
      </sharedItems>
    </cacheField>
    <cacheField name="City" numFmtId="49">
      <sharedItems count="40">
        <s v="Rio de Janeiro"/>
        <s v="Brasília"/>
        <s v="Nairobi"/>
        <s v="London"/>
        <s v="Toronto"/>
        <s v="Mombasa"/>
        <s v="Delhi"/>
        <s v="Nagoya"/>
        <s v="Tokyo"/>
        <s v="Osaka"/>
        <s v="Durban"/>
        <s v="Beijing"/>
        <s v="Lagos"/>
        <s v="Austin"/>
        <s v="Shenzhen"/>
        <s v="Cape Town"/>
        <s v="Kisumu"/>
        <s v="São Paulo"/>
        <s v="Vancouver"/>
        <s v="Mumbai"/>
        <s v="Shanghai"/>
        <s v="New York"/>
        <s v="Nakuru"/>
        <s v="Bengaluru"/>
        <s v="Lyon"/>
        <s v="Unknown"/>
        <s v="Manchester"/>
        <s v="Port Harcourt"/>
        <s v="Abuja"/>
        <s v="Paris"/>
        <s v="Chicago"/>
        <s v="Hyderabad"/>
        <s v="San Francisco"/>
        <s v="Marseille"/>
        <s v="Frankfurt"/>
        <s v="Munich"/>
        <s v="Berlin"/>
        <s v="Birmingham"/>
        <s v="Johannesburg"/>
        <s v="Montreal"/>
      </sharedItems>
    </cacheField>
    <cacheField name="CustomerSegment" numFmtId="49">
      <sharedItems/>
    </cacheField>
    <cacheField name="Channel" numFmtId="49">
      <sharedItems count="6">
        <s v="Direct"/>
        <s v="Retail"/>
        <s v="Distributor"/>
        <s v="Online"/>
        <s v="Marketplace"/>
        <s v="Unspecified"/>
      </sharedItems>
    </cacheField>
    <cacheField name="Salesperson" numFmtId="49">
      <sharedItems count="16">
        <s v="L. Okafor"/>
        <s v="K. Singh"/>
        <s v="J. Njeri"/>
        <s v="N. Brown"/>
        <s v="M. Rossi"/>
        <s v="A. Patel"/>
        <s v="C. Otieno"/>
        <s v="F. Müller"/>
        <s v="O. Wang"/>
        <s v="D. Smith"/>
        <s v="H. Kim"/>
        <s v="E. Garcia"/>
        <s v="B. Chen"/>
        <s v="I. Johnson"/>
        <s v="Unassigned"/>
        <s v="G. Dubois"/>
      </sharedItems>
    </cacheField>
    <cacheField name="ProductCategory" numFmtId="49">
      <sharedItems count="7">
        <s v="Accessories"/>
        <s v="Laptops"/>
        <s v="Networking"/>
        <s v="Printers"/>
        <s v="Phones"/>
        <s v="Monitors"/>
        <s v="Components"/>
      </sharedItems>
    </cacheField>
    <cacheField name="SKU" numFmtId="49">
      <sharedItems count="629">
        <s v="ACC-6777"/>
        <s v="ACC-1663"/>
        <s v="LAP-3278"/>
        <s v="NET-9003"/>
        <s v="PRN-1276"/>
        <s v="PHN-6954"/>
        <s v="PHN-2859"/>
        <s v="MON-9274"/>
        <s v="MON-2998"/>
        <s v="CMP-6971"/>
        <s v="PHN-1197"/>
        <s v="CMP-6898"/>
        <s v="PRN-3917"/>
        <s v="NET-7998"/>
        <s v="PRN-1141"/>
        <s v="MON-5249"/>
        <s v="PRN-2749"/>
        <s v="NET-1145"/>
        <s v="CMP-7563"/>
        <s v="PRN-9557"/>
        <s v="PRN-3014"/>
        <s v="MON-3504"/>
        <s v="PHN-8804"/>
        <s v="PRN-6068"/>
        <s v="MON-6341"/>
        <s v="LAP-4483"/>
        <s v="PHN-4568"/>
        <s v="CMP-3093"/>
        <s v="NET-9835"/>
        <s v="LAP-5150"/>
        <s v="ACC-3551"/>
        <s v="ACC-4766"/>
        <s v="PRN-5005"/>
        <s v="LAP-4932"/>
        <s v="PRN-4432"/>
        <s v="LAP-5763"/>
        <s v="PRN-1786"/>
        <s v="CMP-1009"/>
        <s v="CMP-5211"/>
        <s v="ACC-3415"/>
        <s v="LAP-6750"/>
        <s v="ACC-1375"/>
        <s v="MON-4330"/>
        <s v="NET-6387"/>
        <s v="PRN-5666"/>
        <s v="CMP-9498"/>
        <s v="CMP-1072"/>
        <s v="MON-8939"/>
        <s v="PRN-9322"/>
        <s v="ACC-9038"/>
        <s v="CMP-5006"/>
        <s v="MON-8129"/>
        <s v="CMP-4610"/>
        <s v="MON-8758"/>
        <s v="PHN-9789"/>
        <s v="CMP-8127"/>
        <s v="PRN-4893"/>
        <s v="NET-5268"/>
        <s v="PHN-7488"/>
        <s v="CMP-3978"/>
        <s v="MON-9733"/>
        <s v="NET-3728"/>
        <s v="PRN-3143"/>
        <s v="LAP-7320"/>
        <s v="MON-8697"/>
        <s v="ACC-3567"/>
        <s v="PHN-5938"/>
        <s v="PRN-4983"/>
        <s v="NET-8856"/>
        <s v="PHN-8891"/>
        <s v="ACC-2867"/>
        <s v="ACC-4124"/>
        <s v="PRN-6520"/>
        <s v="MON-7602"/>
        <s v="ACC-5079"/>
        <s v="PHN-8478"/>
        <s v="LAP-2378"/>
        <s v="ACC-8557"/>
        <s v="CMP-2096"/>
        <s v="CMP-4807"/>
        <s v="LAP-9024"/>
        <s v="PRN-9960"/>
        <s v="PRN-4170"/>
        <s v="PRN-5569"/>
        <s v="NET-2932"/>
        <s v="ACC-7047"/>
        <s v="ACC-1075"/>
        <s v="NET-2628"/>
        <s v="CMP-2015"/>
        <s v="PRN-2409"/>
        <s v="NET-8561"/>
        <s v="PRN-2293"/>
        <s v="MON-1118"/>
        <s v="PHN-1919"/>
        <s v="PRN-4911"/>
        <s v="LAP-5078"/>
        <s v="MON-5188"/>
        <s v="MON-7943"/>
        <s v="PRN-1371"/>
        <s v="ACC-6348"/>
        <s v="CMP-3938"/>
        <s v="NET-3033"/>
        <s v="LAP-4899"/>
        <s v="LAP-1525"/>
        <s v="ACC-5260"/>
        <s v="PHN-2447"/>
        <s v="ACC-1060"/>
        <s v="NET-4104"/>
        <s v="PHN-9184"/>
        <s v="NET-2460"/>
        <s v="MON-3745"/>
        <s v="ACC-3349"/>
        <s v="CMP-2865"/>
        <s v="NET-3749"/>
        <s v="PRN-8850"/>
        <s v="ACC-1249"/>
        <s v="MON-2993"/>
        <s v="LAP-9016"/>
        <s v="PRN-9787"/>
        <s v="PHN-3800"/>
        <s v="CMP-9307"/>
        <s v="ACC-2252"/>
        <s v="PRN-2407"/>
        <s v="PHN-5683"/>
        <s v="LAP-3385"/>
        <s v="LAP-7099"/>
        <s v="CMP-3731"/>
        <s v="PRN-6131"/>
        <s v="PHN-6480"/>
        <s v="NET-1166"/>
        <s v="PRN-5813"/>
        <s v="LAP-1066"/>
        <s v="PRN-3785"/>
        <s v="PHN-4356"/>
        <s v="ACC-7240"/>
        <s v="PRN-1725"/>
        <s v="CMP-5946"/>
        <s v="MON-6870"/>
        <s v="MON-4271"/>
        <s v="CMP-8101"/>
        <s v="LAP-9100"/>
        <s v="NET-4228"/>
        <s v="ACC-7354"/>
        <s v="MON-2100"/>
        <s v="CMP-3313"/>
        <s v="ACC-5177"/>
        <s v="CMP-6811"/>
        <s v="PHN-9399"/>
        <s v="MON-6892"/>
        <s v="LAP-4987"/>
        <s v="PHN-7974"/>
        <s v="NET-2365"/>
        <s v="PHN-8970"/>
        <s v="CMP-6925"/>
        <s v="ACC-5206"/>
        <s v="PHN-5366"/>
        <s v="PHN-1670"/>
        <s v="CMP-5633"/>
        <s v="NET-5941"/>
        <s v="PHN-6131"/>
        <s v="MON-5086"/>
        <s v="MON-2465"/>
        <s v="LAP-2806"/>
        <s v="PRN-9488"/>
        <s v="ACC-2364"/>
        <s v="MON-4830"/>
        <s v="PRN-1271"/>
        <s v="CMP-5208"/>
        <s v="MON-6882"/>
        <s v="CMP-4630"/>
        <s v="PRN-1923"/>
        <s v="MON-2266"/>
        <s v="CMP-9392"/>
        <s v="ACC-1882"/>
        <s v="ACC-9283"/>
        <s v="NET-3255"/>
        <s v="CMP-8545"/>
        <s v="LAP-6499"/>
        <s v="PHN-4395"/>
        <s v="PRN-8763"/>
        <s v="PHN-3007"/>
        <s v="PRN-5815"/>
        <s v="PHN-4556"/>
        <s v="MON-7106"/>
        <s v="ACC-4056"/>
        <s v="LAP-8119"/>
        <s v="CMP-3693"/>
        <s v="PRN-3159"/>
        <s v="CMP-7055"/>
        <s v="NET-6269"/>
        <s v="PRN-9867"/>
        <s v="NET-7166"/>
        <s v="PRN-5264"/>
        <s v="NET-8329"/>
        <s v="LAP-7136"/>
        <s v="ACC-9533"/>
        <s v="CMP-3259"/>
        <s v="NET-8430"/>
        <s v="MON-5444"/>
        <s v="PHN-7852"/>
        <s v="PHN-4741"/>
        <s v="LAP-2846"/>
        <s v="CMP-3223"/>
        <s v="PRN-7976"/>
        <s v="PHN-4346"/>
        <s v="CMP-8270"/>
        <s v="PRN-8758"/>
        <s v="MON-4361"/>
        <s v="CMP-7617"/>
        <s v="PRN-6911"/>
        <s v="MON-8422"/>
        <s v="MON-5749"/>
        <s v="PHN-4915"/>
        <s v="ACC-2761"/>
        <s v="MON-8651"/>
        <s v="MON-7099"/>
        <s v="PHN-3398"/>
        <s v="CMP-9001"/>
        <s v="LAP-8633"/>
        <s v="CMP-8002"/>
        <s v="NET-5523"/>
        <s v="PRN-4506"/>
        <s v="MON-9227"/>
        <s v="CMP-8675"/>
        <s v="LAP-7819"/>
        <s v="PHN-8014"/>
        <s v="LAP-6160"/>
        <s v="PRN-7049"/>
        <s v="PHN-8483"/>
        <s v="ACC-2988"/>
        <s v="ACC-9150"/>
        <s v="CMP-8230"/>
        <s v="CMP-2574"/>
        <s v="NET-7349"/>
        <s v="MON-2073"/>
        <s v="MON-2828"/>
        <s v="ACC-1770"/>
        <s v="PRN-6429"/>
        <s v="PHN-3819"/>
        <s v="PRN-3775"/>
        <s v="PHN-5383"/>
        <s v="MON-7626"/>
        <s v="ACC-7906"/>
        <s v="PHN-5675"/>
        <s v="CMP-4093"/>
        <s v="ACC-2902"/>
        <s v="ACC-8094"/>
        <s v="PHN-3482"/>
        <s v="PHN-5316"/>
        <s v="ACC-3961"/>
        <s v="MON-5891"/>
        <s v="CMP-8390"/>
        <s v="NET-6370"/>
        <s v="LAP-7523"/>
        <s v="CMP-4159"/>
        <s v="NET-3535"/>
        <s v="LAP-1990"/>
        <s v="LAP-1308"/>
        <s v="LAP-1619"/>
        <s v="PHN-7379"/>
        <s v="NET-4241"/>
        <s v="ACC-9820"/>
        <s v="LAP-4607"/>
        <s v="ACC-7671"/>
        <s v="MON-1389"/>
        <s v="CMP-6392"/>
        <s v="PHN-2436"/>
        <s v="PRN-4453"/>
        <s v="PRN-4097"/>
        <s v="LAP-1739"/>
        <s v="ACC-7838"/>
        <s v="LAP-6577"/>
        <s v="LAP-9230"/>
        <s v="CMP-2040"/>
        <s v="ACC-9162"/>
        <s v="MON-8688"/>
        <s v="MON-5386"/>
        <s v="PHN-6832"/>
        <s v="ACC-8683"/>
        <s v="PHN-6866"/>
        <s v="PHN-9677"/>
        <s v="NET-6578"/>
        <s v="NET-5987"/>
        <s v="MON-2990"/>
        <s v="PRN-6536"/>
        <s v="PRN-8008"/>
        <s v="MON-4326"/>
        <s v="PRN-2542"/>
        <s v="MON-9194"/>
        <s v="CMP-5820"/>
        <s v="PHN-6818"/>
        <s v="PRN-3690"/>
        <s v="ACC-2903"/>
        <s v="ACC-3385"/>
        <s v="ACC-4587"/>
        <s v="PHN-1924"/>
        <s v="ACC-3833"/>
        <s v="NET-3828"/>
        <s v="PRN-6490"/>
        <s v="PHN-2337"/>
        <s v="PHN-4677"/>
        <s v="CMP-1223"/>
        <s v="MON-5424"/>
        <s v="NET-1228"/>
        <s v="LAP-2218"/>
        <s v="MON-7868"/>
        <s v="NET-1804"/>
        <s v="PHN-7636"/>
        <s v="CMP-5658"/>
        <s v="ACC-1596"/>
        <s v="ACC-1028"/>
        <s v="PRN-5753"/>
        <s v="CMP-1220"/>
        <s v="PRN-5876"/>
        <s v="ACC-8999"/>
        <s v="ACC-8098"/>
        <s v="NET-7966"/>
        <s v="CMP-8851"/>
        <s v="LAP-8910"/>
        <s v="NET-1612"/>
        <s v="NET-9575"/>
        <s v="PHN-6854"/>
        <s v="MON-7622"/>
        <s v="ACC-3721"/>
        <s v="MON-6287"/>
        <s v="LAP-9901"/>
        <s v="ACC-2735"/>
        <s v="PHN-7815"/>
        <s v="MON-1564"/>
        <s v="CMP-5825"/>
        <s v="NET-4675"/>
        <s v="PRN-2829"/>
        <s v="ACC-6626"/>
        <s v="LAP-9815"/>
        <s v="CMP-7256"/>
        <s v="CMP-6649"/>
        <s v="ACC-8178"/>
        <s v="NET-6533"/>
        <s v="CMP-8659"/>
        <s v="NET-2394"/>
        <s v="LAP-4666"/>
        <s v="LAP-6342"/>
        <s v="MON-1018"/>
        <s v="ACC-9445"/>
        <s v="ACC-5334"/>
        <s v="ACC-1238"/>
        <s v="ACC-7078"/>
        <s v="MON-3307"/>
        <s v="LAP-3904"/>
        <s v="PRN-1504"/>
        <s v="NET-1699"/>
        <s v="PRN-2301"/>
        <s v="MON-7869"/>
        <s v="LAP-1178"/>
        <s v="NET-1645"/>
        <s v="NET-5423"/>
        <s v="LAP-1989"/>
        <s v="ACC-4511"/>
        <s v="PRN-2991"/>
        <s v="PHN-6307"/>
        <s v="LAP-3779"/>
        <s v="PHN-2875"/>
        <s v="ACC-5422"/>
        <s v="PHN-7019"/>
        <s v="CMP-8658"/>
        <s v="MON-1593"/>
        <s v="NET-7901"/>
        <s v="LAP-7353"/>
        <s v="ACC-1659"/>
        <s v="PHN-1671"/>
        <s v="CMP-1156"/>
        <s v="PHN-8368"/>
        <s v="CMP-1470"/>
        <s v="CMP-8141"/>
        <s v="NET-4554"/>
        <s v="PRN-6585"/>
        <s v="CMP-5138"/>
        <s v="PRN-8604"/>
        <s v="ACC-7938"/>
        <s v="LAP-3581"/>
        <s v="MON-4195"/>
        <s v="PRN-6776"/>
        <s v="NET-9569"/>
        <s v="MON-8973"/>
        <s v="LAP-5689"/>
        <s v="ACC-3103"/>
        <s v="PRN-6660"/>
        <s v="PRN-7816"/>
        <s v="PRN-8392"/>
        <s v="LAP-9931"/>
        <s v="ACC-6223"/>
        <s v="LAP-7056"/>
        <s v="NET-1412"/>
        <s v="CMP-2410"/>
        <s v="NET-1893"/>
        <s v="PRN-6276"/>
        <s v="MON-7207"/>
        <s v="MON-2537"/>
        <s v="NET-8787"/>
        <s v="LAP-8555"/>
        <s v="LAP-9782"/>
        <s v="PRN-4787"/>
        <s v="LAP-4551"/>
        <s v="PHN-3159"/>
        <s v="NET-4155"/>
        <s v="PRN-1641"/>
        <s v="NET-3460"/>
        <s v="NET-6036"/>
        <s v="ACC-3645"/>
        <s v="LAP-3017"/>
        <s v="PRN-1882"/>
        <s v="MON-1436"/>
        <s v="NET-2502"/>
        <s v="ACC-5150"/>
        <s v="MON-5179"/>
        <s v="PHN-5887"/>
        <s v="ACC-5144"/>
        <s v="PHN-1044"/>
        <s v="CMP-5065"/>
        <s v="NET-5482"/>
        <s v="ACC-9591"/>
        <s v="ACC-3989"/>
        <s v="ACC-1604"/>
        <s v="MON-4959"/>
        <s v="LAP-6989"/>
        <s v="CMP-9264"/>
        <s v="CMP-9801"/>
        <s v="ACC-1021"/>
        <s v="NET-7588"/>
        <s v="MON-3350"/>
        <s v="PHN-5082"/>
        <s v="LAP-5531"/>
        <s v="PRN-5384"/>
        <s v="NET-8761"/>
        <s v="CMP-5911"/>
        <s v="MON-2462"/>
        <s v="PRN-4906"/>
        <s v="PHN-1717"/>
        <s v="PRN-7089"/>
        <s v="LAP-2774"/>
        <s v="LAP-8469"/>
        <s v="NET-9177"/>
        <s v="PRN-6308"/>
        <s v="NET-9666"/>
        <s v="CMP-1632"/>
        <s v="PRN-7410"/>
        <s v="NET-2499"/>
        <s v="MON-9906"/>
        <s v="LAP-3393"/>
        <s v="ACC-8242"/>
        <s v="PRN-9624"/>
        <s v="PHN-2036"/>
        <s v="PRN-1060"/>
        <s v="PHN-4854"/>
        <s v="LAP-3679"/>
        <s v="MON-6699"/>
        <s v="CMP-2693"/>
        <s v="NET-1282"/>
        <s v="NET-5018"/>
        <s v="NET-5195"/>
        <s v="MON-4215"/>
        <s v="PRN-5492"/>
        <s v="ACC-2386"/>
        <s v="NET-9832"/>
        <s v="CMP-2335"/>
        <s v="NET-1846"/>
        <s v="PRN-4788"/>
        <s v="CMP-6919"/>
        <s v="ACC-5780"/>
        <s v="MON-8629"/>
        <s v="PHN-8057"/>
        <s v="MON-4789"/>
        <s v="PRN-6791"/>
        <s v="LAP-8347"/>
        <s v="CMP-3720"/>
        <s v="PRN-9378"/>
        <s v="ACC-8620"/>
        <s v="NET-4491"/>
        <s v="LAP-8825"/>
        <s v="MON-6310"/>
        <s v="LAP-8214"/>
        <s v="PHN-6506"/>
        <s v="PHN-3014"/>
        <s v="LAP-2942"/>
        <s v="PRN-8041"/>
        <s v="PRN-8175"/>
        <s v="MON-6065"/>
        <s v="CMP-1555"/>
        <s v="MON-4278"/>
        <s v="PHN-4644"/>
        <s v="ACC-6594"/>
        <s v="MON-1572"/>
        <s v="CMP-4531"/>
        <s v="LAP-1946"/>
        <s v="PHN-7924"/>
        <s v="ACC-9644"/>
        <s v="CMP-4792"/>
        <s v="NET-6014"/>
        <s v="PRN-1654"/>
        <s v="CMP-1940"/>
        <s v="PHN-7274"/>
        <s v="LAP-3604"/>
        <s v="MON-1822"/>
        <s v="CMP-6346"/>
        <s v="MON-4317"/>
        <s v="PRN-8137"/>
        <s v="NET-6218"/>
        <s v="CMP-2854"/>
        <s v="NET-3785"/>
        <s v="CMP-5311"/>
        <s v="LAP-3905"/>
        <s v="NET-1336"/>
        <s v="ACC-4483"/>
        <s v="CMP-4970"/>
        <s v="PHN-9465"/>
        <s v="PRN-2098"/>
        <s v="NET-5196"/>
        <s v="LAP-4828"/>
        <s v="LAP-7553"/>
        <s v="PRN-9490"/>
        <s v="PHN-9234"/>
        <s v="LAP-3220"/>
        <s v="MON-9662"/>
        <s v="PRN-4892"/>
        <s v="MON-2849"/>
        <s v="NET-7924"/>
        <s v="PRN-1183"/>
        <s v="CMP-5435"/>
        <s v="MON-8867"/>
        <s v="LAP-7009"/>
        <s v="LAP-7979"/>
        <s v="LAP-1969"/>
        <s v="PRN-5591"/>
        <s v="PRN-9793"/>
        <s v="MON-9967"/>
        <s v="PHN-3077"/>
        <s v="CMP-3875"/>
        <s v="NET-8957"/>
        <s v="PHN-2341"/>
        <s v="PHN-6111"/>
        <s v="CMP-1559"/>
        <s v="ACC-4490"/>
        <s v="NET-9989"/>
        <s v="PHN-1234"/>
        <s v="CMP-2136"/>
        <s v="ACC-3951"/>
        <s v="NET-3689"/>
        <s v="CMP-7063"/>
        <s v="ACC-1492"/>
        <s v="MON-3773"/>
        <s v="MON-2296"/>
        <s v="CMP-6352"/>
        <s v="MON-7511"/>
        <s v="PHN-2013"/>
        <s v="NET-9125"/>
        <s v="PHN-8072"/>
        <s v="MON-5517"/>
        <s v="PRN-9669"/>
        <s v="PRN-7079"/>
        <s v="PRN-5107"/>
        <s v="NET-2894"/>
        <s v="NET-4735"/>
        <s v="ACC-3068"/>
        <s v="PHN-3971"/>
        <s v="PRN-9975"/>
        <s v="PRN-4732"/>
        <s v="PHN-3803"/>
        <s v="MON-2842"/>
        <s v="MON-3371"/>
        <s v="MON-9216"/>
        <s v="NET-5270"/>
        <s v="MON-5276"/>
        <s v="MON-9319"/>
        <s v="PRN-8657"/>
        <s v="CMP-6495"/>
        <s v="NET-8610"/>
        <s v="PHN-2462"/>
        <s v="PRN-6178"/>
        <s v="LAP-4517"/>
        <s v="PHN-2787"/>
        <s v="MON-4925"/>
        <s v="CMP-3743"/>
        <s v="PHN-4566"/>
        <s v="PHN-3854"/>
        <s v="PHN-8350"/>
        <s v="NET-1966"/>
        <s v="NET-3432"/>
        <s v="PHN-8776"/>
        <s v="NET-9716"/>
        <s v="LAP-3490"/>
        <s v="MON-6962"/>
        <s v="ACC-2990"/>
        <s v="PRN-2641"/>
        <s v="PHN-9107"/>
        <s v="ACC-6543"/>
        <s v="CMP-6529"/>
        <s v="MON-6190"/>
        <s v="LAP-9932"/>
        <s v="PHN-5445"/>
        <s v="PRN-7303"/>
        <s v="LAP-8489"/>
        <s v="LAP-5009"/>
        <s v="CMP-8196"/>
        <s v="NET-3850"/>
        <s v="PRN-1086"/>
        <s v="NET-1816"/>
        <s v="CMP-4945"/>
        <s v="LAP-1482"/>
        <s v="LAP-3565"/>
        <s v="PHN-1784"/>
        <s v="MON-5259"/>
        <s v="ACC-4815"/>
        <s v="ACC-1731"/>
        <s v="NET-2439"/>
        <s v="LAP-1698"/>
        <s v="PHN-7132"/>
        <s v="PRN-5067"/>
        <s v="LAP-9766"/>
        <s v="CMP-8604"/>
        <s v="NET-2062"/>
        <s v="ACC-7713"/>
        <s v="PRN-9249"/>
        <s v="MON-4373"/>
        <s v="MON-6053"/>
        <s v="CMP-7371"/>
        <s v="MON-3043"/>
        <s v="MON-1663"/>
        <s v="PRN-8970"/>
        <s v="PRN-7019"/>
      </sharedItems>
    </cacheField>
    <cacheField name="UnitCost" numFmtId="2">
      <sharedItems containsSemiMixedTypes="0" containsString="0" containsNumber="1" minValue="5.34" maxValue="1495.79"/>
    </cacheField>
    <cacheField name="UnitPrice" numFmtId="2">
      <sharedItems containsSemiMixedTypes="0" containsString="0" containsNumber="1" minValue="-33.659999999999997" maxValue="3661.07"/>
    </cacheField>
    <cacheField name="CorrectUnitPrice" numFmtId="2">
      <sharedItems containsSemiMixedTypes="0" containsString="0" containsNumber="1" minValue="4.22" maxValue="3661.07"/>
    </cacheField>
    <cacheField name="DiscountPct" numFmtId="2">
      <sharedItems containsSemiMixedTypes="0" containsString="0" containsNumber="1" minValue="0" maxValue="0.56499999999999995"/>
    </cacheField>
    <cacheField name="CorrectDiscountPct" numFmtId="2">
      <sharedItems containsSemiMixedTypes="0" containsString="0" containsNumber="1" minValue="0" maxValue="0.3"/>
    </cacheField>
    <cacheField name="Quantity" numFmtId="2">
      <sharedItems containsSemiMixedTypes="0" containsString="0" containsNumber="1" containsInteger="1" minValue="2" maxValue="61"/>
    </cacheField>
    <cacheField name="RequiredDate&lt;OrderDate" numFmtId="2">
      <sharedItems/>
    </cacheField>
    <cacheField name="CorrectRequiredDate" numFmtId="14">
      <sharedItems containsSemiMixedTypes="0" containsNonDate="0" containsDate="1" containsString="0" minDate="2023-01-05T00:00:00" maxDate="2025-10-06T00:00:00"/>
    </cacheField>
    <cacheField name="LeadTimeDays" numFmtId="1">
      <sharedItems containsSemiMixedTypes="0" containsString="0" containsNumber="1" containsInteger="1" minValue="0" maxValue="30"/>
    </cacheField>
    <cacheField name="GrossRevenue" numFmtId="2">
      <sharedItems containsSemiMixedTypes="0" containsString="0" containsNumber="1" minValue="18.659839999999999" maxValue="139277.83032000001"/>
    </cacheField>
    <cacheField name="CostOfGoods" numFmtId="2">
      <sharedItems containsSemiMixedTypes="0" containsString="0" containsNumber="1" minValue="22" maxValue="83258.290000000008"/>
    </cacheField>
    <cacheField name="GrossProfit" numFmtId="2">
      <sharedItems containsSemiMixedTypes="0" containsString="0" containsNumber="1" minValue="-68355.013999999996" maxValue="65188.659999999996"/>
    </cacheField>
    <cacheField name="MarginPct" numFmtId="2">
      <sharedItems containsSemiMixedTypes="0" containsString="0" containsNumber="1" minValue="-250.39750756449047" maxValue="0.59672531214528945"/>
    </cacheField>
    <cacheField name="Quarters" numFmtId="14">
      <sharedItems count="11">
        <s v="Q3-2025"/>
        <s v="Q3-2024"/>
        <s v="Q3-2023"/>
        <s v="Q4-2024"/>
        <s v="Q4-2023"/>
        <s v="Q2-2025"/>
        <s v="Q2-2024"/>
        <s v="Q2-2023"/>
        <s v="Q1-2025"/>
        <s v="Q1-2024"/>
        <s v="Q1-2023"/>
      </sharedItems>
    </cacheField>
    <cacheField name="Proper" numFmtId="0">
      <sharedItems/>
    </cacheField>
    <cacheField name="TRIM" numFmtId="0">
      <sharedItems/>
    </cacheField>
    <cacheField name="Price Compliance" numFmtId="0">
      <sharedItems count="2">
        <s v="Non-compliant"/>
        <s v="Compliant"/>
      </sharedItems>
    </cacheField>
    <cacheField name="LeadTimeDays ≤ 7" numFmtId="0">
      <sharedItems count="2">
        <s v="On-time"/>
        <s v="Late"/>
      </sharedItems>
    </cacheField>
    <cacheField name="Quarters2" numFmtId="0" databaseField="0">
      <fieldGroup base="1">
        <rangePr groupBy="quarters" startDate="2023-01-02T00:00:00" endDate="2025-09-16T00:00:00"/>
        <groupItems count="6">
          <s v="&lt;02/01/2023"/>
          <s v="Qtr1"/>
          <s v="Qtr2"/>
          <s v="Qtr3"/>
          <s v="Qtr4"/>
          <s v="&gt;16/09/2025"/>
        </groupItems>
      </fieldGroup>
    </cacheField>
    <cacheField name="Years" numFmtId="0" databaseField="0">
      <fieldGroup base="1">
        <rangePr groupBy="years" startDate="2023-01-02T00:00:00" endDate="2025-09-16T00:00:00"/>
        <groupItems count="5">
          <s v="&lt;02/01/2023"/>
          <s v="2023"/>
          <s v="2024"/>
          <s v="2025"/>
          <s v="&gt;16/09/2025"/>
        </groupItems>
      </fieldGroup>
    </cacheField>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53.379973958334" createdVersion="6" refreshedVersion="6" minRefreshableVersion="3" recordCount="631" xr:uid="{37566D7B-1259-4A59-9F7F-4B4FC4B92277}">
  <cacheSource type="worksheet">
    <worksheetSource ref="N1:O632" sheet="Staging data"/>
  </cacheSource>
  <cacheFields count="2">
    <cacheField name="CorrectUnitPrice" numFmtId="2">
      <sharedItems containsSemiMixedTypes="0" containsString="0" containsNumber="1" minValue="4.22" maxValue="3661.07"/>
    </cacheField>
    <cacheField name="PriceBand" numFmtId="2">
      <sharedItems count="3">
        <s v="Low"/>
        <s v="Middle"/>
        <s v="High"/>
      </sharedItems>
    </cacheField>
  </cacheFields>
  <extLst>
    <ext xmlns:x14="http://schemas.microsoft.com/office/spreadsheetml/2009/9/main" uri="{725AE2AE-9491-48be-B2B4-4EB974FC3084}">
      <x14:pivotCacheDefinition pivotCacheId="1661195059"/>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54.426414583337" createdVersion="6" refreshedVersion="6" minRefreshableVersion="3" recordCount="631" xr:uid="{896D6576-B7E6-44E6-B22B-CD0DF83D8255}">
  <cacheSource type="worksheet">
    <worksheetSource ref="A1:AJ632" sheet="Staging data"/>
  </cacheSource>
  <cacheFields count="36">
    <cacheField name="OrderID" numFmtId="49">
      <sharedItems/>
    </cacheField>
    <cacheField name="OrderDate" numFmtId="17">
      <sharedItems containsSemiMixedTypes="0" containsNonDate="0" containsDate="1" containsString="0" minDate="2023-01-02T00:00:00" maxDate="2025-09-16T00:00:00"/>
    </cacheField>
    <cacheField name="RequiredDate" numFmtId="14">
      <sharedItems containsSemiMixedTypes="0" containsNonDate="0" containsDate="1" containsString="0" minDate="2023-01-05T00:00:00" maxDate="2025-10-06T00:00:00"/>
    </cacheField>
    <cacheField name="Region" numFmtId="49">
      <sharedItems count="4">
        <s v="Americas"/>
        <s v="Africa"/>
        <s v="Europe"/>
        <s v="Asia"/>
      </sharedItems>
    </cacheField>
    <cacheField name="Country" numFmtId="49">
      <sharedItems count="12">
        <s v="Brazil"/>
        <s v="Kenya"/>
        <s v="United Kingdom"/>
        <s v="Canada"/>
        <s v="India"/>
        <s v="Japan"/>
        <s v="South Africa"/>
        <s v="China"/>
        <s v="Nigeria"/>
        <s v="USA"/>
        <s v="France"/>
        <s v="Germany"/>
      </sharedItems>
    </cacheField>
    <cacheField name="City" numFmtId="49">
      <sharedItems count="40">
        <s v="Rio de Janeiro"/>
        <s v="Brasília"/>
        <s v="Nairobi"/>
        <s v="London"/>
        <s v="Toronto"/>
        <s v="Mombasa"/>
        <s v="Delhi"/>
        <s v="Nagoya"/>
        <s v="Tokyo"/>
        <s v="Osaka"/>
        <s v="Durban"/>
        <s v="Beijing"/>
        <s v="Lagos"/>
        <s v="Austin"/>
        <s v="Shenzhen"/>
        <s v="Cape Town"/>
        <s v="Kisumu"/>
        <s v="São Paulo"/>
        <s v="Vancouver"/>
        <s v="Mumbai"/>
        <s v="Shanghai"/>
        <s v="New York"/>
        <s v="Nakuru"/>
        <s v="Bengaluru"/>
        <s v="Lyon"/>
        <s v="Unknown"/>
        <s v="Manchester"/>
        <s v="Port Harcourt"/>
        <s v="Abuja"/>
        <s v="Paris"/>
        <s v="Chicago"/>
        <s v="Hyderabad"/>
        <s v="San Francisco"/>
        <s v="Marseille"/>
        <s v="Frankfurt"/>
        <s v="Munich"/>
        <s v="Berlin"/>
        <s v="Birmingham"/>
        <s v="Johannesburg"/>
        <s v="Montreal"/>
      </sharedItems>
    </cacheField>
    <cacheField name="CustomerSegment" numFmtId="49">
      <sharedItems/>
    </cacheField>
    <cacheField name="Channel" numFmtId="49">
      <sharedItems/>
    </cacheField>
    <cacheField name="Salesperson" numFmtId="49">
      <sharedItems/>
    </cacheField>
    <cacheField name="ProductCategory" numFmtId="49">
      <sharedItems/>
    </cacheField>
    <cacheField name="SKU" numFmtId="49">
      <sharedItems/>
    </cacheField>
    <cacheField name="UnitCost" numFmtId="2">
      <sharedItems containsSemiMixedTypes="0" containsString="0" containsNumber="1" minValue="5.34" maxValue="1495.79"/>
    </cacheField>
    <cacheField name="UnitPrice" numFmtId="2">
      <sharedItems containsSemiMixedTypes="0" containsString="0" containsNumber="1" minValue="-33.659999999999997" maxValue="3661.07"/>
    </cacheField>
    <cacheField name="CorrectUnitPrice" numFmtId="2">
      <sharedItems containsSemiMixedTypes="0" containsString="0" containsNumber="1" minValue="4.22" maxValue="3661.07"/>
    </cacheField>
    <cacheField name="PriceBand" numFmtId="2">
      <sharedItems/>
    </cacheField>
    <cacheField name="DiscountPct" numFmtId="2">
      <sharedItems containsSemiMixedTypes="0" containsString="0" containsNumber="1" minValue="0" maxValue="0.56499999999999995"/>
    </cacheField>
    <cacheField name="CorrectDiscountPct" numFmtId="2">
      <sharedItems containsString="0" containsBlank="1" containsNumber="1" minValue="0" maxValue="0.3"/>
    </cacheField>
    <cacheField name="Quantity" numFmtId="2">
      <sharedItems containsSemiMixedTypes="0" containsString="0" containsNumber="1" containsInteger="1" minValue="2" maxValue="61"/>
    </cacheField>
    <cacheField name="RequiredDate&lt;OrderDate" numFmtId="2">
      <sharedItems/>
    </cacheField>
    <cacheField name="CorrectRequiredDate" numFmtId="14">
      <sharedItems containsSemiMixedTypes="0" containsNonDate="0" containsDate="1" containsString="0" minDate="2023-01-05T00:00:00" maxDate="2025-10-06T00:00:00"/>
    </cacheField>
    <cacheField name="LeadTimeDays" numFmtId="1">
      <sharedItems containsSemiMixedTypes="0" containsString="0" containsNumber="1" containsInteger="1" minValue="0" maxValue="30"/>
    </cacheField>
    <cacheField name="GrossRevenue" numFmtId="2">
      <sharedItems containsSemiMixedTypes="0" containsString="0" containsNumber="1" minValue="18.659839999999999" maxValue="139277.83032000001"/>
    </cacheField>
    <cacheField name="CostOfGoods" numFmtId="2">
      <sharedItems containsSemiMixedTypes="0" containsString="0" containsNumber="1" minValue="22" maxValue="83258.290000000008"/>
    </cacheField>
    <cacheField name="GrossProfit" numFmtId="2">
      <sharedItems containsSemiMixedTypes="0" containsString="0" containsNumber="1" minValue="-68355.013999999996" maxValue="65188.659999999996"/>
    </cacheField>
    <cacheField name="MarginPct" numFmtId="2">
      <sharedItems containsSemiMixedTypes="0" containsString="0" containsNumber="1" minValue="-250.39750756449047" maxValue="0.59672531214528945"/>
    </cacheField>
    <cacheField name="Quarters" numFmtId="14">
      <sharedItems/>
    </cacheField>
    <cacheField name="Proper" numFmtId="0">
      <sharedItems/>
    </cacheField>
    <cacheField name="TRIM" numFmtId="0">
      <sharedItems/>
    </cacheField>
    <cacheField name="Price Compliance" numFmtId="0">
      <sharedItems count="2">
        <s v="Non-compliant"/>
        <s v="Compliant"/>
      </sharedItems>
    </cacheField>
    <cacheField name="LeadTimeDays ≤ 7" numFmtId="0">
      <sharedItems/>
    </cacheField>
    <cacheField name="ScenarioDiscount" numFmtId="9">
      <sharedItems containsSemiMixedTypes="0" containsString="0" containsNumber="1" minValue="0" maxValue="0.2"/>
    </cacheField>
    <cacheField name="ScenarioUnitCost" numFmtId="166">
      <sharedItems containsSemiMixedTypes="0" containsString="0" containsNumber="1" minValue="5.8740000000000006" maxValue="1645.3690000000001"/>
    </cacheField>
    <cacheField name="ScenarioQuantity" numFmtId="2">
      <sharedItems containsSemiMixedTypes="0" containsString="0" containsNumber="1" minValue="2.2000000000000002" maxValue="67.100000000000009"/>
    </cacheField>
    <cacheField name="ScenarioRevenue" numFmtId="166">
      <sharedItems containsSemiMixedTypes="0" containsString="0" containsNumber="1" minValue="20.838400000000004" maxValue="153205.61335200001"/>
    </cacheField>
    <cacheField name="ScenarioCost" numFmtId="166">
      <sharedItems containsSemiMixedTypes="0" containsString="0" containsNumber="1" minValue="26.620000000000005" maxValue="100742.53090000003"/>
    </cacheField>
    <cacheField name="ScenarioGrossProfit" numFmtId="166">
      <sharedItems containsSemiMixedTypes="0" containsString="0" containsNumber="1" minValue="-82739.59540000002" maxValue="66861.43859999999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1">
  <r>
    <x v="0"/>
    <x v="0"/>
    <d v="2025-09-18T00:00:00"/>
    <x v="0"/>
    <x v="0"/>
    <x v="0"/>
    <s v="Non-Profit"/>
    <x v="0"/>
    <x v="0"/>
    <x v="0"/>
    <x v="0"/>
    <n v="5.5"/>
    <n v="5.92"/>
    <n v="5.92"/>
    <n v="0.21199999999999999"/>
    <n v="0.21199999999999999"/>
    <n v="4"/>
    <s v="OK"/>
    <d v="2025-09-18T00:00:00"/>
    <n v="3"/>
    <n v="18.659839999999999"/>
    <n v="22"/>
    <n v="-3.3401600000000009"/>
    <n v="-0.17900260666758133"/>
    <x v="0"/>
    <s v="Accessories"/>
    <s v="Accessories"/>
    <x v="0"/>
    <x v="0"/>
  </r>
  <r>
    <x v="1"/>
    <x v="1"/>
    <d v="2025-09-30T00:00:00"/>
    <x v="0"/>
    <x v="0"/>
    <x v="1"/>
    <s v="Education"/>
    <x v="1"/>
    <x v="1"/>
    <x v="0"/>
    <x v="1"/>
    <n v="780.59"/>
    <n v="631.57000000000005"/>
    <n v="631.57000000000005"/>
    <n v="0"/>
    <n v="0"/>
    <n v="12"/>
    <s v="OK"/>
    <d v="2025-09-30T00:00:00"/>
    <n v="29"/>
    <n v="7578.84"/>
    <n v="9367.08"/>
    <n v="-1788.2399999999998"/>
    <n v="-0.23595167598207639"/>
    <x v="0"/>
    <s v="Accessories"/>
    <s v="Accessories"/>
    <x v="1"/>
    <x v="1"/>
  </r>
  <r>
    <x v="2"/>
    <x v="2"/>
    <d v="2025-09-28T00:00:00"/>
    <x v="1"/>
    <x v="1"/>
    <x v="2"/>
    <s v="Non-Profit"/>
    <x v="2"/>
    <x v="2"/>
    <x v="1"/>
    <x v="2"/>
    <n v="891.46"/>
    <n v="728.61"/>
    <n v="728.61"/>
    <n v="0.185"/>
    <n v="0.185"/>
    <n v="6"/>
    <s v="OK"/>
    <d v="2025-09-28T00:00:00"/>
    <n v="17"/>
    <n v="3562.9028999999996"/>
    <n v="5348.76"/>
    <n v="-1785.8571000000006"/>
    <n v="-0.50123653383874167"/>
    <x v="0"/>
    <s v="Laptops"/>
    <s v="Laptops"/>
    <x v="1"/>
    <x v="1"/>
  </r>
  <r>
    <x v="3"/>
    <x v="3"/>
    <d v="2025-09-26T00:00:00"/>
    <x v="2"/>
    <x v="2"/>
    <x v="3"/>
    <s v="Small Business"/>
    <x v="0"/>
    <x v="3"/>
    <x v="2"/>
    <x v="3"/>
    <n v="425.15"/>
    <n v="885.92"/>
    <n v="885.92"/>
    <n v="0.23899999999999999"/>
    <n v="0.23899999999999999"/>
    <n v="13"/>
    <s v="OK"/>
    <d v="2025-09-26T00:00:00"/>
    <n v="12"/>
    <n v="8764.4065599999994"/>
    <n v="5526.95"/>
    <n v="3237.4565599999996"/>
    <n v="0.3693868532725848"/>
    <x v="0"/>
    <s v="Networking"/>
    <s v="Networking"/>
    <x v="0"/>
    <x v="1"/>
  </r>
  <r>
    <x v="4"/>
    <x v="4"/>
    <d v="2025-09-11T00:00:00"/>
    <x v="0"/>
    <x v="3"/>
    <x v="4"/>
    <s v="Corporate"/>
    <x v="2"/>
    <x v="4"/>
    <x v="3"/>
    <x v="4"/>
    <n v="1207.6300000000001"/>
    <n v="921.68"/>
    <n v="921.68"/>
    <n v="0.19600000000000001"/>
    <n v="0.19600000000000001"/>
    <n v="17"/>
    <s v="OK"/>
    <d v="2025-09-11T00:00:00"/>
    <n v="9"/>
    <n v="12597.52224"/>
    <n v="20529.710000000003"/>
    <n v="-7932.1877600000025"/>
    <n v="-0.62966253274897988"/>
    <x v="0"/>
    <s v="Printers"/>
    <s v="Printers"/>
    <x v="1"/>
    <x v="1"/>
  </r>
  <r>
    <x v="5"/>
    <x v="5"/>
    <d v="2025-09-30T00:00:00"/>
    <x v="1"/>
    <x v="1"/>
    <x v="5"/>
    <s v="Corporate"/>
    <x v="0"/>
    <x v="0"/>
    <x v="4"/>
    <x v="5"/>
    <n v="1009.48"/>
    <n v="1088.81"/>
    <n v="1088.81"/>
    <n v="0.16"/>
    <n v="0.16"/>
    <n v="6"/>
    <s v="OK"/>
    <d v="2025-09-30T00:00:00"/>
    <n v="20"/>
    <n v="5487.6023999999998"/>
    <n v="6056.88"/>
    <n v="-569.27760000000035"/>
    <n v="-0.10373885688219693"/>
    <x v="0"/>
    <s v="Phones"/>
    <s v="Phones"/>
    <x v="1"/>
    <x v="1"/>
  </r>
  <r>
    <x v="6"/>
    <x v="0"/>
    <d v="2025-09-25T00:00:00"/>
    <x v="3"/>
    <x v="4"/>
    <x v="6"/>
    <s v="Consumer"/>
    <x v="1"/>
    <x v="5"/>
    <x v="4"/>
    <x v="6"/>
    <n v="1488.91"/>
    <n v="1483.74"/>
    <n v="1483.74"/>
    <n v="0.16800000000000001"/>
    <n v="0.16800000000000001"/>
    <n v="24"/>
    <s v="OK"/>
    <d v="2025-09-25T00:00:00"/>
    <n v="10"/>
    <n v="29627.320319999999"/>
    <n v="35733.840000000004"/>
    <n v="-6106.5196800000049"/>
    <n v="-0.20611110333450519"/>
    <x v="0"/>
    <s v="Phones"/>
    <s v="Phones"/>
    <x v="1"/>
    <x v="1"/>
  </r>
  <r>
    <x v="7"/>
    <x v="6"/>
    <d v="2025-10-05T00:00:00"/>
    <x v="0"/>
    <x v="0"/>
    <x v="0"/>
    <s v="Education"/>
    <x v="3"/>
    <x v="6"/>
    <x v="5"/>
    <x v="7"/>
    <n v="660.78"/>
    <n v="1630.39"/>
    <n v="1630.39"/>
    <n v="0.218"/>
    <n v="0.218"/>
    <n v="13"/>
    <s v="OK"/>
    <d v="2025-10-05T00:00:00"/>
    <n v="27"/>
    <n v="16574.544740000001"/>
    <n v="8590.14"/>
    <n v="7984.4047400000018"/>
    <n v="0.48172694123724097"/>
    <x v="0"/>
    <s v="Monitors"/>
    <s v="Monitors"/>
    <x v="0"/>
    <x v="1"/>
  </r>
  <r>
    <x v="8"/>
    <x v="7"/>
    <d v="2025-09-30T00:00:00"/>
    <x v="3"/>
    <x v="5"/>
    <x v="7"/>
    <s v="Non-Profit"/>
    <x v="4"/>
    <x v="7"/>
    <x v="5"/>
    <x v="8"/>
    <n v="1212.99"/>
    <n v="1653.64"/>
    <n v="1653.64"/>
    <n v="0.107"/>
    <n v="0.107"/>
    <n v="8"/>
    <s v="OK"/>
    <d v="2025-09-30T00:00:00"/>
    <n v="18"/>
    <n v="11813.604160000001"/>
    <n v="9703.92"/>
    <n v="2109.6841600000007"/>
    <n v="0.17858090819931455"/>
    <x v="0"/>
    <s v="Monitors"/>
    <s v="Monitors"/>
    <x v="1"/>
    <x v="1"/>
  </r>
  <r>
    <x v="9"/>
    <x v="5"/>
    <d v="2025-09-12T00:00:00"/>
    <x v="3"/>
    <x v="5"/>
    <x v="8"/>
    <s v="Consumer"/>
    <x v="3"/>
    <x v="8"/>
    <x v="6"/>
    <x v="9"/>
    <n v="1470.15"/>
    <n v="2593.7800000000002"/>
    <n v="2593.7800000000002"/>
    <n v="0.11"/>
    <n v="0.11"/>
    <n v="12"/>
    <s v="OK"/>
    <d v="2025-09-12T00:00:00"/>
    <n v="2"/>
    <n v="27701.570400000001"/>
    <n v="17641.800000000003"/>
    <n v="10059.770399999998"/>
    <n v="0.36314801849645306"/>
    <x v="0"/>
    <s v="Components"/>
    <s v="Components"/>
    <x v="1"/>
    <x v="0"/>
  </r>
  <r>
    <x v="10"/>
    <x v="6"/>
    <d v="2025-09-16T00:00:00"/>
    <x v="3"/>
    <x v="5"/>
    <x v="9"/>
    <s v="Corporate"/>
    <x v="2"/>
    <x v="6"/>
    <x v="4"/>
    <x v="10"/>
    <n v="1225.57"/>
    <n v="2705.57"/>
    <n v="2705.57"/>
    <n v="0.183"/>
    <n v="0.183"/>
    <n v="16"/>
    <s v="OK"/>
    <d v="2025-09-16T00:00:00"/>
    <n v="8"/>
    <n v="35367.211040000002"/>
    <n v="19609.12"/>
    <n v="15758.091040000003"/>
    <n v="0.44555650775453404"/>
    <x v="0"/>
    <s v="Phones"/>
    <s v="Phones"/>
    <x v="1"/>
    <x v="1"/>
  </r>
  <r>
    <x v="11"/>
    <x v="3"/>
    <d v="2025-09-23T00:00:00"/>
    <x v="1"/>
    <x v="6"/>
    <x v="10"/>
    <s v="Non-Profit"/>
    <x v="3"/>
    <x v="9"/>
    <x v="6"/>
    <x v="11"/>
    <n v="1310.3"/>
    <n v="2875.8"/>
    <n v="2875.8"/>
    <n v="8.3000000000000004E-2"/>
    <n v="8.3000000000000004E-2"/>
    <n v="5"/>
    <s v="OK"/>
    <d v="2025-09-23T00:00:00"/>
    <n v="9"/>
    <n v="13185.543"/>
    <n v="6551.5"/>
    <n v="6634.0429999999997"/>
    <n v="0.50313005691157353"/>
    <x v="0"/>
    <s v="Components"/>
    <s v="Components"/>
    <x v="1"/>
    <x v="1"/>
  </r>
  <r>
    <x v="12"/>
    <x v="8"/>
    <d v="2024-09-07T00:00:00"/>
    <x v="3"/>
    <x v="5"/>
    <x v="8"/>
    <s v="Small Business"/>
    <x v="2"/>
    <x v="3"/>
    <x v="3"/>
    <x v="12"/>
    <n v="43.23"/>
    <n v="94.78"/>
    <n v="94.78"/>
    <n v="9.0999999999999998E-2"/>
    <n v="9.0999999999999998E-2"/>
    <n v="55"/>
    <s v="OK"/>
    <d v="2024-09-07T00:00:00"/>
    <n v="4"/>
    <n v="4738.5261"/>
    <n v="2377.6499999999996"/>
    <n v="2360.8761000000004"/>
    <n v="0.49823005090127082"/>
    <x v="1"/>
    <s v="Printers"/>
    <s v="Printers"/>
    <x v="1"/>
    <x v="0"/>
  </r>
  <r>
    <x v="13"/>
    <x v="9"/>
    <d v="2024-09-18T00:00:00"/>
    <x v="3"/>
    <x v="7"/>
    <x v="11"/>
    <s v="Consumer"/>
    <x v="2"/>
    <x v="8"/>
    <x v="2"/>
    <x v="13"/>
    <n v="181.74"/>
    <n v="190.84"/>
    <n v="190.84"/>
    <n v="0.214"/>
    <n v="0.214"/>
    <n v="13"/>
    <s v="OK"/>
    <d v="2024-09-18T00:00:00"/>
    <n v="11"/>
    <n v="1950.0031200000001"/>
    <n v="2362.62"/>
    <n v="-412.61687999999981"/>
    <n v="-0.21159806144310159"/>
    <x v="1"/>
    <s v="Networking"/>
    <s v="Networking"/>
    <x v="0"/>
    <x v="1"/>
  </r>
  <r>
    <x v="14"/>
    <x v="8"/>
    <d v="2024-09-08T00:00:00"/>
    <x v="1"/>
    <x v="8"/>
    <x v="12"/>
    <s v="Small Business"/>
    <x v="0"/>
    <x v="1"/>
    <x v="3"/>
    <x v="14"/>
    <n v="197.63"/>
    <n v="325.79000000000002"/>
    <n v="325.79000000000002"/>
    <n v="0.11600000000000001"/>
    <n v="0.11600000000000001"/>
    <n v="10"/>
    <s v="OK"/>
    <d v="2024-09-08T00:00:00"/>
    <n v="5"/>
    <n v="2879.9836"/>
    <n v="1976.3"/>
    <n v="903.68360000000007"/>
    <n v="0.31378081458519419"/>
    <x v="1"/>
    <s v="Printers"/>
    <s v="Printers"/>
    <x v="1"/>
    <x v="0"/>
  </r>
  <r>
    <x v="15"/>
    <x v="10"/>
    <d v="2024-09-25T00:00:00"/>
    <x v="3"/>
    <x v="5"/>
    <x v="9"/>
    <s v="Enterprise"/>
    <x v="2"/>
    <x v="9"/>
    <x v="5"/>
    <x v="15"/>
    <n v="195.54"/>
    <n v="405.97"/>
    <n v="405.97"/>
    <n v="0.187"/>
    <n v="0.187"/>
    <n v="16"/>
    <s v="OK"/>
    <d v="2024-09-25T00:00:00"/>
    <n v="20"/>
    <n v="5280.8577599999999"/>
    <n v="3128.64"/>
    <n v="2152.21776"/>
    <n v="0.40755079152141377"/>
    <x v="1"/>
    <s v="Monitors"/>
    <s v="Monitors"/>
    <x v="1"/>
    <x v="1"/>
  </r>
  <r>
    <x v="16"/>
    <x v="11"/>
    <d v="2024-10-14T00:00:00"/>
    <x v="0"/>
    <x v="0"/>
    <x v="0"/>
    <s v="Small Business"/>
    <x v="1"/>
    <x v="1"/>
    <x v="3"/>
    <x v="16"/>
    <n v="386.96"/>
    <n v="937.46"/>
    <n v="937.46"/>
    <n v="0.26600000000000001"/>
    <n v="0.26600000000000001"/>
    <n v="41"/>
    <s v="OK"/>
    <d v="2024-10-14T00:00:00"/>
    <n v="25"/>
    <n v="28211.92124"/>
    <n v="15865.359999999999"/>
    <n v="12346.561240000001"/>
    <n v="0.43763631462626335"/>
    <x v="1"/>
    <s v="Printers"/>
    <s v="Printers"/>
    <x v="0"/>
    <x v="1"/>
  </r>
  <r>
    <x v="17"/>
    <x v="12"/>
    <d v="2024-09-13T00:00:00"/>
    <x v="2"/>
    <x v="2"/>
    <x v="3"/>
    <s v="Consumer"/>
    <x v="4"/>
    <x v="7"/>
    <x v="2"/>
    <x v="17"/>
    <n v="1133.08"/>
    <n v="976.17"/>
    <n v="976.17"/>
    <n v="4.2000000000000003E-2"/>
    <n v="4.2000000000000003E-2"/>
    <n v="27"/>
    <s v="OK"/>
    <d v="2024-09-13T00:00:00"/>
    <n v="4"/>
    <n v="25249.613219999999"/>
    <n v="30593.159999999996"/>
    <n v="-5343.5467799999969"/>
    <n v="-0.21162885678452373"/>
    <x v="1"/>
    <s v="Networking"/>
    <s v="Networking"/>
    <x v="1"/>
    <x v="0"/>
  </r>
  <r>
    <x v="18"/>
    <x v="13"/>
    <d v="2024-09-08T00:00:00"/>
    <x v="0"/>
    <x v="9"/>
    <x v="13"/>
    <s v="Consumer"/>
    <x v="0"/>
    <x v="10"/>
    <x v="6"/>
    <x v="18"/>
    <n v="462.94"/>
    <n v="1015.7"/>
    <n v="1015.7"/>
    <n v="0.14299999999999999"/>
    <n v="0.14299999999999999"/>
    <n v="14"/>
    <s v="OK"/>
    <d v="2024-09-08T00:00:00"/>
    <n v="6"/>
    <n v="12186.368600000002"/>
    <n v="6481.16"/>
    <n v="5705.2086000000018"/>
    <n v="0.46816314090483041"/>
    <x v="1"/>
    <s v="Components"/>
    <s v="Components"/>
    <x v="1"/>
    <x v="0"/>
  </r>
  <r>
    <x v="19"/>
    <x v="14"/>
    <d v="2024-10-03T00:00:00"/>
    <x v="0"/>
    <x v="3"/>
    <x v="4"/>
    <s v="Consumer"/>
    <x v="3"/>
    <x v="11"/>
    <x v="3"/>
    <x v="19"/>
    <n v="558.19000000000005"/>
    <n v="1031.6400000000001"/>
    <n v="1031.6400000000001"/>
    <n v="0"/>
    <n v="0"/>
    <n v="21"/>
    <s v="OK"/>
    <d v="2024-10-03T00:00:00"/>
    <n v="8"/>
    <n v="21664.440000000002"/>
    <n v="11721.990000000002"/>
    <n v="9942.4500000000007"/>
    <n v="0.45892947152107322"/>
    <x v="1"/>
    <s v="Printers"/>
    <s v="Printers"/>
    <x v="1"/>
    <x v="1"/>
  </r>
  <r>
    <x v="20"/>
    <x v="12"/>
    <d v="2024-10-01T00:00:00"/>
    <x v="3"/>
    <x v="7"/>
    <x v="14"/>
    <s v="Consumer"/>
    <x v="0"/>
    <x v="0"/>
    <x v="3"/>
    <x v="20"/>
    <n v="1166.18"/>
    <n v="1335.02"/>
    <n v="1335.02"/>
    <n v="0.128"/>
    <n v="0.128"/>
    <n v="6"/>
    <s v="OK"/>
    <d v="2024-10-01T00:00:00"/>
    <n v="22"/>
    <n v="6984.8246399999998"/>
    <n v="6997.08"/>
    <n v="-12.25536000000011"/>
    <n v="-1.7545694604582242E-3"/>
    <x v="1"/>
    <s v="Printers"/>
    <s v="Printers"/>
    <x v="1"/>
    <x v="1"/>
  </r>
  <r>
    <x v="21"/>
    <x v="15"/>
    <d v="2024-10-04T00:00:00"/>
    <x v="1"/>
    <x v="6"/>
    <x v="15"/>
    <s v="Corporate"/>
    <x v="4"/>
    <x v="9"/>
    <x v="5"/>
    <x v="21"/>
    <n v="1174.17"/>
    <n v="1641.61"/>
    <n v="1641.61"/>
    <n v="0.122"/>
    <n v="0.122"/>
    <n v="9"/>
    <s v="OK"/>
    <d v="2024-10-04T00:00:00"/>
    <n v="28"/>
    <n v="12972.00222"/>
    <n v="10567.53"/>
    <n v="2404.4722199999997"/>
    <n v="0.18535860380079394"/>
    <x v="1"/>
    <s v="Monitors"/>
    <s v="Monitors"/>
    <x v="1"/>
    <x v="1"/>
  </r>
  <r>
    <x v="22"/>
    <x v="16"/>
    <d v="2024-10-02T00:00:00"/>
    <x v="1"/>
    <x v="1"/>
    <x v="5"/>
    <s v="Small Business"/>
    <x v="1"/>
    <x v="4"/>
    <x v="4"/>
    <x v="22"/>
    <n v="1338.99"/>
    <n v="1765.76"/>
    <n v="1765.76"/>
    <n v="0.126"/>
    <n v="0.126"/>
    <n v="24"/>
    <s v="OK"/>
    <d v="2024-10-02T00:00:00"/>
    <n v="19"/>
    <n v="37038.581760000001"/>
    <n v="32135.760000000002"/>
    <n v="4902.8217599999989"/>
    <n v="0.1323706666677725"/>
    <x v="1"/>
    <s v="Phones"/>
    <s v="Phones"/>
    <x v="1"/>
    <x v="1"/>
  </r>
  <r>
    <x v="23"/>
    <x v="17"/>
    <d v="2024-10-07T00:00:00"/>
    <x v="1"/>
    <x v="1"/>
    <x v="16"/>
    <s v="Consumer"/>
    <x v="1"/>
    <x v="0"/>
    <x v="3"/>
    <x v="23"/>
    <n v="1248.3900000000001"/>
    <n v="1805.11"/>
    <n v="1805.11"/>
    <n v="0.20300000000000001"/>
    <n v="0.20300000000000001"/>
    <n v="11"/>
    <s v="OK"/>
    <d v="2024-10-07T00:00:00"/>
    <n v="27"/>
    <n v="15825.399369999997"/>
    <n v="13732.29"/>
    <n v="2093.1093699999965"/>
    <n v="0.13226265707820786"/>
    <x v="1"/>
    <s v="Printers"/>
    <s v="Printers"/>
    <x v="0"/>
    <x v="1"/>
  </r>
  <r>
    <x v="24"/>
    <x v="18"/>
    <d v="2024-10-01T00:00:00"/>
    <x v="0"/>
    <x v="0"/>
    <x v="17"/>
    <s v="Non-Profit"/>
    <x v="3"/>
    <x v="1"/>
    <x v="5"/>
    <x v="24"/>
    <n v="1378.8"/>
    <n v="1952.04"/>
    <n v="1952.04"/>
    <n v="0.159"/>
    <n v="0.159"/>
    <n v="19"/>
    <s v="OK"/>
    <d v="2024-10-01T00:00:00"/>
    <n v="9"/>
    <n v="31191.64716"/>
    <n v="26197.200000000001"/>
    <n v="4994.4471599999997"/>
    <n v="0.16012130216723058"/>
    <x v="1"/>
    <s v="Monitors"/>
    <s v="Monitors"/>
    <x v="1"/>
    <x v="1"/>
  </r>
  <r>
    <x v="25"/>
    <x v="15"/>
    <d v="2024-09-04T00:00:00"/>
    <x v="3"/>
    <x v="5"/>
    <x v="9"/>
    <s v="Corporate"/>
    <x v="0"/>
    <x v="5"/>
    <x v="1"/>
    <x v="25"/>
    <n v="1368.17"/>
    <n v="2307.75"/>
    <n v="2307.75"/>
    <n v="0.16300000000000001"/>
    <n v="0.16300000000000001"/>
    <n v="21"/>
    <s v="Correct"/>
    <d v="2024-09-13T00:00:00"/>
    <n v="7"/>
    <n v="40563.321749999996"/>
    <n v="28731.57"/>
    <n v="11831.751749999996"/>
    <n v="0.29168596750831921"/>
    <x v="1"/>
    <s v="Laptops"/>
    <s v="Laptops"/>
    <x v="1"/>
    <x v="0"/>
  </r>
  <r>
    <x v="26"/>
    <x v="19"/>
    <d v="2024-10-18T00:00:00"/>
    <x v="0"/>
    <x v="3"/>
    <x v="18"/>
    <s v="Small Business"/>
    <x v="3"/>
    <x v="3"/>
    <x v="4"/>
    <x v="26"/>
    <n v="1297"/>
    <n v="2411.52"/>
    <n v="2411.52"/>
    <n v="2.1000000000000001E-2"/>
    <n v="2.1000000000000001E-2"/>
    <n v="18"/>
    <s v="OK"/>
    <d v="2024-10-18T00:00:00"/>
    <n v="25"/>
    <n v="42495.805439999996"/>
    <n v="23346"/>
    <n v="19149.805439999996"/>
    <n v="0.45062813239385913"/>
    <x v="1"/>
    <s v="Phones"/>
    <s v="Phones"/>
    <x v="1"/>
    <x v="1"/>
  </r>
  <r>
    <x v="27"/>
    <x v="12"/>
    <d v="2024-10-08T00:00:00"/>
    <x v="0"/>
    <x v="0"/>
    <x v="17"/>
    <s v="Education"/>
    <x v="0"/>
    <x v="2"/>
    <x v="6"/>
    <x v="27"/>
    <n v="1010.33"/>
    <n v="2492.14"/>
    <n v="2492.14"/>
    <n v="5.0999999999999997E-2"/>
    <n v="5.0999999999999997E-2"/>
    <n v="11"/>
    <s v="OK"/>
    <d v="2024-10-08T00:00:00"/>
    <n v="29"/>
    <n v="26015.449459999996"/>
    <n v="11113.630000000001"/>
    <n v="14901.819459999995"/>
    <n v="0.57280653493656752"/>
    <x v="1"/>
    <s v="Components"/>
    <s v="Components"/>
    <x v="1"/>
    <x v="1"/>
  </r>
  <r>
    <x v="28"/>
    <x v="9"/>
    <d v="2024-09-07T00:00:00"/>
    <x v="3"/>
    <x v="4"/>
    <x v="19"/>
    <s v="Education"/>
    <x v="2"/>
    <x v="12"/>
    <x v="2"/>
    <x v="28"/>
    <n v="1066.6500000000001"/>
    <n v="2569.77"/>
    <n v="2569.77"/>
    <n v="0.13400000000000001"/>
    <n v="0.13400000000000001"/>
    <n v="9"/>
    <s v="OK"/>
    <d v="2024-09-07T00:00:00"/>
    <n v="0"/>
    <n v="20028.787380000002"/>
    <n v="9599.85"/>
    <n v="10428.937380000001"/>
    <n v="0.52069739331368348"/>
    <x v="1"/>
    <s v="Networking"/>
    <s v="Networking"/>
    <x v="1"/>
    <x v="0"/>
  </r>
  <r>
    <x v="29"/>
    <x v="20"/>
    <d v="2024-10-05T00:00:00"/>
    <x v="3"/>
    <x v="7"/>
    <x v="20"/>
    <s v="Small Business"/>
    <x v="3"/>
    <x v="10"/>
    <x v="1"/>
    <x v="29"/>
    <n v="1405.56"/>
    <n v="2968.87"/>
    <n v="2968.87"/>
    <n v="0.16900000000000001"/>
    <n v="0.16900000000000001"/>
    <n v="5"/>
    <s v="OK"/>
    <d v="2024-10-05T00:00:00"/>
    <n v="21"/>
    <n v="12335.654849999999"/>
    <n v="7027.7999999999993"/>
    <n v="5307.8548499999997"/>
    <n v="0.4302856163327235"/>
    <x v="1"/>
    <s v="Laptops"/>
    <s v="Laptops"/>
    <x v="1"/>
    <x v="1"/>
  </r>
  <r>
    <x v="30"/>
    <x v="21"/>
    <d v="2023-10-02T00:00:00"/>
    <x v="0"/>
    <x v="9"/>
    <x v="21"/>
    <s v="Education"/>
    <x v="4"/>
    <x v="13"/>
    <x v="0"/>
    <x v="30"/>
    <n v="145.58000000000001"/>
    <n v="228.15"/>
    <n v="228.15"/>
    <n v="0.20399999999999999"/>
    <n v="0.20399999999999999"/>
    <n v="5"/>
    <s v="OK"/>
    <d v="2023-10-02T00:00:00"/>
    <n v="7"/>
    <n v="908.03700000000003"/>
    <n v="727.90000000000009"/>
    <n v="180.13699999999994"/>
    <n v="0.19838068272548359"/>
    <x v="2"/>
    <s v="Accessories"/>
    <s v="Accessories"/>
    <x v="0"/>
    <x v="0"/>
  </r>
  <r>
    <x v="31"/>
    <x v="22"/>
    <d v="2023-09-14T00:00:00"/>
    <x v="1"/>
    <x v="1"/>
    <x v="22"/>
    <s v="Education"/>
    <x v="0"/>
    <x v="13"/>
    <x v="0"/>
    <x v="31"/>
    <n v="251.03"/>
    <n v="411.48"/>
    <n v="411.48"/>
    <n v="0.16500000000000001"/>
    <n v="0.16500000000000001"/>
    <n v="3"/>
    <s v="OK"/>
    <d v="2023-09-14T00:00:00"/>
    <n v="6"/>
    <n v="1030.7574"/>
    <n v="753.09"/>
    <n v="277.66739999999993"/>
    <n v="0.26938191275658069"/>
    <x v="2"/>
    <s v="Accessories"/>
    <s v="Accessories"/>
    <x v="1"/>
    <x v="0"/>
  </r>
  <r>
    <x v="32"/>
    <x v="23"/>
    <d v="2023-10-08T00:00:00"/>
    <x v="3"/>
    <x v="4"/>
    <x v="23"/>
    <s v="Education"/>
    <x v="0"/>
    <x v="2"/>
    <x v="3"/>
    <x v="32"/>
    <n v="385.32"/>
    <n v="606.76"/>
    <n v="606.76"/>
    <n v="8.5999999999999993E-2"/>
    <n v="8.5999999999999993E-2"/>
    <n v="8"/>
    <s v="OK"/>
    <d v="2023-10-08T00:00:00"/>
    <n v="19"/>
    <n v="4436.6291200000005"/>
    <n v="3082.56"/>
    <n v="1354.0691200000006"/>
    <n v="0.30520223425842735"/>
    <x v="2"/>
    <s v="Printers"/>
    <s v="Printers"/>
    <x v="1"/>
    <x v="1"/>
  </r>
  <r>
    <x v="33"/>
    <x v="24"/>
    <d v="2023-10-02T00:00:00"/>
    <x v="0"/>
    <x v="0"/>
    <x v="0"/>
    <s v="Small Business"/>
    <x v="1"/>
    <x v="12"/>
    <x v="1"/>
    <x v="33"/>
    <n v="689.33"/>
    <n v="668.27"/>
    <n v="668.27"/>
    <n v="0.186"/>
    <n v="0.186"/>
    <n v="13"/>
    <s v="OK"/>
    <d v="2023-10-02T00:00:00"/>
    <n v="15"/>
    <n v="7071.6331400000008"/>
    <n v="8961.2900000000009"/>
    <n v="-1889.6568600000001"/>
    <n v="-0.26721647214861033"/>
    <x v="2"/>
    <s v="Laptops"/>
    <s v="Laptops"/>
    <x v="1"/>
    <x v="1"/>
  </r>
  <r>
    <x v="34"/>
    <x v="25"/>
    <d v="2023-09-16T00:00:00"/>
    <x v="2"/>
    <x v="10"/>
    <x v="24"/>
    <s v="Non-Profit"/>
    <x v="0"/>
    <x v="12"/>
    <x v="3"/>
    <x v="34"/>
    <n v="376.83"/>
    <n v="732.88"/>
    <n v="732.88"/>
    <n v="0.188"/>
    <n v="0.188"/>
    <n v="25"/>
    <s v="OK"/>
    <d v="2023-09-16T00:00:00"/>
    <n v="2"/>
    <n v="14877.464000000002"/>
    <n v="9420.75"/>
    <n v="5456.7140000000018"/>
    <n v="0.36677716040852132"/>
    <x v="2"/>
    <s v="Printers"/>
    <s v="Printers"/>
    <x v="1"/>
    <x v="0"/>
  </r>
  <r>
    <x v="35"/>
    <x v="26"/>
    <d v="2023-10-03T00:00:00"/>
    <x v="3"/>
    <x v="7"/>
    <x v="11"/>
    <s v="Non-Profit"/>
    <x v="1"/>
    <x v="2"/>
    <x v="1"/>
    <x v="35"/>
    <n v="1019.36"/>
    <n v="972.91"/>
    <n v="972.91"/>
    <n v="0.14699999999999999"/>
    <n v="0.14699999999999999"/>
    <n v="17"/>
    <s v="OK"/>
    <d v="2023-10-03T00:00:00"/>
    <n v="3"/>
    <n v="14108.16791"/>
    <n v="17329.12"/>
    <n v="-3220.9520899999989"/>
    <n v="-0.22830406545678819"/>
    <x v="2"/>
    <s v="Laptops"/>
    <s v="Laptops"/>
    <x v="1"/>
    <x v="0"/>
  </r>
  <r>
    <x v="36"/>
    <x v="26"/>
    <d v="2023-10-30T00:00:00"/>
    <x v="3"/>
    <x v="5"/>
    <x v="8"/>
    <s v="Enterprise"/>
    <x v="3"/>
    <x v="9"/>
    <x v="3"/>
    <x v="36"/>
    <n v="649.13"/>
    <n v="975.43"/>
    <n v="975.43"/>
    <n v="0.157"/>
    <n v="0.157"/>
    <n v="27"/>
    <s v="OK"/>
    <d v="2023-10-30T00:00:00"/>
    <n v="30"/>
    <n v="22201.762229999997"/>
    <n v="17526.509999999998"/>
    <n v="4675.2522299999982"/>
    <n v="0.21058023149543473"/>
    <x v="2"/>
    <s v="Printers"/>
    <s v="Printers"/>
    <x v="1"/>
    <x v="1"/>
  </r>
  <r>
    <x v="37"/>
    <x v="27"/>
    <d v="2023-10-08T00:00:00"/>
    <x v="3"/>
    <x v="4"/>
    <x v="6"/>
    <s v="Small Business"/>
    <x v="0"/>
    <x v="12"/>
    <x v="6"/>
    <x v="37"/>
    <n v="825.64"/>
    <n v="1108.43"/>
    <n v="1108.43"/>
    <n v="0.114"/>
    <n v="0.114"/>
    <n v="7"/>
    <s v="OK"/>
    <d v="2023-10-08T00:00:00"/>
    <n v="20"/>
    <n v="6874.4828600000001"/>
    <n v="5779.48"/>
    <n v="1095.0028600000005"/>
    <n v="0.15928512475773349"/>
    <x v="2"/>
    <s v="Components"/>
    <s v="Components"/>
    <x v="1"/>
    <x v="1"/>
  </r>
  <r>
    <x v="38"/>
    <x v="28"/>
    <d v="2023-10-10T00:00:00"/>
    <x v="3"/>
    <x v="5"/>
    <x v="8"/>
    <s v="Education"/>
    <x v="3"/>
    <x v="9"/>
    <x v="6"/>
    <x v="38"/>
    <n v="845.63"/>
    <n v="2062.12"/>
    <n v="2062.12"/>
    <n v="0.13400000000000001"/>
    <n v="0.13400000000000001"/>
    <n v="5"/>
    <s v="OK"/>
    <d v="2023-10-10T00:00:00"/>
    <n v="19"/>
    <n v="8928.9795999999988"/>
    <n v="4228.1499999999996"/>
    <n v="4700.8295999999991"/>
    <n v="0.52646884757133949"/>
    <x v="2"/>
    <s v="Components"/>
    <s v="Components"/>
    <x v="1"/>
    <x v="1"/>
  </r>
  <r>
    <x v="39"/>
    <x v="22"/>
    <d v="2023-10-02T00:00:00"/>
    <x v="0"/>
    <x v="3"/>
    <x v="4"/>
    <s v="Education"/>
    <x v="0"/>
    <x v="5"/>
    <x v="0"/>
    <x v="39"/>
    <n v="1299.03"/>
    <n v="2451.2199999999998"/>
    <n v="2451.2199999999998"/>
    <n v="0.20799999999999999"/>
    <n v="0.20799999999999999"/>
    <n v="8"/>
    <s v="OK"/>
    <d v="2023-10-02T00:00:00"/>
    <n v="24"/>
    <n v="15530.929919999999"/>
    <n v="10392.24"/>
    <n v="5138.6899199999989"/>
    <n v="0.3308681416032041"/>
    <x v="2"/>
    <s v="Accessories"/>
    <s v="Accessories"/>
    <x v="0"/>
    <x v="1"/>
  </r>
  <r>
    <x v="40"/>
    <x v="21"/>
    <d v="2023-10-09T00:00:00"/>
    <x v="0"/>
    <x v="9"/>
    <x v="21"/>
    <s v="Small Business"/>
    <x v="4"/>
    <x v="2"/>
    <x v="1"/>
    <x v="40"/>
    <n v="1279.56"/>
    <n v="3083.8"/>
    <n v="3083.8"/>
    <n v="0.106"/>
    <n v="0.106"/>
    <n v="5"/>
    <s v="OK"/>
    <d v="2023-10-09T00:00:00"/>
    <n v="14"/>
    <n v="13784.586000000001"/>
    <n v="6397.7999999999993"/>
    <n v="7386.7860000000019"/>
    <n v="0.53587289455047848"/>
    <x v="2"/>
    <s v="Laptops"/>
    <s v="Laptops"/>
    <x v="1"/>
    <x v="1"/>
  </r>
  <r>
    <x v="41"/>
    <x v="29"/>
    <d v="2023-09-28T00:00:00"/>
    <x v="3"/>
    <x v="4"/>
    <x v="25"/>
    <s v="Corporate"/>
    <x v="5"/>
    <x v="12"/>
    <x v="0"/>
    <x v="41"/>
    <n v="1362.06"/>
    <n v="3398.37"/>
    <n v="3398.37"/>
    <n v="0.157"/>
    <n v="0.157"/>
    <n v="11"/>
    <s v="OK"/>
    <d v="2023-09-28T00:00:00"/>
    <n v="8"/>
    <n v="31513.085009999999"/>
    <n v="14982.66"/>
    <n v="16530.425009999999"/>
    <n v="0.52455749745714919"/>
    <x v="2"/>
    <s v="Accessories"/>
    <s v="Accessories"/>
    <x v="1"/>
    <x v="1"/>
  </r>
  <r>
    <x v="42"/>
    <x v="30"/>
    <d v="2024-11-06T00:00:00"/>
    <x v="3"/>
    <x v="4"/>
    <x v="23"/>
    <s v="Enterprise"/>
    <x v="2"/>
    <x v="8"/>
    <x v="5"/>
    <x v="42"/>
    <n v="72.94"/>
    <n v="106.3"/>
    <n v="106.3"/>
    <n v="0.29499999999999998"/>
    <n v="0.29499999999999998"/>
    <n v="8"/>
    <s v="OK"/>
    <d v="2024-11-06T00:00:00"/>
    <n v="20"/>
    <n v="599.53200000000004"/>
    <n v="583.52"/>
    <n v="16.012000000000057"/>
    <n v="2.6707498515508857E-2"/>
    <x v="3"/>
    <s v="Monitors"/>
    <s v="Monitors"/>
    <x v="0"/>
    <x v="1"/>
  </r>
  <r>
    <x v="43"/>
    <x v="31"/>
    <d v="2024-11-08T00:00:00"/>
    <x v="3"/>
    <x v="5"/>
    <x v="9"/>
    <s v="Small Business"/>
    <x v="1"/>
    <x v="2"/>
    <x v="2"/>
    <x v="43"/>
    <n v="82.14"/>
    <n v="166.04"/>
    <n v="166.04"/>
    <n v="0"/>
    <n v="0"/>
    <n v="10"/>
    <s v="OK"/>
    <d v="2024-11-08T00:00:00"/>
    <n v="23"/>
    <n v="1660.3999999999999"/>
    <n v="821.4"/>
    <n v="838.99999999999989"/>
    <n v="0.50529992772825827"/>
    <x v="3"/>
    <s v="Networking"/>
    <s v="Networking"/>
    <x v="1"/>
    <x v="1"/>
  </r>
  <r>
    <x v="44"/>
    <x v="32"/>
    <d v="2024-11-09T00:00:00"/>
    <x v="3"/>
    <x v="7"/>
    <x v="20"/>
    <s v="Non-Profit"/>
    <x v="3"/>
    <x v="7"/>
    <x v="3"/>
    <x v="44"/>
    <n v="391.64"/>
    <n v="504.76"/>
    <n v="504.76"/>
    <n v="4.0000000000000001E-3"/>
    <n v="4.0000000000000001E-3"/>
    <n v="13"/>
    <s v="OK"/>
    <d v="2024-11-09T00:00:00"/>
    <n v="29"/>
    <n v="6535.6324800000002"/>
    <n v="5091.32"/>
    <n v="1444.3124800000005"/>
    <n v="0.22099046793402319"/>
    <x v="3"/>
    <s v="Printers"/>
    <s v="Printers"/>
    <x v="1"/>
    <x v="1"/>
  </r>
  <r>
    <x v="45"/>
    <x v="33"/>
    <d v="2024-11-05T00:00:00"/>
    <x v="0"/>
    <x v="9"/>
    <x v="21"/>
    <s v="Corporate"/>
    <x v="2"/>
    <x v="3"/>
    <x v="6"/>
    <x v="45"/>
    <n v="446.66"/>
    <n v="527.64"/>
    <n v="527.64"/>
    <n v="0.14499999999999999"/>
    <n v="0.14499999999999999"/>
    <n v="15"/>
    <s v="OK"/>
    <d v="2024-11-05T00:00:00"/>
    <n v="11"/>
    <n v="6766.9829999999993"/>
    <n v="6699.9000000000005"/>
    <n v="67.082999999998719"/>
    <n v="9.9132804087137105E-3"/>
    <x v="3"/>
    <s v="Components"/>
    <s v="Components"/>
    <x v="1"/>
    <x v="1"/>
  </r>
  <r>
    <x v="46"/>
    <x v="34"/>
    <d v="2024-11-08T00:00:00"/>
    <x v="2"/>
    <x v="2"/>
    <x v="26"/>
    <s v="Small Business"/>
    <x v="2"/>
    <x v="2"/>
    <x v="6"/>
    <x v="46"/>
    <n v="343.85"/>
    <n v="538.04"/>
    <n v="538.04"/>
    <n v="0.13900000000000001"/>
    <n v="0.13900000000000001"/>
    <n v="5"/>
    <s v="OK"/>
    <d v="2024-11-08T00:00:00"/>
    <n v="30"/>
    <n v="2316.2621999999997"/>
    <n v="1719.25"/>
    <n v="597.01219999999967"/>
    <n v="0.25774810813732563"/>
    <x v="3"/>
    <s v="Components"/>
    <s v="Components"/>
    <x v="1"/>
    <x v="1"/>
  </r>
  <r>
    <x v="47"/>
    <x v="35"/>
    <d v="2024-11-20T00:00:00"/>
    <x v="3"/>
    <x v="5"/>
    <x v="7"/>
    <s v="Non-Profit"/>
    <x v="3"/>
    <x v="10"/>
    <x v="5"/>
    <x v="47"/>
    <n v="317.25"/>
    <n v="758.92"/>
    <n v="758.92"/>
    <n v="5.2999999999999999E-2"/>
    <n v="5.2999999999999999E-2"/>
    <n v="9"/>
    <s v="OK"/>
    <d v="2024-11-20T00:00:00"/>
    <n v="24"/>
    <n v="6468.2751599999992"/>
    <n v="2855.25"/>
    <n v="3613.0251599999992"/>
    <n v="0.5585762928489888"/>
    <x v="3"/>
    <s v="Monitors"/>
    <s v="Monitors"/>
    <x v="1"/>
    <x v="1"/>
  </r>
  <r>
    <x v="48"/>
    <x v="36"/>
    <d v="2024-10-22T00:00:00"/>
    <x v="1"/>
    <x v="8"/>
    <x v="27"/>
    <s v="Education"/>
    <x v="3"/>
    <x v="2"/>
    <x v="3"/>
    <x v="48"/>
    <n v="1084.3900000000001"/>
    <n v="759.33"/>
    <n v="759.33"/>
    <n v="0.23699999999999999"/>
    <n v="0.23699999999999999"/>
    <n v="31"/>
    <s v="Correct"/>
    <d v="2024-10-30T00:00:00"/>
    <n v="7"/>
    <n v="17960.432489999999"/>
    <n v="33616.090000000004"/>
    <n v="-15655.657510000005"/>
    <n v="-0.87167486187856302"/>
    <x v="3"/>
    <s v="Printers"/>
    <s v="Printers"/>
    <x v="0"/>
    <x v="0"/>
  </r>
  <r>
    <x v="49"/>
    <x v="37"/>
    <d v="2024-11-02T00:00:00"/>
    <x v="1"/>
    <x v="8"/>
    <x v="28"/>
    <s v="Corporate"/>
    <x v="2"/>
    <x v="7"/>
    <x v="0"/>
    <x v="49"/>
    <n v="412.09"/>
    <n v="968.94"/>
    <n v="968.94"/>
    <n v="9.9000000000000005E-2"/>
    <n v="9.9000000000000005E-2"/>
    <n v="23"/>
    <s v="OK"/>
    <d v="2024-11-02T00:00:00"/>
    <n v="29"/>
    <n v="20079.343620000003"/>
    <n v="9478.07"/>
    <n v="10601.273620000004"/>
    <n v="0.52796913189137418"/>
    <x v="3"/>
    <s v="Accessories"/>
    <s v="Accessories"/>
    <x v="1"/>
    <x v="1"/>
  </r>
  <r>
    <x v="50"/>
    <x v="38"/>
    <d v="2024-10-24T00:00:00"/>
    <x v="2"/>
    <x v="10"/>
    <x v="29"/>
    <s v="Education"/>
    <x v="2"/>
    <x v="7"/>
    <x v="6"/>
    <x v="50"/>
    <n v="816.7"/>
    <n v="1010.75"/>
    <n v="1010.75"/>
    <n v="4.7E-2"/>
    <n v="4.7E-2"/>
    <n v="43"/>
    <s v="OK"/>
    <d v="2024-10-24T00:00:00"/>
    <n v="11"/>
    <n v="41419.524249999995"/>
    <n v="35118.1"/>
    <n v="6301.4242499999964"/>
    <n v="0.15213656757537472"/>
    <x v="3"/>
    <s v="Components"/>
    <s v="Components"/>
    <x v="1"/>
    <x v="1"/>
  </r>
  <r>
    <x v="51"/>
    <x v="39"/>
    <d v="2024-11-06T00:00:00"/>
    <x v="0"/>
    <x v="9"/>
    <x v="30"/>
    <s v="Education"/>
    <x v="5"/>
    <x v="6"/>
    <x v="5"/>
    <x v="51"/>
    <n v="942.02"/>
    <n v="1028.46"/>
    <n v="1028.46"/>
    <n v="0"/>
    <n v="0"/>
    <n v="9"/>
    <s v="OK"/>
    <d v="2024-11-06T00:00:00"/>
    <n v="18"/>
    <n v="9256.14"/>
    <n v="8478.18"/>
    <n v="777.95999999999913"/>
    <n v="8.4047994088248354E-2"/>
    <x v="3"/>
    <s v="Monitors"/>
    <s v="Monitors"/>
    <x v="1"/>
    <x v="1"/>
  </r>
  <r>
    <x v="52"/>
    <x v="40"/>
    <d v="2024-11-24T00:00:00"/>
    <x v="3"/>
    <x v="7"/>
    <x v="14"/>
    <s v="Small Business"/>
    <x v="3"/>
    <x v="11"/>
    <x v="6"/>
    <x v="52"/>
    <n v="811.05"/>
    <n v="1217.71"/>
    <n v="1217.71"/>
    <n v="7.1999999999999995E-2"/>
    <n v="7.1999999999999995E-2"/>
    <n v="5"/>
    <s v="OK"/>
    <d v="2024-11-24T00:00:00"/>
    <n v="25"/>
    <n v="5650.1744000000008"/>
    <n v="4055.25"/>
    <n v="1594.9244000000008"/>
    <n v="0.28227879125288602"/>
    <x v="3"/>
    <s v="Components"/>
    <s v="Components"/>
    <x v="1"/>
    <x v="1"/>
  </r>
  <r>
    <x v="53"/>
    <x v="41"/>
    <d v="2024-10-29T00:00:00"/>
    <x v="1"/>
    <x v="8"/>
    <x v="27"/>
    <s v="Enterprise"/>
    <x v="2"/>
    <x v="4"/>
    <x v="5"/>
    <x v="53"/>
    <n v="1023.06"/>
    <n v="1355.61"/>
    <n v="1355.61"/>
    <n v="0.153"/>
    <n v="0.153"/>
    <n v="23"/>
    <s v="OK"/>
    <d v="2024-10-29T00:00:00"/>
    <n v="7"/>
    <n v="26408.63841"/>
    <n v="23530.379999999997"/>
    <n v="2878.2584100000022"/>
    <n v="0.10898927711888809"/>
    <x v="3"/>
    <s v="Monitors"/>
    <s v="Monitors"/>
    <x v="1"/>
    <x v="0"/>
  </r>
  <r>
    <x v="54"/>
    <x v="36"/>
    <d v="2024-11-14T00:00:00"/>
    <x v="3"/>
    <x v="5"/>
    <x v="9"/>
    <s v="Non-Profit"/>
    <x v="0"/>
    <x v="12"/>
    <x v="4"/>
    <x v="54"/>
    <n v="1406.4"/>
    <n v="1564.76"/>
    <n v="1564.76"/>
    <n v="0.185"/>
    <n v="0.185"/>
    <n v="17"/>
    <s v="OK"/>
    <d v="2024-11-14T00:00:00"/>
    <n v="22"/>
    <n v="21679.749799999998"/>
    <n v="23908.800000000003"/>
    <n v="-2229.0502000000051"/>
    <n v="-0.10281715520536151"/>
    <x v="3"/>
    <s v="Phones"/>
    <s v="Phones"/>
    <x v="1"/>
    <x v="1"/>
  </r>
  <r>
    <x v="55"/>
    <x v="42"/>
    <d v="2024-10-11T00:00:00"/>
    <x v="2"/>
    <x v="2"/>
    <x v="26"/>
    <s v="Non-Profit"/>
    <x v="2"/>
    <x v="0"/>
    <x v="6"/>
    <x v="55"/>
    <n v="1389.46"/>
    <n v="1784.7"/>
    <n v="1784.7"/>
    <n v="0.14599999999999999"/>
    <n v="0.14599999999999999"/>
    <n v="33"/>
    <s v="OK"/>
    <d v="2024-10-11T00:00:00"/>
    <n v="1"/>
    <n v="50296.415399999998"/>
    <n v="45852.18"/>
    <n v="4444.2353999999978"/>
    <n v="8.8360877503011831E-2"/>
    <x v="3"/>
    <s v="Components"/>
    <s v="Components"/>
    <x v="1"/>
    <x v="0"/>
  </r>
  <r>
    <x v="56"/>
    <x v="43"/>
    <d v="2024-11-04T00:00:00"/>
    <x v="1"/>
    <x v="1"/>
    <x v="2"/>
    <s v="Corporate"/>
    <x v="2"/>
    <x v="4"/>
    <x v="3"/>
    <x v="56"/>
    <n v="805.81"/>
    <n v="1823.04"/>
    <n v="1823.04"/>
    <n v="0"/>
    <n v="0"/>
    <n v="11"/>
    <s v="OK"/>
    <d v="2024-11-04T00:00:00"/>
    <n v="6"/>
    <n v="20053.439999999999"/>
    <n v="8863.91"/>
    <n v="11189.529999999999"/>
    <n v="0.55798556257679477"/>
    <x v="3"/>
    <s v="Printers"/>
    <s v="Printers"/>
    <x v="1"/>
    <x v="0"/>
  </r>
  <r>
    <x v="57"/>
    <x v="44"/>
    <d v="2024-11-08T00:00:00"/>
    <x v="1"/>
    <x v="8"/>
    <x v="12"/>
    <s v="Enterprise"/>
    <x v="3"/>
    <x v="8"/>
    <x v="2"/>
    <x v="57"/>
    <n v="859.35"/>
    <n v="1825.61"/>
    <n v="1825.61"/>
    <n v="0.187"/>
    <n v="0.187"/>
    <n v="24"/>
    <s v="OK"/>
    <d v="2024-11-08T00:00:00"/>
    <n v="25"/>
    <n v="35621.302319999995"/>
    <n v="20624.400000000001"/>
    <n v="14996.902319999994"/>
    <n v="0.42100937762681989"/>
    <x v="3"/>
    <s v="Networking"/>
    <s v="Networking"/>
    <x v="1"/>
    <x v="1"/>
  </r>
  <r>
    <x v="58"/>
    <x v="45"/>
    <d v="2024-10-11T00:00:00"/>
    <x v="3"/>
    <x v="7"/>
    <x v="11"/>
    <s v="Enterprise"/>
    <x v="0"/>
    <x v="12"/>
    <x v="4"/>
    <x v="58"/>
    <n v="1132.6099999999999"/>
    <n v="2206.63"/>
    <n v="2206.63"/>
    <n v="6.3E-2"/>
    <n v="6.3E-2"/>
    <n v="20"/>
    <s v="OK"/>
    <d v="2024-10-11T00:00:00"/>
    <n v="8"/>
    <n v="41352.246200000009"/>
    <n v="22652.199999999997"/>
    <n v="18700.046200000012"/>
    <n v="0.45221355351671338"/>
    <x v="3"/>
    <s v="Phones"/>
    <s v="Phones"/>
    <x v="1"/>
    <x v="1"/>
  </r>
  <r>
    <x v="59"/>
    <x v="46"/>
    <d v="2024-10-23T00:00:00"/>
    <x v="1"/>
    <x v="6"/>
    <x v="10"/>
    <s v="Corporate"/>
    <x v="4"/>
    <x v="5"/>
    <x v="6"/>
    <x v="59"/>
    <n v="1095.6099999999999"/>
    <n v="2366.5100000000002"/>
    <n v="2366.5100000000002"/>
    <n v="0.152"/>
    <n v="0.152"/>
    <n v="9"/>
    <s v="OK"/>
    <d v="2024-10-23T00:00:00"/>
    <n v="21"/>
    <n v="18061.204320000004"/>
    <n v="9860.49"/>
    <n v="8200.7143200000046"/>
    <n v="0.4540513564158607"/>
    <x v="3"/>
    <s v="Components"/>
    <s v="Components"/>
    <x v="1"/>
    <x v="1"/>
  </r>
  <r>
    <x v="60"/>
    <x v="47"/>
    <d v="2024-10-08T00:00:00"/>
    <x v="2"/>
    <x v="2"/>
    <x v="3"/>
    <s v="Corporate"/>
    <x v="3"/>
    <x v="11"/>
    <x v="5"/>
    <x v="60"/>
    <n v="1108.1099999999999"/>
    <n v="2503.79"/>
    <n v="2503.79"/>
    <n v="0.184"/>
    <n v="0.184"/>
    <n v="19"/>
    <s v="OK"/>
    <d v="2024-10-08T00:00:00"/>
    <n v="0"/>
    <n v="38818.760160000005"/>
    <n v="21054.089999999997"/>
    <n v="17764.670160000009"/>
    <n v="0.45763105485025896"/>
    <x v="3"/>
    <s v="Monitors"/>
    <s v="Monitors"/>
    <x v="1"/>
    <x v="0"/>
  </r>
  <r>
    <x v="61"/>
    <x v="48"/>
    <d v="2024-10-28T00:00:00"/>
    <x v="3"/>
    <x v="7"/>
    <x v="20"/>
    <s v="Small Business"/>
    <x v="2"/>
    <x v="13"/>
    <x v="2"/>
    <x v="61"/>
    <n v="1331.77"/>
    <n v="2606.11"/>
    <n v="2606.11"/>
    <n v="0.02"/>
    <n v="0.02"/>
    <n v="6"/>
    <s v="OK"/>
    <d v="2024-10-28T00:00:00"/>
    <n v="4"/>
    <n v="15323.926799999999"/>
    <n v="7990.62"/>
    <n v="7333.3067999999994"/>
    <n v="0.47855271665745619"/>
    <x v="3"/>
    <s v="Networking"/>
    <s v="Networking"/>
    <x v="1"/>
    <x v="0"/>
  </r>
  <r>
    <x v="62"/>
    <x v="33"/>
    <d v="2024-11-14T00:00:00"/>
    <x v="1"/>
    <x v="1"/>
    <x v="5"/>
    <s v="Corporate"/>
    <x v="0"/>
    <x v="10"/>
    <x v="3"/>
    <x v="62"/>
    <n v="1396.48"/>
    <n v="3204.5"/>
    <n v="3204.5"/>
    <n v="0.318"/>
    <n v="0.3"/>
    <n v="14"/>
    <s v="OK"/>
    <d v="2024-11-14T00:00:00"/>
    <n v="20"/>
    <n v="31404.1"/>
    <n v="19550.72"/>
    <n v="11853.379999999997"/>
    <n v="0.3774468938769141"/>
    <x v="3"/>
    <s v="Printers"/>
    <s v="Printers"/>
    <x v="0"/>
    <x v="1"/>
  </r>
  <r>
    <x v="63"/>
    <x v="49"/>
    <d v="2023-11-05T00:00:00"/>
    <x v="1"/>
    <x v="6"/>
    <x v="15"/>
    <s v="Non-Profit"/>
    <x v="3"/>
    <x v="13"/>
    <x v="1"/>
    <x v="63"/>
    <n v="20.38"/>
    <n v="42.56"/>
    <n v="42.56"/>
    <n v="7.1999999999999995E-2"/>
    <n v="7.1999999999999995E-2"/>
    <n v="11"/>
    <s v="OK"/>
    <d v="2023-11-05T00:00:00"/>
    <n v="10"/>
    <n v="434.45248000000004"/>
    <n v="224.17999999999998"/>
    <n v="210.27248000000006"/>
    <n v="0.48399419885921713"/>
    <x v="4"/>
    <s v="Laptops"/>
    <s v="Laptops"/>
    <x v="1"/>
    <x v="1"/>
  </r>
  <r>
    <x v="64"/>
    <x v="50"/>
    <d v="2023-10-21T00:00:00"/>
    <x v="2"/>
    <x v="2"/>
    <x v="26"/>
    <s v="Enterprise"/>
    <x v="2"/>
    <x v="2"/>
    <x v="5"/>
    <x v="64"/>
    <n v="384.19"/>
    <n v="278.35000000000002"/>
    <n v="278.35000000000002"/>
    <n v="5.6000000000000001E-2"/>
    <n v="5.6000000000000001E-2"/>
    <n v="10"/>
    <s v="OK"/>
    <d v="2023-10-21T00:00:00"/>
    <n v="0"/>
    <n v="2627.6239999999998"/>
    <n v="3841.9"/>
    <n v="-1214.2760000000003"/>
    <n v="-0.46211938998882657"/>
    <x v="4"/>
    <s v="Monitors"/>
    <s v="Monitors"/>
    <x v="1"/>
    <x v="0"/>
  </r>
  <r>
    <x v="65"/>
    <x v="51"/>
    <d v="2023-10-13T00:00:00"/>
    <x v="0"/>
    <x v="0"/>
    <x v="1"/>
    <s v="Consumer"/>
    <x v="2"/>
    <x v="14"/>
    <x v="0"/>
    <x v="65"/>
    <n v="715.94"/>
    <n v="550.07000000000005"/>
    <n v="550.07000000000005"/>
    <n v="0.14000000000000001"/>
    <n v="0.14000000000000001"/>
    <n v="16"/>
    <s v="OK"/>
    <d v="2023-10-13T00:00:00"/>
    <n v="2"/>
    <n v="7568.9632000000001"/>
    <n v="11455.04"/>
    <n v="-3886.0768000000007"/>
    <n v="-0.51342260456491595"/>
    <x v="4"/>
    <s v="Accessories"/>
    <s v="Accessories"/>
    <x v="1"/>
    <x v="0"/>
  </r>
  <r>
    <x v="66"/>
    <x v="52"/>
    <d v="2023-11-24T00:00:00"/>
    <x v="2"/>
    <x v="10"/>
    <x v="29"/>
    <s v="Enterprise"/>
    <x v="2"/>
    <x v="6"/>
    <x v="4"/>
    <x v="66"/>
    <n v="287.85000000000002"/>
    <n v="602.91999999999996"/>
    <n v="602.91999999999996"/>
    <n v="0.222"/>
    <n v="0.222"/>
    <n v="11"/>
    <s v="OK"/>
    <d v="2023-11-24T00:00:00"/>
    <n v="30"/>
    <n v="5159.7893599999998"/>
    <n v="3166.3500000000004"/>
    <n v="1993.4393599999994"/>
    <n v="0.38634122847216373"/>
    <x v="4"/>
    <s v="Phones"/>
    <s v="Phones"/>
    <x v="0"/>
    <x v="1"/>
  </r>
  <r>
    <x v="67"/>
    <x v="53"/>
    <d v="2023-11-13T00:00:00"/>
    <x v="3"/>
    <x v="7"/>
    <x v="14"/>
    <s v="Non-Profit"/>
    <x v="2"/>
    <x v="2"/>
    <x v="3"/>
    <x v="67"/>
    <n v="986.44"/>
    <n v="790.61"/>
    <n v="790.61"/>
    <n v="7.1999999999999995E-2"/>
    <n v="7.1999999999999995E-2"/>
    <n v="6"/>
    <s v="OK"/>
    <d v="2023-11-13T00:00:00"/>
    <n v="29"/>
    <n v="4402.1164799999997"/>
    <n v="5918.64"/>
    <n v="-1516.5235200000006"/>
    <n v="-0.34449872621271499"/>
    <x v="4"/>
    <s v="Printers"/>
    <s v="Printers"/>
    <x v="1"/>
    <x v="1"/>
  </r>
  <r>
    <x v="68"/>
    <x v="54"/>
    <d v="2023-10-11T00:00:00"/>
    <x v="1"/>
    <x v="8"/>
    <x v="27"/>
    <s v="Education"/>
    <x v="4"/>
    <x v="1"/>
    <x v="2"/>
    <x v="68"/>
    <n v="391.16"/>
    <n v="902.47"/>
    <n v="902.47"/>
    <n v="4.0000000000000001E-3"/>
    <n v="4.0000000000000001E-3"/>
    <n v="12"/>
    <s v="OK"/>
    <d v="2023-10-11T00:00:00"/>
    <n v="2"/>
    <n v="10786.32144"/>
    <n v="4693.92"/>
    <n v="6092.4014399999996"/>
    <n v="0.56482661618139207"/>
    <x v="4"/>
    <s v="Networking"/>
    <s v="Networking"/>
    <x v="1"/>
    <x v="0"/>
  </r>
  <r>
    <x v="69"/>
    <x v="55"/>
    <d v="2023-10-20T00:00:00"/>
    <x v="1"/>
    <x v="1"/>
    <x v="16"/>
    <s v="Consumer"/>
    <x v="1"/>
    <x v="2"/>
    <x v="4"/>
    <x v="69"/>
    <n v="774.12"/>
    <n v="908.3"/>
    <n v="908.3"/>
    <n v="0"/>
    <n v="0"/>
    <n v="30"/>
    <s v="OK"/>
    <d v="2023-10-20T00:00:00"/>
    <n v="2"/>
    <n v="27249"/>
    <n v="23223.599999999999"/>
    <n v="4025.4000000000015"/>
    <n v="0.14772652207420461"/>
    <x v="4"/>
    <s v="Phones"/>
    <s v="Phones"/>
    <x v="1"/>
    <x v="0"/>
  </r>
  <r>
    <x v="70"/>
    <x v="52"/>
    <d v="2023-10-28T00:00:00"/>
    <x v="0"/>
    <x v="0"/>
    <x v="1"/>
    <s v="Corporate"/>
    <x v="2"/>
    <x v="0"/>
    <x v="0"/>
    <x v="70"/>
    <n v="509.31"/>
    <n v="1145.9000000000001"/>
    <n v="1145.9000000000001"/>
    <n v="5.7000000000000002E-2"/>
    <n v="5.7000000000000002E-2"/>
    <n v="8"/>
    <s v="OK"/>
    <d v="2023-10-28T00:00:00"/>
    <n v="3"/>
    <n v="8644.6696000000011"/>
    <n v="4074.48"/>
    <n v="4570.1896000000015"/>
    <n v="0.52867140231709964"/>
    <x v="4"/>
    <s v="Accessories"/>
    <s v="Accessories"/>
    <x v="1"/>
    <x v="0"/>
  </r>
  <r>
    <x v="71"/>
    <x v="56"/>
    <d v="2023-11-02T00:00:00"/>
    <x v="1"/>
    <x v="1"/>
    <x v="16"/>
    <s v="Education"/>
    <x v="1"/>
    <x v="8"/>
    <x v="0"/>
    <x v="71"/>
    <n v="867.89"/>
    <n v="1349.94"/>
    <n v="1349.94"/>
    <n v="0.184"/>
    <n v="0.184"/>
    <n v="10"/>
    <s v="OK"/>
    <d v="2023-11-02T00:00:00"/>
    <n v="2"/>
    <n v="11015.510400000003"/>
    <n v="8678.9"/>
    <n v="2336.6104000000032"/>
    <n v="0.21212003031652557"/>
    <x v="4"/>
    <s v="Accessories"/>
    <s v="Accessories"/>
    <x v="1"/>
    <x v="0"/>
  </r>
  <r>
    <x v="72"/>
    <x v="57"/>
    <d v="2023-10-31T00:00:00"/>
    <x v="3"/>
    <x v="7"/>
    <x v="20"/>
    <s v="Consumer"/>
    <x v="5"/>
    <x v="2"/>
    <x v="3"/>
    <x v="72"/>
    <n v="649.91"/>
    <n v="1360.12"/>
    <n v="1360.12"/>
    <n v="0.19400000000000001"/>
    <n v="0.19400000000000001"/>
    <n v="9"/>
    <s v="OK"/>
    <d v="2023-10-31T00:00:00"/>
    <n v="26"/>
    <n v="9866.3104799999983"/>
    <n v="5849.19"/>
    <n v="4017.1204799999987"/>
    <n v="0.40715528749506769"/>
    <x v="4"/>
    <s v="Printers"/>
    <s v="Printers"/>
    <x v="1"/>
    <x v="1"/>
  </r>
  <r>
    <x v="73"/>
    <x v="58"/>
    <d v="2023-10-23T00:00:00"/>
    <x v="3"/>
    <x v="4"/>
    <x v="31"/>
    <s v="Consumer"/>
    <x v="1"/>
    <x v="15"/>
    <x v="5"/>
    <x v="73"/>
    <n v="906.81"/>
    <n v="1395.56"/>
    <n v="1395.56"/>
    <n v="0.185"/>
    <n v="0.185"/>
    <n v="6"/>
    <s v="OK"/>
    <d v="2023-10-23T00:00:00"/>
    <n v="16"/>
    <n v="6824.2884000000004"/>
    <n v="5440.86"/>
    <n v="1383.4284000000007"/>
    <n v="0.20272126834498974"/>
    <x v="4"/>
    <s v="Monitors"/>
    <s v="Monitors"/>
    <x v="1"/>
    <x v="1"/>
  </r>
  <r>
    <x v="74"/>
    <x v="59"/>
    <d v="2023-10-29T00:00:00"/>
    <x v="0"/>
    <x v="9"/>
    <x v="32"/>
    <s v="Small Business"/>
    <x v="2"/>
    <x v="8"/>
    <x v="0"/>
    <x v="74"/>
    <n v="1239.8399999999999"/>
    <n v="1482.75"/>
    <n v="1482.75"/>
    <n v="6.7000000000000004E-2"/>
    <n v="6.7000000000000004E-2"/>
    <n v="4"/>
    <s v="OK"/>
    <d v="2023-10-29T00:00:00"/>
    <n v="25"/>
    <n v="5533.6230000000005"/>
    <n v="4959.3599999999997"/>
    <n v="574.26300000000083"/>
    <n v="0.10377703721413634"/>
    <x v="4"/>
    <s v="Accessories"/>
    <s v="Accessories"/>
    <x v="1"/>
    <x v="1"/>
  </r>
  <r>
    <x v="75"/>
    <x v="60"/>
    <d v="2023-10-29T00:00:00"/>
    <x v="3"/>
    <x v="5"/>
    <x v="7"/>
    <s v="Non-Profit"/>
    <x v="0"/>
    <x v="10"/>
    <x v="4"/>
    <x v="75"/>
    <n v="1102.19"/>
    <n v="1711.16"/>
    <n v="1711.16"/>
    <n v="0.151"/>
    <n v="0.151"/>
    <n v="10"/>
    <s v="OK"/>
    <d v="2023-10-29T00:00:00"/>
    <n v="17"/>
    <n v="14527.748400000002"/>
    <n v="11021.900000000001"/>
    <n v="3505.8484000000008"/>
    <n v="0.24132083675127525"/>
    <x v="4"/>
    <s v="Phones"/>
    <s v="Phones"/>
    <x v="1"/>
    <x v="1"/>
  </r>
  <r>
    <x v="76"/>
    <x v="61"/>
    <d v="2023-11-14T00:00:00"/>
    <x v="3"/>
    <x v="4"/>
    <x v="23"/>
    <s v="Corporate"/>
    <x v="3"/>
    <x v="7"/>
    <x v="1"/>
    <x v="76"/>
    <n v="953.46"/>
    <n v="2066.75"/>
    <n v="2066.75"/>
    <n v="0.13800000000000001"/>
    <n v="0.13800000000000001"/>
    <n v="5"/>
    <s v="OK"/>
    <d v="2023-11-14T00:00:00"/>
    <n v="15"/>
    <n v="8907.6924999999992"/>
    <n v="4767.3"/>
    <n v="4140.392499999999"/>
    <n v="0.46481089238318446"/>
    <x v="4"/>
    <s v="Laptops"/>
    <s v="Laptops"/>
    <x v="1"/>
    <x v="1"/>
  </r>
  <r>
    <x v="77"/>
    <x v="50"/>
    <d v="2023-11-09T00:00:00"/>
    <x v="2"/>
    <x v="2"/>
    <x v="3"/>
    <s v="Non-Profit"/>
    <x v="0"/>
    <x v="5"/>
    <x v="0"/>
    <x v="77"/>
    <n v="1142.48"/>
    <n v="2105.5300000000002"/>
    <n v="2105.5300000000002"/>
    <n v="0.20699999999999999"/>
    <n v="0.20699999999999999"/>
    <n v="14"/>
    <s v="OK"/>
    <d v="2023-11-09T00:00:00"/>
    <n v="19"/>
    <n v="23375.594060000003"/>
    <n v="15994.720000000001"/>
    <n v="7380.8740600000019"/>
    <n v="0.31575129346680658"/>
    <x v="4"/>
    <s v="Accessories"/>
    <s v="Accessories"/>
    <x v="0"/>
    <x v="1"/>
  </r>
  <r>
    <x v="78"/>
    <x v="54"/>
    <d v="2023-10-26T00:00:00"/>
    <x v="3"/>
    <x v="7"/>
    <x v="20"/>
    <s v="Consumer"/>
    <x v="4"/>
    <x v="6"/>
    <x v="6"/>
    <x v="78"/>
    <n v="1132.03"/>
    <n v="2137.21"/>
    <n v="2137.21"/>
    <n v="0.35699999999999998"/>
    <n v="0.3"/>
    <n v="35"/>
    <s v="OK"/>
    <d v="2023-10-26T00:00:00"/>
    <n v="17"/>
    <n v="52361.645000000004"/>
    <n v="39621.049999999996"/>
    <n v="12740.595000000008"/>
    <n v="0.24331922727026639"/>
    <x v="4"/>
    <s v="Components"/>
    <s v="Components"/>
    <x v="0"/>
    <x v="1"/>
  </r>
  <r>
    <x v="79"/>
    <x v="57"/>
    <d v="2023-10-06T00:00:00"/>
    <x v="3"/>
    <x v="4"/>
    <x v="23"/>
    <s v="Non-Profit"/>
    <x v="3"/>
    <x v="13"/>
    <x v="6"/>
    <x v="79"/>
    <n v="1470.26"/>
    <n v="2562.5500000000002"/>
    <n v="2562.5500000000002"/>
    <n v="0.17299999999999999"/>
    <n v="0.17299999999999999"/>
    <n v="9"/>
    <s v="OK"/>
    <d v="2023-10-06T00:00:00"/>
    <n v="1"/>
    <n v="19073.059649999999"/>
    <n v="13232.34"/>
    <n v="5840.7196499999991"/>
    <n v="0.30622877279157462"/>
    <x v="4"/>
    <s v="Components"/>
    <s v="Components"/>
    <x v="1"/>
    <x v="0"/>
  </r>
  <r>
    <x v="80"/>
    <x v="62"/>
    <d v="2023-11-16T00:00:00"/>
    <x v="0"/>
    <x v="3"/>
    <x v="4"/>
    <s v="Small Business"/>
    <x v="4"/>
    <x v="13"/>
    <x v="1"/>
    <x v="80"/>
    <n v="1373.31"/>
    <n v="3154.14"/>
    <n v="3154.14"/>
    <n v="0.2"/>
    <n v="0.2"/>
    <n v="11"/>
    <s v="OK"/>
    <d v="2023-11-16T00:00:00"/>
    <n v="25"/>
    <n v="27756.432000000001"/>
    <n v="15106.41"/>
    <n v="12650.022000000001"/>
    <n v="0.45575101295440279"/>
    <x v="4"/>
    <s v="Laptops"/>
    <s v="Laptops"/>
    <x v="1"/>
    <x v="1"/>
  </r>
  <r>
    <x v="81"/>
    <x v="63"/>
    <d v="2024-11-26T00:00:00"/>
    <x v="0"/>
    <x v="0"/>
    <x v="0"/>
    <s v="Non-Profit"/>
    <x v="2"/>
    <x v="2"/>
    <x v="3"/>
    <x v="81"/>
    <n v="55.35"/>
    <n v="128.68"/>
    <n v="128.68"/>
    <n v="0.128"/>
    <n v="0.128"/>
    <n v="10"/>
    <s v="OK"/>
    <d v="2024-11-26T00:00:00"/>
    <n v="19"/>
    <n v="1122.0896000000002"/>
    <n v="553.5"/>
    <n v="568.58960000000025"/>
    <n v="0.50672388372550647"/>
    <x v="3"/>
    <s v="Printers"/>
    <s v="Printers"/>
    <x v="1"/>
    <x v="1"/>
  </r>
  <r>
    <x v="82"/>
    <x v="64"/>
    <d v="2024-12-30T00:00:00"/>
    <x v="2"/>
    <x v="10"/>
    <x v="33"/>
    <s v="Consumer"/>
    <x v="4"/>
    <x v="7"/>
    <x v="3"/>
    <x v="82"/>
    <n v="117.64"/>
    <n v="175.67"/>
    <n v="175.67"/>
    <n v="0"/>
    <n v="0"/>
    <n v="10"/>
    <s v="OK"/>
    <d v="2024-12-30T00:00:00"/>
    <n v="30"/>
    <n v="1756.6999999999998"/>
    <n v="1176.4000000000001"/>
    <n v="580.29999999999973"/>
    <n v="0.33033528775545046"/>
    <x v="3"/>
    <s v="Printers"/>
    <s v="Printers"/>
    <x v="1"/>
    <x v="1"/>
  </r>
  <r>
    <x v="83"/>
    <x v="65"/>
    <d v="2024-12-24T00:00:00"/>
    <x v="1"/>
    <x v="1"/>
    <x v="5"/>
    <s v="Corporate"/>
    <x v="2"/>
    <x v="12"/>
    <x v="3"/>
    <x v="83"/>
    <n v="143.33000000000001"/>
    <n v="233.51"/>
    <n v="233.51"/>
    <n v="0.16300000000000001"/>
    <n v="0.16300000000000001"/>
    <n v="14"/>
    <s v="OK"/>
    <d v="2024-12-24T00:00:00"/>
    <n v="27"/>
    <n v="2736.27018"/>
    <n v="2006.6200000000001"/>
    <n v="729.65017999999986"/>
    <n v="0.26665867476580835"/>
    <x v="3"/>
    <s v="Printers"/>
    <s v="Printers"/>
    <x v="1"/>
    <x v="1"/>
  </r>
  <r>
    <x v="84"/>
    <x v="66"/>
    <d v="2024-11-24T00:00:00"/>
    <x v="2"/>
    <x v="2"/>
    <x v="3"/>
    <s v="Corporate"/>
    <x v="1"/>
    <x v="11"/>
    <x v="2"/>
    <x v="84"/>
    <n v="164.53"/>
    <n v="327.72"/>
    <n v="327.72"/>
    <n v="6.7000000000000004E-2"/>
    <n v="6.7000000000000004E-2"/>
    <n v="14"/>
    <s v="OK"/>
    <d v="2024-11-24T00:00:00"/>
    <n v="13"/>
    <n v="4280.6786400000001"/>
    <n v="2303.42"/>
    <n v="1977.25864"/>
    <n v="0.46190307805960412"/>
    <x v="3"/>
    <s v="Networking"/>
    <s v="Networking"/>
    <x v="1"/>
    <x v="1"/>
  </r>
  <r>
    <x v="85"/>
    <x v="67"/>
    <d v="2024-12-07T00:00:00"/>
    <x v="3"/>
    <x v="7"/>
    <x v="20"/>
    <s v="Corporate"/>
    <x v="2"/>
    <x v="5"/>
    <x v="0"/>
    <x v="85"/>
    <n v="769.9"/>
    <n v="814.36"/>
    <n v="814.36"/>
    <n v="0"/>
    <n v="0"/>
    <n v="5"/>
    <s v="OK"/>
    <d v="2024-12-07T00:00:00"/>
    <n v="12"/>
    <n v="4071.8"/>
    <n v="3849.5"/>
    <n v="222.30000000000018"/>
    <n v="5.4595019401738831E-2"/>
    <x v="3"/>
    <s v="Accessories"/>
    <s v="Accessories"/>
    <x v="1"/>
    <x v="1"/>
  </r>
  <r>
    <x v="86"/>
    <x v="64"/>
    <d v="2024-12-10T00:00:00"/>
    <x v="3"/>
    <x v="4"/>
    <x v="31"/>
    <s v="Small Business"/>
    <x v="1"/>
    <x v="7"/>
    <x v="0"/>
    <x v="86"/>
    <n v="851.49"/>
    <n v="901.79"/>
    <n v="901.79"/>
    <n v="0.245"/>
    <n v="0.245"/>
    <n v="16"/>
    <s v="OK"/>
    <d v="2024-12-10T00:00:00"/>
    <n v="10"/>
    <n v="10893.6232"/>
    <n v="13623.84"/>
    <n v="-2730.2168000000001"/>
    <n v="-0.25062522816100341"/>
    <x v="3"/>
    <s v="Accessories"/>
    <s v="Accessories"/>
    <x v="0"/>
    <x v="1"/>
  </r>
  <r>
    <x v="87"/>
    <x v="68"/>
    <d v="2024-11-08T00:00:00"/>
    <x v="1"/>
    <x v="1"/>
    <x v="22"/>
    <s v="Enterprise"/>
    <x v="4"/>
    <x v="4"/>
    <x v="2"/>
    <x v="87"/>
    <n v="803.28"/>
    <n v="1009"/>
    <n v="1009"/>
    <n v="0.11"/>
    <n v="0.11"/>
    <n v="4"/>
    <s v="OK"/>
    <d v="2024-11-08T00:00:00"/>
    <n v="0"/>
    <n v="3592.04"/>
    <n v="3213.12"/>
    <n v="378.92000000000007"/>
    <n v="0.10548880302001093"/>
    <x v="3"/>
    <s v="Networking"/>
    <s v="Networking"/>
    <x v="1"/>
    <x v="0"/>
  </r>
  <r>
    <x v="88"/>
    <x v="69"/>
    <d v="2024-11-08T00:00:00"/>
    <x v="0"/>
    <x v="3"/>
    <x v="4"/>
    <s v="Education"/>
    <x v="4"/>
    <x v="8"/>
    <x v="6"/>
    <x v="88"/>
    <n v="1020.4"/>
    <n v="1184.71"/>
    <n v="1184.71"/>
    <n v="0.106"/>
    <n v="0.106"/>
    <n v="16"/>
    <s v="OK"/>
    <d v="2024-11-08T00:00:00"/>
    <n v="3"/>
    <n v="16946.091840000001"/>
    <n v="16326.4"/>
    <n v="619.69184000000132"/>
    <n v="3.6568422138328345E-2"/>
    <x v="3"/>
    <s v="Components"/>
    <s v="Components"/>
    <x v="1"/>
    <x v="0"/>
  </r>
  <r>
    <x v="89"/>
    <x v="70"/>
    <d v="2024-11-12T00:00:00"/>
    <x v="2"/>
    <x v="11"/>
    <x v="34"/>
    <s v="Consumer"/>
    <x v="3"/>
    <x v="12"/>
    <x v="3"/>
    <x v="89"/>
    <n v="599.84"/>
    <n v="1330.85"/>
    <n v="1330.85"/>
    <n v="0.115"/>
    <n v="0.115"/>
    <n v="11"/>
    <s v="OK"/>
    <d v="2024-11-12T00:00:00"/>
    <n v="11"/>
    <n v="12955.824749999998"/>
    <n v="6598.2400000000007"/>
    <n v="6357.5847499999973"/>
    <n v="0.49071246892252063"/>
    <x v="3"/>
    <s v="Printers"/>
    <s v="Printers"/>
    <x v="1"/>
    <x v="1"/>
  </r>
  <r>
    <x v="90"/>
    <x v="71"/>
    <d v="2024-11-29T00:00:00"/>
    <x v="0"/>
    <x v="0"/>
    <x v="1"/>
    <s v="Small Business"/>
    <x v="0"/>
    <x v="13"/>
    <x v="2"/>
    <x v="90"/>
    <n v="1363.51"/>
    <n v="1433.9"/>
    <n v="1433.9"/>
    <n v="5.7000000000000002E-2"/>
    <n v="5.7000000000000002E-2"/>
    <n v="8"/>
    <s v="OK"/>
    <d v="2024-11-29T00:00:00"/>
    <n v="27"/>
    <n v="10817.3416"/>
    <n v="10908.08"/>
    <n v="-90.738400000000183"/>
    <n v="-8.3882346842037592E-3"/>
    <x v="3"/>
    <s v="Networking"/>
    <s v="Networking"/>
    <x v="1"/>
    <x v="1"/>
  </r>
  <r>
    <x v="91"/>
    <x v="72"/>
    <d v="2024-11-05T00:00:00"/>
    <x v="2"/>
    <x v="2"/>
    <x v="3"/>
    <s v="Corporate"/>
    <x v="1"/>
    <x v="4"/>
    <x v="3"/>
    <x v="91"/>
    <n v="840.68"/>
    <n v="1493.53"/>
    <n v="1493.53"/>
    <n v="0"/>
    <n v="0"/>
    <n v="27"/>
    <s v="OK"/>
    <d v="2024-11-05T00:00:00"/>
    <n v="1"/>
    <n v="40325.31"/>
    <n v="22698.359999999997"/>
    <n v="17626.95"/>
    <n v="0.43711877230454027"/>
    <x v="3"/>
    <s v="Printers"/>
    <s v="Printers"/>
    <x v="1"/>
    <x v="0"/>
  </r>
  <r>
    <x v="92"/>
    <x v="72"/>
    <d v="2024-11-07T00:00:00"/>
    <x v="2"/>
    <x v="10"/>
    <x v="24"/>
    <s v="Corporate"/>
    <x v="3"/>
    <x v="8"/>
    <x v="5"/>
    <x v="92"/>
    <n v="740.68"/>
    <n v="1837.19"/>
    <n v="1837.19"/>
    <n v="0.19700000000000001"/>
    <n v="0.19700000000000001"/>
    <n v="17"/>
    <s v="OK"/>
    <d v="2024-11-07T00:00:00"/>
    <n v="3"/>
    <n v="25079.480689999997"/>
    <n v="12591.56"/>
    <n v="12487.920689999997"/>
    <n v="0.4979337827748298"/>
    <x v="3"/>
    <s v="Monitors"/>
    <s v="Monitors"/>
    <x v="1"/>
    <x v="0"/>
  </r>
  <r>
    <x v="93"/>
    <x v="64"/>
    <d v="2024-12-19T00:00:00"/>
    <x v="1"/>
    <x v="1"/>
    <x v="16"/>
    <s v="Corporate"/>
    <x v="3"/>
    <x v="0"/>
    <x v="4"/>
    <x v="93"/>
    <n v="1195.98"/>
    <n v="1841.9"/>
    <n v="1841.9"/>
    <n v="5.5E-2"/>
    <n v="5.5E-2"/>
    <n v="19"/>
    <s v="OK"/>
    <d v="2024-12-19T00:00:00"/>
    <n v="19"/>
    <n v="33071.3145"/>
    <n v="22723.62"/>
    <n v="10347.694500000001"/>
    <n v="0.31289032977506842"/>
    <x v="3"/>
    <s v="Phones"/>
    <s v="Phones"/>
    <x v="1"/>
    <x v="1"/>
  </r>
  <r>
    <x v="94"/>
    <x v="73"/>
    <d v="2024-12-15T00:00:00"/>
    <x v="2"/>
    <x v="10"/>
    <x v="29"/>
    <s v="Corporate"/>
    <x v="3"/>
    <x v="15"/>
    <x v="3"/>
    <x v="94"/>
    <n v="1203.58"/>
    <n v="1856.16"/>
    <n v="1856.16"/>
    <n v="0.129"/>
    <n v="0.129"/>
    <n v="22"/>
    <s v="OK"/>
    <d v="2024-12-15T00:00:00"/>
    <n v="25"/>
    <n v="35567.737920000007"/>
    <n v="26478.76"/>
    <n v="9088.9779200000085"/>
    <n v="0.25553994860295032"/>
    <x v="3"/>
    <s v="Printers"/>
    <s v="Printers"/>
    <x v="1"/>
    <x v="1"/>
  </r>
  <r>
    <x v="95"/>
    <x v="74"/>
    <d v="2024-11-21T00:00:00"/>
    <x v="3"/>
    <x v="4"/>
    <x v="19"/>
    <s v="Corporate"/>
    <x v="0"/>
    <x v="10"/>
    <x v="1"/>
    <x v="95"/>
    <n v="903.41"/>
    <n v="1860.41"/>
    <n v="1860.41"/>
    <n v="0.108"/>
    <n v="0.108"/>
    <n v="5"/>
    <s v="OK"/>
    <d v="2024-11-21T00:00:00"/>
    <n v="9"/>
    <n v="8297.4286000000011"/>
    <n v="4517.05"/>
    <n v="3780.3786000000009"/>
    <n v="0.455608451996803"/>
    <x v="3"/>
    <s v="Laptops"/>
    <s v="Laptops"/>
    <x v="1"/>
    <x v="1"/>
  </r>
  <r>
    <x v="96"/>
    <x v="71"/>
    <d v="2024-11-18T00:00:00"/>
    <x v="3"/>
    <x v="4"/>
    <x v="19"/>
    <s v="Small Business"/>
    <x v="2"/>
    <x v="8"/>
    <x v="5"/>
    <x v="96"/>
    <n v="1233.58"/>
    <n v="1912.51"/>
    <n v="1912.51"/>
    <n v="0.255"/>
    <n v="0.255"/>
    <n v="51"/>
    <s v="OK"/>
    <d v="2024-11-18T00:00:00"/>
    <n v="16"/>
    <n v="72665.817450000002"/>
    <n v="62912.579999999994"/>
    <n v="9753.2374500000078"/>
    <n v="0.134220432553601"/>
    <x v="3"/>
    <s v="Monitors"/>
    <s v="Monitors"/>
    <x v="0"/>
    <x v="1"/>
  </r>
  <r>
    <x v="97"/>
    <x v="75"/>
    <d v="2024-12-21T00:00:00"/>
    <x v="2"/>
    <x v="10"/>
    <x v="33"/>
    <s v="Small Business"/>
    <x v="0"/>
    <x v="13"/>
    <x v="5"/>
    <x v="97"/>
    <n v="1122.68"/>
    <n v="1997.19"/>
    <n v="1997.19"/>
    <n v="0.186"/>
    <n v="0.186"/>
    <n v="3"/>
    <s v="OK"/>
    <d v="2024-12-21T00:00:00"/>
    <n v="30"/>
    <n v="4877.1379800000004"/>
    <n v="3368.04"/>
    <n v="1509.0979800000005"/>
    <n v="0.30942285951073306"/>
    <x v="3"/>
    <s v="Monitors"/>
    <s v="Monitors"/>
    <x v="1"/>
    <x v="1"/>
  </r>
  <r>
    <x v="98"/>
    <x v="76"/>
    <d v="2024-11-28T00:00:00"/>
    <x v="0"/>
    <x v="3"/>
    <x v="25"/>
    <s v="Consumer"/>
    <x v="2"/>
    <x v="5"/>
    <x v="3"/>
    <x v="98"/>
    <n v="1008.16"/>
    <n v="2077.5"/>
    <n v="2077.5"/>
    <n v="7.3999999999999996E-2"/>
    <n v="7.3999999999999996E-2"/>
    <n v="15"/>
    <s v="OK"/>
    <d v="2024-11-28T00:00:00"/>
    <n v="11"/>
    <n v="28856.475000000002"/>
    <n v="15122.4"/>
    <n v="13734.075000000003"/>
    <n v="0.47594430712691005"/>
    <x v="3"/>
    <s v="Printers"/>
    <s v="Printers"/>
    <x v="1"/>
    <x v="1"/>
  </r>
  <r>
    <x v="99"/>
    <x v="77"/>
    <d v="2024-11-22T00:00:00"/>
    <x v="0"/>
    <x v="3"/>
    <x v="4"/>
    <s v="Non-Profit"/>
    <x v="2"/>
    <x v="9"/>
    <x v="0"/>
    <x v="99"/>
    <n v="1454.11"/>
    <n v="2629.75"/>
    <n v="2629.75"/>
    <n v="0.29199999999999998"/>
    <n v="0.29199999999999998"/>
    <n v="8"/>
    <s v="OK"/>
    <d v="2024-11-22T00:00:00"/>
    <n v="16"/>
    <n v="14894.903999999999"/>
    <n v="11632.88"/>
    <n v="3262.0239999999994"/>
    <n v="0.21900268709351867"/>
    <x v="3"/>
    <s v="Accessories"/>
    <s v="Accessories"/>
    <x v="0"/>
    <x v="1"/>
  </r>
  <r>
    <x v="100"/>
    <x v="78"/>
    <d v="2024-12-15T00:00:00"/>
    <x v="1"/>
    <x v="1"/>
    <x v="5"/>
    <s v="Non-Profit"/>
    <x v="2"/>
    <x v="6"/>
    <x v="6"/>
    <x v="100"/>
    <n v="1335.76"/>
    <n v="2665.91"/>
    <n v="2665.91"/>
    <n v="0.21099999999999999"/>
    <n v="0.21099999999999999"/>
    <n v="40"/>
    <s v="OK"/>
    <d v="2024-12-15T00:00:00"/>
    <n v="23"/>
    <n v="84136.119600000005"/>
    <n v="53430.400000000001"/>
    <n v="30705.719600000004"/>
    <n v="0.36495288522909253"/>
    <x v="3"/>
    <s v="Components"/>
    <s v="Components"/>
    <x v="0"/>
    <x v="1"/>
  </r>
  <r>
    <x v="101"/>
    <x v="79"/>
    <d v="2023-12-05T00:00:00"/>
    <x v="3"/>
    <x v="5"/>
    <x v="8"/>
    <s v="Enterprise"/>
    <x v="1"/>
    <x v="0"/>
    <x v="2"/>
    <x v="101"/>
    <n v="354.24"/>
    <n v="249.87"/>
    <n v="249.87"/>
    <n v="0"/>
    <n v="0"/>
    <n v="6"/>
    <s v="OK"/>
    <d v="2023-12-05T00:00:00"/>
    <n v="15"/>
    <n v="1499.22"/>
    <n v="2125.44"/>
    <n v="-626.22"/>
    <n v="-0.41769720254532355"/>
    <x v="4"/>
    <s v="Networking"/>
    <s v="Networking"/>
    <x v="1"/>
    <x v="1"/>
  </r>
  <r>
    <x v="102"/>
    <x v="80"/>
    <d v="2023-12-10T00:00:00"/>
    <x v="2"/>
    <x v="11"/>
    <x v="35"/>
    <s v="Small Business"/>
    <x v="0"/>
    <x v="7"/>
    <x v="1"/>
    <x v="102"/>
    <n v="174.74"/>
    <n v="415.96"/>
    <n v="415.96"/>
    <n v="0.125"/>
    <n v="0.125"/>
    <n v="21"/>
    <s v="OK"/>
    <d v="2023-12-10T00:00:00"/>
    <n v="10"/>
    <n v="7643.2649999999994"/>
    <n v="3669.54"/>
    <n v="3973.7249999999995"/>
    <n v="0.51989889137691803"/>
    <x v="4"/>
    <s v="Laptops"/>
    <s v="Laptops"/>
    <x v="1"/>
    <x v="1"/>
  </r>
  <r>
    <x v="103"/>
    <x v="80"/>
    <d v="2023-11-29T00:00:00"/>
    <x v="1"/>
    <x v="6"/>
    <x v="10"/>
    <s v="Small Business"/>
    <x v="4"/>
    <x v="11"/>
    <x v="1"/>
    <x v="103"/>
    <n v="275.56"/>
    <n v="630.72"/>
    <n v="630.72"/>
    <n v="0.107"/>
    <n v="0.107"/>
    <n v="23"/>
    <s v="Correct"/>
    <d v="2023-12-07T00:00:00"/>
    <n v="7"/>
    <n v="12954.358080000002"/>
    <n v="6337.88"/>
    <n v="6616.4780800000017"/>
    <n v="0.5107530638831933"/>
    <x v="4"/>
    <s v="Laptops"/>
    <s v="Laptops"/>
    <x v="1"/>
    <x v="0"/>
  </r>
  <r>
    <x v="104"/>
    <x v="81"/>
    <d v="2023-11-28T00:00:00"/>
    <x v="0"/>
    <x v="0"/>
    <x v="1"/>
    <s v="Education"/>
    <x v="4"/>
    <x v="0"/>
    <x v="0"/>
    <x v="104"/>
    <n v="388.51"/>
    <n v="776.46"/>
    <n v="776.46"/>
    <n v="0.157"/>
    <n v="0.157"/>
    <n v="12"/>
    <s v="OK"/>
    <d v="2023-11-28T00:00:00"/>
    <n v="18"/>
    <n v="7854.6693599999999"/>
    <n v="4662.12"/>
    <n v="3192.54936"/>
    <n v="0.40645241876864946"/>
    <x v="4"/>
    <s v="Accessories"/>
    <s v="Accessories"/>
    <x v="1"/>
    <x v="1"/>
  </r>
  <r>
    <x v="105"/>
    <x v="82"/>
    <d v="2023-12-07T00:00:00"/>
    <x v="3"/>
    <x v="4"/>
    <x v="6"/>
    <s v="Enterprise"/>
    <x v="4"/>
    <x v="0"/>
    <x v="4"/>
    <x v="105"/>
    <n v="699.33"/>
    <n v="873.75"/>
    <n v="873.75"/>
    <n v="0.23499999999999999"/>
    <n v="0.23499999999999999"/>
    <n v="10"/>
    <s v="OK"/>
    <d v="2023-12-07T00:00:00"/>
    <n v="9"/>
    <n v="6684.1875"/>
    <n v="6993.3"/>
    <n v="-309.11250000000018"/>
    <n v="-4.6245336475076469E-2"/>
    <x v="4"/>
    <s v="Phones"/>
    <s v="Phones"/>
    <x v="0"/>
    <x v="1"/>
  </r>
  <r>
    <x v="106"/>
    <x v="83"/>
    <d v="2023-12-06T00:00:00"/>
    <x v="2"/>
    <x v="2"/>
    <x v="26"/>
    <s v="Education"/>
    <x v="0"/>
    <x v="10"/>
    <x v="0"/>
    <x v="106"/>
    <n v="1184.99"/>
    <n v="1154.3399999999999"/>
    <n v="1154.3399999999999"/>
    <n v="2.8000000000000001E-2"/>
    <n v="2.8000000000000001E-2"/>
    <n v="5"/>
    <s v="OK"/>
    <d v="2023-12-06T00:00:00"/>
    <n v="21"/>
    <n v="5610.0923999999995"/>
    <n v="5924.95"/>
    <n v="-314.85760000000028"/>
    <n v="-5.6123424990290764E-2"/>
    <x v="4"/>
    <s v="Accessories"/>
    <s v="Accessories"/>
    <x v="1"/>
    <x v="1"/>
  </r>
  <r>
    <x v="107"/>
    <x v="84"/>
    <d v="2023-11-30T00:00:00"/>
    <x v="0"/>
    <x v="0"/>
    <x v="17"/>
    <s v="Enterprise"/>
    <x v="0"/>
    <x v="1"/>
    <x v="2"/>
    <x v="107"/>
    <n v="1017.92"/>
    <n v="1175.25"/>
    <n v="1175.25"/>
    <n v="7.4999999999999997E-2"/>
    <n v="7.4999999999999997E-2"/>
    <n v="15"/>
    <s v="OK"/>
    <d v="2023-11-30T00:00:00"/>
    <n v="16"/>
    <n v="16306.59375"/>
    <n v="15268.8"/>
    <n v="1037.7937500000007"/>
    <n v="6.3642583234159542E-2"/>
    <x v="4"/>
    <s v="Networking"/>
    <s v="Networking"/>
    <x v="1"/>
    <x v="1"/>
  </r>
  <r>
    <x v="108"/>
    <x v="85"/>
    <d v="2023-12-19T00:00:00"/>
    <x v="3"/>
    <x v="5"/>
    <x v="7"/>
    <s v="Consumer"/>
    <x v="1"/>
    <x v="14"/>
    <x v="4"/>
    <x v="108"/>
    <n v="807.11"/>
    <n v="1853.86"/>
    <n v="1853.86"/>
    <n v="0.13900000000000001"/>
    <n v="0.13900000000000001"/>
    <n v="8"/>
    <s v="OK"/>
    <d v="2023-12-19T00:00:00"/>
    <n v="30"/>
    <n v="12769.38768"/>
    <n v="6456.88"/>
    <n v="6312.5076799999997"/>
    <n v="0.49434693645388639"/>
    <x v="4"/>
    <s v="Phones"/>
    <s v="Phones"/>
    <x v="1"/>
    <x v="1"/>
  </r>
  <r>
    <x v="109"/>
    <x v="85"/>
    <d v="2023-12-12T00:00:00"/>
    <x v="3"/>
    <x v="4"/>
    <x v="6"/>
    <s v="Small Business"/>
    <x v="0"/>
    <x v="6"/>
    <x v="2"/>
    <x v="109"/>
    <n v="1349.04"/>
    <n v="2636.6"/>
    <n v="2636.6"/>
    <n v="0.114"/>
    <n v="0.114"/>
    <n v="14"/>
    <s v="OK"/>
    <d v="2023-12-12T00:00:00"/>
    <n v="23"/>
    <n v="32704.386400000003"/>
    <n v="18886.559999999998"/>
    <n v="13817.826400000005"/>
    <n v="0.42250682312143928"/>
    <x v="4"/>
    <s v="Networking"/>
    <s v="Networking"/>
    <x v="1"/>
    <x v="1"/>
  </r>
  <r>
    <x v="110"/>
    <x v="85"/>
    <d v="2023-12-13T00:00:00"/>
    <x v="2"/>
    <x v="10"/>
    <x v="24"/>
    <s v="Non-Profit"/>
    <x v="0"/>
    <x v="10"/>
    <x v="5"/>
    <x v="110"/>
    <n v="1297.42"/>
    <n v="2742.97"/>
    <n v="2742.97"/>
    <n v="6.9000000000000006E-2"/>
    <n v="6.9000000000000006E-2"/>
    <n v="9"/>
    <s v="OK"/>
    <d v="2023-12-13T00:00:00"/>
    <n v="24"/>
    <n v="22983.34563"/>
    <n v="11676.78"/>
    <n v="11306.565629999999"/>
    <n v="0.49194602961727291"/>
    <x v="4"/>
    <s v="Monitors"/>
    <s v="Monitors"/>
    <x v="1"/>
    <x v="1"/>
  </r>
  <r>
    <x v="111"/>
    <x v="86"/>
    <d v="2025-05-30T00:00:00"/>
    <x v="1"/>
    <x v="8"/>
    <x v="12"/>
    <s v="Consumer"/>
    <x v="2"/>
    <x v="7"/>
    <x v="0"/>
    <x v="111"/>
    <n v="66.400000000000006"/>
    <n v="141.43"/>
    <n v="141.43"/>
    <n v="0.107"/>
    <n v="0.107"/>
    <n v="8"/>
    <s v="OK"/>
    <d v="2025-05-30T00:00:00"/>
    <n v="13"/>
    <n v="1010.3759200000001"/>
    <n v="531.20000000000005"/>
    <n v="479.17592000000002"/>
    <n v="0.47425508715607551"/>
    <x v="5"/>
    <s v="Accessories"/>
    <s v="Accessories"/>
    <x v="1"/>
    <x v="1"/>
  </r>
  <r>
    <x v="112"/>
    <x v="87"/>
    <d v="2025-05-24T00:00:00"/>
    <x v="2"/>
    <x v="10"/>
    <x v="29"/>
    <s v="Small Business"/>
    <x v="4"/>
    <x v="1"/>
    <x v="6"/>
    <x v="112"/>
    <n v="170.39"/>
    <n v="388.04"/>
    <n v="388.04"/>
    <n v="8.4000000000000005E-2"/>
    <n v="8.4000000000000005E-2"/>
    <n v="15"/>
    <s v="OK"/>
    <d v="2025-05-24T00:00:00"/>
    <n v="10"/>
    <n v="5331.6696000000002"/>
    <n v="2555.85"/>
    <n v="2775.8196000000003"/>
    <n v="0.52062858508711796"/>
    <x v="5"/>
    <s v="Components"/>
    <s v="Components"/>
    <x v="1"/>
    <x v="1"/>
  </r>
  <r>
    <x v="113"/>
    <x v="88"/>
    <d v="2025-06-09T00:00:00"/>
    <x v="0"/>
    <x v="9"/>
    <x v="21"/>
    <s v="Consumer"/>
    <x v="1"/>
    <x v="10"/>
    <x v="2"/>
    <x v="113"/>
    <n v="382.96"/>
    <n v="552.84"/>
    <n v="552.84"/>
    <n v="0.17599999999999999"/>
    <n v="0.17599999999999999"/>
    <n v="8"/>
    <s v="OK"/>
    <d v="2025-06-09T00:00:00"/>
    <n v="22"/>
    <n v="3644.3212800000006"/>
    <n v="3063.68"/>
    <n v="580.64128000000073"/>
    <n v="0.15932768693763483"/>
    <x v="5"/>
    <s v="Networking"/>
    <s v="Networking"/>
    <x v="1"/>
    <x v="1"/>
  </r>
  <r>
    <x v="114"/>
    <x v="89"/>
    <d v="2025-05-26T00:00:00"/>
    <x v="3"/>
    <x v="4"/>
    <x v="31"/>
    <s v="Corporate"/>
    <x v="4"/>
    <x v="15"/>
    <x v="3"/>
    <x v="114"/>
    <n v="320.12"/>
    <n v="594.41999999999996"/>
    <n v="594.41999999999996"/>
    <n v="0.104"/>
    <n v="0.104"/>
    <n v="18"/>
    <s v="OK"/>
    <d v="2025-05-26T00:00:00"/>
    <n v="14"/>
    <n v="9586.8057599999993"/>
    <n v="5762.16"/>
    <n v="3824.6457599999994"/>
    <n v="0.39894891538931104"/>
    <x v="5"/>
    <s v="Printers"/>
    <s v="Printers"/>
    <x v="1"/>
    <x v="1"/>
  </r>
  <r>
    <x v="115"/>
    <x v="90"/>
    <d v="2025-06-08T00:00:00"/>
    <x v="3"/>
    <x v="5"/>
    <x v="9"/>
    <s v="Corporate"/>
    <x v="1"/>
    <x v="10"/>
    <x v="0"/>
    <x v="115"/>
    <n v="653.6"/>
    <n v="842.09"/>
    <n v="842.09"/>
    <n v="9.8000000000000004E-2"/>
    <n v="9.8000000000000004E-2"/>
    <n v="19"/>
    <s v="OK"/>
    <d v="2025-06-08T00:00:00"/>
    <n v="12"/>
    <n v="14431.738420000001"/>
    <n v="12418.4"/>
    <n v="2013.3384200000019"/>
    <n v="0.13950768517324622"/>
    <x v="5"/>
    <s v="Accessories"/>
    <s v="Accessories"/>
    <x v="1"/>
    <x v="1"/>
  </r>
  <r>
    <x v="116"/>
    <x v="91"/>
    <d v="2025-05-17T00:00:00"/>
    <x v="0"/>
    <x v="0"/>
    <x v="17"/>
    <s v="Small Business"/>
    <x v="2"/>
    <x v="0"/>
    <x v="5"/>
    <x v="116"/>
    <n v="383.77"/>
    <n v="952.56"/>
    <n v="952.56"/>
    <n v="0.34599999999999997"/>
    <n v="0.3"/>
    <n v="10"/>
    <s v="Correct"/>
    <d v="2025-05-26T00:00:00"/>
    <n v="7"/>
    <n v="6667.9199999999983"/>
    <n v="3837.7"/>
    <n v="2830.2199999999984"/>
    <n v="0.42445320279787385"/>
    <x v="5"/>
    <s v="Monitors"/>
    <s v="Monitors"/>
    <x v="0"/>
    <x v="0"/>
  </r>
  <r>
    <x v="117"/>
    <x v="86"/>
    <d v="2025-05-28T00:00:00"/>
    <x v="3"/>
    <x v="4"/>
    <x v="23"/>
    <s v="Corporate"/>
    <x v="2"/>
    <x v="12"/>
    <x v="1"/>
    <x v="117"/>
    <n v="623.4"/>
    <n v="1100.0899999999999"/>
    <n v="1100.0899999999999"/>
    <n v="0.114"/>
    <n v="0.114"/>
    <n v="12"/>
    <s v="OK"/>
    <d v="2025-05-28T00:00:00"/>
    <n v="11"/>
    <n v="11696.156879999999"/>
    <n v="7480.7999999999993"/>
    <n v="4215.3568799999994"/>
    <n v="0.36040529579490388"/>
    <x v="5"/>
    <s v="Laptops"/>
    <s v="Laptops"/>
    <x v="1"/>
    <x v="1"/>
  </r>
  <r>
    <x v="118"/>
    <x v="92"/>
    <d v="2025-06-20T00:00:00"/>
    <x v="2"/>
    <x v="11"/>
    <x v="36"/>
    <s v="Corporate"/>
    <x v="0"/>
    <x v="5"/>
    <x v="3"/>
    <x v="118"/>
    <n v="483.47"/>
    <n v="1135.43"/>
    <n v="1135.43"/>
    <n v="0.14599999999999999"/>
    <n v="0.14599999999999999"/>
    <n v="11"/>
    <s v="OK"/>
    <d v="2025-06-20T00:00:00"/>
    <n v="22"/>
    <n v="10666.229420000001"/>
    <n v="5318.17"/>
    <n v="5348.0594200000014"/>
    <n v="0.50140112399719983"/>
    <x v="5"/>
    <s v="Printers"/>
    <s v="Printers"/>
    <x v="1"/>
    <x v="1"/>
  </r>
  <r>
    <x v="119"/>
    <x v="93"/>
    <d v="2025-05-27T00:00:00"/>
    <x v="3"/>
    <x v="7"/>
    <x v="11"/>
    <s v="Enterprise"/>
    <x v="3"/>
    <x v="7"/>
    <x v="4"/>
    <x v="119"/>
    <n v="918.12"/>
    <n v="1337.69"/>
    <n v="1337.69"/>
    <n v="9.5000000000000001E-2"/>
    <n v="9.5000000000000001E-2"/>
    <n v="8"/>
    <s v="OK"/>
    <d v="2025-05-27T00:00:00"/>
    <n v="11"/>
    <n v="9684.8756000000012"/>
    <n v="7344.96"/>
    <n v="2339.9156000000012"/>
    <n v="0.24160512707050164"/>
    <x v="5"/>
    <s v="Phones"/>
    <s v="Phones"/>
    <x v="1"/>
    <x v="1"/>
  </r>
  <r>
    <x v="120"/>
    <x v="94"/>
    <d v="2025-05-27T00:00:00"/>
    <x v="0"/>
    <x v="3"/>
    <x v="18"/>
    <s v="Education"/>
    <x v="0"/>
    <x v="6"/>
    <x v="6"/>
    <x v="120"/>
    <n v="862.89"/>
    <n v="1426.03"/>
    <n v="1426.03"/>
    <n v="5.6000000000000001E-2"/>
    <n v="5.6000000000000001E-2"/>
    <n v="19"/>
    <s v="OK"/>
    <d v="2025-05-27T00:00:00"/>
    <n v="17"/>
    <n v="25577.274079999999"/>
    <n v="16394.91"/>
    <n v="9182.3640799999994"/>
    <n v="0.35900479665188778"/>
    <x v="5"/>
    <s v="Components"/>
    <s v="Components"/>
    <x v="1"/>
    <x v="1"/>
  </r>
  <r>
    <x v="121"/>
    <x v="95"/>
    <d v="2025-05-13T00:00:00"/>
    <x v="1"/>
    <x v="1"/>
    <x v="22"/>
    <s v="Small Business"/>
    <x v="3"/>
    <x v="5"/>
    <x v="0"/>
    <x v="121"/>
    <n v="1057.5999999999999"/>
    <n v="1437.06"/>
    <n v="1437.06"/>
    <n v="0.20499999999999999"/>
    <n v="0.20499999999999999"/>
    <n v="4"/>
    <s v="OK"/>
    <d v="2025-05-13T00:00:00"/>
    <n v="11"/>
    <n v="4569.8508000000002"/>
    <n v="4230.3999999999996"/>
    <n v="339.45080000000053"/>
    <n v="7.4280499485891424E-2"/>
    <x v="5"/>
    <s v="Accessories"/>
    <s v="Accessories"/>
    <x v="0"/>
    <x v="1"/>
  </r>
  <r>
    <x v="122"/>
    <x v="87"/>
    <d v="2025-05-12T00:00:00"/>
    <x v="0"/>
    <x v="3"/>
    <x v="18"/>
    <s v="Non-Profit"/>
    <x v="2"/>
    <x v="7"/>
    <x v="3"/>
    <x v="122"/>
    <n v="883.5"/>
    <n v="1978.91"/>
    <n v="1978.91"/>
    <n v="5.3999999999999999E-2"/>
    <n v="5.3999999999999999E-2"/>
    <n v="27"/>
    <s v="Correct"/>
    <d v="2025-05-21T00:00:00"/>
    <n v="7"/>
    <n v="50545.319219999998"/>
    <n v="23854.5"/>
    <n v="26690.819219999998"/>
    <n v="0.52805718970390547"/>
    <x v="5"/>
    <s v="Printers"/>
    <s v="Printers"/>
    <x v="1"/>
    <x v="0"/>
  </r>
  <r>
    <x v="123"/>
    <x v="96"/>
    <d v="2025-05-13T00:00:00"/>
    <x v="3"/>
    <x v="4"/>
    <x v="23"/>
    <s v="Enterprise"/>
    <x v="0"/>
    <x v="2"/>
    <x v="4"/>
    <x v="123"/>
    <n v="935.98"/>
    <n v="2077.69"/>
    <n v="2077.69"/>
    <n v="0.17499999999999999"/>
    <n v="0.17499999999999999"/>
    <n v="24"/>
    <s v="OK"/>
    <d v="2025-05-13T00:00:00"/>
    <n v="6"/>
    <n v="41138.261999999995"/>
    <n v="22463.52"/>
    <n v="18674.741999999995"/>
    <n v="0.45395067978321491"/>
    <x v="5"/>
    <s v="Phones"/>
    <s v="Phones"/>
    <x v="1"/>
    <x v="0"/>
  </r>
  <r>
    <x v="124"/>
    <x v="97"/>
    <d v="2025-05-19T00:00:00"/>
    <x v="2"/>
    <x v="2"/>
    <x v="37"/>
    <s v="Enterprise"/>
    <x v="3"/>
    <x v="4"/>
    <x v="1"/>
    <x v="124"/>
    <n v="1015.16"/>
    <n v="2148.14"/>
    <n v="2148.14"/>
    <n v="3.7999999999999999E-2"/>
    <n v="3.7999999999999999E-2"/>
    <n v="19"/>
    <s v="Correct"/>
    <d v="2025-05-28T00:00:00"/>
    <n v="7"/>
    <n v="39263.702919999996"/>
    <n v="19288.04"/>
    <n v="19975.662919999995"/>
    <n v="0.50875647059322227"/>
    <x v="5"/>
    <s v="Laptops"/>
    <s v="Laptops"/>
    <x v="1"/>
    <x v="0"/>
  </r>
  <r>
    <x v="125"/>
    <x v="97"/>
    <d v="2025-05-19T00:00:00"/>
    <x v="1"/>
    <x v="6"/>
    <x v="38"/>
    <s v="Non-Profit"/>
    <x v="2"/>
    <x v="8"/>
    <x v="1"/>
    <x v="125"/>
    <n v="1263.8399999999999"/>
    <n v="2281.7199999999998"/>
    <n v="2281.7199999999998"/>
    <n v="7.8E-2"/>
    <n v="7.8E-2"/>
    <n v="15"/>
    <s v="Correct"/>
    <d v="2025-05-28T00:00:00"/>
    <n v="7"/>
    <n v="31556.187599999997"/>
    <n v="18957.599999999999"/>
    <n v="12598.587599999999"/>
    <n v="0.39924301882398494"/>
    <x v="5"/>
    <s v="Laptops"/>
    <s v="Laptops"/>
    <x v="1"/>
    <x v="0"/>
  </r>
  <r>
    <x v="126"/>
    <x v="97"/>
    <d v="2025-06-09T00:00:00"/>
    <x v="0"/>
    <x v="0"/>
    <x v="17"/>
    <s v="Non-Profit"/>
    <x v="3"/>
    <x v="5"/>
    <x v="6"/>
    <x v="126"/>
    <n v="1331.38"/>
    <n v="2309.56"/>
    <n v="2309.56"/>
    <n v="0.14899999999999999"/>
    <n v="0.14899999999999999"/>
    <n v="31"/>
    <s v="OK"/>
    <d v="2025-06-09T00:00:00"/>
    <n v="19"/>
    <n v="60928.502359999999"/>
    <n v="41272.780000000006"/>
    <n v="19655.722359999992"/>
    <n v="0.32260307735553528"/>
    <x v="5"/>
    <s v="Components"/>
    <s v="Components"/>
    <x v="1"/>
    <x v="1"/>
  </r>
  <r>
    <x v="127"/>
    <x v="93"/>
    <d v="2025-05-18T00:00:00"/>
    <x v="3"/>
    <x v="5"/>
    <x v="8"/>
    <s v="Enterprise"/>
    <x v="1"/>
    <x v="2"/>
    <x v="3"/>
    <x v="127"/>
    <n v="1144.3800000000001"/>
    <n v="2755.04"/>
    <n v="2755.04"/>
    <n v="0.15"/>
    <n v="0.15"/>
    <n v="17"/>
    <s v="OK"/>
    <d v="2025-05-18T00:00:00"/>
    <n v="2"/>
    <n v="39810.328000000001"/>
    <n v="19454.460000000003"/>
    <n v="20355.867999999999"/>
    <n v="0.51132128326096682"/>
    <x v="5"/>
    <s v="Printers"/>
    <s v="Printers"/>
    <x v="1"/>
    <x v="0"/>
  </r>
  <r>
    <x v="128"/>
    <x v="98"/>
    <d v="2025-06-05T00:00:00"/>
    <x v="3"/>
    <x v="5"/>
    <x v="9"/>
    <s v="Enterprise"/>
    <x v="0"/>
    <x v="10"/>
    <x v="4"/>
    <x v="128"/>
    <n v="1466.5"/>
    <n v="2778.74"/>
    <n v="2778.74"/>
    <n v="0.13500000000000001"/>
    <n v="0.13500000000000001"/>
    <n v="4"/>
    <s v="OK"/>
    <d v="2025-06-05T00:00:00"/>
    <n v="21"/>
    <n v="9614.4403999999995"/>
    <n v="5866"/>
    <n v="3748.4403999999995"/>
    <n v="0.38987608680792279"/>
    <x v="5"/>
    <s v="Phones"/>
    <s v="Phones"/>
    <x v="1"/>
    <x v="1"/>
  </r>
  <r>
    <x v="129"/>
    <x v="99"/>
    <d v="2024-06-06T00:00:00"/>
    <x v="0"/>
    <x v="0"/>
    <x v="0"/>
    <s v="Non-Profit"/>
    <x v="3"/>
    <x v="13"/>
    <x v="2"/>
    <x v="129"/>
    <n v="51.13"/>
    <n v="57.53"/>
    <n v="57.53"/>
    <n v="4.4999999999999998E-2"/>
    <n v="4.4999999999999998E-2"/>
    <n v="16"/>
    <s v="OK"/>
    <d v="2024-06-06T00:00:00"/>
    <n v="14"/>
    <n v="879.05840000000001"/>
    <n v="818.08"/>
    <n v="60.978399999999965"/>
    <n v="6.9367859973808302E-2"/>
    <x v="6"/>
    <s v="Networking"/>
    <s v="Networking"/>
    <x v="1"/>
    <x v="1"/>
  </r>
  <r>
    <x v="130"/>
    <x v="100"/>
    <d v="2024-05-24T00:00:00"/>
    <x v="2"/>
    <x v="2"/>
    <x v="26"/>
    <s v="Education"/>
    <x v="4"/>
    <x v="1"/>
    <x v="3"/>
    <x v="130"/>
    <n v="111.02"/>
    <n v="172.88"/>
    <n v="172.88"/>
    <n v="0.19700000000000001"/>
    <n v="0.19700000000000001"/>
    <n v="29"/>
    <s v="OK"/>
    <d v="2024-05-24T00:00:00"/>
    <n v="12"/>
    <n v="4025.8565599999993"/>
    <n v="3219.58"/>
    <n v="806.27655999999934"/>
    <n v="0.20027453735212053"/>
    <x v="6"/>
    <s v="Printers"/>
    <s v="Printers"/>
    <x v="1"/>
    <x v="1"/>
  </r>
  <r>
    <x v="131"/>
    <x v="101"/>
    <d v="2024-05-16T00:00:00"/>
    <x v="2"/>
    <x v="2"/>
    <x v="37"/>
    <s v="Non-Profit"/>
    <x v="0"/>
    <x v="15"/>
    <x v="1"/>
    <x v="131"/>
    <n v="210.76"/>
    <n v="221.58"/>
    <n v="221.58"/>
    <n v="8.8999999999999996E-2"/>
    <n v="8.8999999999999996E-2"/>
    <n v="5"/>
    <s v="OK"/>
    <d v="2024-05-16T00:00:00"/>
    <n v="6"/>
    <n v="1009.2969000000002"/>
    <n v="1053.8"/>
    <n v="-44.50309999999979"/>
    <n v="-4.4093170205912434E-2"/>
    <x v="6"/>
    <s v="Laptops"/>
    <s v="Laptops"/>
    <x v="1"/>
    <x v="0"/>
  </r>
  <r>
    <x v="132"/>
    <x v="99"/>
    <d v="2024-06-03T00:00:00"/>
    <x v="1"/>
    <x v="6"/>
    <x v="38"/>
    <s v="Small Business"/>
    <x v="2"/>
    <x v="7"/>
    <x v="3"/>
    <x v="132"/>
    <n v="180.89"/>
    <n v="249.57"/>
    <n v="249.57"/>
    <n v="2.1999999999999999E-2"/>
    <n v="2.1999999999999999E-2"/>
    <n v="8"/>
    <s v="OK"/>
    <d v="2024-06-03T00:00:00"/>
    <n v="11"/>
    <n v="1952.6356799999999"/>
    <n v="1447.12"/>
    <n v="505.51567999999997"/>
    <n v="0.25888888806948362"/>
    <x v="6"/>
    <s v="Printers"/>
    <s v="Printers"/>
    <x v="1"/>
    <x v="1"/>
  </r>
  <r>
    <x v="133"/>
    <x v="102"/>
    <d v="2024-06-13T00:00:00"/>
    <x v="0"/>
    <x v="9"/>
    <x v="32"/>
    <s v="Small Business"/>
    <x v="1"/>
    <x v="7"/>
    <x v="4"/>
    <x v="133"/>
    <n v="157.78"/>
    <n v="361.1"/>
    <n v="361.1"/>
    <n v="0.187"/>
    <n v="0.187"/>
    <n v="9"/>
    <s v="OK"/>
    <d v="2024-06-13T00:00:00"/>
    <n v="14"/>
    <n v="2642.1686999999997"/>
    <n v="1420.02"/>
    <n v="1222.1486999999997"/>
    <n v="0.46255513510549112"/>
    <x v="6"/>
    <s v="Phones"/>
    <s v="Phones"/>
    <x v="1"/>
    <x v="1"/>
  </r>
  <r>
    <x v="134"/>
    <x v="103"/>
    <d v="2024-06-17T00:00:00"/>
    <x v="3"/>
    <x v="4"/>
    <x v="6"/>
    <s v="Small Business"/>
    <x v="3"/>
    <x v="10"/>
    <x v="0"/>
    <x v="134"/>
    <n v="465.02"/>
    <n v="651.55999999999995"/>
    <n v="651.55999999999995"/>
    <n v="4.2000000000000003E-2"/>
    <n v="4.2000000000000003E-2"/>
    <n v="19"/>
    <s v="OK"/>
    <d v="2024-06-17T00:00:00"/>
    <n v="21"/>
    <n v="11859.695119999998"/>
    <n v="8835.3799999999992"/>
    <n v="3024.3151199999993"/>
    <n v="0.25500783025187918"/>
    <x v="6"/>
    <s v="Accessories"/>
    <s v="Accessories"/>
    <x v="1"/>
    <x v="1"/>
  </r>
  <r>
    <x v="135"/>
    <x v="104"/>
    <d v="2024-05-21T00:00:00"/>
    <x v="2"/>
    <x v="10"/>
    <x v="33"/>
    <s v="Non-Profit"/>
    <x v="4"/>
    <x v="9"/>
    <x v="3"/>
    <x v="135"/>
    <n v="663.66"/>
    <n v="824.26"/>
    <n v="824.26"/>
    <n v="0.23899999999999999"/>
    <n v="0.23899999999999999"/>
    <n v="11"/>
    <s v="OK"/>
    <d v="2024-05-21T00:00:00"/>
    <n v="3"/>
    <n v="6899.8804600000003"/>
    <n v="7300.2599999999993"/>
    <n v="-400.379539999999"/>
    <n v="-5.8027025587048933E-2"/>
    <x v="6"/>
    <s v="Printers"/>
    <s v="Printers"/>
    <x v="0"/>
    <x v="0"/>
  </r>
  <r>
    <x v="136"/>
    <x v="105"/>
    <d v="2024-06-02T00:00:00"/>
    <x v="0"/>
    <x v="3"/>
    <x v="18"/>
    <s v="Enterprise"/>
    <x v="4"/>
    <x v="1"/>
    <x v="6"/>
    <x v="136"/>
    <n v="675.43"/>
    <n v="996.36"/>
    <n v="996.36"/>
    <n v="0.182"/>
    <n v="0.182"/>
    <n v="22"/>
    <s v="OK"/>
    <d v="2024-06-02T00:00:00"/>
    <n v="13"/>
    <n v="17930.494560000003"/>
    <n v="14859.46"/>
    <n v="3071.0345600000037"/>
    <n v="0.17127439233332575"/>
    <x v="6"/>
    <s v="Components"/>
    <s v="Components"/>
    <x v="1"/>
    <x v="1"/>
  </r>
  <r>
    <x v="137"/>
    <x v="106"/>
    <d v="2024-06-06T00:00:00"/>
    <x v="3"/>
    <x v="5"/>
    <x v="7"/>
    <s v="Corporate"/>
    <x v="2"/>
    <x v="6"/>
    <x v="5"/>
    <x v="137"/>
    <n v="673.88"/>
    <n v="1228.01"/>
    <n v="1228.01"/>
    <n v="0.105"/>
    <n v="0.105"/>
    <n v="13"/>
    <s v="OK"/>
    <d v="2024-06-06T00:00:00"/>
    <n v="15"/>
    <n v="14287.896349999999"/>
    <n v="8760.44"/>
    <n v="5527.4563499999986"/>
    <n v="0.38686285332689996"/>
    <x v="6"/>
    <s v="Monitors"/>
    <s v="Monitors"/>
    <x v="1"/>
    <x v="1"/>
  </r>
  <r>
    <x v="138"/>
    <x v="107"/>
    <d v="2024-06-08T00:00:00"/>
    <x v="0"/>
    <x v="0"/>
    <x v="1"/>
    <s v="Small Business"/>
    <x v="1"/>
    <x v="11"/>
    <x v="5"/>
    <x v="138"/>
    <n v="1075.9000000000001"/>
    <n v="1242.1500000000001"/>
    <n v="1242.1500000000001"/>
    <n v="1.2E-2"/>
    <n v="1.2E-2"/>
    <n v="7"/>
    <s v="OK"/>
    <d v="2024-06-08T00:00:00"/>
    <n v="20"/>
    <n v="8590.7094000000016"/>
    <n v="7531.3000000000011"/>
    <n v="1059.4094000000005"/>
    <n v="0.12332036280961853"/>
    <x v="6"/>
    <s v="Monitors"/>
    <s v="Monitors"/>
    <x v="1"/>
    <x v="1"/>
  </r>
  <r>
    <x v="139"/>
    <x v="108"/>
    <d v="2024-05-27T00:00:00"/>
    <x v="1"/>
    <x v="6"/>
    <x v="38"/>
    <s v="Non-Profit"/>
    <x v="3"/>
    <x v="4"/>
    <x v="6"/>
    <x v="139"/>
    <n v="1157.51"/>
    <n v="1394.3"/>
    <n v="1394.3"/>
    <n v="0.27800000000000002"/>
    <n v="0.27800000000000002"/>
    <n v="12"/>
    <s v="OK"/>
    <d v="2024-05-27T00:00:00"/>
    <n v="6"/>
    <n v="12080.215199999999"/>
    <n v="13890.119999999999"/>
    <n v="-1809.9048000000003"/>
    <n v="-0.14982388724333326"/>
    <x v="6"/>
    <s v="Components"/>
    <s v="Components"/>
    <x v="0"/>
    <x v="0"/>
  </r>
  <r>
    <x v="140"/>
    <x v="109"/>
    <d v="2024-05-12T00:00:00"/>
    <x v="1"/>
    <x v="8"/>
    <x v="28"/>
    <s v="Non-Profit"/>
    <x v="2"/>
    <x v="0"/>
    <x v="1"/>
    <x v="140"/>
    <n v="1163.99"/>
    <n v="1617.85"/>
    <n v="1617.85"/>
    <n v="0.127"/>
    <n v="0.127"/>
    <n v="14"/>
    <s v="OK"/>
    <d v="2024-05-12T00:00:00"/>
    <n v="5"/>
    <n v="19773.362699999998"/>
    <n v="16295.86"/>
    <n v="3477.5026999999973"/>
    <n v="0.17586804797749436"/>
    <x v="6"/>
    <s v="Laptops"/>
    <s v="Laptops"/>
    <x v="1"/>
    <x v="0"/>
  </r>
  <r>
    <x v="141"/>
    <x v="110"/>
    <d v="2024-05-26T00:00:00"/>
    <x v="2"/>
    <x v="11"/>
    <x v="36"/>
    <s v="Non-Profit"/>
    <x v="1"/>
    <x v="12"/>
    <x v="2"/>
    <x v="141"/>
    <n v="930.71"/>
    <n v="1625.42"/>
    <n v="1625.42"/>
    <n v="0.13800000000000001"/>
    <n v="0.13800000000000001"/>
    <n v="7"/>
    <s v="OK"/>
    <d v="2024-05-26T00:00:00"/>
    <n v="25"/>
    <n v="9807.7842799999999"/>
    <n v="6514.97"/>
    <n v="3292.8142799999996"/>
    <n v="0.33573477821231196"/>
    <x v="6"/>
    <s v="Networking"/>
    <s v="Networking"/>
    <x v="1"/>
    <x v="1"/>
  </r>
  <r>
    <x v="142"/>
    <x v="104"/>
    <d v="2024-05-22T00:00:00"/>
    <x v="1"/>
    <x v="1"/>
    <x v="2"/>
    <s v="Corporate"/>
    <x v="0"/>
    <x v="10"/>
    <x v="0"/>
    <x v="142"/>
    <n v="857.42"/>
    <n v="1658.92"/>
    <n v="1658.92"/>
    <n v="0.122"/>
    <n v="0.122"/>
    <n v="9"/>
    <s v="OK"/>
    <d v="2024-05-22T00:00:00"/>
    <n v="4"/>
    <n v="13108.78584"/>
    <n v="7716.78"/>
    <n v="5392.0058400000007"/>
    <n v="0.41132763215544305"/>
    <x v="6"/>
    <s v="Accessories"/>
    <s v="Accessories"/>
    <x v="1"/>
    <x v="0"/>
  </r>
  <r>
    <x v="143"/>
    <x v="99"/>
    <d v="2024-06-14T00:00:00"/>
    <x v="2"/>
    <x v="10"/>
    <x v="33"/>
    <s v="Small Business"/>
    <x v="3"/>
    <x v="3"/>
    <x v="5"/>
    <x v="143"/>
    <n v="1481.74"/>
    <n v="1848.97"/>
    <n v="1848.97"/>
    <n v="0.254"/>
    <n v="0.254"/>
    <n v="9"/>
    <s v="OK"/>
    <d v="2024-06-14T00:00:00"/>
    <n v="22"/>
    <n v="12413.98458"/>
    <n v="13335.66"/>
    <n v="-921.67541999999958"/>
    <n v="-7.4244930309072407E-2"/>
    <x v="6"/>
    <s v="Monitors"/>
    <s v="Monitors"/>
    <x v="0"/>
    <x v="1"/>
  </r>
  <r>
    <x v="144"/>
    <x v="111"/>
    <d v="2024-05-18T00:00:00"/>
    <x v="2"/>
    <x v="10"/>
    <x v="33"/>
    <s v="Corporate"/>
    <x v="4"/>
    <x v="5"/>
    <x v="6"/>
    <x v="144"/>
    <n v="1264.04"/>
    <n v="1870.89"/>
    <n v="1870.89"/>
    <n v="0"/>
    <n v="0"/>
    <n v="13"/>
    <s v="OK"/>
    <d v="2024-05-18T00:00:00"/>
    <n v="13"/>
    <n v="24321.57"/>
    <n v="16432.52"/>
    <n v="7889.0499999999993"/>
    <n v="0.32436433996653996"/>
    <x v="6"/>
    <s v="Components"/>
    <s v="Components"/>
    <x v="1"/>
    <x v="1"/>
  </r>
  <r>
    <x v="145"/>
    <x v="112"/>
    <d v="2024-05-26T00:00:00"/>
    <x v="1"/>
    <x v="8"/>
    <x v="28"/>
    <s v="Enterprise"/>
    <x v="3"/>
    <x v="7"/>
    <x v="0"/>
    <x v="145"/>
    <n v="1227.08"/>
    <n v="1896.62"/>
    <n v="1896.62"/>
    <n v="0"/>
    <n v="0"/>
    <n v="18"/>
    <s v="Correct"/>
    <d v="2024-06-04T00:00:00"/>
    <n v="7"/>
    <n v="34139.159999999996"/>
    <n v="22087.439999999999"/>
    <n v="12051.719999999998"/>
    <n v="0.353017473189147"/>
    <x v="6"/>
    <s v="Accessories"/>
    <s v="Accessories"/>
    <x v="1"/>
    <x v="0"/>
  </r>
  <r>
    <x v="146"/>
    <x v="110"/>
    <d v="2024-05-16T00:00:00"/>
    <x v="3"/>
    <x v="4"/>
    <x v="23"/>
    <s v="Small Business"/>
    <x v="1"/>
    <x v="0"/>
    <x v="6"/>
    <x v="146"/>
    <n v="901.19"/>
    <n v="2125.44"/>
    <n v="2125.44"/>
    <n v="7.0999999999999994E-2"/>
    <n v="7.0999999999999994E-2"/>
    <n v="12"/>
    <s v="OK"/>
    <d v="2024-05-16T00:00:00"/>
    <n v="15"/>
    <n v="23694.405119999999"/>
    <n v="10814.28"/>
    <n v="12880.125119999999"/>
    <n v="0.54359352154100415"/>
    <x v="6"/>
    <s v="Components"/>
    <s v="Components"/>
    <x v="1"/>
    <x v="1"/>
  </r>
  <r>
    <x v="147"/>
    <x v="112"/>
    <d v="2024-06-18T00:00:00"/>
    <x v="2"/>
    <x v="11"/>
    <x v="34"/>
    <s v="Small Business"/>
    <x v="3"/>
    <x v="11"/>
    <x v="4"/>
    <x v="147"/>
    <n v="986.85"/>
    <n v="2422.1"/>
    <n v="2422.1"/>
    <n v="7.5999999999999998E-2"/>
    <n v="7.5999999999999998E-2"/>
    <n v="10"/>
    <s v="OK"/>
    <d v="2024-06-18T00:00:00"/>
    <n v="21"/>
    <n v="22380.204000000002"/>
    <n v="9868.5"/>
    <n v="12511.704000000002"/>
    <n v="0.55905227673527913"/>
    <x v="6"/>
    <s v="Phones"/>
    <s v="Phones"/>
    <x v="1"/>
    <x v="1"/>
  </r>
  <r>
    <x v="148"/>
    <x v="113"/>
    <d v="2024-05-29T00:00:00"/>
    <x v="1"/>
    <x v="8"/>
    <x v="28"/>
    <s v="Non-Profit"/>
    <x v="4"/>
    <x v="8"/>
    <x v="5"/>
    <x v="148"/>
    <n v="1295.3399999999999"/>
    <n v="2530.81"/>
    <n v="2530.81"/>
    <n v="3.1E-2"/>
    <n v="3.1E-2"/>
    <n v="6"/>
    <s v="OK"/>
    <d v="2024-05-29T00:00:00"/>
    <n v="25"/>
    <n v="14714.12934"/>
    <n v="7772.0399999999991"/>
    <n v="6942.0893400000004"/>
    <n v="0.4717974933880798"/>
    <x v="6"/>
    <s v="Monitors"/>
    <s v="Monitors"/>
    <x v="1"/>
    <x v="1"/>
  </r>
  <r>
    <x v="149"/>
    <x v="104"/>
    <d v="2024-05-23T00:00:00"/>
    <x v="0"/>
    <x v="9"/>
    <x v="30"/>
    <s v="Enterprise"/>
    <x v="1"/>
    <x v="10"/>
    <x v="1"/>
    <x v="149"/>
    <n v="1274.5899999999999"/>
    <n v="2553.69"/>
    <n v="2553.69"/>
    <n v="0.01"/>
    <n v="0.01"/>
    <n v="8"/>
    <s v="OK"/>
    <d v="2024-05-23T00:00:00"/>
    <n v="5"/>
    <n v="20225.2248"/>
    <n v="10196.719999999999"/>
    <n v="10028.504800000001"/>
    <n v="0.49584145042481803"/>
    <x v="6"/>
    <s v="Laptops"/>
    <s v="Laptops"/>
    <x v="1"/>
    <x v="0"/>
  </r>
  <r>
    <x v="150"/>
    <x v="114"/>
    <d v="2024-05-27T00:00:00"/>
    <x v="0"/>
    <x v="9"/>
    <x v="13"/>
    <s v="Non-Profit"/>
    <x v="3"/>
    <x v="6"/>
    <x v="4"/>
    <x v="150"/>
    <n v="1484.23"/>
    <n v="3472.81"/>
    <n v="3472.81"/>
    <n v="0.25600000000000001"/>
    <n v="0.25600000000000001"/>
    <n v="12"/>
    <s v="OK"/>
    <d v="2024-05-27T00:00:00"/>
    <n v="10"/>
    <n v="31005.24768"/>
    <n v="17810.760000000002"/>
    <n v="13194.487679999998"/>
    <n v="0.42555659661803413"/>
    <x v="6"/>
    <s v="Phones"/>
    <s v="Phones"/>
    <x v="0"/>
    <x v="1"/>
  </r>
  <r>
    <x v="151"/>
    <x v="115"/>
    <d v="2024-05-28T00:00:00"/>
    <x v="2"/>
    <x v="2"/>
    <x v="37"/>
    <s v="Consumer"/>
    <x v="1"/>
    <x v="12"/>
    <x v="2"/>
    <x v="151"/>
    <n v="1421.14"/>
    <n v="3524"/>
    <n v="3524"/>
    <n v="0"/>
    <n v="0"/>
    <n v="31"/>
    <s v="OK"/>
    <d v="2024-05-28T00:00:00"/>
    <n v="14"/>
    <n v="109244"/>
    <n v="44055.340000000004"/>
    <n v="65188.659999999996"/>
    <n v="0.59672531214528945"/>
    <x v="6"/>
    <s v="Networking"/>
    <s v="Networking"/>
    <x v="1"/>
    <x v="1"/>
  </r>
  <r>
    <x v="152"/>
    <x v="116"/>
    <d v="2023-06-07T00:00:00"/>
    <x v="1"/>
    <x v="1"/>
    <x v="5"/>
    <s v="Corporate"/>
    <x v="3"/>
    <x v="2"/>
    <x v="4"/>
    <x v="152"/>
    <n v="12.85"/>
    <n v="15.41"/>
    <n v="15.41"/>
    <n v="0.13700000000000001"/>
    <n v="0.13700000000000001"/>
    <n v="39"/>
    <s v="OK"/>
    <d v="2023-06-07T00:00:00"/>
    <n v="27"/>
    <n v="518.65436999999997"/>
    <n v="501.15"/>
    <n v="17.504369999999994"/>
    <n v="3.3749585489851353E-2"/>
    <x v="7"/>
    <s v="Phones"/>
    <s v="Phones"/>
    <x v="1"/>
    <x v="1"/>
  </r>
  <r>
    <x v="153"/>
    <x v="117"/>
    <d v="2023-06-10T00:00:00"/>
    <x v="3"/>
    <x v="7"/>
    <x v="20"/>
    <s v="Corporate"/>
    <x v="2"/>
    <x v="11"/>
    <x v="6"/>
    <x v="153"/>
    <n v="54.62"/>
    <n v="48.94"/>
    <n v="48.94"/>
    <n v="0.14799999999999999"/>
    <n v="0.14799999999999999"/>
    <n v="16"/>
    <s v="OK"/>
    <d v="2023-06-10T00:00:00"/>
    <n v="18"/>
    <n v="667.15008"/>
    <n v="873.92"/>
    <n v="-206.76991999999996"/>
    <n v="-0.3099301434543783"/>
    <x v="7"/>
    <s v="Components"/>
    <s v="Components"/>
    <x v="1"/>
    <x v="1"/>
  </r>
  <r>
    <x v="154"/>
    <x v="118"/>
    <d v="2023-06-15T00:00:00"/>
    <x v="1"/>
    <x v="6"/>
    <x v="10"/>
    <s v="Enterprise"/>
    <x v="1"/>
    <x v="1"/>
    <x v="0"/>
    <x v="154"/>
    <n v="40.89"/>
    <n v="62.82"/>
    <n v="62.82"/>
    <n v="0.129"/>
    <n v="0.129"/>
    <n v="17"/>
    <s v="OK"/>
    <d v="2023-06-15T00:00:00"/>
    <n v="29"/>
    <n v="930.17574000000002"/>
    <n v="695.13"/>
    <n v="235.04574000000002"/>
    <n v="0.25268960465470752"/>
    <x v="7"/>
    <s v="Accessories"/>
    <s v="Accessories"/>
    <x v="1"/>
    <x v="1"/>
  </r>
  <r>
    <x v="155"/>
    <x v="119"/>
    <d v="2023-05-16T00:00:00"/>
    <x v="0"/>
    <x v="9"/>
    <x v="21"/>
    <s v="Corporate"/>
    <x v="4"/>
    <x v="0"/>
    <x v="4"/>
    <x v="155"/>
    <n v="64.5"/>
    <n v="123.62"/>
    <n v="123.62"/>
    <n v="0"/>
    <n v="0"/>
    <n v="3"/>
    <s v="OK"/>
    <d v="2023-05-16T00:00:00"/>
    <n v="13"/>
    <n v="370.86"/>
    <n v="193.5"/>
    <n v="177.36"/>
    <n v="0.47823976702798904"/>
    <x v="7"/>
    <s v="Phones"/>
    <s v="Phones"/>
    <x v="1"/>
    <x v="1"/>
  </r>
  <r>
    <x v="156"/>
    <x v="120"/>
    <d v="2023-05-16T00:00:00"/>
    <x v="1"/>
    <x v="8"/>
    <x v="28"/>
    <s v="Small Business"/>
    <x v="4"/>
    <x v="2"/>
    <x v="4"/>
    <x v="156"/>
    <n v="77.739999999999995"/>
    <n v="147.12"/>
    <n v="147.12"/>
    <n v="0"/>
    <n v="0"/>
    <n v="15"/>
    <s v="OK"/>
    <d v="2023-05-16T00:00:00"/>
    <n v="12"/>
    <n v="2206.8000000000002"/>
    <n v="1166.0999999999999"/>
    <n v="1040.7000000000003"/>
    <n v="0.47158781946710177"/>
    <x v="7"/>
    <s v="Phones"/>
    <s v="Phones"/>
    <x v="1"/>
    <x v="1"/>
  </r>
  <r>
    <x v="157"/>
    <x v="121"/>
    <d v="2023-05-18T00:00:00"/>
    <x v="1"/>
    <x v="8"/>
    <x v="27"/>
    <s v="Corporate"/>
    <x v="0"/>
    <x v="7"/>
    <x v="6"/>
    <x v="157"/>
    <n v="327.97"/>
    <n v="299.94"/>
    <n v="299.94"/>
    <n v="4.9000000000000002E-2"/>
    <n v="4.9000000000000002E-2"/>
    <n v="3"/>
    <s v="OK"/>
    <d v="2023-05-18T00:00:00"/>
    <n v="17"/>
    <n v="855.72881999999993"/>
    <n v="983.91000000000008"/>
    <n v="-128.18118000000015"/>
    <n v="-0.14979182306843442"/>
    <x v="7"/>
    <s v="Components"/>
    <s v="Components"/>
    <x v="1"/>
    <x v="1"/>
  </r>
  <r>
    <x v="158"/>
    <x v="120"/>
    <d v="2023-05-26T00:00:00"/>
    <x v="0"/>
    <x v="9"/>
    <x v="32"/>
    <s v="Enterprise"/>
    <x v="3"/>
    <x v="2"/>
    <x v="2"/>
    <x v="158"/>
    <n v="249.71"/>
    <n v="361.33"/>
    <n v="361.33"/>
    <n v="9.4E-2"/>
    <n v="9.4E-2"/>
    <n v="12"/>
    <s v="OK"/>
    <d v="2023-05-26T00:00:00"/>
    <n v="22"/>
    <n v="3928.3797600000003"/>
    <n v="2996.52"/>
    <n v="931.85976000000028"/>
    <n v="0.23721223937881206"/>
    <x v="7"/>
    <s v="Networking"/>
    <s v="Networking"/>
    <x v="1"/>
    <x v="1"/>
  </r>
  <r>
    <x v="159"/>
    <x v="122"/>
    <d v="2023-05-14T00:00:00"/>
    <x v="3"/>
    <x v="5"/>
    <x v="9"/>
    <s v="Enterprise"/>
    <x v="4"/>
    <x v="12"/>
    <x v="4"/>
    <x v="159"/>
    <n v="291.18"/>
    <n v="479.54"/>
    <n v="479.54"/>
    <n v="0.14099999999999999"/>
    <n v="0.14099999999999999"/>
    <n v="22"/>
    <s v="OK"/>
    <d v="2023-05-14T00:00:00"/>
    <n v="8"/>
    <n v="9062.34692"/>
    <n v="6405.96"/>
    <n v="2656.3869199999999"/>
    <n v="0.29312350801066001"/>
    <x v="7"/>
    <s v="Phones"/>
    <s v="Phones"/>
    <x v="1"/>
    <x v="1"/>
  </r>
  <r>
    <x v="160"/>
    <x v="123"/>
    <d v="2023-05-19T00:00:00"/>
    <x v="3"/>
    <x v="7"/>
    <x v="20"/>
    <s v="Non-Profit"/>
    <x v="0"/>
    <x v="2"/>
    <x v="5"/>
    <x v="160"/>
    <n v="714.28"/>
    <n v="757.59"/>
    <n v="757.59"/>
    <n v="0.13600000000000001"/>
    <n v="0.13600000000000001"/>
    <n v="12"/>
    <s v="OK"/>
    <d v="2023-05-19T00:00:00"/>
    <n v="17"/>
    <n v="7854.6931199999999"/>
    <n v="8571.36"/>
    <n v="-716.66688000000067"/>
    <n v="-9.1240595787910383E-2"/>
    <x v="7"/>
    <s v="Monitors"/>
    <s v="Monitors"/>
    <x v="1"/>
    <x v="1"/>
  </r>
  <r>
    <x v="161"/>
    <x v="124"/>
    <d v="2023-05-14T00:00:00"/>
    <x v="3"/>
    <x v="4"/>
    <x v="6"/>
    <s v="Non-Profit"/>
    <x v="2"/>
    <x v="6"/>
    <x v="5"/>
    <x v="161"/>
    <n v="622.6"/>
    <n v="833.69"/>
    <n v="833.69"/>
    <n v="0.20899999999999999"/>
    <n v="0.20899999999999999"/>
    <n v="14"/>
    <s v="OK"/>
    <d v="2023-05-14T00:00:00"/>
    <n v="4"/>
    <n v="9232.2830599999998"/>
    <n v="8716.4"/>
    <n v="515.88306000000011"/>
    <n v="5.5878167582959715E-2"/>
    <x v="7"/>
    <s v="Monitors"/>
    <s v="Monitors"/>
    <x v="0"/>
    <x v="0"/>
  </r>
  <r>
    <x v="162"/>
    <x v="125"/>
    <d v="2023-06-19T00:00:00"/>
    <x v="3"/>
    <x v="4"/>
    <x v="6"/>
    <s v="Non-Profit"/>
    <x v="4"/>
    <x v="10"/>
    <x v="1"/>
    <x v="162"/>
    <n v="1161.2"/>
    <n v="878.73"/>
    <n v="878.73"/>
    <n v="0.19"/>
    <n v="0.19"/>
    <n v="31"/>
    <s v="OK"/>
    <d v="2023-06-19T00:00:00"/>
    <n v="30"/>
    <n v="22064.910300000003"/>
    <n v="35997.200000000004"/>
    <n v="-13932.289700000001"/>
    <n v="-0.63142290227212028"/>
    <x v="7"/>
    <s v="Laptops"/>
    <s v="Laptops"/>
    <x v="1"/>
    <x v="1"/>
  </r>
  <r>
    <x v="163"/>
    <x v="126"/>
    <d v="2023-05-22T00:00:00"/>
    <x v="1"/>
    <x v="1"/>
    <x v="5"/>
    <s v="Small Business"/>
    <x v="2"/>
    <x v="7"/>
    <x v="3"/>
    <x v="163"/>
    <n v="432.01"/>
    <n v="913.78"/>
    <n v="913.78"/>
    <n v="4.9000000000000002E-2"/>
    <n v="4.9000000000000002E-2"/>
    <n v="12"/>
    <s v="OK"/>
    <d v="2023-05-22T00:00:00"/>
    <n v="8"/>
    <n v="10428.057360000001"/>
    <n v="5184.12"/>
    <n v="5243.9373600000008"/>
    <n v="0.50286809699711899"/>
    <x v="7"/>
    <s v="Printers"/>
    <s v="Printers"/>
    <x v="1"/>
    <x v="1"/>
  </r>
  <r>
    <x v="164"/>
    <x v="127"/>
    <d v="2023-05-29T00:00:00"/>
    <x v="1"/>
    <x v="6"/>
    <x v="10"/>
    <s v="Education"/>
    <x v="2"/>
    <x v="1"/>
    <x v="0"/>
    <x v="164"/>
    <n v="653.86"/>
    <n v="931.84"/>
    <n v="931.84"/>
    <n v="0.121"/>
    <n v="0.121"/>
    <n v="12"/>
    <s v="OK"/>
    <d v="2023-05-29T00:00:00"/>
    <n v="22"/>
    <n v="9829.0483199999999"/>
    <n v="7846.32"/>
    <n v="1982.7283200000002"/>
    <n v="0.20172129136506273"/>
    <x v="7"/>
    <s v="Accessories"/>
    <s v="Accessories"/>
    <x v="1"/>
    <x v="1"/>
  </r>
  <r>
    <x v="165"/>
    <x v="123"/>
    <d v="2023-05-16T00:00:00"/>
    <x v="3"/>
    <x v="4"/>
    <x v="23"/>
    <s v="Non-Profit"/>
    <x v="1"/>
    <x v="0"/>
    <x v="5"/>
    <x v="165"/>
    <n v="475.37"/>
    <n v="963.73"/>
    <n v="963.73"/>
    <n v="4.1000000000000002E-2"/>
    <n v="4.1000000000000002E-2"/>
    <n v="22"/>
    <s v="OK"/>
    <d v="2023-05-16T00:00:00"/>
    <n v="14"/>
    <n v="20332.775539999999"/>
    <n v="10458.14"/>
    <n v="9874.6355399999993"/>
    <n v="0.48565113604750881"/>
    <x v="7"/>
    <s v="Monitors"/>
    <s v="Monitors"/>
    <x v="1"/>
    <x v="1"/>
  </r>
  <r>
    <x v="166"/>
    <x v="117"/>
    <d v="2023-05-25T00:00:00"/>
    <x v="0"/>
    <x v="0"/>
    <x v="0"/>
    <s v="Enterprise"/>
    <x v="1"/>
    <x v="4"/>
    <x v="3"/>
    <x v="166"/>
    <n v="690.49"/>
    <n v="1290.29"/>
    <n v="1290.29"/>
    <n v="4.2000000000000003E-2"/>
    <n v="4.2000000000000003E-2"/>
    <n v="22"/>
    <s v="OK"/>
    <d v="2023-05-25T00:00:00"/>
    <n v="2"/>
    <n v="27194.152039999997"/>
    <n v="15190.78"/>
    <n v="12003.372039999997"/>
    <n v="0.44139534199647718"/>
    <x v="7"/>
    <s v="Printers"/>
    <s v="Printers"/>
    <x v="1"/>
    <x v="0"/>
  </r>
  <r>
    <x v="167"/>
    <x v="125"/>
    <d v="2023-05-18T00:00:00"/>
    <x v="1"/>
    <x v="6"/>
    <x v="10"/>
    <s v="Corporate"/>
    <x v="2"/>
    <x v="5"/>
    <x v="6"/>
    <x v="167"/>
    <n v="917.88"/>
    <n v="1347.92"/>
    <n v="1347.92"/>
    <n v="0.34300000000000003"/>
    <n v="0.3"/>
    <n v="5"/>
    <s v="Correct"/>
    <d v="2023-05-27T00:00:00"/>
    <n v="7"/>
    <n v="4717.72"/>
    <n v="4589.3999999999996"/>
    <n v="128.32000000000062"/>
    <n v="2.7199579457873848E-2"/>
    <x v="7"/>
    <s v="Components"/>
    <s v="Components"/>
    <x v="0"/>
    <x v="0"/>
  </r>
  <r>
    <x v="168"/>
    <x v="128"/>
    <d v="2023-06-21T00:00:00"/>
    <x v="0"/>
    <x v="9"/>
    <x v="13"/>
    <s v="Small Business"/>
    <x v="4"/>
    <x v="15"/>
    <x v="5"/>
    <x v="168"/>
    <n v="813.97"/>
    <n v="1568.83"/>
    <n v="1568.83"/>
    <n v="1.7000000000000001E-2"/>
    <n v="1.7000000000000001E-2"/>
    <n v="15"/>
    <s v="OK"/>
    <d v="2023-06-21T00:00:00"/>
    <n v="28"/>
    <n v="23132.398349999996"/>
    <n v="12209.550000000001"/>
    <n v="10922.848349999995"/>
    <n v="0.4721883215364911"/>
    <x v="7"/>
    <s v="Monitors"/>
    <s v="Monitors"/>
    <x v="1"/>
    <x v="1"/>
  </r>
  <r>
    <x v="169"/>
    <x v="125"/>
    <d v="2023-06-07T00:00:00"/>
    <x v="1"/>
    <x v="8"/>
    <x v="27"/>
    <s v="Enterprise"/>
    <x v="2"/>
    <x v="11"/>
    <x v="6"/>
    <x v="169"/>
    <n v="1120.06"/>
    <n v="2068.21"/>
    <n v="2068.21"/>
    <n v="7.8E-2"/>
    <n v="7.8E-2"/>
    <n v="12"/>
    <s v="OK"/>
    <d v="2023-06-07T00:00:00"/>
    <n v="18"/>
    <n v="22882.675440000003"/>
    <n v="13440.72"/>
    <n v="9441.9554400000034"/>
    <n v="0.41262462795303284"/>
    <x v="7"/>
    <s v="Components"/>
    <s v="Components"/>
    <x v="1"/>
    <x v="1"/>
  </r>
  <r>
    <x v="170"/>
    <x v="118"/>
    <d v="2023-06-03T00:00:00"/>
    <x v="3"/>
    <x v="7"/>
    <x v="11"/>
    <s v="Non-Profit"/>
    <x v="2"/>
    <x v="4"/>
    <x v="3"/>
    <x v="170"/>
    <n v="979.59"/>
    <n v="2210.94"/>
    <n v="2210.94"/>
    <n v="0.15"/>
    <n v="0.15"/>
    <n v="11"/>
    <s v="OK"/>
    <d v="2023-06-03T00:00:00"/>
    <n v="17"/>
    <n v="20672.289000000001"/>
    <n v="10775.49"/>
    <n v="9896.7990000000009"/>
    <n v="0.47874712858358359"/>
    <x v="7"/>
    <s v="Printers"/>
    <s v="Printers"/>
    <x v="1"/>
    <x v="1"/>
  </r>
  <r>
    <x v="171"/>
    <x v="123"/>
    <d v="2023-05-18T00:00:00"/>
    <x v="3"/>
    <x v="4"/>
    <x v="6"/>
    <s v="Small Business"/>
    <x v="4"/>
    <x v="1"/>
    <x v="5"/>
    <x v="171"/>
    <n v="1463.92"/>
    <n v="2252.2399999999998"/>
    <n v="2252.2399999999998"/>
    <n v="0.11799999999999999"/>
    <n v="0.11799999999999999"/>
    <n v="44"/>
    <s v="OK"/>
    <d v="2023-05-18T00:00:00"/>
    <n v="16"/>
    <n v="87404.929919999995"/>
    <n v="64412.480000000003"/>
    <n v="22992.449919999992"/>
    <n v="0.26305667130040061"/>
    <x v="7"/>
    <s v="Monitors"/>
    <s v="Monitors"/>
    <x v="1"/>
    <x v="1"/>
  </r>
  <r>
    <x v="172"/>
    <x v="127"/>
    <d v="2023-05-05T00:00:00"/>
    <x v="1"/>
    <x v="8"/>
    <x v="27"/>
    <s v="Non-Profit"/>
    <x v="4"/>
    <x v="5"/>
    <x v="6"/>
    <x v="172"/>
    <n v="1269.6500000000001"/>
    <n v="2462.77"/>
    <n v="2462.77"/>
    <n v="0.107"/>
    <n v="0.107"/>
    <n v="8"/>
    <s v="Correct"/>
    <d v="2023-05-14T00:00:00"/>
    <n v="7"/>
    <n v="17594.028880000002"/>
    <n v="10157.200000000001"/>
    <n v="7436.8288800000009"/>
    <n v="0.42269050089225502"/>
    <x v="7"/>
    <s v="Components"/>
    <s v="Components"/>
    <x v="1"/>
    <x v="0"/>
  </r>
  <r>
    <x v="173"/>
    <x v="129"/>
    <d v="2023-06-19T00:00:00"/>
    <x v="2"/>
    <x v="11"/>
    <x v="36"/>
    <s v="Education"/>
    <x v="1"/>
    <x v="8"/>
    <x v="0"/>
    <x v="173"/>
    <n v="1471.58"/>
    <n v="2576.65"/>
    <n v="2576.65"/>
    <n v="4.0000000000000001E-3"/>
    <n v="4.0000000000000001E-3"/>
    <n v="7"/>
    <s v="OK"/>
    <d v="2023-06-19T00:00:00"/>
    <n v="23"/>
    <n v="17964.4038"/>
    <n v="10301.06"/>
    <n v="7663.3438000000006"/>
    <n v="0.4265849223451546"/>
    <x v="7"/>
    <s v="Accessories"/>
    <s v="Accessories"/>
    <x v="1"/>
    <x v="1"/>
  </r>
  <r>
    <x v="174"/>
    <x v="127"/>
    <d v="2023-05-20T00:00:00"/>
    <x v="3"/>
    <x v="4"/>
    <x v="19"/>
    <s v="Enterprise"/>
    <x v="1"/>
    <x v="9"/>
    <x v="0"/>
    <x v="174"/>
    <n v="1443.28"/>
    <n v="2580.5700000000002"/>
    <n v="2580.5700000000002"/>
    <n v="0"/>
    <n v="0"/>
    <n v="18"/>
    <s v="OK"/>
    <d v="2023-05-20T00:00:00"/>
    <n v="13"/>
    <n v="46450.26"/>
    <n v="25979.040000000001"/>
    <n v="20471.22"/>
    <n v="0.4407127107577008"/>
    <x v="7"/>
    <s v="Accessories"/>
    <s v="Accessories"/>
    <x v="1"/>
    <x v="1"/>
  </r>
  <r>
    <x v="175"/>
    <x v="116"/>
    <d v="2023-05-28T00:00:00"/>
    <x v="3"/>
    <x v="7"/>
    <x v="14"/>
    <s v="Enterprise"/>
    <x v="4"/>
    <x v="11"/>
    <x v="2"/>
    <x v="175"/>
    <n v="1331.19"/>
    <n v="2903.09"/>
    <n v="2903.09"/>
    <n v="0.14299999999999999"/>
    <n v="0.14299999999999999"/>
    <n v="8"/>
    <s v="OK"/>
    <d v="2023-05-28T00:00:00"/>
    <n v="17"/>
    <n v="19903.585040000002"/>
    <n v="10649.52"/>
    <n v="9254.0650400000013"/>
    <n v="0.46494463290920784"/>
    <x v="7"/>
    <s v="Networking"/>
    <s v="Networking"/>
    <x v="1"/>
    <x v="1"/>
  </r>
  <r>
    <x v="176"/>
    <x v="130"/>
    <d v="2023-06-20T00:00:00"/>
    <x v="2"/>
    <x v="2"/>
    <x v="3"/>
    <s v="Small Business"/>
    <x v="0"/>
    <x v="1"/>
    <x v="6"/>
    <x v="176"/>
    <n v="1295.3900000000001"/>
    <n v="2905.06"/>
    <n v="2905.06"/>
    <n v="0.14799999999999999"/>
    <n v="0.14799999999999999"/>
    <n v="8"/>
    <s v="OK"/>
    <d v="2023-06-20T00:00:00"/>
    <n v="22"/>
    <n v="19800.88896"/>
    <n v="10363.120000000001"/>
    <n v="9437.7689599999994"/>
    <n v="0.47663359857556614"/>
    <x v="7"/>
    <s v="Components"/>
    <s v="Components"/>
    <x v="1"/>
    <x v="1"/>
  </r>
  <r>
    <x v="177"/>
    <x v="124"/>
    <d v="2023-05-27T00:00:00"/>
    <x v="3"/>
    <x v="4"/>
    <x v="19"/>
    <s v="Consumer"/>
    <x v="1"/>
    <x v="4"/>
    <x v="1"/>
    <x v="177"/>
    <n v="1286.1600000000001"/>
    <n v="3101.11"/>
    <n v="3101.11"/>
    <n v="0.1"/>
    <n v="0.1"/>
    <n v="23"/>
    <s v="OK"/>
    <d v="2023-05-27T00:00:00"/>
    <n v="17"/>
    <n v="64192.976999999999"/>
    <n v="29581.68"/>
    <n v="34611.296999999999"/>
    <n v="0.53917575749758417"/>
    <x v="7"/>
    <s v="Laptops"/>
    <s v="Laptops"/>
    <x v="1"/>
    <x v="1"/>
  </r>
  <r>
    <x v="178"/>
    <x v="131"/>
    <d v="2025-04-04T00:00:00"/>
    <x v="3"/>
    <x v="4"/>
    <x v="19"/>
    <s v="Education"/>
    <x v="4"/>
    <x v="2"/>
    <x v="4"/>
    <x v="178"/>
    <n v="23.83"/>
    <n v="47.29"/>
    <n v="47.29"/>
    <n v="6.4000000000000001E-2"/>
    <n v="6.4000000000000001E-2"/>
    <n v="19"/>
    <s v="OK"/>
    <d v="2025-04-04T00:00:00"/>
    <n v="11"/>
    <n v="841.00536"/>
    <n v="452.77"/>
    <n v="388.23536000000001"/>
    <n v="0.46163244429262618"/>
    <x v="8"/>
    <s v="Phones"/>
    <s v="Phones"/>
    <x v="1"/>
    <x v="1"/>
  </r>
  <r>
    <x v="179"/>
    <x v="132"/>
    <d v="2025-04-07T00:00:00"/>
    <x v="0"/>
    <x v="0"/>
    <x v="17"/>
    <s v="Non-Profit"/>
    <x v="0"/>
    <x v="0"/>
    <x v="3"/>
    <x v="179"/>
    <n v="71.62"/>
    <n v="118.37"/>
    <n v="118.37"/>
    <n v="0.156"/>
    <n v="0.156"/>
    <n v="11"/>
    <s v="OK"/>
    <d v="2025-04-07T00:00:00"/>
    <n v="8"/>
    <n v="1098.9470800000001"/>
    <n v="787.82"/>
    <n v="311.12708000000009"/>
    <n v="0.28311379652603474"/>
    <x v="8"/>
    <s v="Printers"/>
    <s v="Printers"/>
    <x v="1"/>
    <x v="1"/>
  </r>
  <r>
    <x v="180"/>
    <x v="133"/>
    <d v="2025-03-26T00:00:00"/>
    <x v="2"/>
    <x v="11"/>
    <x v="36"/>
    <s v="Small Business"/>
    <x v="3"/>
    <x v="13"/>
    <x v="4"/>
    <x v="180"/>
    <n v="116.97"/>
    <n v="140.82"/>
    <n v="140.82"/>
    <n v="0.122"/>
    <n v="0.122"/>
    <n v="5"/>
    <s v="OK"/>
    <d v="2025-03-26T00:00:00"/>
    <n v="15"/>
    <n v="618.19979999999987"/>
    <n v="584.85"/>
    <n v="33.349799999999846"/>
    <n v="5.3946636669891926E-2"/>
    <x v="8"/>
    <s v="Phones"/>
    <s v="Phones"/>
    <x v="1"/>
    <x v="1"/>
  </r>
  <r>
    <x v="181"/>
    <x v="134"/>
    <d v="2025-04-08T00:00:00"/>
    <x v="3"/>
    <x v="7"/>
    <x v="25"/>
    <s v="Corporate"/>
    <x v="2"/>
    <x v="9"/>
    <x v="3"/>
    <x v="181"/>
    <n v="80.59"/>
    <n v="157.82"/>
    <n v="157.82"/>
    <n v="0.217"/>
    <n v="0.217"/>
    <n v="6"/>
    <s v="OK"/>
    <d v="2025-04-08T00:00:00"/>
    <n v="25"/>
    <n v="741.43835999999999"/>
    <n v="483.54"/>
    <n v="257.89835999999997"/>
    <n v="0.34783519967863541"/>
    <x v="8"/>
    <s v="Printers"/>
    <s v="Printers"/>
    <x v="0"/>
    <x v="1"/>
  </r>
  <r>
    <x v="182"/>
    <x v="135"/>
    <d v="2025-04-02T00:00:00"/>
    <x v="1"/>
    <x v="8"/>
    <x v="12"/>
    <s v="Non-Profit"/>
    <x v="4"/>
    <x v="15"/>
    <x v="4"/>
    <x v="182"/>
    <n v="259.93"/>
    <n v="255.94"/>
    <n v="255.94"/>
    <n v="7.1999999999999995E-2"/>
    <n v="7.1999999999999995E-2"/>
    <n v="22"/>
    <s v="OK"/>
    <d v="2025-04-02T00:00:00"/>
    <n v="4"/>
    <n v="5225.2710400000005"/>
    <n v="5718.46"/>
    <n v="-493.1889599999995"/>
    <n v="-9.4385335463861311E-2"/>
    <x v="8"/>
    <s v="Phones"/>
    <s v="Phones"/>
    <x v="1"/>
    <x v="0"/>
  </r>
  <r>
    <x v="183"/>
    <x v="132"/>
    <d v="2025-04-29T00:00:00"/>
    <x v="1"/>
    <x v="6"/>
    <x v="10"/>
    <s v="Consumer"/>
    <x v="4"/>
    <x v="2"/>
    <x v="5"/>
    <x v="183"/>
    <n v="194.6"/>
    <n v="314.87"/>
    <n v="314.87"/>
    <n v="0.29299999999999998"/>
    <n v="0.29299999999999998"/>
    <n v="25"/>
    <s v="OK"/>
    <d v="2025-04-29T00:00:00"/>
    <n v="30"/>
    <n v="5565.3272500000003"/>
    <n v="4865"/>
    <n v="700.32725000000028"/>
    <n v="0.1258375686712763"/>
    <x v="8"/>
    <s v="Monitors"/>
    <s v="Monitors"/>
    <x v="0"/>
    <x v="1"/>
  </r>
  <r>
    <x v="184"/>
    <x v="136"/>
    <d v="2025-03-24T00:00:00"/>
    <x v="1"/>
    <x v="8"/>
    <x v="28"/>
    <s v="Enterprise"/>
    <x v="0"/>
    <x v="10"/>
    <x v="0"/>
    <x v="184"/>
    <n v="555.95000000000005"/>
    <n v="468.09"/>
    <n v="468.09"/>
    <n v="0.14199999999999999"/>
    <n v="0.14199999999999999"/>
    <n v="11"/>
    <s v="OK"/>
    <d v="2025-03-24T00:00:00"/>
    <n v="21"/>
    <n v="4417.8334199999999"/>
    <n v="6115.4500000000007"/>
    <n v="-1697.6165800000008"/>
    <n v="-0.38426450674095375"/>
    <x v="8"/>
    <s v="Accessories"/>
    <s v="Accessories"/>
    <x v="1"/>
    <x v="1"/>
  </r>
  <r>
    <x v="185"/>
    <x v="137"/>
    <d v="2025-03-15T00:00:00"/>
    <x v="3"/>
    <x v="4"/>
    <x v="23"/>
    <s v="Corporate"/>
    <x v="2"/>
    <x v="1"/>
    <x v="1"/>
    <x v="185"/>
    <n v="475.66"/>
    <n v="529.14"/>
    <n v="529.14"/>
    <n v="0.19600000000000001"/>
    <n v="0.19600000000000001"/>
    <n v="11"/>
    <s v="OK"/>
    <d v="2025-03-15T00:00:00"/>
    <n v="7"/>
    <n v="4679.7141600000004"/>
    <n v="5232.26"/>
    <n v="-552.54583999999977"/>
    <n v="-0.11807256193613323"/>
    <x v="8"/>
    <s v="Laptops"/>
    <s v="Laptops"/>
    <x v="1"/>
    <x v="0"/>
  </r>
  <r>
    <x v="186"/>
    <x v="138"/>
    <d v="2025-03-31T00:00:00"/>
    <x v="0"/>
    <x v="0"/>
    <x v="1"/>
    <s v="Non-Profit"/>
    <x v="3"/>
    <x v="2"/>
    <x v="6"/>
    <x v="186"/>
    <n v="331.57"/>
    <n v="548.4"/>
    <n v="548.4"/>
    <n v="9.4E-2"/>
    <n v="9.4E-2"/>
    <n v="10"/>
    <s v="OK"/>
    <d v="2025-03-31T00:00:00"/>
    <n v="25"/>
    <n v="4968.5039999999999"/>
    <n v="3315.7"/>
    <n v="1652.8040000000001"/>
    <n v="0.33265626836568918"/>
    <x v="8"/>
    <s v="Components"/>
    <s v="Components"/>
    <x v="1"/>
    <x v="1"/>
  </r>
  <r>
    <x v="187"/>
    <x v="139"/>
    <d v="2025-04-02T00:00:00"/>
    <x v="2"/>
    <x v="11"/>
    <x v="36"/>
    <s v="Enterprise"/>
    <x v="3"/>
    <x v="11"/>
    <x v="3"/>
    <x v="187"/>
    <n v="663.61"/>
    <n v="1002.11"/>
    <n v="1002.11"/>
    <n v="4.5999999999999999E-2"/>
    <n v="4.5999999999999999E-2"/>
    <n v="17"/>
    <s v="OK"/>
    <d v="2025-04-02T00:00:00"/>
    <n v="10"/>
    <n v="16252.219979999998"/>
    <n v="11281.37"/>
    <n v="4970.8499799999972"/>
    <n v="0.30585667595670812"/>
    <x v="8"/>
    <s v="Printers"/>
    <s v="Printers"/>
    <x v="1"/>
    <x v="1"/>
  </r>
  <r>
    <x v="188"/>
    <x v="140"/>
    <d v="2025-04-09T00:00:00"/>
    <x v="3"/>
    <x v="5"/>
    <x v="8"/>
    <s v="Small Business"/>
    <x v="2"/>
    <x v="11"/>
    <x v="6"/>
    <x v="188"/>
    <n v="1055.45"/>
    <n v="1210.04"/>
    <n v="1210.04"/>
    <n v="8.9999999999999993E-3"/>
    <n v="8.9999999999999993E-3"/>
    <n v="18"/>
    <s v="OK"/>
    <d v="2025-04-09T00:00:00"/>
    <n v="19"/>
    <n v="21584.693520000001"/>
    <n v="18998.100000000002"/>
    <n v="2586.5935199999985"/>
    <n v="0.1198346188053727"/>
    <x v="8"/>
    <s v="Components"/>
    <s v="Components"/>
    <x v="1"/>
    <x v="1"/>
  </r>
  <r>
    <x v="189"/>
    <x v="141"/>
    <d v="2025-03-27T00:00:00"/>
    <x v="0"/>
    <x v="0"/>
    <x v="0"/>
    <s v="Enterprise"/>
    <x v="0"/>
    <x v="7"/>
    <x v="2"/>
    <x v="189"/>
    <n v="996.73"/>
    <n v="1217.43"/>
    <n v="1217.43"/>
    <n v="7.0000000000000007E-2"/>
    <n v="7.0000000000000007E-2"/>
    <n v="9"/>
    <s v="OK"/>
    <d v="2025-03-27T00:00:00"/>
    <n v="17"/>
    <n v="10189.8891"/>
    <n v="8970.57"/>
    <n v="1219.3191000000006"/>
    <n v="0.11965970267527255"/>
    <x v="8"/>
    <s v="Networking"/>
    <s v="Networking"/>
    <x v="1"/>
    <x v="1"/>
  </r>
  <r>
    <x v="190"/>
    <x v="141"/>
    <d v="2025-04-04T00:00:00"/>
    <x v="3"/>
    <x v="5"/>
    <x v="9"/>
    <s v="Corporate"/>
    <x v="0"/>
    <x v="10"/>
    <x v="3"/>
    <x v="190"/>
    <n v="783.72"/>
    <n v="1355.94"/>
    <n v="1355.94"/>
    <n v="0.187"/>
    <n v="0.187"/>
    <n v="4"/>
    <s v="OK"/>
    <d v="2025-04-04T00:00:00"/>
    <n v="25"/>
    <n v="4409.5168800000001"/>
    <n v="3134.88"/>
    <n v="1274.63688"/>
    <n v="0.28906497348525856"/>
    <x v="8"/>
    <s v="Printers"/>
    <s v="Printers"/>
    <x v="1"/>
    <x v="1"/>
  </r>
  <r>
    <x v="191"/>
    <x v="142"/>
    <d v="2025-04-17T00:00:00"/>
    <x v="2"/>
    <x v="2"/>
    <x v="3"/>
    <s v="Consumer"/>
    <x v="1"/>
    <x v="10"/>
    <x v="2"/>
    <x v="191"/>
    <n v="1421.19"/>
    <n v="1808.26"/>
    <n v="1808.26"/>
    <n v="0.104"/>
    <n v="0.104"/>
    <n v="13"/>
    <s v="OK"/>
    <d v="2025-04-17T00:00:00"/>
    <n v="23"/>
    <n v="21062.61248"/>
    <n v="18475.47"/>
    <n v="2587.1424799999986"/>
    <n v="0.12283103449093123"/>
    <x v="8"/>
    <s v="Networking"/>
    <s v="Networking"/>
    <x v="1"/>
    <x v="1"/>
  </r>
  <r>
    <x v="192"/>
    <x v="133"/>
    <d v="2025-03-27T00:00:00"/>
    <x v="3"/>
    <x v="5"/>
    <x v="8"/>
    <s v="Enterprise"/>
    <x v="2"/>
    <x v="12"/>
    <x v="3"/>
    <x v="192"/>
    <n v="1317.58"/>
    <n v="1897.74"/>
    <n v="1897.74"/>
    <n v="8.1000000000000003E-2"/>
    <n v="8.1000000000000003E-2"/>
    <n v="6"/>
    <s v="OK"/>
    <d v="2025-03-27T00:00:00"/>
    <n v="16"/>
    <n v="10464.138360000001"/>
    <n v="7905.48"/>
    <n v="2558.6583600000013"/>
    <n v="0.24451687009230266"/>
    <x v="8"/>
    <s v="Printers"/>
    <s v="Printers"/>
    <x v="1"/>
    <x v="1"/>
  </r>
  <r>
    <x v="193"/>
    <x v="131"/>
    <d v="2025-03-25T00:00:00"/>
    <x v="3"/>
    <x v="7"/>
    <x v="11"/>
    <s v="Non-Profit"/>
    <x v="3"/>
    <x v="15"/>
    <x v="2"/>
    <x v="193"/>
    <n v="1133.03"/>
    <n v="1921.51"/>
    <n v="1921.51"/>
    <n v="0.10100000000000001"/>
    <n v="0.10100000000000001"/>
    <n v="5"/>
    <s v="OK"/>
    <d v="2025-03-25T00:00:00"/>
    <n v="1"/>
    <n v="8637.1874499999994"/>
    <n v="5665.15"/>
    <n v="2972.0374499999998"/>
    <n v="0.3440978289755654"/>
    <x v="8"/>
    <s v="Networking"/>
    <s v="Networking"/>
    <x v="1"/>
    <x v="0"/>
  </r>
  <r>
    <x v="194"/>
    <x v="143"/>
    <d v="2025-04-04T00:00:00"/>
    <x v="1"/>
    <x v="1"/>
    <x v="22"/>
    <s v="Corporate"/>
    <x v="0"/>
    <x v="6"/>
    <x v="1"/>
    <x v="194"/>
    <n v="862.08"/>
    <n v="1952.83"/>
    <n v="1952.83"/>
    <n v="0"/>
    <n v="0"/>
    <n v="7"/>
    <s v="OK"/>
    <d v="2025-04-04T00:00:00"/>
    <n v="4"/>
    <n v="13669.81"/>
    <n v="6034.56"/>
    <n v="7635.2499999999991"/>
    <n v="0.5585483631447693"/>
    <x v="8"/>
    <s v="Laptops"/>
    <s v="Laptops"/>
    <x v="1"/>
    <x v="0"/>
  </r>
  <r>
    <x v="195"/>
    <x v="142"/>
    <d v="2025-03-26T00:00:00"/>
    <x v="1"/>
    <x v="8"/>
    <x v="12"/>
    <s v="Education"/>
    <x v="2"/>
    <x v="15"/>
    <x v="0"/>
    <x v="195"/>
    <n v="1450.43"/>
    <n v="1994.67"/>
    <n v="1994.67"/>
    <n v="0.1"/>
    <n v="0.1"/>
    <n v="24"/>
    <s v="OK"/>
    <d v="2025-03-26T00:00:00"/>
    <n v="1"/>
    <n v="43084.872000000003"/>
    <n v="34810.32"/>
    <n v="8274.5520000000033"/>
    <n v="0.19205237513529116"/>
    <x v="8"/>
    <s v="Accessories"/>
    <s v="Accessories"/>
    <x v="1"/>
    <x v="0"/>
  </r>
  <r>
    <x v="196"/>
    <x v="144"/>
    <d v="2025-03-29T00:00:00"/>
    <x v="3"/>
    <x v="4"/>
    <x v="19"/>
    <s v="Enterprise"/>
    <x v="0"/>
    <x v="6"/>
    <x v="6"/>
    <x v="196"/>
    <n v="935.83"/>
    <n v="2303.46"/>
    <n v="2303.46"/>
    <n v="0.105"/>
    <n v="0.105"/>
    <n v="9"/>
    <s v="OK"/>
    <d v="2025-03-29T00:00:00"/>
    <n v="14"/>
    <n v="18554.370299999999"/>
    <n v="8422.4700000000012"/>
    <n v="10131.900299999998"/>
    <n v="0.54606543559174292"/>
    <x v="8"/>
    <s v="Components"/>
    <s v="Components"/>
    <x v="1"/>
    <x v="1"/>
  </r>
  <r>
    <x v="197"/>
    <x v="134"/>
    <d v="2025-03-29T00:00:00"/>
    <x v="3"/>
    <x v="5"/>
    <x v="8"/>
    <s v="Non-Profit"/>
    <x v="0"/>
    <x v="10"/>
    <x v="2"/>
    <x v="197"/>
    <n v="1106.96"/>
    <n v="2726.62"/>
    <n v="2726.62"/>
    <n v="0.317"/>
    <n v="0.3"/>
    <n v="7"/>
    <s v="OK"/>
    <d v="2025-03-29T00:00:00"/>
    <n v="15"/>
    <n v="13360.438"/>
    <n v="7748.72"/>
    <n v="5611.7179999999998"/>
    <n v="0.42002500217432992"/>
    <x v="8"/>
    <s v="Networking"/>
    <s v="Networking"/>
    <x v="0"/>
    <x v="1"/>
  </r>
  <r>
    <x v="198"/>
    <x v="145"/>
    <d v="2024-04-05T00:00:00"/>
    <x v="0"/>
    <x v="9"/>
    <x v="13"/>
    <s v="Consumer"/>
    <x v="0"/>
    <x v="2"/>
    <x v="5"/>
    <x v="198"/>
    <n v="5.66"/>
    <n v="4.22"/>
    <n v="4.22"/>
    <n v="0.11899999999999999"/>
    <n v="0.11899999999999999"/>
    <n v="18"/>
    <s v="OK"/>
    <d v="2024-04-05T00:00:00"/>
    <n v="10"/>
    <n v="66.920760000000001"/>
    <n v="101.88"/>
    <n v="-34.959239999999994"/>
    <n v="-0.52239753403876454"/>
    <x v="9"/>
    <s v="Monitors"/>
    <s v="Monitors"/>
    <x v="1"/>
    <x v="1"/>
  </r>
  <r>
    <x v="199"/>
    <x v="146"/>
    <d v="2024-02-29T00:00:00"/>
    <x v="0"/>
    <x v="0"/>
    <x v="17"/>
    <s v="Non-Profit"/>
    <x v="0"/>
    <x v="13"/>
    <x v="4"/>
    <x v="199"/>
    <n v="5.34"/>
    <n v="12.69"/>
    <n v="12.69"/>
    <n v="0.13200000000000001"/>
    <n v="0.13200000000000001"/>
    <n v="10"/>
    <s v="Correct"/>
    <d v="2024-03-08T00:00:00"/>
    <n v="7"/>
    <n v="110.14919999999999"/>
    <n v="53.4"/>
    <n v="56.749199999999995"/>
    <n v="0.51520301554618642"/>
    <x v="9"/>
    <s v="Phones"/>
    <s v="Phones"/>
    <x v="1"/>
    <x v="0"/>
  </r>
  <r>
    <x v="200"/>
    <x v="147"/>
    <d v="2024-03-26T00:00:00"/>
    <x v="1"/>
    <x v="8"/>
    <x v="27"/>
    <s v="Consumer"/>
    <x v="4"/>
    <x v="13"/>
    <x v="4"/>
    <x v="200"/>
    <n v="65.64"/>
    <n v="151.88"/>
    <n v="151.88"/>
    <n v="0.16700000000000001"/>
    <n v="0.16700000000000001"/>
    <n v="23"/>
    <s v="OK"/>
    <d v="2024-03-26T00:00:00"/>
    <n v="20"/>
    <n v="2909.8689199999999"/>
    <n v="1509.72"/>
    <n v="1400.1489199999999"/>
    <n v="0.48117250587356353"/>
    <x v="9"/>
    <s v="Phones"/>
    <s v="Phones"/>
    <x v="1"/>
    <x v="1"/>
  </r>
  <r>
    <x v="201"/>
    <x v="148"/>
    <d v="2024-04-24T00:00:00"/>
    <x v="0"/>
    <x v="9"/>
    <x v="13"/>
    <s v="Non-Profit"/>
    <x v="3"/>
    <x v="15"/>
    <x v="1"/>
    <x v="201"/>
    <n v="160.82"/>
    <n v="258.52"/>
    <n v="258.52"/>
    <n v="0.13"/>
    <n v="0.13"/>
    <n v="17"/>
    <s v="OK"/>
    <d v="2024-04-24T00:00:00"/>
    <n v="25"/>
    <n v="3823.5108"/>
    <n v="2733.94"/>
    <n v="1089.5708"/>
    <n v="0.28496605789631874"/>
    <x v="9"/>
    <s v="Laptops"/>
    <s v="Laptops"/>
    <x v="1"/>
    <x v="1"/>
  </r>
  <r>
    <x v="202"/>
    <x v="149"/>
    <d v="2024-03-23T00:00:00"/>
    <x v="0"/>
    <x v="9"/>
    <x v="30"/>
    <s v="Small Business"/>
    <x v="3"/>
    <x v="7"/>
    <x v="6"/>
    <x v="202"/>
    <n v="225.01"/>
    <n v="333.48"/>
    <n v="333.48"/>
    <n v="0.11899999999999999"/>
    <n v="0.11899999999999999"/>
    <n v="12"/>
    <s v="OK"/>
    <d v="2024-03-23T00:00:00"/>
    <n v="21"/>
    <n v="3525.5505600000001"/>
    <n v="2700.12"/>
    <n v="825.43056000000024"/>
    <n v="0.23412813004729685"/>
    <x v="9"/>
    <s v="Components"/>
    <s v="Components"/>
    <x v="1"/>
    <x v="1"/>
  </r>
  <r>
    <x v="203"/>
    <x v="149"/>
    <d v="2024-03-16T00:00:00"/>
    <x v="0"/>
    <x v="3"/>
    <x v="18"/>
    <s v="Non-Profit"/>
    <x v="0"/>
    <x v="8"/>
    <x v="3"/>
    <x v="203"/>
    <n v="248.24"/>
    <n v="464.05"/>
    <n v="464.05"/>
    <n v="0.16900000000000001"/>
    <n v="0.16900000000000001"/>
    <n v="11"/>
    <s v="OK"/>
    <d v="2024-03-16T00:00:00"/>
    <n v="14"/>
    <n v="4241.88105"/>
    <n v="2730.6400000000003"/>
    <n v="1511.2410499999996"/>
    <n v="0.3562667203975462"/>
    <x v="9"/>
    <s v="Printers"/>
    <s v="Printers"/>
    <x v="1"/>
    <x v="1"/>
  </r>
  <r>
    <x v="204"/>
    <x v="150"/>
    <d v="2024-03-26T00:00:00"/>
    <x v="3"/>
    <x v="4"/>
    <x v="23"/>
    <s v="Education"/>
    <x v="0"/>
    <x v="15"/>
    <x v="4"/>
    <x v="204"/>
    <n v="382.21"/>
    <n v="571.89"/>
    <n v="571.89"/>
    <n v="0.14799999999999999"/>
    <n v="0.14799999999999999"/>
    <n v="26"/>
    <s v="OK"/>
    <d v="2024-03-26T00:00:00"/>
    <n v="3"/>
    <n v="12668.50728"/>
    <n v="9937.4599999999991"/>
    <n v="2731.0472800000007"/>
    <n v="0.2155776698578809"/>
    <x v="9"/>
    <s v="Phones"/>
    <s v="Phones"/>
    <x v="1"/>
    <x v="0"/>
  </r>
  <r>
    <x v="205"/>
    <x v="151"/>
    <d v="2024-04-06T00:00:00"/>
    <x v="1"/>
    <x v="1"/>
    <x v="16"/>
    <s v="Corporate"/>
    <x v="1"/>
    <x v="6"/>
    <x v="6"/>
    <x v="205"/>
    <n v="279.24"/>
    <n v="608.9"/>
    <n v="608.9"/>
    <n v="0.112"/>
    <n v="0.112"/>
    <n v="9"/>
    <s v="OK"/>
    <d v="2024-04-06T00:00:00"/>
    <n v="26"/>
    <n v="4866.3287999999993"/>
    <n v="2513.16"/>
    <n v="2353.1687999999995"/>
    <n v="0.48356140670149533"/>
    <x v="9"/>
    <s v="Components"/>
    <s v="Components"/>
    <x v="1"/>
    <x v="1"/>
  </r>
  <r>
    <x v="206"/>
    <x v="152"/>
    <d v="2024-04-13T00:00:00"/>
    <x v="2"/>
    <x v="10"/>
    <x v="29"/>
    <s v="Small Business"/>
    <x v="3"/>
    <x v="1"/>
    <x v="3"/>
    <x v="206"/>
    <n v="287.61"/>
    <n v="628.54"/>
    <n v="628.54"/>
    <n v="0.13500000000000001"/>
    <n v="0.13500000000000001"/>
    <n v="21"/>
    <s v="OK"/>
    <d v="2024-04-13T00:00:00"/>
    <n v="28"/>
    <n v="11417.429099999999"/>
    <n v="6039.81"/>
    <n v="5377.619099999999"/>
    <n v="0.47100087531964613"/>
    <x v="9"/>
    <s v="Printers"/>
    <s v="Printers"/>
    <x v="1"/>
    <x v="1"/>
  </r>
  <r>
    <x v="207"/>
    <x v="153"/>
    <d v="2024-04-09T00:00:00"/>
    <x v="0"/>
    <x v="3"/>
    <x v="18"/>
    <s v="Consumer"/>
    <x v="3"/>
    <x v="7"/>
    <x v="5"/>
    <x v="207"/>
    <n v="648.64"/>
    <n v="815.19"/>
    <n v="815.19"/>
    <n v="0.22500000000000001"/>
    <n v="0.22500000000000001"/>
    <n v="28"/>
    <s v="OK"/>
    <d v="2024-04-09T00:00:00"/>
    <n v="25"/>
    <n v="17689.623"/>
    <n v="18161.919999999998"/>
    <n v="-472.29699999999866"/>
    <n v="-2.6699099240272032E-2"/>
    <x v="9"/>
    <s v="Monitors"/>
    <s v="Monitors"/>
    <x v="0"/>
    <x v="1"/>
  </r>
  <r>
    <x v="208"/>
    <x v="154"/>
    <d v="2024-03-25T00:00:00"/>
    <x v="2"/>
    <x v="11"/>
    <x v="35"/>
    <s v="Corporate"/>
    <x v="3"/>
    <x v="12"/>
    <x v="6"/>
    <x v="208"/>
    <n v="712.84"/>
    <n v="927.51"/>
    <n v="927.51"/>
    <n v="0.24299999999999999"/>
    <n v="0.24299999999999999"/>
    <n v="27"/>
    <s v="OK"/>
    <d v="2024-03-25T00:00:00"/>
    <n v="18"/>
    <n v="18957.37689"/>
    <n v="19246.68"/>
    <n v="-289.30311000000074"/>
    <n v="-1.5260714163076427E-2"/>
    <x v="9"/>
    <s v="Components"/>
    <s v="Components"/>
    <x v="0"/>
    <x v="1"/>
  </r>
  <r>
    <x v="209"/>
    <x v="154"/>
    <d v="2024-04-03T00:00:00"/>
    <x v="2"/>
    <x v="11"/>
    <x v="34"/>
    <s v="Corporate"/>
    <x v="0"/>
    <x v="4"/>
    <x v="3"/>
    <x v="209"/>
    <n v="738.16"/>
    <n v="956.49"/>
    <n v="956.49"/>
    <n v="0.152"/>
    <n v="0.152"/>
    <n v="5"/>
    <s v="OK"/>
    <d v="2024-04-03T00:00:00"/>
    <n v="27"/>
    <n v="4055.5175999999997"/>
    <n v="3690.7999999999997"/>
    <n v="364.71759999999995"/>
    <n v="8.9931208780847108E-2"/>
    <x v="9"/>
    <s v="Printers"/>
    <s v="Printers"/>
    <x v="1"/>
    <x v="1"/>
  </r>
  <r>
    <x v="210"/>
    <x v="155"/>
    <d v="2024-03-16T00:00:00"/>
    <x v="1"/>
    <x v="6"/>
    <x v="38"/>
    <s v="Enterprise"/>
    <x v="2"/>
    <x v="4"/>
    <x v="5"/>
    <x v="210"/>
    <n v="441.08"/>
    <n v="1054.29"/>
    <n v="1054.29"/>
    <n v="0.23699999999999999"/>
    <n v="0.23699999999999999"/>
    <n v="6"/>
    <s v="OK"/>
    <d v="2024-03-16T00:00:00"/>
    <n v="12"/>
    <n v="4826.5396199999996"/>
    <n v="2646.48"/>
    <n v="2180.0596199999995"/>
    <n v="0.45168169985932899"/>
    <x v="9"/>
    <s v="Monitors"/>
    <s v="Monitors"/>
    <x v="0"/>
    <x v="1"/>
  </r>
  <r>
    <x v="211"/>
    <x v="156"/>
    <d v="2024-03-26T00:00:00"/>
    <x v="3"/>
    <x v="7"/>
    <x v="14"/>
    <s v="Enterprise"/>
    <x v="3"/>
    <x v="1"/>
    <x v="5"/>
    <x v="211"/>
    <n v="1029.67"/>
    <n v="1118.43"/>
    <n v="1118.43"/>
    <n v="0.27200000000000002"/>
    <n v="0.27200000000000002"/>
    <n v="9"/>
    <s v="OK"/>
    <d v="2024-03-26T00:00:00"/>
    <n v="17"/>
    <n v="7327.9533600000004"/>
    <n v="9267.0300000000007"/>
    <n v="-1939.0766400000002"/>
    <n v="-0.26461367106736061"/>
    <x v="9"/>
    <s v="Monitors"/>
    <s v="Monitors"/>
    <x v="0"/>
    <x v="1"/>
  </r>
  <r>
    <x v="212"/>
    <x v="157"/>
    <d v="2024-03-19T00:00:00"/>
    <x v="3"/>
    <x v="7"/>
    <x v="11"/>
    <s v="Consumer"/>
    <x v="2"/>
    <x v="15"/>
    <x v="4"/>
    <x v="212"/>
    <n v="988.83"/>
    <n v="1206.04"/>
    <n v="1206.04"/>
    <n v="6.3E-2"/>
    <n v="6.3E-2"/>
    <n v="34"/>
    <s v="OK"/>
    <d v="2024-03-19T00:00:00"/>
    <n v="16"/>
    <n v="38422.022320000004"/>
    <n v="33620.22"/>
    <n v="4801.8023200000025"/>
    <n v="0.12497526236406606"/>
    <x v="9"/>
    <s v="Phones"/>
    <s v="Phones"/>
    <x v="1"/>
    <x v="1"/>
  </r>
  <r>
    <x v="213"/>
    <x v="158"/>
    <d v="2024-03-21T00:00:00"/>
    <x v="2"/>
    <x v="11"/>
    <x v="35"/>
    <s v="Small Business"/>
    <x v="3"/>
    <x v="4"/>
    <x v="0"/>
    <x v="213"/>
    <n v="910.63"/>
    <n v="1269.4000000000001"/>
    <n v="1269.4000000000001"/>
    <n v="6.8000000000000005E-2"/>
    <n v="6.8000000000000005E-2"/>
    <n v="9"/>
    <s v="OK"/>
    <d v="2024-03-21T00:00:00"/>
    <n v="3"/>
    <n v="10647.727199999999"/>
    <n v="8195.67"/>
    <n v="2452.0571999999993"/>
    <n v="0.23028925834989455"/>
    <x v="9"/>
    <s v="Accessories"/>
    <s v="Accessories"/>
    <x v="1"/>
    <x v="0"/>
  </r>
  <r>
    <x v="214"/>
    <x v="159"/>
    <d v="2024-04-17T00:00:00"/>
    <x v="2"/>
    <x v="11"/>
    <x v="34"/>
    <s v="Education"/>
    <x v="0"/>
    <x v="10"/>
    <x v="5"/>
    <x v="214"/>
    <n v="1025.51"/>
    <n v="1436.54"/>
    <n v="1436.54"/>
    <n v="0.13900000000000001"/>
    <n v="0.13900000000000001"/>
    <n v="28"/>
    <s v="OK"/>
    <d v="2024-04-17T00:00:00"/>
    <n v="17"/>
    <n v="34632.106319999999"/>
    <n v="28714.28"/>
    <n v="5917.8263200000001"/>
    <n v="0.17087688127656453"/>
    <x v="9"/>
    <s v="Monitors"/>
    <s v="Monitors"/>
    <x v="1"/>
    <x v="1"/>
  </r>
  <r>
    <x v="215"/>
    <x v="151"/>
    <d v="2024-03-29T00:00:00"/>
    <x v="0"/>
    <x v="9"/>
    <x v="21"/>
    <s v="Corporate"/>
    <x v="1"/>
    <x v="4"/>
    <x v="5"/>
    <x v="215"/>
    <n v="710.98"/>
    <n v="1481.45"/>
    <n v="1481.45"/>
    <n v="0.21099999999999999"/>
    <n v="0.21099999999999999"/>
    <n v="9"/>
    <s v="OK"/>
    <d v="2024-03-29T00:00:00"/>
    <n v="18"/>
    <n v="10519.776450000001"/>
    <n v="6398.82"/>
    <n v="4120.9564500000015"/>
    <n v="0.39173422264120461"/>
    <x v="9"/>
    <s v="Monitors"/>
    <s v="Monitors"/>
    <x v="0"/>
    <x v="1"/>
  </r>
  <r>
    <x v="216"/>
    <x v="156"/>
    <d v="2024-03-26T00:00:00"/>
    <x v="0"/>
    <x v="9"/>
    <x v="32"/>
    <s v="Education"/>
    <x v="0"/>
    <x v="13"/>
    <x v="4"/>
    <x v="216"/>
    <n v="1137.4100000000001"/>
    <n v="1680.93"/>
    <n v="1680.93"/>
    <n v="0.254"/>
    <n v="0.254"/>
    <n v="9"/>
    <s v="OK"/>
    <d v="2024-03-26T00:00:00"/>
    <n v="17"/>
    <n v="11285.764020000001"/>
    <n v="10236.69"/>
    <n v="1049.07402"/>
    <n v="9.2955516183121464E-2"/>
    <x v="9"/>
    <s v="Phones"/>
    <s v="Phones"/>
    <x v="0"/>
    <x v="1"/>
  </r>
  <r>
    <x v="217"/>
    <x v="160"/>
    <d v="2024-04-06T00:00:00"/>
    <x v="1"/>
    <x v="8"/>
    <x v="28"/>
    <s v="Consumer"/>
    <x v="2"/>
    <x v="0"/>
    <x v="6"/>
    <x v="217"/>
    <n v="1232.78"/>
    <n v="1731.75"/>
    <n v="1731.75"/>
    <n v="9.2999999999999999E-2"/>
    <n v="9.2999999999999999E-2"/>
    <n v="16"/>
    <s v="OK"/>
    <d v="2024-04-06T00:00:00"/>
    <n v="24"/>
    <n v="25131.155999999999"/>
    <n v="19724.48"/>
    <n v="5406.6759999999995"/>
    <n v="0.21513837246484005"/>
    <x v="9"/>
    <s v="Components"/>
    <s v="Components"/>
    <x v="1"/>
    <x v="1"/>
  </r>
  <r>
    <x v="218"/>
    <x v="156"/>
    <d v="2024-03-22T00:00:00"/>
    <x v="2"/>
    <x v="2"/>
    <x v="26"/>
    <s v="Consumer"/>
    <x v="3"/>
    <x v="11"/>
    <x v="1"/>
    <x v="218"/>
    <n v="985.45"/>
    <n v="1802.44"/>
    <n v="1802.44"/>
    <n v="8.9999999999999993E-3"/>
    <n v="8.9999999999999993E-3"/>
    <n v="19"/>
    <s v="OK"/>
    <d v="2024-03-22T00:00:00"/>
    <n v="13"/>
    <n v="33938.142760000002"/>
    <n v="18723.55"/>
    <n v="15214.592760000003"/>
    <n v="0.44830363486867486"/>
    <x v="9"/>
    <s v="Laptops"/>
    <s v="Laptops"/>
    <x v="1"/>
    <x v="1"/>
  </r>
  <r>
    <x v="219"/>
    <x v="161"/>
    <d v="2024-04-09T00:00:00"/>
    <x v="2"/>
    <x v="10"/>
    <x v="24"/>
    <s v="Corporate"/>
    <x v="0"/>
    <x v="13"/>
    <x v="6"/>
    <x v="219"/>
    <n v="1176.56"/>
    <n v="1911.89"/>
    <n v="1911.89"/>
    <n v="0.11899999999999999"/>
    <n v="0.11899999999999999"/>
    <n v="20"/>
    <s v="OK"/>
    <d v="2024-04-09T00:00:00"/>
    <n v="30"/>
    <n v="33687.501800000005"/>
    <n v="23531.199999999997"/>
    <n v="10156.301800000008"/>
    <n v="0.30148575160892477"/>
    <x v="9"/>
    <s v="Components"/>
    <s v="Components"/>
    <x v="1"/>
    <x v="1"/>
  </r>
  <r>
    <x v="220"/>
    <x v="162"/>
    <d v="2024-04-11T00:00:00"/>
    <x v="0"/>
    <x v="9"/>
    <x v="32"/>
    <s v="Small Business"/>
    <x v="0"/>
    <x v="8"/>
    <x v="2"/>
    <x v="220"/>
    <n v="1338.35"/>
    <n v="2247.14"/>
    <n v="2247.14"/>
    <n v="0.115"/>
    <n v="0.115"/>
    <n v="40"/>
    <s v="OK"/>
    <d v="2024-04-11T00:00:00"/>
    <n v="15"/>
    <n v="79548.755999999994"/>
    <n v="53534"/>
    <n v="26014.755999999994"/>
    <n v="0.32702907384246205"/>
    <x v="9"/>
    <s v="Networking"/>
    <s v="Networking"/>
    <x v="1"/>
    <x v="1"/>
  </r>
  <r>
    <x v="221"/>
    <x v="163"/>
    <d v="2023-04-22T00:00:00"/>
    <x v="3"/>
    <x v="4"/>
    <x v="6"/>
    <s v="Non-Profit"/>
    <x v="4"/>
    <x v="2"/>
    <x v="3"/>
    <x v="221"/>
    <n v="178.53"/>
    <n v="199.37"/>
    <n v="199.37"/>
    <n v="0.10100000000000001"/>
    <n v="0.10100000000000001"/>
    <n v="37"/>
    <s v="OK"/>
    <d v="2023-04-22T00:00:00"/>
    <n v="26"/>
    <n v="6631.6443100000006"/>
    <n v="6605.61"/>
    <n v="26.034310000000914"/>
    <n v="3.9257699573457538E-3"/>
    <x v="10"/>
    <s v="Printers"/>
    <s v="Printers"/>
    <x v="1"/>
    <x v="1"/>
  </r>
  <r>
    <x v="222"/>
    <x v="164"/>
    <d v="2023-03-26T00:00:00"/>
    <x v="3"/>
    <x v="5"/>
    <x v="9"/>
    <s v="Small Business"/>
    <x v="2"/>
    <x v="13"/>
    <x v="5"/>
    <x v="222"/>
    <n v="135.12"/>
    <n v="301.7"/>
    <n v="301.7"/>
    <n v="0.14000000000000001"/>
    <n v="0.14000000000000001"/>
    <n v="47"/>
    <s v="OK"/>
    <d v="2023-03-26T00:00:00"/>
    <n v="1"/>
    <n v="12194.714"/>
    <n v="6350.64"/>
    <n v="5844.0739999999996"/>
    <n v="0.47923009920527859"/>
    <x v="10"/>
    <s v="Monitors"/>
    <s v="Monitors"/>
    <x v="1"/>
    <x v="0"/>
  </r>
  <r>
    <x v="223"/>
    <x v="165"/>
    <d v="2023-03-18T00:00:00"/>
    <x v="2"/>
    <x v="11"/>
    <x v="34"/>
    <s v="Enterprise"/>
    <x v="0"/>
    <x v="5"/>
    <x v="6"/>
    <x v="223"/>
    <n v="472.33"/>
    <n v="360.34"/>
    <n v="360.34"/>
    <n v="0.16500000000000001"/>
    <n v="0.16500000000000001"/>
    <n v="14"/>
    <s v="OK"/>
    <d v="2023-03-18T00:00:00"/>
    <n v="4"/>
    <n v="4212.3745999999992"/>
    <n v="6612.62"/>
    <n v="-2400.2454000000007"/>
    <n v="-0.56980815523861561"/>
    <x v="10"/>
    <s v="Components"/>
    <s v="Components"/>
    <x v="1"/>
    <x v="0"/>
  </r>
  <r>
    <x v="224"/>
    <x v="166"/>
    <d v="2023-04-05T00:00:00"/>
    <x v="1"/>
    <x v="1"/>
    <x v="22"/>
    <s v="Education"/>
    <x v="4"/>
    <x v="12"/>
    <x v="1"/>
    <x v="224"/>
    <n v="533.26"/>
    <n v="385.72"/>
    <n v="385.72"/>
    <n v="0"/>
    <n v="0"/>
    <n v="15"/>
    <s v="OK"/>
    <d v="2023-04-05T00:00:00"/>
    <n v="5"/>
    <n v="5785.8"/>
    <n v="7998.9"/>
    <n v="-2213.0999999999995"/>
    <n v="-0.38250544436378708"/>
    <x v="10"/>
    <s v="Laptops"/>
    <s v="Laptops"/>
    <x v="1"/>
    <x v="0"/>
  </r>
  <r>
    <x v="225"/>
    <x v="166"/>
    <d v="2023-04-12T00:00:00"/>
    <x v="1"/>
    <x v="1"/>
    <x v="5"/>
    <s v="Small Business"/>
    <x v="3"/>
    <x v="6"/>
    <x v="4"/>
    <x v="225"/>
    <n v="304.22000000000003"/>
    <n v="393.31"/>
    <n v="393.31"/>
    <n v="0.26500000000000001"/>
    <n v="0.26500000000000001"/>
    <n v="15"/>
    <s v="OK"/>
    <d v="2023-04-12T00:00:00"/>
    <n v="12"/>
    <n v="4336.2427499999994"/>
    <n v="4563.3"/>
    <n v="-227.05725000000075"/>
    <n v="-5.2362670424759034E-2"/>
    <x v="10"/>
    <s v="Phones"/>
    <s v="Phones"/>
    <x v="0"/>
    <x v="1"/>
  </r>
  <r>
    <x v="226"/>
    <x v="167"/>
    <d v="2023-03-24T00:00:00"/>
    <x v="0"/>
    <x v="3"/>
    <x v="39"/>
    <s v="Consumer"/>
    <x v="2"/>
    <x v="13"/>
    <x v="1"/>
    <x v="226"/>
    <n v="481.71"/>
    <n v="912.45"/>
    <n v="912.45"/>
    <n v="0.20300000000000001"/>
    <n v="0.20300000000000001"/>
    <n v="24"/>
    <s v="OK"/>
    <d v="2023-03-24T00:00:00"/>
    <n v="20"/>
    <n v="17453.3436"/>
    <n v="11561.039999999999"/>
    <n v="5892.3036000000011"/>
    <n v="0.33760313983619739"/>
    <x v="10"/>
    <s v="Laptops"/>
    <s v="Laptops"/>
    <x v="0"/>
    <x v="1"/>
  </r>
  <r>
    <x v="227"/>
    <x v="168"/>
    <d v="2023-04-01T00:00:00"/>
    <x v="1"/>
    <x v="1"/>
    <x v="2"/>
    <s v="Consumer"/>
    <x v="4"/>
    <x v="9"/>
    <x v="3"/>
    <x v="227"/>
    <n v="1024.0999999999999"/>
    <n v="918.19"/>
    <n v="918.19"/>
    <n v="0.189"/>
    <n v="0.189"/>
    <n v="10"/>
    <s v="OK"/>
    <d v="2023-04-01T00:00:00"/>
    <n v="25"/>
    <n v="7446.5209000000004"/>
    <n v="10241"/>
    <n v="-2794.4790999999996"/>
    <n v="-0.37527311579827827"/>
    <x v="10"/>
    <s v="Printers"/>
    <s v="Printers"/>
    <x v="1"/>
    <x v="1"/>
  </r>
  <r>
    <x v="228"/>
    <x v="169"/>
    <d v="2023-04-06T00:00:00"/>
    <x v="2"/>
    <x v="11"/>
    <x v="35"/>
    <s v="Consumer"/>
    <x v="1"/>
    <x v="8"/>
    <x v="4"/>
    <x v="228"/>
    <n v="692.18"/>
    <n v="1159.3499999999999"/>
    <n v="1159.3499999999999"/>
    <n v="0.112"/>
    <n v="0.112"/>
    <n v="2"/>
    <s v="OK"/>
    <d v="2023-04-06T00:00:00"/>
    <n v="20"/>
    <n v="2059.0056"/>
    <n v="1384.36"/>
    <n v="674.64560000000006"/>
    <n v="0.32765602968734037"/>
    <x v="10"/>
    <s v="Phones"/>
    <s v="Phones"/>
    <x v="1"/>
    <x v="1"/>
  </r>
  <r>
    <x v="229"/>
    <x v="170"/>
    <d v="2023-04-15T00:00:00"/>
    <x v="1"/>
    <x v="1"/>
    <x v="5"/>
    <s v="Small Business"/>
    <x v="1"/>
    <x v="6"/>
    <x v="0"/>
    <x v="229"/>
    <n v="875.36"/>
    <n v="1178.6199999999999"/>
    <n v="1178.6199999999999"/>
    <n v="0.151"/>
    <n v="0.151"/>
    <n v="53"/>
    <s v="OK"/>
    <d v="2023-04-15T00:00:00"/>
    <n v="23"/>
    <n v="53034.364139999991"/>
    <n v="46394.080000000002"/>
    <n v="6640.2841399999888"/>
    <n v="0.12520719815685888"/>
    <x v="10"/>
    <s v="Accessories"/>
    <s v="Accessories"/>
    <x v="1"/>
    <x v="1"/>
  </r>
  <r>
    <x v="230"/>
    <x v="171"/>
    <d v="2023-04-09T00:00:00"/>
    <x v="2"/>
    <x v="2"/>
    <x v="26"/>
    <s v="Consumer"/>
    <x v="1"/>
    <x v="0"/>
    <x v="0"/>
    <x v="230"/>
    <n v="1082.17"/>
    <n v="1234.0999999999999"/>
    <n v="1234.0999999999999"/>
    <n v="0.189"/>
    <n v="0.189"/>
    <n v="16"/>
    <s v="OK"/>
    <d v="2023-04-09T00:00:00"/>
    <n v="21"/>
    <n v="16013.681599999998"/>
    <n v="17314.72"/>
    <n v="-1301.0384000000031"/>
    <n v="-8.124542703534228E-2"/>
    <x v="10"/>
    <s v="Accessories"/>
    <s v="Accessories"/>
    <x v="1"/>
    <x v="1"/>
  </r>
  <r>
    <x v="231"/>
    <x v="165"/>
    <d v="2023-03-30T00:00:00"/>
    <x v="1"/>
    <x v="6"/>
    <x v="15"/>
    <s v="Consumer"/>
    <x v="2"/>
    <x v="1"/>
    <x v="6"/>
    <x v="231"/>
    <n v="1309.77"/>
    <n v="1589.07"/>
    <n v="1589.07"/>
    <n v="0.10199999999999999"/>
    <n v="0.10199999999999999"/>
    <n v="10"/>
    <s v="OK"/>
    <d v="2023-03-30T00:00:00"/>
    <n v="16"/>
    <n v="14269.848599999999"/>
    <n v="13097.7"/>
    <n v="1172.1485999999986"/>
    <n v="8.2141628328137886E-2"/>
    <x v="10"/>
    <s v="Components"/>
    <s v="Components"/>
    <x v="1"/>
    <x v="1"/>
  </r>
  <r>
    <x v="232"/>
    <x v="172"/>
    <d v="2023-04-04T00:00:00"/>
    <x v="1"/>
    <x v="6"/>
    <x v="10"/>
    <s v="Small Business"/>
    <x v="1"/>
    <x v="5"/>
    <x v="6"/>
    <x v="232"/>
    <n v="1113.7"/>
    <n v="1620.6"/>
    <n v="1620.6"/>
    <n v="0.13900000000000001"/>
    <n v="0.13900000000000001"/>
    <n v="11"/>
    <s v="OK"/>
    <d v="2023-04-04T00:00:00"/>
    <n v="22"/>
    <n v="15348.702599999999"/>
    <n v="12250.7"/>
    <n v="3098.002599999998"/>
    <n v="0.20184133348182787"/>
    <x v="10"/>
    <s v="Components"/>
    <s v="Components"/>
    <x v="1"/>
    <x v="1"/>
  </r>
  <r>
    <x v="233"/>
    <x v="173"/>
    <d v="2023-03-20T00:00:00"/>
    <x v="3"/>
    <x v="5"/>
    <x v="7"/>
    <s v="Small Business"/>
    <x v="3"/>
    <x v="9"/>
    <x v="2"/>
    <x v="233"/>
    <n v="1171.17"/>
    <n v="2030.64"/>
    <n v="2030.64"/>
    <n v="0.157"/>
    <n v="0.157"/>
    <n v="11"/>
    <s v="OK"/>
    <d v="2023-03-20T00:00:00"/>
    <n v="17"/>
    <n v="18830.12472"/>
    <n v="12882.87"/>
    <n v="5947.254719999999"/>
    <n v="0.31583724528830415"/>
    <x v="10"/>
    <s v="Networking"/>
    <s v="Networking"/>
    <x v="1"/>
    <x v="1"/>
  </r>
  <r>
    <x v="234"/>
    <x v="174"/>
    <d v="2023-04-04T00:00:00"/>
    <x v="3"/>
    <x v="7"/>
    <x v="11"/>
    <s v="Small Business"/>
    <x v="0"/>
    <x v="6"/>
    <x v="5"/>
    <x v="234"/>
    <n v="1126.29"/>
    <n v="2050.87"/>
    <n v="2050.87"/>
    <n v="6.4000000000000001E-2"/>
    <n v="6.4000000000000001E-2"/>
    <n v="7"/>
    <s v="OK"/>
    <d v="2023-04-04T00:00:00"/>
    <n v="29"/>
    <n v="13437.300239999999"/>
    <n v="7884.03"/>
    <n v="5553.2702399999989"/>
    <n v="0.41327276616690373"/>
    <x v="10"/>
    <s v="Monitors"/>
    <s v="Monitors"/>
    <x v="1"/>
    <x v="1"/>
  </r>
  <r>
    <x v="235"/>
    <x v="175"/>
    <d v="2023-03-05T00:00:00"/>
    <x v="0"/>
    <x v="0"/>
    <x v="1"/>
    <s v="Enterprise"/>
    <x v="0"/>
    <x v="15"/>
    <x v="5"/>
    <x v="235"/>
    <n v="1473.58"/>
    <n v="3436.52"/>
    <n v="3436.52"/>
    <n v="0.108"/>
    <n v="0.108"/>
    <n v="8"/>
    <s v="OK"/>
    <d v="2023-03-05T00:00:00"/>
    <n v="3"/>
    <n v="24523.006720000001"/>
    <n v="11788.64"/>
    <n v="12734.366720000002"/>
    <n v="0.51928243813652564"/>
    <x v="10"/>
    <s v="Monitors"/>
    <s v="Monitors"/>
    <x v="1"/>
    <x v="0"/>
  </r>
  <r>
    <x v="236"/>
    <x v="176"/>
    <d v="2025-06-18T00:00:00"/>
    <x v="2"/>
    <x v="10"/>
    <x v="33"/>
    <s v="Small Business"/>
    <x v="4"/>
    <x v="10"/>
    <x v="0"/>
    <x v="236"/>
    <n v="1225.5"/>
    <n v="-5.27"/>
    <n v="5.27"/>
    <n v="7.4999999999999997E-2"/>
    <n v="7.4999999999999997E-2"/>
    <n v="56"/>
    <s v="OK"/>
    <d v="2025-06-18T00:00:00"/>
    <n v="9"/>
    <n v="272.98599999999999"/>
    <n v="68628"/>
    <n v="-68355.013999999996"/>
    <n v="-250.39750756449047"/>
    <x v="5"/>
    <s v="Accessories"/>
    <s v="Accessories"/>
    <x v="1"/>
    <x v="1"/>
  </r>
  <r>
    <x v="237"/>
    <x v="177"/>
    <d v="2025-06-10T00:00:00"/>
    <x v="0"/>
    <x v="3"/>
    <x v="4"/>
    <s v="Consumer"/>
    <x v="2"/>
    <x v="8"/>
    <x v="3"/>
    <x v="237"/>
    <n v="75.180000000000007"/>
    <n v="53.45"/>
    <n v="53.45"/>
    <n v="0.157"/>
    <n v="0.157"/>
    <n v="17"/>
    <s v="OK"/>
    <d v="2025-06-10T00:00:00"/>
    <n v="7"/>
    <n v="765.99195000000009"/>
    <n v="1278.0600000000002"/>
    <n v="-512.06805000000008"/>
    <n v="-0.66850317421743144"/>
    <x v="5"/>
    <s v="Printers"/>
    <s v="Printers"/>
    <x v="1"/>
    <x v="0"/>
  </r>
  <r>
    <x v="238"/>
    <x v="178"/>
    <d v="2025-06-27T00:00:00"/>
    <x v="1"/>
    <x v="6"/>
    <x v="10"/>
    <s v="Enterprise"/>
    <x v="2"/>
    <x v="3"/>
    <x v="4"/>
    <x v="238"/>
    <n v="93.91"/>
    <n v="99.04"/>
    <n v="99.04"/>
    <n v="5.7000000000000002E-2"/>
    <n v="5.7000000000000002E-2"/>
    <n v="6"/>
    <s v="OK"/>
    <d v="2025-06-27T00:00:00"/>
    <n v="6"/>
    <n v="560.36831999999993"/>
    <n v="563.46"/>
    <n v="-3.0916800000001103"/>
    <n v="-5.5172283829323376E-3"/>
    <x v="5"/>
    <s v="Phones"/>
    <s v="Phones"/>
    <x v="1"/>
    <x v="0"/>
  </r>
  <r>
    <x v="239"/>
    <x v="179"/>
    <d v="2025-07-23T00:00:00"/>
    <x v="0"/>
    <x v="3"/>
    <x v="18"/>
    <s v="Non-Profit"/>
    <x v="4"/>
    <x v="13"/>
    <x v="3"/>
    <x v="239"/>
    <n v="255.4"/>
    <n v="322.70999999999998"/>
    <n v="322.70999999999998"/>
    <n v="0.115"/>
    <n v="0.115"/>
    <n v="16"/>
    <s v="OK"/>
    <d v="2025-07-23T00:00:00"/>
    <n v="29"/>
    <n v="4569.5735999999997"/>
    <n v="4086.4"/>
    <n v="483.17359999999962"/>
    <n v="0.10573713048412212"/>
    <x v="5"/>
    <s v="Printers"/>
    <s v="Printers"/>
    <x v="1"/>
    <x v="1"/>
  </r>
  <r>
    <x v="240"/>
    <x v="180"/>
    <d v="2025-07-10T00:00:00"/>
    <x v="2"/>
    <x v="2"/>
    <x v="37"/>
    <s v="Non-Profit"/>
    <x v="4"/>
    <x v="9"/>
    <x v="4"/>
    <x v="240"/>
    <n v="546.83000000000004"/>
    <n v="400.84"/>
    <n v="400.84"/>
    <n v="7.8E-2"/>
    <n v="7.8E-2"/>
    <n v="13"/>
    <s v="OK"/>
    <d v="2025-07-10T00:00:00"/>
    <n v="15"/>
    <n v="4804.4682400000002"/>
    <n v="7108.7900000000009"/>
    <n v="-2304.3217600000007"/>
    <n v="-0.47962056254533608"/>
    <x v="5"/>
    <s v="Phones"/>
    <s v="Phones"/>
    <x v="1"/>
    <x v="1"/>
  </r>
  <r>
    <x v="241"/>
    <x v="181"/>
    <d v="2025-07-05T00:00:00"/>
    <x v="2"/>
    <x v="11"/>
    <x v="35"/>
    <s v="Small Business"/>
    <x v="0"/>
    <x v="15"/>
    <x v="5"/>
    <x v="241"/>
    <n v="314.93"/>
    <n v="687.95"/>
    <n v="687.95"/>
    <n v="0.20499999999999999"/>
    <n v="0.20499999999999999"/>
    <n v="8"/>
    <s v="OK"/>
    <d v="2025-07-05T00:00:00"/>
    <n v="8"/>
    <n v="4375.3620000000001"/>
    <n v="2519.44"/>
    <n v="1855.922"/>
    <n v="0.424175645352316"/>
    <x v="5"/>
    <s v="Monitors"/>
    <s v="Monitors"/>
    <x v="0"/>
    <x v="1"/>
  </r>
  <r>
    <x v="242"/>
    <x v="182"/>
    <d v="2025-07-12T00:00:00"/>
    <x v="2"/>
    <x v="10"/>
    <x v="33"/>
    <s v="Consumer"/>
    <x v="0"/>
    <x v="6"/>
    <x v="0"/>
    <x v="242"/>
    <n v="318.83"/>
    <n v="699.5"/>
    <n v="699.5"/>
    <n v="0.08"/>
    <n v="0.08"/>
    <n v="13"/>
    <s v="OK"/>
    <d v="2025-07-12T00:00:00"/>
    <n v="27"/>
    <n v="8366.02"/>
    <n v="4144.79"/>
    <n v="4221.2300000000005"/>
    <n v="0.50456848059172699"/>
    <x v="5"/>
    <s v="Accessories"/>
    <s v="Accessories"/>
    <x v="1"/>
    <x v="1"/>
  </r>
  <r>
    <x v="243"/>
    <x v="176"/>
    <d v="2025-06-24T00:00:00"/>
    <x v="3"/>
    <x v="5"/>
    <x v="7"/>
    <s v="Corporate"/>
    <x v="0"/>
    <x v="12"/>
    <x v="4"/>
    <x v="243"/>
    <n v="400.39"/>
    <n v="712.75"/>
    <n v="712.75"/>
    <n v="0.115"/>
    <n v="0.115"/>
    <n v="19"/>
    <s v="OK"/>
    <d v="2025-06-24T00:00:00"/>
    <n v="15"/>
    <n v="11984.891250000001"/>
    <n v="7607.41"/>
    <n v="4377.4812500000007"/>
    <n v="0.36524997671547504"/>
    <x v="5"/>
    <s v="Phones"/>
    <s v="Phones"/>
    <x v="1"/>
    <x v="1"/>
  </r>
  <r>
    <x v="244"/>
    <x v="183"/>
    <d v="2025-06-06T00:00:00"/>
    <x v="2"/>
    <x v="10"/>
    <x v="29"/>
    <s v="Consumer"/>
    <x v="2"/>
    <x v="15"/>
    <x v="6"/>
    <x v="244"/>
    <n v="379.45"/>
    <n v="742.23"/>
    <n v="742.23"/>
    <n v="0.09"/>
    <n v="0.09"/>
    <n v="13"/>
    <s v="OK"/>
    <d v="2025-06-06T00:00:00"/>
    <n v="5"/>
    <n v="8780.5809000000008"/>
    <n v="4932.8499999999995"/>
    <n v="3847.7309000000014"/>
    <n v="0.43820915083192286"/>
    <x v="5"/>
    <s v="Components"/>
    <s v="Components"/>
    <x v="1"/>
    <x v="0"/>
  </r>
  <r>
    <x v="245"/>
    <x v="184"/>
    <d v="2025-06-14T00:00:00"/>
    <x v="3"/>
    <x v="4"/>
    <x v="6"/>
    <s v="Non-Profit"/>
    <x v="1"/>
    <x v="5"/>
    <x v="0"/>
    <x v="245"/>
    <n v="618.69000000000005"/>
    <n v="796.15"/>
    <n v="796.15"/>
    <n v="0.09"/>
    <n v="0.09"/>
    <n v="11"/>
    <s v="OK"/>
    <d v="2025-06-14T00:00:00"/>
    <n v="9"/>
    <n v="7969.4615000000003"/>
    <n v="6805.59"/>
    <n v="1163.8715000000002"/>
    <n v="0.14604142325049191"/>
    <x v="5"/>
    <s v="Accessories"/>
    <s v="Accessories"/>
    <x v="1"/>
    <x v="1"/>
  </r>
  <r>
    <x v="246"/>
    <x v="179"/>
    <d v="2025-07-14T00:00:00"/>
    <x v="2"/>
    <x v="11"/>
    <x v="36"/>
    <s v="Corporate"/>
    <x v="0"/>
    <x v="8"/>
    <x v="0"/>
    <x v="246"/>
    <n v="385.08"/>
    <n v="893.19"/>
    <n v="893.19"/>
    <n v="0.151"/>
    <n v="0.151"/>
    <n v="8"/>
    <s v="OK"/>
    <d v="2025-07-14T00:00:00"/>
    <n v="20"/>
    <n v="6066.54648"/>
    <n v="3080.64"/>
    <n v="2985.9064800000001"/>
    <n v="0.49219213762621666"/>
    <x v="5"/>
    <s v="Accessories"/>
    <s v="Accessories"/>
    <x v="1"/>
    <x v="1"/>
  </r>
  <r>
    <x v="247"/>
    <x v="176"/>
    <d v="2025-06-25T00:00:00"/>
    <x v="3"/>
    <x v="4"/>
    <x v="31"/>
    <s v="Enterprise"/>
    <x v="2"/>
    <x v="4"/>
    <x v="4"/>
    <x v="247"/>
    <n v="527.33000000000004"/>
    <n v="911.72"/>
    <n v="911.72"/>
    <n v="0.14399999999999999"/>
    <n v="0.14399999999999999"/>
    <n v="25"/>
    <s v="OK"/>
    <d v="2025-06-25T00:00:00"/>
    <n v="16"/>
    <n v="19510.808000000001"/>
    <n v="13183.250000000002"/>
    <n v="6327.5579999999991"/>
    <n v="0.32431040272652978"/>
    <x v="5"/>
    <s v="Phones"/>
    <s v="Phones"/>
    <x v="1"/>
    <x v="1"/>
  </r>
  <r>
    <x v="248"/>
    <x v="185"/>
    <d v="2025-07-08T00:00:00"/>
    <x v="2"/>
    <x v="2"/>
    <x v="3"/>
    <s v="Education"/>
    <x v="0"/>
    <x v="5"/>
    <x v="4"/>
    <x v="248"/>
    <n v="892.73"/>
    <n v="979.84"/>
    <n v="979.84"/>
    <n v="0.17399999999999999"/>
    <n v="0.17399999999999999"/>
    <n v="10"/>
    <s v="OK"/>
    <d v="2025-07-08T00:00:00"/>
    <n v="16"/>
    <n v="8093.4784"/>
    <n v="8927.2999999999993"/>
    <n v="-833.82159999999931"/>
    <n v="-0.10302388649112838"/>
    <x v="5"/>
    <s v="Phones"/>
    <s v="Phones"/>
    <x v="1"/>
    <x v="1"/>
  </r>
  <r>
    <x v="249"/>
    <x v="186"/>
    <d v="2025-06-29T00:00:00"/>
    <x v="1"/>
    <x v="8"/>
    <x v="27"/>
    <s v="Consumer"/>
    <x v="4"/>
    <x v="4"/>
    <x v="0"/>
    <x v="249"/>
    <n v="730.99"/>
    <n v="1242.8399999999999"/>
    <n v="1242.8399999999999"/>
    <n v="0.12"/>
    <n v="0.12"/>
    <n v="10"/>
    <s v="OK"/>
    <d v="2025-06-29T00:00:00"/>
    <n v="15"/>
    <n v="10936.992"/>
    <n v="7309.9"/>
    <n v="3627.0920000000006"/>
    <n v="0.33163524303574515"/>
    <x v="5"/>
    <s v="Accessories"/>
    <s v="Accessories"/>
    <x v="1"/>
    <x v="1"/>
  </r>
  <r>
    <x v="250"/>
    <x v="182"/>
    <d v="2025-06-30T00:00:00"/>
    <x v="1"/>
    <x v="6"/>
    <x v="38"/>
    <s v="Small Business"/>
    <x v="0"/>
    <x v="6"/>
    <x v="5"/>
    <x v="250"/>
    <n v="1487.59"/>
    <n v="1480.83"/>
    <n v="1480.83"/>
    <n v="8.9999999999999993E-3"/>
    <n v="8.9999999999999993E-3"/>
    <n v="11"/>
    <s v="OK"/>
    <d v="2025-06-30T00:00:00"/>
    <n v="15"/>
    <n v="16142.527829999999"/>
    <n v="16363.49"/>
    <n v="-220.9621700000007"/>
    <n v="-1.3688201273492908E-2"/>
    <x v="5"/>
    <s v="Monitors"/>
    <s v="Monitors"/>
    <x v="1"/>
    <x v="1"/>
  </r>
  <r>
    <x v="251"/>
    <x v="179"/>
    <d v="2025-07-10T00:00:00"/>
    <x v="3"/>
    <x v="7"/>
    <x v="20"/>
    <s v="Enterprise"/>
    <x v="0"/>
    <x v="3"/>
    <x v="6"/>
    <x v="251"/>
    <n v="757.19"/>
    <n v="1735.41"/>
    <n v="1735.41"/>
    <n v="0.13600000000000001"/>
    <n v="0.13600000000000001"/>
    <n v="8"/>
    <s v="OK"/>
    <d v="2025-07-10T00:00:00"/>
    <n v="16"/>
    <n v="11995.153920000001"/>
    <n v="6057.52"/>
    <n v="5937.6339200000002"/>
    <n v="0.4950027285685718"/>
    <x v="5"/>
    <s v="Components"/>
    <s v="Components"/>
    <x v="1"/>
    <x v="1"/>
  </r>
  <r>
    <x v="252"/>
    <x v="187"/>
    <d v="2025-07-12T00:00:00"/>
    <x v="2"/>
    <x v="2"/>
    <x v="25"/>
    <s v="Non-Profit"/>
    <x v="0"/>
    <x v="14"/>
    <x v="2"/>
    <x v="252"/>
    <n v="801.24"/>
    <n v="1959.09"/>
    <n v="1959.09"/>
    <n v="0.123"/>
    <n v="0.123"/>
    <n v="23"/>
    <s v="OK"/>
    <d v="2025-07-12T00:00:00"/>
    <n v="23"/>
    <n v="39516.804389999998"/>
    <n v="18428.52"/>
    <n v="21088.284389999997"/>
    <n v="0.53365358650651762"/>
    <x v="5"/>
    <s v="Networking"/>
    <s v="Networking"/>
    <x v="1"/>
    <x v="1"/>
  </r>
  <r>
    <x v="253"/>
    <x v="188"/>
    <d v="2025-07-11T00:00:00"/>
    <x v="1"/>
    <x v="8"/>
    <x v="27"/>
    <s v="Small Business"/>
    <x v="3"/>
    <x v="5"/>
    <x v="1"/>
    <x v="253"/>
    <n v="1170.1500000000001"/>
    <n v="2115.19"/>
    <n v="2115.19"/>
    <n v="9.1999999999999998E-2"/>
    <n v="9.1999999999999998E-2"/>
    <n v="23"/>
    <s v="OK"/>
    <d v="2025-07-11T00:00:00"/>
    <n v="15"/>
    <n v="44173.627960000005"/>
    <n v="26913.45"/>
    <n v="17260.177960000005"/>
    <n v="0.39073489674946776"/>
    <x v="5"/>
    <s v="Laptops"/>
    <s v="Laptops"/>
    <x v="1"/>
    <x v="1"/>
  </r>
  <r>
    <x v="254"/>
    <x v="183"/>
    <d v="2025-06-05T00:00:00"/>
    <x v="2"/>
    <x v="11"/>
    <x v="35"/>
    <s v="Enterprise"/>
    <x v="0"/>
    <x v="4"/>
    <x v="6"/>
    <x v="254"/>
    <n v="1171.42"/>
    <n v="2187.8000000000002"/>
    <n v="2187.8000000000002"/>
    <n v="0.23"/>
    <n v="0.23"/>
    <n v="15"/>
    <s v="OK"/>
    <d v="2025-06-05T00:00:00"/>
    <n v="4"/>
    <n v="25269.09"/>
    <n v="17571.300000000003"/>
    <n v="7697.7899999999972"/>
    <n v="0.30463265594447592"/>
    <x v="5"/>
    <s v="Components"/>
    <s v="Components"/>
    <x v="0"/>
    <x v="0"/>
  </r>
  <r>
    <x v="255"/>
    <x v="181"/>
    <d v="2025-07-11T00:00:00"/>
    <x v="3"/>
    <x v="7"/>
    <x v="20"/>
    <s v="Small Business"/>
    <x v="4"/>
    <x v="0"/>
    <x v="2"/>
    <x v="255"/>
    <n v="1227.7"/>
    <n v="2197.23"/>
    <n v="2197.23"/>
    <n v="9.9000000000000005E-2"/>
    <n v="9.9000000000000005E-2"/>
    <n v="22"/>
    <s v="OK"/>
    <d v="2025-07-11T00:00:00"/>
    <n v="14"/>
    <n v="43553.493060000001"/>
    <n v="27009.4"/>
    <n v="16544.093059999999"/>
    <n v="0.37985685871873898"/>
    <x v="5"/>
    <s v="Networking"/>
    <s v="Networking"/>
    <x v="1"/>
    <x v="1"/>
  </r>
  <r>
    <x v="256"/>
    <x v="189"/>
    <d v="2025-07-05T00:00:00"/>
    <x v="3"/>
    <x v="4"/>
    <x v="6"/>
    <s v="Consumer"/>
    <x v="4"/>
    <x v="0"/>
    <x v="1"/>
    <x v="256"/>
    <n v="982.93"/>
    <n v="2299.3000000000002"/>
    <n v="2299.3000000000002"/>
    <n v="0.113"/>
    <n v="0.113"/>
    <n v="6"/>
    <s v="OK"/>
    <d v="2025-07-05T00:00:00"/>
    <n v="18"/>
    <n v="12236.874600000001"/>
    <n v="5897.58"/>
    <n v="6339.2946000000011"/>
    <n v="0.51804850562087157"/>
    <x v="5"/>
    <s v="Laptops"/>
    <s v="Laptops"/>
    <x v="1"/>
    <x v="1"/>
  </r>
  <r>
    <x v="257"/>
    <x v="179"/>
    <d v="2025-07-14T00:00:00"/>
    <x v="1"/>
    <x v="6"/>
    <x v="38"/>
    <s v="Enterprise"/>
    <x v="4"/>
    <x v="2"/>
    <x v="1"/>
    <x v="257"/>
    <n v="1151.06"/>
    <n v="2821.36"/>
    <n v="2821.36"/>
    <n v="0.248"/>
    <n v="0.248"/>
    <n v="20"/>
    <s v="OK"/>
    <d v="2025-07-14T00:00:00"/>
    <n v="20"/>
    <n v="42433.254400000005"/>
    <n v="23021.199999999997"/>
    <n v="19412.054400000008"/>
    <n v="0.45747267501594235"/>
    <x v="5"/>
    <s v="Laptops"/>
    <s v="Laptops"/>
    <x v="0"/>
    <x v="1"/>
  </r>
  <r>
    <x v="258"/>
    <x v="183"/>
    <d v="2025-06-27T00:00:00"/>
    <x v="2"/>
    <x v="11"/>
    <x v="35"/>
    <s v="Consumer"/>
    <x v="2"/>
    <x v="11"/>
    <x v="1"/>
    <x v="258"/>
    <n v="1362.31"/>
    <n v="3294.57"/>
    <n v="3294.57"/>
    <n v="0.113"/>
    <n v="0.113"/>
    <n v="7"/>
    <s v="OK"/>
    <d v="2025-06-27T00:00:00"/>
    <n v="26"/>
    <n v="20455.985130000001"/>
    <n v="9536.17"/>
    <n v="10919.815130000001"/>
    <n v="0.5338200561157721"/>
    <x v="5"/>
    <s v="Laptops"/>
    <s v="Laptops"/>
    <x v="1"/>
    <x v="1"/>
  </r>
  <r>
    <x v="259"/>
    <x v="187"/>
    <d v="2025-06-21T00:00:00"/>
    <x v="1"/>
    <x v="6"/>
    <x v="38"/>
    <s v="Small Business"/>
    <x v="5"/>
    <x v="10"/>
    <x v="4"/>
    <x v="259"/>
    <n v="1466.27"/>
    <n v="3589.89"/>
    <n v="3589.89"/>
    <n v="9.7000000000000003E-2"/>
    <n v="9.7000000000000003E-2"/>
    <n v="9"/>
    <s v="OK"/>
    <d v="2025-06-21T00:00:00"/>
    <n v="2"/>
    <n v="29175.036029999999"/>
    <n v="13196.43"/>
    <n v="15978.606029999999"/>
    <n v="0.54768076425234147"/>
    <x v="5"/>
    <s v="Phones"/>
    <s v="Phones"/>
    <x v="1"/>
    <x v="0"/>
  </r>
  <r>
    <x v="260"/>
    <x v="190"/>
    <d v="2024-07-26T00:00:00"/>
    <x v="1"/>
    <x v="6"/>
    <x v="10"/>
    <s v="Enterprise"/>
    <x v="2"/>
    <x v="12"/>
    <x v="2"/>
    <x v="260"/>
    <n v="5.36"/>
    <n v="4.37"/>
    <n v="4.37"/>
    <n v="0.11799999999999999"/>
    <n v="0.11799999999999999"/>
    <n v="9"/>
    <s v="OK"/>
    <d v="2024-07-26T00:00:00"/>
    <n v="27"/>
    <n v="34.689059999999998"/>
    <n v="48.24"/>
    <n v="-13.550940000000004"/>
    <n v="-0.39064016148030545"/>
    <x v="6"/>
    <s v="Networking"/>
    <s v="Networking"/>
    <x v="1"/>
    <x v="1"/>
  </r>
  <r>
    <x v="261"/>
    <x v="191"/>
    <d v="2024-06-08T00:00:00"/>
    <x v="1"/>
    <x v="1"/>
    <x v="16"/>
    <s v="Consumer"/>
    <x v="4"/>
    <x v="5"/>
    <x v="0"/>
    <x v="261"/>
    <n v="292.94"/>
    <n v="356.55"/>
    <n v="356.55"/>
    <n v="0.22900000000000001"/>
    <n v="0.22900000000000001"/>
    <n v="2"/>
    <s v="OK"/>
    <d v="2024-06-08T00:00:00"/>
    <n v="6"/>
    <n v="549.80010000000004"/>
    <n v="585.88"/>
    <n v="-36.079899999999952"/>
    <n v="-6.5623669402751925E-2"/>
    <x v="6"/>
    <s v="Accessories"/>
    <s v="Accessories"/>
    <x v="0"/>
    <x v="0"/>
  </r>
  <r>
    <x v="262"/>
    <x v="192"/>
    <d v="2024-06-20T00:00:00"/>
    <x v="1"/>
    <x v="1"/>
    <x v="16"/>
    <s v="Small Business"/>
    <x v="0"/>
    <x v="2"/>
    <x v="1"/>
    <x v="262"/>
    <n v="231.63"/>
    <n v="537.39"/>
    <n v="537.39"/>
    <n v="0.08"/>
    <n v="0.08"/>
    <n v="12"/>
    <s v="OK"/>
    <d v="2024-06-20T00:00:00"/>
    <n v="1"/>
    <n v="5932.7856000000002"/>
    <n v="2779.56"/>
    <n v="3153.2256000000002"/>
    <n v="0.53149158129024587"/>
    <x v="6"/>
    <s v="Laptops"/>
    <s v="Laptops"/>
    <x v="1"/>
    <x v="0"/>
  </r>
  <r>
    <x v="263"/>
    <x v="193"/>
    <d v="2024-06-28T00:00:00"/>
    <x v="1"/>
    <x v="8"/>
    <x v="27"/>
    <s v="Non-Profit"/>
    <x v="0"/>
    <x v="4"/>
    <x v="0"/>
    <x v="263"/>
    <n v="242.31"/>
    <n v="587.95000000000005"/>
    <n v="587.95000000000005"/>
    <n v="0.22900000000000001"/>
    <n v="0.22900000000000001"/>
    <n v="6"/>
    <s v="OK"/>
    <d v="2024-06-28T00:00:00"/>
    <n v="5"/>
    <n v="2719.8567000000003"/>
    <n v="1453.8600000000001"/>
    <n v="1265.9967000000001"/>
    <n v="0.46546448568411714"/>
    <x v="6"/>
    <s v="Accessories"/>
    <s v="Accessories"/>
    <x v="0"/>
    <x v="0"/>
  </r>
  <r>
    <x v="264"/>
    <x v="194"/>
    <d v="2024-06-24T00:00:00"/>
    <x v="1"/>
    <x v="6"/>
    <x v="10"/>
    <s v="Education"/>
    <x v="2"/>
    <x v="10"/>
    <x v="5"/>
    <x v="264"/>
    <n v="597.85"/>
    <n v="741.92"/>
    <n v="741.92"/>
    <n v="3.1E-2"/>
    <n v="3.1E-2"/>
    <n v="7"/>
    <s v="OK"/>
    <d v="2024-06-24T00:00:00"/>
    <n v="16"/>
    <n v="5032.4433599999993"/>
    <n v="4184.95"/>
    <n v="847.49335999999948"/>
    <n v="0.16840594108544515"/>
    <x v="6"/>
    <s v="Monitors"/>
    <s v="Monitors"/>
    <x v="1"/>
    <x v="1"/>
  </r>
  <r>
    <x v="265"/>
    <x v="195"/>
    <d v="2024-07-07T00:00:00"/>
    <x v="3"/>
    <x v="7"/>
    <x v="14"/>
    <s v="Corporate"/>
    <x v="3"/>
    <x v="2"/>
    <x v="6"/>
    <x v="265"/>
    <n v="550.22"/>
    <n v="1025.05"/>
    <n v="1025.05"/>
    <n v="0"/>
    <n v="0"/>
    <n v="27"/>
    <s v="OK"/>
    <d v="2024-07-07T00:00:00"/>
    <n v="28"/>
    <n v="27676.35"/>
    <n v="14855.94"/>
    <n v="12820.409999999998"/>
    <n v="0.46322618408858102"/>
    <x v="6"/>
    <s v="Components"/>
    <s v="Components"/>
    <x v="1"/>
    <x v="1"/>
  </r>
  <r>
    <x v="266"/>
    <x v="196"/>
    <d v="2024-07-09T00:00:00"/>
    <x v="1"/>
    <x v="8"/>
    <x v="27"/>
    <s v="Corporate"/>
    <x v="4"/>
    <x v="13"/>
    <x v="4"/>
    <x v="266"/>
    <n v="895.54"/>
    <n v="1045"/>
    <n v="1045"/>
    <n v="0.216"/>
    <n v="0.216"/>
    <n v="15"/>
    <s v="OK"/>
    <d v="2024-07-09T00:00:00"/>
    <n v="28"/>
    <n v="12289.2"/>
    <n v="13433.099999999999"/>
    <n v="-1143.8999999999978"/>
    <n v="-9.3081730299775234E-2"/>
    <x v="6"/>
    <s v="Phones"/>
    <s v="Phones"/>
    <x v="0"/>
    <x v="1"/>
  </r>
  <r>
    <x v="267"/>
    <x v="197"/>
    <d v="2024-07-06T00:00:00"/>
    <x v="0"/>
    <x v="3"/>
    <x v="4"/>
    <s v="Enterprise"/>
    <x v="2"/>
    <x v="0"/>
    <x v="3"/>
    <x v="267"/>
    <n v="817.23"/>
    <n v="1467.17"/>
    <n v="1467.17"/>
    <n v="0.245"/>
    <n v="0.245"/>
    <n v="9"/>
    <s v="OK"/>
    <d v="2024-07-06T00:00:00"/>
    <n v="21"/>
    <n v="9969.4201499999999"/>
    <n v="7355.07"/>
    <n v="2614.3501500000002"/>
    <n v="0.26223693160328893"/>
    <x v="6"/>
    <s v="Printers"/>
    <s v="Printers"/>
    <x v="0"/>
    <x v="1"/>
  </r>
  <r>
    <x v="268"/>
    <x v="198"/>
    <d v="2024-06-16T00:00:00"/>
    <x v="3"/>
    <x v="7"/>
    <x v="20"/>
    <s v="Corporate"/>
    <x v="1"/>
    <x v="2"/>
    <x v="3"/>
    <x v="268"/>
    <n v="918.42"/>
    <n v="1511.71"/>
    <n v="1511.71"/>
    <n v="0.02"/>
    <n v="0.02"/>
    <n v="8"/>
    <s v="OK"/>
    <d v="2024-06-16T00:00:00"/>
    <n v="12"/>
    <n v="11851.806399999999"/>
    <n v="7347.36"/>
    <n v="4504.4463999999998"/>
    <n v="0.38006412254590999"/>
    <x v="6"/>
    <s v="Printers"/>
    <s v="Printers"/>
    <x v="1"/>
    <x v="1"/>
  </r>
  <r>
    <x v="269"/>
    <x v="199"/>
    <d v="2024-06-23T00:00:00"/>
    <x v="1"/>
    <x v="1"/>
    <x v="2"/>
    <s v="Consumer"/>
    <x v="2"/>
    <x v="9"/>
    <x v="1"/>
    <x v="269"/>
    <n v="1208.74"/>
    <n v="1594.78"/>
    <n v="1594.78"/>
    <n v="5.8999999999999997E-2"/>
    <n v="5.8999999999999997E-2"/>
    <n v="39"/>
    <s v="OK"/>
    <d v="2024-06-23T00:00:00"/>
    <n v="18"/>
    <n v="58526.83122"/>
    <n v="47140.86"/>
    <n v="11385.971219999999"/>
    <n v="0.1945427589817838"/>
    <x v="6"/>
    <s v="Laptops"/>
    <s v="Laptops"/>
    <x v="1"/>
    <x v="1"/>
  </r>
  <r>
    <x v="270"/>
    <x v="193"/>
    <d v="2024-06-25T00:00:00"/>
    <x v="2"/>
    <x v="2"/>
    <x v="37"/>
    <s v="Small Business"/>
    <x v="4"/>
    <x v="0"/>
    <x v="0"/>
    <x v="270"/>
    <n v="951.44"/>
    <n v="1646.43"/>
    <n v="1646.43"/>
    <n v="0.11"/>
    <n v="0.11"/>
    <n v="24"/>
    <s v="OK"/>
    <d v="2024-06-25T00:00:00"/>
    <n v="2"/>
    <n v="35167.7448"/>
    <n v="22834.560000000001"/>
    <n v="12333.184799999999"/>
    <n v="0.35069592520473475"/>
    <x v="6"/>
    <s v="Accessories"/>
    <s v="Accessories"/>
    <x v="1"/>
    <x v="0"/>
  </r>
  <r>
    <x v="271"/>
    <x v="200"/>
    <d v="2024-07-21T00:00:00"/>
    <x v="1"/>
    <x v="1"/>
    <x v="16"/>
    <s v="Small Business"/>
    <x v="1"/>
    <x v="1"/>
    <x v="1"/>
    <x v="271"/>
    <n v="753.43"/>
    <n v="1787.2"/>
    <n v="1787.2"/>
    <n v="7.2999999999999995E-2"/>
    <n v="7.2999999999999995E-2"/>
    <n v="9"/>
    <s v="OK"/>
    <d v="2024-07-21T00:00:00"/>
    <n v="21"/>
    <n v="14910.609600000002"/>
    <n v="6780.87"/>
    <n v="8129.7396000000017"/>
    <n v="0.54523187301476939"/>
    <x v="6"/>
    <s v="Laptops"/>
    <s v="Laptops"/>
    <x v="1"/>
    <x v="1"/>
  </r>
  <r>
    <x v="272"/>
    <x v="201"/>
    <d v="2024-06-11T00:00:00"/>
    <x v="2"/>
    <x v="2"/>
    <x v="37"/>
    <s v="Small Business"/>
    <x v="4"/>
    <x v="4"/>
    <x v="1"/>
    <x v="272"/>
    <n v="1187.1300000000001"/>
    <n v="1795.17"/>
    <n v="1795.17"/>
    <n v="1.2E-2"/>
    <n v="1.2E-2"/>
    <n v="17"/>
    <s v="OK"/>
    <d v="2024-06-11T00:00:00"/>
    <n v="1"/>
    <n v="30151.675319999998"/>
    <n v="20181.210000000003"/>
    <n v="9970.4653199999957"/>
    <n v="0.33067699271046663"/>
    <x v="6"/>
    <s v="Laptops"/>
    <s v="Laptops"/>
    <x v="1"/>
    <x v="0"/>
  </r>
  <r>
    <x v="273"/>
    <x v="202"/>
    <d v="2024-06-26T00:00:00"/>
    <x v="2"/>
    <x v="11"/>
    <x v="36"/>
    <s v="Non-Profit"/>
    <x v="4"/>
    <x v="4"/>
    <x v="6"/>
    <x v="273"/>
    <n v="1064.32"/>
    <n v="1848.39"/>
    <n v="1848.39"/>
    <n v="7.2999999999999995E-2"/>
    <n v="7.2999999999999995E-2"/>
    <n v="38"/>
    <s v="OK"/>
    <d v="2024-06-26T00:00:00"/>
    <n v="19"/>
    <n v="65111.38614000001"/>
    <n v="40444.159999999996"/>
    <n v="24667.226140000013"/>
    <n v="0.3788465827921631"/>
    <x v="6"/>
    <s v="Components"/>
    <s v="Components"/>
    <x v="1"/>
    <x v="1"/>
  </r>
  <r>
    <x v="274"/>
    <x v="200"/>
    <d v="2024-06-28T00:00:00"/>
    <x v="0"/>
    <x v="0"/>
    <x v="0"/>
    <s v="Small Business"/>
    <x v="0"/>
    <x v="0"/>
    <x v="0"/>
    <x v="274"/>
    <n v="1112.98"/>
    <n v="2095.73"/>
    <n v="2095.73"/>
    <n v="7.1999999999999995E-2"/>
    <n v="7.1999999999999995E-2"/>
    <n v="17"/>
    <s v="Correct"/>
    <d v="2024-07-07T00:00:00"/>
    <n v="7"/>
    <n v="33062.236480000007"/>
    <n v="18920.66"/>
    <n v="14141.576480000007"/>
    <n v="0.42772594916724777"/>
    <x v="6"/>
    <s v="Accessories"/>
    <s v="Accessories"/>
    <x v="1"/>
    <x v="0"/>
  </r>
  <r>
    <x v="275"/>
    <x v="202"/>
    <d v="2024-06-09T00:00:00"/>
    <x v="3"/>
    <x v="7"/>
    <x v="20"/>
    <s v="Corporate"/>
    <x v="1"/>
    <x v="8"/>
    <x v="5"/>
    <x v="275"/>
    <n v="1370.28"/>
    <n v="2209.66"/>
    <n v="2209.66"/>
    <n v="0.13300000000000001"/>
    <n v="0.13300000000000001"/>
    <n v="16"/>
    <s v="OK"/>
    <d v="2024-06-09T00:00:00"/>
    <n v="2"/>
    <n v="30652.403519999996"/>
    <n v="21924.48"/>
    <n v="8727.9235199999966"/>
    <n v="0.28473863442079589"/>
    <x v="6"/>
    <s v="Monitors"/>
    <s v="Monitors"/>
    <x v="1"/>
    <x v="0"/>
  </r>
  <r>
    <x v="276"/>
    <x v="203"/>
    <d v="2024-06-24T00:00:00"/>
    <x v="0"/>
    <x v="3"/>
    <x v="4"/>
    <s v="Small Business"/>
    <x v="0"/>
    <x v="15"/>
    <x v="5"/>
    <x v="276"/>
    <n v="1205.5"/>
    <n v="2210.17"/>
    <n v="2210.17"/>
    <n v="0.104"/>
    <n v="0.104"/>
    <n v="23"/>
    <s v="OK"/>
    <d v="2024-06-24T00:00:00"/>
    <n v="21"/>
    <n v="45547.183360000003"/>
    <n v="27726.5"/>
    <n v="17820.683360000003"/>
    <n v="0.39125763758314652"/>
    <x v="6"/>
    <s v="Monitors"/>
    <s v="Monitors"/>
    <x v="1"/>
    <x v="1"/>
  </r>
  <r>
    <x v="277"/>
    <x v="204"/>
    <d v="2024-07-03T00:00:00"/>
    <x v="1"/>
    <x v="6"/>
    <x v="38"/>
    <s v="Enterprise"/>
    <x v="4"/>
    <x v="7"/>
    <x v="4"/>
    <x v="277"/>
    <n v="1173.83"/>
    <n v="2328.9"/>
    <n v="2328.9"/>
    <n v="0.12"/>
    <n v="0.12"/>
    <n v="17"/>
    <s v="OK"/>
    <d v="2024-07-03T00:00:00"/>
    <n v="17"/>
    <n v="34840.344000000005"/>
    <n v="19955.11"/>
    <n v="14885.234000000004"/>
    <n v="0.42724130393201637"/>
    <x v="6"/>
    <s v="Phones"/>
    <s v="Phones"/>
    <x v="1"/>
    <x v="1"/>
  </r>
  <r>
    <x v="278"/>
    <x v="200"/>
    <d v="2024-07-14T00:00:00"/>
    <x v="0"/>
    <x v="0"/>
    <x v="1"/>
    <s v="Education"/>
    <x v="1"/>
    <x v="6"/>
    <x v="0"/>
    <x v="278"/>
    <n v="1491.85"/>
    <n v="2583.02"/>
    <n v="2583.02"/>
    <n v="0.16800000000000001"/>
    <n v="0.16800000000000001"/>
    <n v="4"/>
    <s v="OK"/>
    <d v="2024-07-14T00:00:00"/>
    <n v="14"/>
    <n v="8596.2905599999995"/>
    <n v="5967.4"/>
    <n v="2628.8905599999998"/>
    <n v="0.30581685689321325"/>
    <x v="6"/>
    <s v="Accessories"/>
    <s v="Accessories"/>
    <x v="1"/>
    <x v="1"/>
  </r>
  <r>
    <x v="279"/>
    <x v="191"/>
    <d v="2024-06-15T00:00:00"/>
    <x v="1"/>
    <x v="1"/>
    <x v="5"/>
    <s v="Education"/>
    <x v="3"/>
    <x v="8"/>
    <x v="4"/>
    <x v="279"/>
    <n v="1295.18"/>
    <n v="3024.03"/>
    <n v="3024.03"/>
    <n v="0.192"/>
    <n v="0.192"/>
    <n v="8"/>
    <s v="OK"/>
    <d v="2024-06-15T00:00:00"/>
    <n v="13"/>
    <n v="19547.329920000004"/>
    <n v="10361.44"/>
    <n v="9185.8899200000033"/>
    <n v="0.46993067378483178"/>
    <x v="6"/>
    <s v="Phones"/>
    <s v="Phones"/>
    <x v="1"/>
    <x v="1"/>
  </r>
  <r>
    <x v="280"/>
    <x v="204"/>
    <d v="2024-06-21T00:00:00"/>
    <x v="3"/>
    <x v="5"/>
    <x v="8"/>
    <s v="Small Business"/>
    <x v="2"/>
    <x v="7"/>
    <x v="4"/>
    <x v="280"/>
    <n v="1367.13"/>
    <n v="3062.01"/>
    <n v="3062.01"/>
    <n v="0.10299999999999999"/>
    <n v="0.10299999999999999"/>
    <n v="25"/>
    <s v="OK"/>
    <d v="2024-06-21T00:00:00"/>
    <n v="5"/>
    <n v="68665.574250000005"/>
    <n v="34178.25"/>
    <n v="34487.324250000005"/>
    <n v="0.50225057645971705"/>
    <x v="6"/>
    <s v="Phones"/>
    <s v="Phones"/>
    <x v="1"/>
    <x v="0"/>
  </r>
  <r>
    <x v="281"/>
    <x v="205"/>
    <d v="2024-06-24T00:00:00"/>
    <x v="3"/>
    <x v="4"/>
    <x v="23"/>
    <s v="Small Business"/>
    <x v="0"/>
    <x v="10"/>
    <x v="2"/>
    <x v="281"/>
    <n v="1253.25"/>
    <n v="3087.13"/>
    <n v="3087.13"/>
    <n v="7.1999999999999995E-2"/>
    <n v="7.1999999999999995E-2"/>
    <n v="11"/>
    <s v="OK"/>
    <d v="2024-06-24T00:00:00"/>
    <n v="18"/>
    <n v="31513.423040000001"/>
    <n v="13785.75"/>
    <n v="17727.673040000001"/>
    <n v="0.562543555408064"/>
    <x v="6"/>
    <s v="Networking"/>
    <s v="Networking"/>
    <x v="1"/>
    <x v="1"/>
  </r>
  <r>
    <x v="282"/>
    <x v="206"/>
    <d v="2024-06-30T00:00:00"/>
    <x v="1"/>
    <x v="1"/>
    <x v="16"/>
    <s v="Education"/>
    <x v="0"/>
    <x v="4"/>
    <x v="2"/>
    <x v="282"/>
    <n v="1323.55"/>
    <n v="3230.35"/>
    <n v="3230.35"/>
    <n v="2.1999999999999999E-2"/>
    <n v="2.1999999999999999E-2"/>
    <n v="26"/>
    <s v="OK"/>
    <d v="2024-06-30T00:00:00"/>
    <n v="5"/>
    <n v="82141.339799999987"/>
    <n v="34412.299999999996"/>
    <n v="47729.039799999991"/>
    <n v="0.58105991351263542"/>
    <x v="6"/>
    <s v="Networking"/>
    <s v="Networking"/>
    <x v="1"/>
    <x v="0"/>
  </r>
  <r>
    <x v="283"/>
    <x v="207"/>
    <d v="2023-07-02T00:00:00"/>
    <x v="3"/>
    <x v="5"/>
    <x v="7"/>
    <s v="Education"/>
    <x v="4"/>
    <x v="7"/>
    <x v="5"/>
    <x v="283"/>
    <n v="55.65"/>
    <n v="83.57"/>
    <n v="83.57"/>
    <n v="6.6000000000000003E-2"/>
    <n v="6.6000000000000003E-2"/>
    <n v="8"/>
    <s v="OK"/>
    <d v="2023-07-02T00:00:00"/>
    <n v="3"/>
    <n v="624.43503999999996"/>
    <n v="445.2"/>
    <n v="179.23503999999997"/>
    <n v="0.2870355257449998"/>
    <x v="7"/>
    <s v="Monitors"/>
    <s v="Monitors"/>
    <x v="1"/>
    <x v="0"/>
  </r>
  <r>
    <x v="284"/>
    <x v="208"/>
    <d v="2023-06-24T00:00:00"/>
    <x v="0"/>
    <x v="9"/>
    <x v="32"/>
    <s v="Corporate"/>
    <x v="1"/>
    <x v="13"/>
    <x v="3"/>
    <x v="284"/>
    <n v="313.99"/>
    <n v="454.42"/>
    <n v="454.42"/>
    <n v="0.129"/>
    <n v="0.129"/>
    <n v="9"/>
    <s v="OK"/>
    <d v="2023-06-24T00:00:00"/>
    <n v="7"/>
    <n v="3562.1983800000003"/>
    <n v="2825.91"/>
    <n v="736.28838000000042"/>
    <n v="0.20669493988147858"/>
    <x v="7"/>
    <s v="Printers"/>
    <s v="Printers"/>
    <x v="1"/>
    <x v="0"/>
  </r>
  <r>
    <x v="285"/>
    <x v="209"/>
    <d v="2023-06-24T00:00:00"/>
    <x v="0"/>
    <x v="3"/>
    <x v="4"/>
    <s v="Corporate"/>
    <x v="3"/>
    <x v="6"/>
    <x v="3"/>
    <x v="285"/>
    <n v="247.07"/>
    <n v="495.19"/>
    <n v="495.19"/>
    <n v="2.8000000000000001E-2"/>
    <n v="2.8000000000000001E-2"/>
    <n v="4"/>
    <s v="OK"/>
    <d v="2023-06-24T00:00:00"/>
    <n v="11"/>
    <n v="1925.29872"/>
    <n v="988.28"/>
    <n v="937.01872000000003"/>
    <n v="0.48668744764968214"/>
    <x v="7"/>
    <s v="Printers"/>
    <s v="Printers"/>
    <x v="1"/>
    <x v="1"/>
  </r>
  <r>
    <x v="286"/>
    <x v="210"/>
    <d v="2023-07-08T00:00:00"/>
    <x v="0"/>
    <x v="9"/>
    <x v="13"/>
    <s v="Non-Profit"/>
    <x v="0"/>
    <x v="7"/>
    <x v="5"/>
    <x v="286"/>
    <n v="337"/>
    <n v="511.03"/>
    <n v="511.03"/>
    <n v="0.108"/>
    <n v="0.108"/>
    <n v="7"/>
    <s v="OK"/>
    <d v="2023-07-08T00:00:00"/>
    <n v="18"/>
    <n v="3190.8713200000002"/>
    <n v="2359"/>
    <n v="831.8713200000002"/>
    <n v="0.26070349963219458"/>
    <x v="7"/>
    <s v="Monitors"/>
    <s v="Monitors"/>
    <x v="1"/>
    <x v="1"/>
  </r>
  <r>
    <x v="287"/>
    <x v="211"/>
    <d v="2023-07-03T00:00:00"/>
    <x v="1"/>
    <x v="8"/>
    <x v="28"/>
    <s v="Consumer"/>
    <x v="3"/>
    <x v="2"/>
    <x v="3"/>
    <x v="287"/>
    <n v="337.75"/>
    <n v="548.89"/>
    <n v="548.89"/>
    <n v="0"/>
    <n v="0"/>
    <n v="13"/>
    <s v="OK"/>
    <d v="2023-07-03T00:00:00"/>
    <n v="10"/>
    <n v="7135.57"/>
    <n v="4390.75"/>
    <n v="2744.8199999999997"/>
    <n v="0.38466723751571352"/>
    <x v="7"/>
    <s v="Printers"/>
    <s v="Printers"/>
    <x v="1"/>
    <x v="1"/>
  </r>
  <r>
    <x v="288"/>
    <x v="212"/>
    <d v="2023-06-19T00:00:00"/>
    <x v="3"/>
    <x v="7"/>
    <x v="11"/>
    <s v="Enterprise"/>
    <x v="1"/>
    <x v="7"/>
    <x v="5"/>
    <x v="288"/>
    <n v="339.61"/>
    <n v="621.02"/>
    <n v="621.02"/>
    <n v="7.0999999999999994E-2"/>
    <n v="7.0999999999999994E-2"/>
    <n v="10"/>
    <s v="OK"/>
    <d v="2023-06-19T00:00:00"/>
    <n v="10"/>
    <n v="5769.2758000000003"/>
    <n v="3396.1000000000004"/>
    <n v="2373.1758"/>
    <n v="0.41134726129750981"/>
    <x v="7"/>
    <s v="Monitors"/>
    <s v="Monitors"/>
    <x v="1"/>
    <x v="1"/>
  </r>
  <r>
    <x v="289"/>
    <x v="213"/>
    <d v="2023-06-16T00:00:00"/>
    <x v="2"/>
    <x v="2"/>
    <x v="26"/>
    <s v="Non-Profit"/>
    <x v="0"/>
    <x v="1"/>
    <x v="6"/>
    <x v="289"/>
    <n v="357.36"/>
    <n v="703.62"/>
    <n v="703.62"/>
    <n v="0.25700000000000001"/>
    <n v="0.25700000000000001"/>
    <n v="20"/>
    <s v="OK"/>
    <d v="2023-06-16T00:00:00"/>
    <n v="2"/>
    <n v="10455.7932"/>
    <n v="7147.2000000000007"/>
    <n v="3308.5931999999993"/>
    <n v="0.31643636563125593"/>
    <x v="7"/>
    <s v="Components"/>
    <s v="Components"/>
    <x v="0"/>
    <x v="0"/>
  </r>
  <r>
    <x v="290"/>
    <x v="214"/>
    <d v="2023-07-21T00:00:00"/>
    <x v="3"/>
    <x v="5"/>
    <x v="7"/>
    <s v="Consumer"/>
    <x v="4"/>
    <x v="2"/>
    <x v="4"/>
    <x v="290"/>
    <n v="554.76"/>
    <n v="728.69"/>
    <n v="728.69"/>
    <n v="0.22"/>
    <n v="0.22"/>
    <n v="7"/>
    <s v="OK"/>
    <d v="2023-07-21T00:00:00"/>
    <n v="27"/>
    <n v="3978.6474000000003"/>
    <n v="3883.3199999999997"/>
    <n v="95.32740000000058"/>
    <n v="2.395975074343119E-2"/>
    <x v="7"/>
    <s v="Phones"/>
    <s v="Phones"/>
    <x v="0"/>
    <x v="1"/>
  </r>
  <r>
    <x v="291"/>
    <x v="215"/>
    <d v="2023-06-28T00:00:00"/>
    <x v="2"/>
    <x v="2"/>
    <x v="37"/>
    <s v="Corporate"/>
    <x v="0"/>
    <x v="1"/>
    <x v="3"/>
    <x v="291"/>
    <n v="605.82000000000005"/>
    <n v="771.12"/>
    <n v="771.12"/>
    <n v="0.13200000000000001"/>
    <n v="0.13200000000000001"/>
    <n v="19"/>
    <s v="OK"/>
    <d v="2023-06-28T00:00:00"/>
    <n v="23"/>
    <n v="12717.311040000001"/>
    <n v="11510.580000000002"/>
    <n v="1206.7310399999988"/>
    <n v="9.4888851597986767E-2"/>
    <x v="7"/>
    <s v="Printers"/>
    <s v="Printers"/>
    <x v="1"/>
    <x v="1"/>
  </r>
  <r>
    <x v="292"/>
    <x v="214"/>
    <d v="2023-06-22T00:00:00"/>
    <x v="0"/>
    <x v="3"/>
    <x v="4"/>
    <s v="Non-Profit"/>
    <x v="1"/>
    <x v="4"/>
    <x v="0"/>
    <x v="292"/>
    <n v="471.42"/>
    <n v="824.81"/>
    <n v="824.81"/>
    <n v="8.7999999999999995E-2"/>
    <n v="8.7999999999999995E-2"/>
    <n v="15"/>
    <s v="Correct"/>
    <d v="2023-07-01T00:00:00"/>
    <n v="7"/>
    <n v="11283.400799999999"/>
    <n v="7071.3"/>
    <n v="4212.1007999999993"/>
    <n v="0.37330064531608231"/>
    <x v="7"/>
    <s v="Accessories"/>
    <s v="Accessories"/>
    <x v="1"/>
    <x v="0"/>
  </r>
  <r>
    <x v="293"/>
    <x v="216"/>
    <d v="2023-07-21T00:00:00"/>
    <x v="2"/>
    <x v="10"/>
    <x v="24"/>
    <s v="Corporate"/>
    <x v="1"/>
    <x v="2"/>
    <x v="0"/>
    <x v="293"/>
    <n v="734.34"/>
    <n v="887.9"/>
    <n v="887.9"/>
    <n v="2.5000000000000001E-2"/>
    <n v="2.5000000000000001E-2"/>
    <n v="12"/>
    <s v="OK"/>
    <d v="2023-07-21T00:00:00"/>
    <n v="29"/>
    <n v="10388.429999999998"/>
    <n v="8812.08"/>
    <n v="1576.3499999999985"/>
    <n v="0.15174092716608753"/>
    <x v="7"/>
    <s v="Accessories"/>
    <s v="Accessories"/>
    <x v="1"/>
    <x v="1"/>
  </r>
  <r>
    <x v="294"/>
    <x v="217"/>
    <d v="2023-06-01T00:00:00"/>
    <x v="3"/>
    <x v="4"/>
    <x v="23"/>
    <s v="Corporate"/>
    <x v="1"/>
    <x v="11"/>
    <x v="0"/>
    <x v="294"/>
    <n v="669.37"/>
    <n v="997.2"/>
    <n v="997.2"/>
    <n v="8.2000000000000003E-2"/>
    <n v="8.2000000000000003E-2"/>
    <n v="5"/>
    <s v="OK"/>
    <d v="2023-06-01T00:00:00"/>
    <n v="0"/>
    <n v="4577.1480000000001"/>
    <n v="3346.85"/>
    <n v="1230.2980000000002"/>
    <n v="0.26879139586484863"/>
    <x v="7"/>
    <s v="Accessories"/>
    <s v="Accessories"/>
    <x v="1"/>
    <x v="0"/>
  </r>
  <r>
    <x v="295"/>
    <x v="217"/>
    <d v="2023-06-08T00:00:00"/>
    <x v="2"/>
    <x v="11"/>
    <x v="34"/>
    <s v="Consumer"/>
    <x v="3"/>
    <x v="5"/>
    <x v="4"/>
    <x v="295"/>
    <n v="804.17"/>
    <n v="1072.29"/>
    <n v="1072.29"/>
    <n v="3.2000000000000001E-2"/>
    <n v="3.2000000000000001E-2"/>
    <n v="5"/>
    <s v="OK"/>
    <d v="2023-06-08T00:00:00"/>
    <n v="7"/>
    <n v="5189.8836000000001"/>
    <n v="4020.85"/>
    <n v="1169.0336000000002"/>
    <n v="0.2252523736755869"/>
    <x v="7"/>
    <s v="Phones"/>
    <s v="Phones"/>
    <x v="1"/>
    <x v="0"/>
  </r>
  <r>
    <x v="296"/>
    <x v="218"/>
    <d v="2023-07-12T00:00:00"/>
    <x v="2"/>
    <x v="2"/>
    <x v="26"/>
    <s v="Consumer"/>
    <x v="0"/>
    <x v="13"/>
    <x v="0"/>
    <x v="296"/>
    <n v="751.28"/>
    <n v="1111.8800000000001"/>
    <n v="1111.8800000000001"/>
    <n v="0.13500000000000001"/>
    <n v="0.13500000000000001"/>
    <n v="7"/>
    <s v="OK"/>
    <d v="2023-07-12T00:00:00"/>
    <n v="27"/>
    <n v="6732.4334000000008"/>
    <n v="5258.96"/>
    <n v="1473.4734000000008"/>
    <n v="0.21886193482433863"/>
    <x v="7"/>
    <s v="Accessories"/>
    <s v="Accessories"/>
    <x v="1"/>
    <x v="1"/>
  </r>
  <r>
    <x v="297"/>
    <x v="210"/>
    <d v="2023-07-08T00:00:00"/>
    <x v="0"/>
    <x v="9"/>
    <x v="21"/>
    <s v="Consumer"/>
    <x v="4"/>
    <x v="8"/>
    <x v="2"/>
    <x v="297"/>
    <n v="1145.53"/>
    <n v="1278.3"/>
    <n v="1278.3"/>
    <n v="0.09"/>
    <n v="0.09"/>
    <n v="41"/>
    <s v="OK"/>
    <d v="2023-07-08T00:00:00"/>
    <n v="18"/>
    <n v="47693.373"/>
    <n v="46966.729999999996"/>
    <n v="726.64300000000367"/>
    <n v="1.5235722581416158E-2"/>
    <x v="7"/>
    <s v="Networking"/>
    <s v="Networking"/>
    <x v="1"/>
    <x v="1"/>
  </r>
  <r>
    <x v="298"/>
    <x v="214"/>
    <d v="2023-06-23T00:00:00"/>
    <x v="0"/>
    <x v="0"/>
    <x v="0"/>
    <s v="Non-Profit"/>
    <x v="1"/>
    <x v="11"/>
    <x v="3"/>
    <x v="298"/>
    <n v="804.01"/>
    <n v="1405.07"/>
    <n v="1405.07"/>
    <n v="9.6000000000000002E-2"/>
    <n v="9.6000000000000002E-2"/>
    <n v="8"/>
    <s v="Correct"/>
    <d v="2023-07-01T00:00:00"/>
    <n v="7"/>
    <n v="10161.46624"/>
    <n v="6432.08"/>
    <n v="3729.3862399999998"/>
    <n v="0.36701260939287439"/>
    <x v="7"/>
    <s v="Printers"/>
    <s v="Printers"/>
    <x v="1"/>
    <x v="0"/>
  </r>
  <r>
    <x v="299"/>
    <x v="219"/>
    <d v="2023-06-18T00:00:00"/>
    <x v="1"/>
    <x v="1"/>
    <x v="22"/>
    <s v="Enterprise"/>
    <x v="0"/>
    <x v="10"/>
    <x v="4"/>
    <x v="299"/>
    <n v="894.23"/>
    <n v="1421.55"/>
    <n v="1421.55"/>
    <n v="0.109"/>
    <n v="0.109"/>
    <n v="3"/>
    <s v="OK"/>
    <d v="2023-06-18T00:00:00"/>
    <n v="8"/>
    <n v="3799.8031499999997"/>
    <n v="2682.69"/>
    <n v="1117.1131499999997"/>
    <n v="0.29399237431549574"/>
    <x v="7"/>
    <s v="Phones"/>
    <s v="Phones"/>
    <x v="1"/>
    <x v="1"/>
  </r>
  <r>
    <x v="300"/>
    <x v="211"/>
    <d v="2023-07-18T00:00:00"/>
    <x v="0"/>
    <x v="3"/>
    <x v="18"/>
    <s v="Enterprise"/>
    <x v="3"/>
    <x v="3"/>
    <x v="4"/>
    <x v="300"/>
    <n v="807.02"/>
    <n v="1435.54"/>
    <n v="1435.54"/>
    <n v="0"/>
    <n v="0"/>
    <n v="23"/>
    <s v="OK"/>
    <d v="2023-07-18T00:00:00"/>
    <n v="25"/>
    <n v="33017.42"/>
    <n v="18561.46"/>
    <n v="14455.96"/>
    <n v="0.43782827368098415"/>
    <x v="7"/>
    <s v="Phones"/>
    <s v="Phones"/>
    <x v="1"/>
    <x v="1"/>
  </r>
  <r>
    <x v="301"/>
    <x v="220"/>
    <d v="2023-07-01T00:00:00"/>
    <x v="0"/>
    <x v="0"/>
    <x v="1"/>
    <s v="Small Business"/>
    <x v="4"/>
    <x v="5"/>
    <x v="6"/>
    <x v="301"/>
    <n v="860.4"/>
    <n v="2066.6"/>
    <n v="2066.6"/>
    <n v="0.01"/>
    <n v="0.01"/>
    <n v="3"/>
    <s v="OK"/>
    <d v="2023-07-01T00:00:00"/>
    <n v="28"/>
    <n v="6137.8019999999988"/>
    <n v="2581.1999999999998"/>
    <n v="3556.601999999999"/>
    <n v="0.57945857491004105"/>
    <x v="7"/>
    <s v="Components"/>
    <s v="Components"/>
    <x v="1"/>
    <x v="1"/>
  </r>
  <r>
    <x v="302"/>
    <x v="218"/>
    <d v="2023-06-23T00:00:00"/>
    <x v="0"/>
    <x v="9"/>
    <x v="32"/>
    <s v="Consumer"/>
    <x v="2"/>
    <x v="8"/>
    <x v="5"/>
    <x v="302"/>
    <n v="1097.0899999999999"/>
    <n v="2182.31"/>
    <n v="2182.31"/>
    <n v="0.112"/>
    <n v="0.112"/>
    <n v="9"/>
    <s v="OK"/>
    <d v="2023-06-23T00:00:00"/>
    <n v="8"/>
    <n v="17441.021520000002"/>
    <n v="9873.81"/>
    <n v="7567.2115200000026"/>
    <n v="0.43387432962699546"/>
    <x v="7"/>
    <s v="Monitors"/>
    <s v="Monitors"/>
    <x v="1"/>
    <x v="1"/>
  </r>
  <r>
    <x v="303"/>
    <x v="210"/>
    <d v="2023-07-04T00:00:00"/>
    <x v="0"/>
    <x v="0"/>
    <x v="1"/>
    <s v="Non-Profit"/>
    <x v="0"/>
    <x v="6"/>
    <x v="2"/>
    <x v="303"/>
    <n v="1292.8599999999999"/>
    <n v="2981.01"/>
    <n v="2981.01"/>
    <n v="0.14199999999999999"/>
    <n v="0.14199999999999999"/>
    <n v="12"/>
    <s v="OK"/>
    <d v="2023-07-04T00:00:00"/>
    <n v="14"/>
    <n v="30692.47896"/>
    <n v="15514.32"/>
    <n v="15178.158960000001"/>
    <n v="0.49452372288927687"/>
    <x v="7"/>
    <s v="Networking"/>
    <s v="Networking"/>
    <x v="1"/>
    <x v="1"/>
  </r>
  <r>
    <x v="304"/>
    <x v="221"/>
    <d v="2025-07-18T00:00:00"/>
    <x v="0"/>
    <x v="3"/>
    <x v="18"/>
    <s v="Education"/>
    <x v="2"/>
    <x v="13"/>
    <x v="1"/>
    <x v="304"/>
    <n v="57.96"/>
    <n v="88.51"/>
    <n v="88.51"/>
    <n v="4.2999999999999997E-2"/>
    <n v="4.2999999999999997E-2"/>
    <n v="7"/>
    <s v="OK"/>
    <d v="2025-07-18T00:00:00"/>
    <n v="9"/>
    <n v="592.92849000000001"/>
    <n v="405.72"/>
    <n v="187.20848999999998"/>
    <n v="0.3157353595877978"/>
    <x v="0"/>
    <s v="Laptops"/>
    <s v="Laptops"/>
    <x v="1"/>
    <x v="1"/>
  </r>
  <r>
    <x v="305"/>
    <x v="222"/>
    <d v="2025-08-04T00:00:00"/>
    <x v="0"/>
    <x v="3"/>
    <x v="39"/>
    <s v="Consumer"/>
    <x v="3"/>
    <x v="10"/>
    <x v="5"/>
    <x v="305"/>
    <n v="90.3"/>
    <n v="131.76"/>
    <n v="131.76"/>
    <n v="0.10199999999999999"/>
    <n v="0.10199999999999999"/>
    <n v="15"/>
    <s v="OK"/>
    <d v="2025-08-04T00:00:00"/>
    <n v="21"/>
    <n v="1774.8072"/>
    <n v="1354.5"/>
    <n v="420.30719999999997"/>
    <n v="0.23681851189244668"/>
    <x v="0"/>
    <s v="Monitors"/>
    <s v="Monitors"/>
    <x v="1"/>
    <x v="1"/>
  </r>
  <r>
    <x v="306"/>
    <x v="223"/>
    <d v="2025-08-18T00:00:00"/>
    <x v="3"/>
    <x v="7"/>
    <x v="14"/>
    <s v="Non-Profit"/>
    <x v="4"/>
    <x v="4"/>
    <x v="2"/>
    <x v="306"/>
    <n v="547.32000000000005"/>
    <n v="419.17"/>
    <n v="419.17"/>
    <n v="9.1999999999999998E-2"/>
    <n v="9.1999999999999998E-2"/>
    <n v="14"/>
    <s v="OK"/>
    <d v="2025-08-18T00:00:00"/>
    <n v="27"/>
    <n v="5328.4890400000004"/>
    <n v="7662.4800000000005"/>
    <n v="-2333.9909600000001"/>
    <n v="-0.43802116181137907"/>
    <x v="0"/>
    <s v="Networking"/>
    <s v="Networking"/>
    <x v="1"/>
    <x v="1"/>
  </r>
  <r>
    <x v="307"/>
    <x v="224"/>
    <d v="2025-08-03T00:00:00"/>
    <x v="1"/>
    <x v="1"/>
    <x v="22"/>
    <s v="Small Business"/>
    <x v="1"/>
    <x v="6"/>
    <x v="4"/>
    <x v="307"/>
    <n v="389.93"/>
    <n v="486.13"/>
    <n v="486.13"/>
    <n v="0.13200000000000001"/>
    <n v="0.13200000000000001"/>
    <n v="17"/>
    <s v="OK"/>
    <d v="2025-08-03T00:00:00"/>
    <n v="23"/>
    <n v="7173.3342799999991"/>
    <n v="6628.81"/>
    <n v="544.52427999999873"/>
    <n v="7.5909508569562828E-2"/>
    <x v="0"/>
    <s v="Phones"/>
    <s v="Phones"/>
    <x v="1"/>
    <x v="1"/>
  </r>
  <r>
    <x v="308"/>
    <x v="225"/>
    <d v="2025-08-15T00:00:00"/>
    <x v="3"/>
    <x v="5"/>
    <x v="8"/>
    <s v="Small Business"/>
    <x v="4"/>
    <x v="2"/>
    <x v="6"/>
    <x v="308"/>
    <n v="275.43"/>
    <n v="608.36"/>
    <n v="608.36"/>
    <n v="0.25700000000000001"/>
    <n v="0.25700000000000001"/>
    <n v="4"/>
    <s v="OK"/>
    <d v="2025-08-15T00:00:00"/>
    <n v="19"/>
    <n v="1808.04592"/>
    <n v="1101.72"/>
    <n v="706.32592"/>
    <n v="0.39065706915231446"/>
    <x v="0"/>
    <s v="Components"/>
    <s v="Components"/>
    <x v="0"/>
    <x v="1"/>
  </r>
  <r>
    <x v="309"/>
    <x v="226"/>
    <d v="2025-08-19T00:00:00"/>
    <x v="3"/>
    <x v="5"/>
    <x v="7"/>
    <s v="Consumer"/>
    <x v="4"/>
    <x v="12"/>
    <x v="0"/>
    <x v="309"/>
    <n v="896.09"/>
    <n v="744.27"/>
    <n v="744.27"/>
    <n v="8.3000000000000004E-2"/>
    <n v="8.3000000000000004E-2"/>
    <n v="11"/>
    <s v="OK"/>
    <d v="2025-08-19T00:00:00"/>
    <n v="27"/>
    <n v="7507.4514899999995"/>
    <n v="9856.99"/>
    <n v="-2349.5385100000003"/>
    <n v="-0.31296086469950679"/>
    <x v="0"/>
    <s v="Accessories"/>
    <s v="Accessories"/>
    <x v="1"/>
    <x v="1"/>
  </r>
  <r>
    <x v="310"/>
    <x v="227"/>
    <d v="2025-07-31T00:00:00"/>
    <x v="1"/>
    <x v="1"/>
    <x v="2"/>
    <s v="Small Business"/>
    <x v="4"/>
    <x v="8"/>
    <x v="0"/>
    <x v="310"/>
    <n v="619.64"/>
    <n v="861.16"/>
    <n v="861.16"/>
    <n v="0.113"/>
    <n v="0.113"/>
    <n v="14"/>
    <s v="OK"/>
    <d v="2025-07-31T00:00:00"/>
    <n v="12"/>
    <n v="10693.88488"/>
    <n v="8674.9599999999991"/>
    <n v="2018.9248800000005"/>
    <n v="0.18879246435276761"/>
    <x v="0"/>
    <s v="Accessories"/>
    <s v="Accessories"/>
    <x v="1"/>
    <x v="1"/>
  </r>
  <r>
    <x v="311"/>
    <x v="224"/>
    <d v="2025-07-16T00:00:00"/>
    <x v="2"/>
    <x v="2"/>
    <x v="3"/>
    <s v="Enterprise"/>
    <x v="3"/>
    <x v="1"/>
    <x v="3"/>
    <x v="311"/>
    <n v="930.03"/>
    <n v="1086.68"/>
    <n v="1086.68"/>
    <n v="0.109"/>
    <n v="0.109"/>
    <n v="26"/>
    <s v="OK"/>
    <d v="2025-07-16T00:00:00"/>
    <n v="5"/>
    <n v="25174.028880000002"/>
    <n v="24180.78"/>
    <n v="993.24888000000283"/>
    <n v="3.9455300728168656E-2"/>
    <x v="0"/>
    <s v="Printers"/>
    <s v="Printers"/>
    <x v="1"/>
    <x v="0"/>
  </r>
  <r>
    <x v="312"/>
    <x v="228"/>
    <d v="2025-07-23T00:00:00"/>
    <x v="3"/>
    <x v="7"/>
    <x v="11"/>
    <s v="Small Business"/>
    <x v="3"/>
    <x v="4"/>
    <x v="6"/>
    <x v="312"/>
    <n v="647.36"/>
    <n v="1383.6"/>
    <n v="1383.6"/>
    <n v="7.3999999999999996E-2"/>
    <n v="7.3999999999999996E-2"/>
    <n v="12"/>
    <s v="OK"/>
    <d v="2025-07-23T00:00:00"/>
    <n v="20"/>
    <n v="15374.563199999999"/>
    <n v="7768.32"/>
    <n v="7606.243199999999"/>
    <n v="0.49472906000997802"/>
    <x v="0"/>
    <s v="Components"/>
    <s v="Components"/>
    <x v="1"/>
    <x v="1"/>
  </r>
  <r>
    <x v="313"/>
    <x v="226"/>
    <d v="2025-08-17T00:00:00"/>
    <x v="2"/>
    <x v="2"/>
    <x v="37"/>
    <s v="Education"/>
    <x v="3"/>
    <x v="13"/>
    <x v="3"/>
    <x v="313"/>
    <n v="1142.06"/>
    <n v="1455"/>
    <n v="1455"/>
    <n v="7.8E-2"/>
    <n v="7.8E-2"/>
    <n v="28"/>
    <s v="OK"/>
    <d v="2025-08-17T00:00:00"/>
    <n v="25"/>
    <n v="37562.28"/>
    <n v="31977.68"/>
    <n v="5584.5999999999985"/>
    <n v="0.1486757459877302"/>
    <x v="0"/>
    <s v="Printers"/>
    <s v="Printers"/>
    <x v="1"/>
    <x v="1"/>
  </r>
  <r>
    <x v="314"/>
    <x v="229"/>
    <d v="2025-08-07T00:00:00"/>
    <x v="1"/>
    <x v="8"/>
    <x v="12"/>
    <s v="Enterprise"/>
    <x v="0"/>
    <x v="4"/>
    <x v="0"/>
    <x v="314"/>
    <n v="1204.95"/>
    <n v="2065.73"/>
    <n v="2065.73"/>
    <n v="0.13600000000000001"/>
    <n v="0.13600000000000001"/>
    <n v="10"/>
    <s v="OK"/>
    <d v="2025-08-07T00:00:00"/>
    <n v="17"/>
    <n v="17847.907199999998"/>
    <n v="12049.5"/>
    <n v="5798.4071999999978"/>
    <n v="0.32487882949100039"/>
    <x v="0"/>
    <s v="Accessories"/>
    <s v="Accessories"/>
    <x v="1"/>
    <x v="1"/>
  </r>
  <r>
    <x v="315"/>
    <x v="230"/>
    <d v="2025-08-05T00:00:00"/>
    <x v="0"/>
    <x v="0"/>
    <x v="1"/>
    <s v="Enterprise"/>
    <x v="4"/>
    <x v="15"/>
    <x v="0"/>
    <x v="315"/>
    <n v="1068.17"/>
    <n v="2375.37"/>
    <n v="2375.37"/>
    <n v="0.109"/>
    <n v="0.109"/>
    <n v="18"/>
    <s v="OK"/>
    <d v="2025-08-05T00:00:00"/>
    <n v="16"/>
    <n v="38096.18406"/>
    <n v="19227.060000000001"/>
    <n v="18869.124059999998"/>
    <n v="0.49530220744108822"/>
    <x v="0"/>
    <s v="Accessories"/>
    <s v="Accessories"/>
    <x v="1"/>
    <x v="1"/>
  </r>
  <r>
    <x v="316"/>
    <x v="231"/>
    <d v="2025-08-06T00:00:00"/>
    <x v="1"/>
    <x v="6"/>
    <x v="38"/>
    <s v="Education"/>
    <x v="4"/>
    <x v="9"/>
    <x v="2"/>
    <x v="316"/>
    <n v="1463.9"/>
    <n v="2633.02"/>
    <n v="2633.02"/>
    <n v="8.4000000000000005E-2"/>
    <n v="8.4000000000000005E-2"/>
    <n v="4"/>
    <s v="OK"/>
    <d v="2025-08-06T00:00:00"/>
    <n v="13"/>
    <n v="9647.3852800000004"/>
    <n v="5855.6"/>
    <n v="3791.7852800000001"/>
    <n v="0.39303761277791527"/>
    <x v="0"/>
    <s v="Networking"/>
    <s v="Networking"/>
    <x v="1"/>
    <x v="1"/>
  </r>
  <r>
    <x v="317"/>
    <x v="232"/>
    <d v="2025-07-23T00:00:00"/>
    <x v="0"/>
    <x v="3"/>
    <x v="18"/>
    <s v="Consumer"/>
    <x v="3"/>
    <x v="10"/>
    <x v="6"/>
    <x v="317"/>
    <n v="1364.89"/>
    <n v="2757.54"/>
    <n v="2757.54"/>
    <n v="0.17199999999999999"/>
    <n v="0.17199999999999999"/>
    <n v="61"/>
    <s v="OK"/>
    <d v="2025-07-23T00:00:00"/>
    <n v="6"/>
    <n v="139277.83032000001"/>
    <n v="83258.290000000008"/>
    <n v="56019.54032"/>
    <n v="0.4022143379983118"/>
    <x v="0"/>
    <s v="Components"/>
    <s v="Components"/>
    <x v="1"/>
    <x v="0"/>
  </r>
  <r>
    <x v="318"/>
    <x v="228"/>
    <d v="2025-07-06T00:00:00"/>
    <x v="1"/>
    <x v="8"/>
    <x v="12"/>
    <s v="Consumer"/>
    <x v="3"/>
    <x v="14"/>
    <x v="1"/>
    <x v="318"/>
    <n v="1313.3"/>
    <n v="2884.34"/>
    <n v="2884.34"/>
    <n v="0.157"/>
    <n v="0.157"/>
    <n v="42"/>
    <s v="OK"/>
    <d v="2025-07-06T00:00:00"/>
    <n v="3"/>
    <n v="102122.94203999999"/>
    <n v="55158.6"/>
    <n v="46964.342039999996"/>
    <n v="0.45988042551305253"/>
    <x v="0"/>
    <s v="Laptops"/>
    <s v="Laptops"/>
    <x v="1"/>
    <x v="0"/>
  </r>
  <r>
    <x v="319"/>
    <x v="233"/>
    <d v="2025-07-17T00:00:00"/>
    <x v="1"/>
    <x v="6"/>
    <x v="10"/>
    <s v="Small Business"/>
    <x v="2"/>
    <x v="12"/>
    <x v="2"/>
    <x v="319"/>
    <n v="1198.9000000000001"/>
    <n v="2941.2"/>
    <n v="2941.2"/>
    <n v="5.0999999999999997E-2"/>
    <n v="5.0999999999999997E-2"/>
    <n v="24"/>
    <s v="OK"/>
    <d v="2025-07-17T00:00:00"/>
    <n v="1"/>
    <n v="66988.771199999988"/>
    <n v="28773.600000000002"/>
    <n v="38215.171199999982"/>
    <n v="0.57047129713583977"/>
    <x v="0"/>
    <s v="Networking"/>
    <s v="Networking"/>
    <x v="1"/>
    <x v="0"/>
  </r>
  <r>
    <x v="320"/>
    <x v="234"/>
    <d v="2024-07-12T00:00:00"/>
    <x v="3"/>
    <x v="5"/>
    <x v="7"/>
    <s v="Small Business"/>
    <x v="4"/>
    <x v="7"/>
    <x v="2"/>
    <x v="320"/>
    <n v="105.13"/>
    <n v="244.13"/>
    <n v="244.13"/>
    <n v="7.0999999999999994E-2"/>
    <n v="7.0999999999999994E-2"/>
    <n v="14"/>
    <s v="Correct"/>
    <d v="2024-07-20T00:00:00"/>
    <n v="7"/>
    <n v="3175.1547799999998"/>
    <n v="1471.82"/>
    <n v="1703.3347799999999"/>
    <n v="0.53645724319618837"/>
    <x v="1"/>
    <s v="Networking"/>
    <s v="Networking"/>
    <x v="1"/>
    <x v="0"/>
  </r>
  <r>
    <x v="321"/>
    <x v="235"/>
    <d v="2024-07-19T00:00:00"/>
    <x v="1"/>
    <x v="1"/>
    <x v="16"/>
    <s v="Small Business"/>
    <x v="1"/>
    <x v="5"/>
    <x v="4"/>
    <x v="321"/>
    <n v="857.24"/>
    <n v="758.23"/>
    <n v="758.23"/>
    <n v="0.125"/>
    <n v="0.125"/>
    <n v="6"/>
    <s v="OK"/>
    <d v="2024-07-19T00:00:00"/>
    <n v="0"/>
    <n v="3980.7075"/>
    <n v="5143.4400000000005"/>
    <n v="-1162.7325000000005"/>
    <n v="-0.29209192084572921"/>
    <x v="1"/>
    <s v="Phones"/>
    <s v="Phones"/>
    <x v="1"/>
    <x v="0"/>
  </r>
  <r>
    <x v="322"/>
    <x v="236"/>
    <d v="2024-08-07T00:00:00"/>
    <x v="2"/>
    <x v="10"/>
    <x v="33"/>
    <s v="Corporate"/>
    <x v="1"/>
    <x v="7"/>
    <x v="5"/>
    <x v="322"/>
    <n v="941.35"/>
    <n v="899.83"/>
    <n v="899.83"/>
    <n v="5.8000000000000003E-2"/>
    <n v="5.8000000000000003E-2"/>
    <n v="18"/>
    <s v="OK"/>
    <d v="2024-08-07T00:00:00"/>
    <n v="20"/>
    <n v="15257.51748"/>
    <n v="16944.3"/>
    <n v="-1686.7825199999988"/>
    <n v="-0.11055419220139073"/>
    <x v="1"/>
    <s v="Monitors"/>
    <s v="Monitors"/>
    <x v="1"/>
    <x v="1"/>
  </r>
  <r>
    <x v="323"/>
    <x v="237"/>
    <d v="2024-07-12T00:00:00"/>
    <x v="3"/>
    <x v="7"/>
    <x v="20"/>
    <s v="Small Business"/>
    <x v="1"/>
    <x v="9"/>
    <x v="0"/>
    <x v="323"/>
    <n v="748.39"/>
    <n v="979.42"/>
    <n v="979.42"/>
    <n v="0"/>
    <n v="0"/>
    <n v="23"/>
    <s v="OK"/>
    <d v="2024-07-12T00:00:00"/>
    <n v="3"/>
    <n v="22526.66"/>
    <n v="17212.97"/>
    <n v="5313.6899999999987"/>
    <n v="0.23588450307324738"/>
    <x v="1"/>
    <s v="Accessories"/>
    <s v="Accessories"/>
    <x v="1"/>
    <x v="0"/>
  </r>
  <r>
    <x v="324"/>
    <x v="234"/>
    <d v="2024-08-03T00:00:00"/>
    <x v="0"/>
    <x v="0"/>
    <x v="0"/>
    <s v="Corporate"/>
    <x v="4"/>
    <x v="4"/>
    <x v="5"/>
    <x v="324"/>
    <n v="702.98"/>
    <n v="1104.8"/>
    <n v="1104.8"/>
    <n v="0.17499999999999999"/>
    <n v="0.17499999999999999"/>
    <n v="12"/>
    <s v="OK"/>
    <d v="2024-08-03T00:00:00"/>
    <n v="21"/>
    <n v="10937.519999999999"/>
    <n v="8435.76"/>
    <n v="2501.7599999999984"/>
    <n v="0.22873192460448061"/>
    <x v="1"/>
    <s v="Monitors"/>
    <s v="Monitors"/>
    <x v="1"/>
    <x v="1"/>
  </r>
  <r>
    <x v="325"/>
    <x v="238"/>
    <d v="2024-08-08T00:00:00"/>
    <x v="2"/>
    <x v="10"/>
    <x v="33"/>
    <s v="Enterprise"/>
    <x v="4"/>
    <x v="10"/>
    <x v="1"/>
    <x v="325"/>
    <n v="501.5"/>
    <n v="1201.47"/>
    <n v="1201.47"/>
    <n v="0.126"/>
    <n v="0.126"/>
    <n v="5"/>
    <s v="OK"/>
    <d v="2024-08-08T00:00:00"/>
    <n v="15"/>
    <n v="5250.4239000000007"/>
    <n v="2507.5"/>
    <n v="2742.9239000000007"/>
    <n v="0.52241951359394057"/>
    <x v="1"/>
    <s v="Laptops"/>
    <s v="Laptops"/>
    <x v="1"/>
    <x v="1"/>
  </r>
  <r>
    <x v="326"/>
    <x v="239"/>
    <d v="2024-07-15T00:00:00"/>
    <x v="3"/>
    <x v="5"/>
    <x v="8"/>
    <s v="Small Business"/>
    <x v="4"/>
    <x v="15"/>
    <x v="0"/>
    <x v="326"/>
    <n v="801.77"/>
    <n v="1218.92"/>
    <n v="1218.92"/>
    <n v="0.254"/>
    <n v="0.254"/>
    <n v="16"/>
    <s v="OK"/>
    <d v="2024-07-15T00:00:00"/>
    <n v="0"/>
    <n v="14549.029120000001"/>
    <n v="12828.32"/>
    <n v="1720.7091200000013"/>
    <n v="0.11826968698788344"/>
    <x v="1"/>
    <s v="Accessories"/>
    <s v="Accessories"/>
    <x v="0"/>
    <x v="0"/>
  </r>
  <r>
    <x v="327"/>
    <x v="240"/>
    <d v="2024-07-31T00:00:00"/>
    <x v="3"/>
    <x v="7"/>
    <x v="14"/>
    <s v="Consumer"/>
    <x v="3"/>
    <x v="15"/>
    <x v="4"/>
    <x v="327"/>
    <n v="647.26"/>
    <n v="1374.72"/>
    <n v="1374.72"/>
    <n v="6.6000000000000003E-2"/>
    <n v="6.6000000000000003E-2"/>
    <n v="22"/>
    <s v="OK"/>
    <d v="2024-07-31T00:00:00"/>
    <n v="20"/>
    <n v="28247.74656"/>
    <n v="14239.72"/>
    <n v="14008.02656"/>
    <n v="0.49589890401508901"/>
    <x v="1"/>
    <s v="Phones"/>
    <s v="Phones"/>
    <x v="1"/>
    <x v="1"/>
  </r>
  <r>
    <x v="328"/>
    <x v="241"/>
    <d v="2024-08-15T00:00:00"/>
    <x v="3"/>
    <x v="5"/>
    <x v="8"/>
    <s v="Corporate"/>
    <x v="4"/>
    <x v="7"/>
    <x v="5"/>
    <x v="328"/>
    <n v="1252.52"/>
    <n v="1417.24"/>
    <n v="1417.24"/>
    <n v="0.192"/>
    <n v="0.192"/>
    <n v="5"/>
    <s v="OK"/>
    <d v="2024-08-15T00:00:00"/>
    <n v="15"/>
    <n v="5725.6496000000006"/>
    <n v="6262.6"/>
    <n v="-536.95039999999972"/>
    <n v="-9.3779821943696953E-2"/>
    <x v="1"/>
    <s v="Monitors"/>
    <s v="Monitors"/>
    <x v="1"/>
    <x v="1"/>
  </r>
  <r>
    <x v="329"/>
    <x v="237"/>
    <d v="2024-08-08T00:00:00"/>
    <x v="2"/>
    <x v="10"/>
    <x v="33"/>
    <s v="Corporate"/>
    <x v="0"/>
    <x v="2"/>
    <x v="6"/>
    <x v="329"/>
    <n v="1062.3800000000001"/>
    <n v="1503.96"/>
    <n v="1503.96"/>
    <n v="0.18"/>
    <n v="0.18"/>
    <n v="6"/>
    <s v="OK"/>
    <d v="2024-08-08T00:00:00"/>
    <n v="30"/>
    <n v="7399.4832000000006"/>
    <n v="6374.2800000000007"/>
    <n v="1025.2031999999999"/>
    <n v="0.13855064905073369"/>
    <x v="1"/>
    <s v="Components"/>
    <s v="Components"/>
    <x v="1"/>
    <x v="1"/>
  </r>
  <r>
    <x v="330"/>
    <x v="242"/>
    <d v="2024-08-23T00:00:00"/>
    <x v="3"/>
    <x v="4"/>
    <x v="31"/>
    <s v="Corporate"/>
    <x v="1"/>
    <x v="2"/>
    <x v="2"/>
    <x v="330"/>
    <n v="1339.24"/>
    <n v="1558.89"/>
    <n v="1558.89"/>
    <n v="0.192"/>
    <n v="0.192"/>
    <n v="24"/>
    <s v="OK"/>
    <d v="2024-08-23T00:00:00"/>
    <n v="26"/>
    <n v="30229.994880000002"/>
    <n v="32141.760000000002"/>
    <n v="-1911.76512"/>
    <n v="-6.3240669659021781E-2"/>
    <x v="1"/>
    <s v="Networking"/>
    <s v="Networking"/>
    <x v="1"/>
    <x v="1"/>
  </r>
  <r>
    <x v="331"/>
    <x v="243"/>
    <d v="2024-07-31T00:00:00"/>
    <x v="0"/>
    <x v="9"/>
    <x v="21"/>
    <s v="Education"/>
    <x v="4"/>
    <x v="13"/>
    <x v="3"/>
    <x v="331"/>
    <n v="798.97"/>
    <n v="1814.06"/>
    <n v="1814.06"/>
    <n v="0.122"/>
    <n v="0.122"/>
    <n v="16"/>
    <s v="OK"/>
    <d v="2024-07-31T00:00:00"/>
    <n v="2"/>
    <n v="25483.91488"/>
    <n v="12783.52"/>
    <n v="12700.39488"/>
    <n v="0.49836906691159061"/>
    <x v="1"/>
    <s v="Printers"/>
    <s v="Printers"/>
    <x v="1"/>
    <x v="0"/>
  </r>
  <r>
    <x v="332"/>
    <x v="244"/>
    <d v="2024-08-02T00:00:00"/>
    <x v="0"/>
    <x v="3"/>
    <x v="39"/>
    <s v="Consumer"/>
    <x v="0"/>
    <x v="2"/>
    <x v="0"/>
    <x v="332"/>
    <n v="986.81"/>
    <n v="2050.31"/>
    <n v="2050.31"/>
    <n v="0.10299999999999999"/>
    <n v="0.10299999999999999"/>
    <n v="43"/>
    <s v="OK"/>
    <d v="2024-08-02T00:00:00"/>
    <n v="8"/>
    <n v="79082.507010000001"/>
    <n v="42432.829999999994"/>
    <n v="36649.677010000007"/>
    <n v="0.46343595310358138"/>
    <x v="1"/>
    <s v="Accessories"/>
    <s v="Accessories"/>
    <x v="1"/>
    <x v="1"/>
  </r>
  <r>
    <x v="333"/>
    <x v="244"/>
    <d v="2024-07-24T00:00:00"/>
    <x v="1"/>
    <x v="1"/>
    <x v="5"/>
    <s v="Non-Profit"/>
    <x v="0"/>
    <x v="2"/>
    <x v="1"/>
    <x v="333"/>
    <n v="1494.4"/>
    <n v="3661.07"/>
    <n v="3661.07"/>
    <n v="7.1999999999999995E-2"/>
    <n v="7.1999999999999995E-2"/>
    <n v="7"/>
    <s v="Correct"/>
    <d v="2024-08-01T00:00:00"/>
    <n v="7"/>
    <n v="23782.310720000001"/>
    <n v="10460.800000000001"/>
    <n v="13321.51072"/>
    <n v="0.56014366630897339"/>
    <x v="1"/>
    <s v="Laptops"/>
    <s v="Laptops"/>
    <x v="1"/>
    <x v="0"/>
  </r>
  <r>
    <x v="334"/>
    <x v="245"/>
    <d v="2023-08-01T00:00:00"/>
    <x v="2"/>
    <x v="2"/>
    <x v="37"/>
    <s v="Small Business"/>
    <x v="1"/>
    <x v="12"/>
    <x v="6"/>
    <x v="334"/>
    <n v="137.46"/>
    <n v="188.3"/>
    <n v="188.3"/>
    <n v="3.7999999999999999E-2"/>
    <n v="3.7999999999999999E-2"/>
    <n v="37"/>
    <s v="OK"/>
    <d v="2023-08-01T00:00:00"/>
    <n v="30"/>
    <n v="6702.3501999999999"/>
    <n v="5086.0200000000004"/>
    <n v="1616.3301999999994"/>
    <n v="0.24115872071262398"/>
    <x v="2"/>
    <s v="Components"/>
    <s v="Components"/>
    <x v="1"/>
    <x v="1"/>
  </r>
  <r>
    <x v="335"/>
    <x v="246"/>
    <d v="2023-07-19T00:00:00"/>
    <x v="3"/>
    <x v="5"/>
    <x v="8"/>
    <s v="Enterprise"/>
    <x v="2"/>
    <x v="3"/>
    <x v="6"/>
    <x v="335"/>
    <n v="141.26"/>
    <n v="206.88"/>
    <n v="206.88"/>
    <n v="0.107"/>
    <n v="0.107"/>
    <n v="9"/>
    <s v="OK"/>
    <d v="2023-07-19T00:00:00"/>
    <n v="10"/>
    <n v="1662.6945600000001"/>
    <n v="1271.3399999999999"/>
    <n v="391.35456000000022"/>
    <n v="0.23537369365062469"/>
    <x v="2"/>
    <s v="Components"/>
    <s v="Components"/>
    <x v="1"/>
    <x v="1"/>
  </r>
  <r>
    <x v="336"/>
    <x v="247"/>
    <d v="2023-08-10T00:00:00"/>
    <x v="1"/>
    <x v="8"/>
    <x v="27"/>
    <s v="Corporate"/>
    <x v="2"/>
    <x v="13"/>
    <x v="0"/>
    <x v="336"/>
    <n v="506.83"/>
    <n v="441.74"/>
    <n v="441.74"/>
    <n v="0.24"/>
    <n v="0.24"/>
    <n v="9"/>
    <s v="OK"/>
    <d v="2023-08-10T00:00:00"/>
    <n v="16"/>
    <n v="3021.5016000000001"/>
    <n v="4561.47"/>
    <n v="-1539.9684000000002"/>
    <n v="-0.50966989393618067"/>
    <x v="2"/>
    <s v="Accessories"/>
    <s v="Accessories"/>
    <x v="0"/>
    <x v="1"/>
  </r>
  <r>
    <x v="337"/>
    <x v="248"/>
    <d v="2023-07-11T00:00:00"/>
    <x v="2"/>
    <x v="10"/>
    <x v="29"/>
    <s v="Corporate"/>
    <x v="0"/>
    <x v="7"/>
    <x v="2"/>
    <x v="337"/>
    <n v="479.5"/>
    <n v="656.66"/>
    <n v="656.66"/>
    <n v="0.14899999999999999"/>
    <n v="0.14899999999999999"/>
    <n v="14"/>
    <s v="OK"/>
    <d v="2023-07-11T00:00:00"/>
    <n v="10"/>
    <n v="7823.4472399999995"/>
    <n v="6713"/>
    <n v="1110.4472399999995"/>
    <n v="0.14193835606412289"/>
    <x v="2"/>
    <s v="Networking"/>
    <s v="Networking"/>
    <x v="1"/>
    <x v="1"/>
  </r>
  <r>
    <x v="338"/>
    <x v="249"/>
    <d v="2023-08-10T00:00:00"/>
    <x v="1"/>
    <x v="6"/>
    <x v="38"/>
    <s v="Small Business"/>
    <x v="1"/>
    <x v="0"/>
    <x v="6"/>
    <x v="338"/>
    <n v="1271.56"/>
    <n v="995.47"/>
    <n v="995.47"/>
    <n v="0.192"/>
    <n v="0.192"/>
    <n v="13"/>
    <s v="OK"/>
    <d v="2023-08-10T00:00:00"/>
    <n v="23"/>
    <n v="10456.416880000001"/>
    <n v="16530.28"/>
    <n v="-6073.8631199999982"/>
    <n v="-0.58087423155607754"/>
    <x v="2"/>
    <s v="Components"/>
    <s v="Components"/>
    <x v="1"/>
    <x v="1"/>
  </r>
  <r>
    <x v="339"/>
    <x v="250"/>
    <d v="2023-07-14T00:00:00"/>
    <x v="0"/>
    <x v="0"/>
    <x v="1"/>
    <s v="Enterprise"/>
    <x v="0"/>
    <x v="12"/>
    <x v="2"/>
    <x v="339"/>
    <n v="578.85"/>
    <n v="998.76"/>
    <n v="998.76"/>
    <n v="8.2000000000000003E-2"/>
    <n v="8.2000000000000003E-2"/>
    <n v="28"/>
    <s v="OK"/>
    <d v="2023-07-14T00:00:00"/>
    <n v="9"/>
    <n v="25672.127039999999"/>
    <n v="16207.800000000001"/>
    <n v="9464.3270399999983"/>
    <n v="0.36866158480960831"/>
    <x v="2"/>
    <s v="Networking"/>
    <s v="Networking"/>
    <x v="1"/>
    <x v="1"/>
  </r>
  <r>
    <x v="340"/>
    <x v="248"/>
    <d v="2023-07-08T00:00:00"/>
    <x v="2"/>
    <x v="11"/>
    <x v="34"/>
    <s v="Small Business"/>
    <x v="2"/>
    <x v="3"/>
    <x v="1"/>
    <x v="340"/>
    <n v="460.21"/>
    <n v="1139.1500000000001"/>
    <n v="1139.1500000000001"/>
    <n v="0.115"/>
    <n v="0.115"/>
    <n v="14"/>
    <s v="OK"/>
    <d v="2023-07-08T00:00:00"/>
    <n v="7"/>
    <n v="14114.068500000001"/>
    <n v="6442.94"/>
    <n v="7671.1285000000016"/>
    <n v="0.54350937151821255"/>
    <x v="2"/>
    <s v="Laptops"/>
    <s v="Laptops"/>
    <x v="1"/>
    <x v="0"/>
  </r>
  <r>
    <x v="341"/>
    <x v="251"/>
    <d v="2023-07-23T00:00:00"/>
    <x v="1"/>
    <x v="6"/>
    <x v="38"/>
    <s v="Small Business"/>
    <x v="2"/>
    <x v="7"/>
    <x v="1"/>
    <x v="341"/>
    <n v="1001.96"/>
    <n v="1254.95"/>
    <n v="1254.95"/>
    <n v="4.4999999999999998E-2"/>
    <n v="4.4999999999999998E-2"/>
    <n v="18"/>
    <s v="OK"/>
    <d v="2023-07-23T00:00:00"/>
    <n v="20"/>
    <n v="21572.590500000002"/>
    <n v="18035.28"/>
    <n v="3537.3105000000032"/>
    <n v="0.16397244920585699"/>
    <x v="2"/>
    <s v="Laptops"/>
    <s v="Laptops"/>
    <x v="1"/>
    <x v="1"/>
  </r>
  <r>
    <x v="342"/>
    <x v="252"/>
    <d v="2023-07-21T00:00:00"/>
    <x v="1"/>
    <x v="6"/>
    <x v="10"/>
    <s v="Enterprise"/>
    <x v="4"/>
    <x v="14"/>
    <x v="5"/>
    <x v="342"/>
    <n v="620.74"/>
    <n v="1330.07"/>
    <n v="1330.07"/>
    <n v="0.29899999999999999"/>
    <n v="0.29899999999999999"/>
    <n v="28"/>
    <s v="OK"/>
    <d v="2023-07-21T00:00:00"/>
    <n v="7"/>
    <n v="26106.613960000002"/>
    <n v="17380.72"/>
    <n v="8725.8939600000012"/>
    <n v="0.33424073965967516"/>
    <x v="2"/>
    <s v="Monitors"/>
    <s v="Monitors"/>
    <x v="0"/>
    <x v="0"/>
  </r>
  <r>
    <x v="343"/>
    <x v="253"/>
    <d v="2023-07-13T00:00:00"/>
    <x v="1"/>
    <x v="6"/>
    <x v="15"/>
    <s v="Small Business"/>
    <x v="4"/>
    <x v="12"/>
    <x v="0"/>
    <x v="343"/>
    <n v="612.59"/>
    <n v="1424.74"/>
    <n v="1424.74"/>
    <n v="4.3999999999999997E-2"/>
    <n v="4.3999999999999997E-2"/>
    <n v="15"/>
    <s v="OK"/>
    <d v="2023-07-13T00:00:00"/>
    <n v="6"/>
    <n v="20430.771599999996"/>
    <n v="9188.85"/>
    <n v="11241.921599999996"/>
    <n v="0.55024459281802152"/>
    <x v="2"/>
    <s v="Accessories"/>
    <s v="Accessories"/>
    <x v="1"/>
    <x v="0"/>
  </r>
  <r>
    <x v="344"/>
    <x v="252"/>
    <d v="2023-07-14T00:00:00"/>
    <x v="1"/>
    <x v="8"/>
    <x v="12"/>
    <s v="Education"/>
    <x v="1"/>
    <x v="13"/>
    <x v="0"/>
    <x v="344"/>
    <n v="956.38"/>
    <n v="1454.22"/>
    <n v="1454.22"/>
    <n v="3.9E-2"/>
    <n v="3.9E-2"/>
    <n v="19"/>
    <s v="OK"/>
    <d v="2023-07-14T00:00:00"/>
    <n v="0"/>
    <n v="26552.60298"/>
    <n v="18171.22"/>
    <n v="8381.3829799999985"/>
    <n v="0.31565202802576603"/>
    <x v="2"/>
    <s v="Accessories"/>
    <s v="Accessories"/>
    <x v="1"/>
    <x v="0"/>
  </r>
  <r>
    <x v="345"/>
    <x v="254"/>
    <d v="2023-08-19T00:00:00"/>
    <x v="1"/>
    <x v="1"/>
    <x v="2"/>
    <s v="Enterprise"/>
    <x v="2"/>
    <x v="4"/>
    <x v="0"/>
    <x v="345"/>
    <n v="661.45"/>
    <n v="1634.86"/>
    <n v="1634.86"/>
    <n v="0.56499999999999995"/>
    <n v="0.3"/>
    <n v="24"/>
    <s v="OK"/>
    <d v="2023-08-19T00:00:00"/>
    <n v="26"/>
    <n v="27465.647999999997"/>
    <n v="15874.800000000001"/>
    <n v="11590.847999999996"/>
    <n v="0.42201254454291404"/>
    <x v="2"/>
    <s v="Accessories"/>
    <s v="Accessories"/>
    <x v="0"/>
    <x v="1"/>
  </r>
  <r>
    <x v="346"/>
    <x v="255"/>
    <d v="2023-08-25T00:00:00"/>
    <x v="0"/>
    <x v="9"/>
    <x v="21"/>
    <s v="Consumer"/>
    <x v="1"/>
    <x v="4"/>
    <x v="0"/>
    <x v="346"/>
    <n v="1261.48"/>
    <n v="1643.18"/>
    <n v="1643.18"/>
    <n v="0.151"/>
    <n v="0.151"/>
    <n v="23"/>
    <s v="OK"/>
    <d v="2023-08-25T00:00:00"/>
    <n v="30"/>
    <n v="32086.37586"/>
    <n v="29014.04"/>
    <n v="3072.3358599999992"/>
    <n v="9.5752037357079045E-2"/>
    <x v="2"/>
    <s v="Accessories"/>
    <s v="Accessories"/>
    <x v="1"/>
    <x v="1"/>
  </r>
  <r>
    <x v="347"/>
    <x v="254"/>
    <d v="2023-08-13T00:00:00"/>
    <x v="0"/>
    <x v="3"/>
    <x v="39"/>
    <s v="Education"/>
    <x v="0"/>
    <x v="6"/>
    <x v="5"/>
    <x v="347"/>
    <n v="1082.3800000000001"/>
    <n v="1766.55"/>
    <n v="1766.55"/>
    <n v="0.16400000000000001"/>
    <n v="0.16400000000000001"/>
    <n v="20"/>
    <s v="OK"/>
    <d v="2023-08-13T00:00:00"/>
    <n v="20"/>
    <n v="29536.716"/>
    <n v="21647.600000000002"/>
    <n v="7889.1159999999982"/>
    <n v="0.26709523157550752"/>
    <x v="2"/>
    <s v="Monitors"/>
    <s v="Monitors"/>
    <x v="1"/>
    <x v="1"/>
  </r>
  <r>
    <x v="348"/>
    <x v="248"/>
    <d v="2023-07-08T00:00:00"/>
    <x v="1"/>
    <x v="8"/>
    <x v="27"/>
    <s v="Corporate"/>
    <x v="1"/>
    <x v="5"/>
    <x v="1"/>
    <x v="348"/>
    <n v="834.26"/>
    <n v="1780.56"/>
    <n v="1780.56"/>
    <n v="1.4E-2"/>
    <n v="1.4E-2"/>
    <n v="47"/>
    <s v="OK"/>
    <d v="2023-07-08T00:00:00"/>
    <n v="7"/>
    <n v="82514.711519999997"/>
    <n v="39210.22"/>
    <n v="43304.491519999996"/>
    <n v="0.5248093427497933"/>
    <x v="2"/>
    <s v="Laptops"/>
    <s v="Laptops"/>
    <x v="1"/>
    <x v="0"/>
  </r>
  <r>
    <x v="349"/>
    <x v="256"/>
    <d v="2023-08-01T00:00:00"/>
    <x v="2"/>
    <x v="10"/>
    <x v="33"/>
    <s v="Consumer"/>
    <x v="4"/>
    <x v="12"/>
    <x v="3"/>
    <x v="349"/>
    <n v="1303.56"/>
    <n v="1791.37"/>
    <n v="1791.37"/>
    <n v="0.126"/>
    <n v="0.126"/>
    <n v="22"/>
    <s v="OK"/>
    <d v="2023-08-01T00:00:00"/>
    <n v="22"/>
    <n v="34444.462359999998"/>
    <n v="28678.32"/>
    <n v="5766.142359999998"/>
    <n v="0.16740404596055358"/>
    <x v="2"/>
    <s v="Printers"/>
    <s v="Printers"/>
    <x v="1"/>
    <x v="1"/>
  </r>
  <r>
    <x v="350"/>
    <x v="249"/>
    <d v="2023-07-22T00:00:00"/>
    <x v="0"/>
    <x v="0"/>
    <x v="17"/>
    <s v="Consumer"/>
    <x v="0"/>
    <x v="7"/>
    <x v="2"/>
    <x v="350"/>
    <n v="1269.55"/>
    <n v="2071.1"/>
    <n v="2071.1"/>
    <n v="0.129"/>
    <n v="0.129"/>
    <n v="22"/>
    <s v="OK"/>
    <d v="2023-07-22T00:00:00"/>
    <n v="4"/>
    <n v="39686.4182"/>
    <n v="27930.1"/>
    <n v="11756.318200000002"/>
    <n v="0.29623026549672354"/>
    <x v="2"/>
    <s v="Networking"/>
    <s v="Networking"/>
    <x v="1"/>
    <x v="0"/>
  </r>
  <r>
    <x v="351"/>
    <x v="257"/>
    <d v="2023-07-21T00:00:00"/>
    <x v="3"/>
    <x v="4"/>
    <x v="6"/>
    <s v="Small Business"/>
    <x v="2"/>
    <x v="11"/>
    <x v="3"/>
    <x v="351"/>
    <n v="946.99"/>
    <n v="2132.19"/>
    <n v="2132.19"/>
    <n v="0.16500000000000001"/>
    <n v="0.16500000000000001"/>
    <n v="7"/>
    <s v="Correct"/>
    <d v="2023-07-29T00:00:00"/>
    <n v="7"/>
    <n v="12462.65055"/>
    <n v="6628.93"/>
    <n v="5833.72055"/>
    <n v="0.46809629513362228"/>
    <x v="2"/>
    <s v="Printers"/>
    <s v="Printers"/>
    <x v="1"/>
    <x v="0"/>
  </r>
  <r>
    <x v="352"/>
    <x v="258"/>
    <d v="2023-07-31T00:00:00"/>
    <x v="0"/>
    <x v="0"/>
    <x v="0"/>
    <s v="Corporate"/>
    <x v="1"/>
    <x v="6"/>
    <x v="5"/>
    <x v="352"/>
    <n v="1334.64"/>
    <n v="2273.42"/>
    <n v="2273.42"/>
    <n v="0.11799999999999999"/>
    <n v="0.11799999999999999"/>
    <n v="14"/>
    <s v="OK"/>
    <d v="2023-07-31T00:00:00"/>
    <n v="12"/>
    <n v="28072.190160000002"/>
    <n v="18684.960000000003"/>
    <n v="9387.2301599999992"/>
    <n v="0.33439607335575267"/>
    <x v="2"/>
    <s v="Monitors"/>
    <s v="Monitors"/>
    <x v="1"/>
    <x v="1"/>
  </r>
  <r>
    <x v="353"/>
    <x v="259"/>
    <d v="2023-08-13T00:00:00"/>
    <x v="2"/>
    <x v="2"/>
    <x v="26"/>
    <s v="Non-Profit"/>
    <x v="3"/>
    <x v="2"/>
    <x v="1"/>
    <x v="353"/>
    <n v="1039.03"/>
    <n v="2545.81"/>
    <n v="2545.81"/>
    <n v="0.216"/>
    <n v="0.216"/>
    <n v="21"/>
    <s v="OK"/>
    <d v="2023-08-13T00:00:00"/>
    <n v="28"/>
    <n v="41914.215840000004"/>
    <n v="21819.63"/>
    <n v="20094.585840000003"/>
    <n v="0.47942172929364774"/>
    <x v="2"/>
    <s v="Laptops"/>
    <s v="Laptops"/>
    <x v="0"/>
    <x v="1"/>
  </r>
  <r>
    <x v="354"/>
    <x v="260"/>
    <d v="2023-08-07T00:00:00"/>
    <x v="3"/>
    <x v="5"/>
    <x v="7"/>
    <s v="Education"/>
    <x v="4"/>
    <x v="5"/>
    <x v="2"/>
    <x v="354"/>
    <n v="1352.44"/>
    <n v="2698.01"/>
    <n v="2698.01"/>
    <n v="0.13100000000000001"/>
    <n v="0.13100000000000001"/>
    <n v="13"/>
    <s v="OK"/>
    <d v="2023-08-07T00:00:00"/>
    <n v="8"/>
    <n v="30479.418970000002"/>
    <n v="17581.72"/>
    <n v="12897.698970000001"/>
    <n v="0.42316091992090887"/>
    <x v="2"/>
    <s v="Networking"/>
    <s v="Networking"/>
    <x v="1"/>
    <x v="1"/>
  </r>
  <r>
    <x v="355"/>
    <x v="260"/>
    <d v="2023-08-19T00:00:00"/>
    <x v="2"/>
    <x v="10"/>
    <x v="29"/>
    <s v="Enterprise"/>
    <x v="4"/>
    <x v="15"/>
    <x v="2"/>
    <x v="355"/>
    <n v="1418.51"/>
    <n v="2789.61"/>
    <n v="2789.61"/>
    <n v="0.17100000000000001"/>
    <n v="0.17100000000000001"/>
    <n v="8"/>
    <s v="OK"/>
    <d v="2023-08-19T00:00:00"/>
    <n v="20"/>
    <n v="18500.693520000001"/>
    <n v="11348.08"/>
    <n v="7152.6135200000008"/>
    <n v="0.38661326464695689"/>
    <x v="2"/>
    <s v="Networking"/>
    <s v="Networking"/>
    <x v="1"/>
    <x v="1"/>
  </r>
  <r>
    <x v="356"/>
    <x v="261"/>
    <d v="2023-07-09T00:00:00"/>
    <x v="1"/>
    <x v="1"/>
    <x v="2"/>
    <s v="Consumer"/>
    <x v="3"/>
    <x v="9"/>
    <x v="1"/>
    <x v="356"/>
    <n v="1258.72"/>
    <n v="2797.41"/>
    <n v="2797.41"/>
    <n v="0"/>
    <n v="0"/>
    <n v="7"/>
    <s v="OK"/>
    <d v="2023-07-09T00:00:00"/>
    <n v="1"/>
    <n v="19581.87"/>
    <n v="8811.0400000000009"/>
    <n v="10770.829999999998"/>
    <n v="0.55004093071805704"/>
    <x v="2"/>
    <s v="Laptops"/>
    <s v="Laptops"/>
    <x v="1"/>
    <x v="0"/>
  </r>
  <r>
    <x v="357"/>
    <x v="262"/>
    <d v="2025-01-24T00:00:00"/>
    <x v="0"/>
    <x v="9"/>
    <x v="13"/>
    <s v="Enterprise"/>
    <x v="3"/>
    <x v="15"/>
    <x v="0"/>
    <x v="357"/>
    <n v="142.09"/>
    <n v="218.5"/>
    <n v="218.5"/>
    <n v="0.11899999999999999"/>
    <n v="0.11899999999999999"/>
    <n v="11"/>
    <s v="OK"/>
    <d v="2025-01-24T00:00:00"/>
    <n v="7"/>
    <n v="2117.4834999999998"/>
    <n v="1562.99"/>
    <n v="554.49349999999981"/>
    <n v="0.26186437816398561"/>
    <x v="8"/>
    <s v="Accessories"/>
    <s v="Accessories"/>
    <x v="1"/>
    <x v="0"/>
  </r>
  <r>
    <x v="358"/>
    <x v="263"/>
    <d v="2025-02-04T00:00:00"/>
    <x v="3"/>
    <x v="5"/>
    <x v="8"/>
    <s v="Small Business"/>
    <x v="2"/>
    <x v="0"/>
    <x v="3"/>
    <x v="358"/>
    <n v="122.29"/>
    <n v="224.95"/>
    <n v="224.95"/>
    <n v="0.153"/>
    <n v="0.153"/>
    <n v="28"/>
    <s v="OK"/>
    <d v="2025-02-04T00:00:00"/>
    <n v="13"/>
    <n v="5334.9141999999993"/>
    <n v="3424.1200000000003"/>
    <n v="1910.7941999999989"/>
    <n v="0.3581677471026618"/>
    <x v="8"/>
    <s v="Printers"/>
    <s v="Printers"/>
    <x v="1"/>
    <x v="1"/>
  </r>
  <r>
    <x v="359"/>
    <x v="264"/>
    <d v="2025-01-23T00:00:00"/>
    <x v="0"/>
    <x v="9"/>
    <x v="13"/>
    <s v="Consumer"/>
    <x v="2"/>
    <x v="10"/>
    <x v="4"/>
    <x v="359"/>
    <n v="100.69"/>
    <n v="226.14"/>
    <n v="226.14"/>
    <n v="6.5000000000000002E-2"/>
    <n v="6.5000000000000002E-2"/>
    <n v="12"/>
    <s v="OK"/>
    <d v="2025-01-23T00:00:00"/>
    <n v="12"/>
    <n v="2537.2908000000002"/>
    <n v="1208.28"/>
    <n v="1329.0108000000002"/>
    <n v="0.52379128162999689"/>
    <x v="8"/>
    <s v="Phones"/>
    <s v="Phones"/>
    <x v="1"/>
    <x v="1"/>
  </r>
  <r>
    <x v="360"/>
    <x v="265"/>
    <d v="2025-02-16T00:00:00"/>
    <x v="2"/>
    <x v="10"/>
    <x v="24"/>
    <s v="Corporate"/>
    <x v="2"/>
    <x v="8"/>
    <x v="1"/>
    <x v="360"/>
    <n v="204.11"/>
    <n v="236.87"/>
    <n v="236.87"/>
    <n v="0.182"/>
    <n v="0.182"/>
    <n v="13"/>
    <s v="OK"/>
    <d v="2025-02-16T00:00:00"/>
    <n v="26"/>
    <n v="2518.8755800000004"/>
    <n v="2653.4300000000003"/>
    <n v="-134.55441999999994"/>
    <n v="-5.3418446337075494E-2"/>
    <x v="8"/>
    <s v="Laptops"/>
    <s v="Laptops"/>
    <x v="1"/>
    <x v="1"/>
  </r>
  <r>
    <x v="361"/>
    <x v="266"/>
    <d v="2025-01-15T00:00:00"/>
    <x v="3"/>
    <x v="7"/>
    <x v="11"/>
    <s v="Education"/>
    <x v="3"/>
    <x v="6"/>
    <x v="4"/>
    <x v="361"/>
    <n v="304.77999999999997"/>
    <n v="537.27"/>
    <n v="537.27"/>
    <n v="0.187"/>
    <n v="0.187"/>
    <n v="8"/>
    <s v="OK"/>
    <d v="2025-01-15T00:00:00"/>
    <n v="6"/>
    <n v="3494.4040799999998"/>
    <n v="2438.2399999999998"/>
    <n v="1056.16408"/>
    <n v="0.3022444044307549"/>
    <x v="8"/>
    <s v="Phones"/>
    <s v="Phones"/>
    <x v="1"/>
    <x v="0"/>
  </r>
  <r>
    <x v="362"/>
    <x v="267"/>
    <d v="2025-02-17T00:00:00"/>
    <x v="2"/>
    <x v="2"/>
    <x v="3"/>
    <s v="Enterprise"/>
    <x v="1"/>
    <x v="10"/>
    <x v="6"/>
    <x v="289"/>
    <n v="378.26"/>
    <n v="541.55999999999995"/>
    <n v="541.55999999999995"/>
    <n v="0.16300000000000001"/>
    <n v="0.16300000000000001"/>
    <n v="25"/>
    <s v="OK"/>
    <d v="2025-02-17T00:00:00"/>
    <n v="17"/>
    <n v="11332.142999999998"/>
    <n v="9456.5"/>
    <n v="1875.6429999999982"/>
    <n v="0.16551529573885526"/>
    <x v="8"/>
    <s v="Components"/>
    <s v="Components"/>
    <x v="1"/>
    <x v="1"/>
  </r>
  <r>
    <x v="363"/>
    <x v="263"/>
    <d v="2025-01-22T00:00:00"/>
    <x v="2"/>
    <x v="10"/>
    <x v="24"/>
    <s v="Small Business"/>
    <x v="3"/>
    <x v="12"/>
    <x v="0"/>
    <x v="362"/>
    <n v="591.72"/>
    <n v="577.24"/>
    <n v="577.24"/>
    <n v="0"/>
    <n v="0"/>
    <n v="22"/>
    <s v="OK"/>
    <d v="2025-01-22T00:00:00"/>
    <n v="0"/>
    <n v="12699.28"/>
    <n v="13017.84"/>
    <n v="-318.55999999999949"/>
    <n v="-2.5084886702238195E-2"/>
    <x v="8"/>
    <s v="Accessories"/>
    <s v="Accessories"/>
    <x v="1"/>
    <x v="0"/>
  </r>
  <r>
    <x v="364"/>
    <x v="268"/>
    <d v="2025-01-23T00:00:00"/>
    <x v="3"/>
    <x v="5"/>
    <x v="9"/>
    <s v="Corporate"/>
    <x v="2"/>
    <x v="7"/>
    <x v="4"/>
    <x v="363"/>
    <n v="908.6"/>
    <n v="691.37"/>
    <n v="691.37"/>
    <n v="0.25"/>
    <n v="0.25"/>
    <n v="20"/>
    <s v="OK"/>
    <d v="2025-01-23T00:00:00"/>
    <n v="20"/>
    <n v="10370.549999999999"/>
    <n v="18172"/>
    <n v="-7801.4500000000007"/>
    <n v="-0.75226964818645115"/>
    <x v="8"/>
    <s v="Phones"/>
    <s v="Phones"/>
    <x v="0"/>
    <x v="1"/>
  </r>
  <r>
    <x v="365"/>
    <x v="269"/>
    <d v="2025-02-03T00:00:00"/>
    <x v="0"/>
    <x v="0"/>
    <x v="1"/>
    <s v="Enterprise"/>
    <x v="4"/>
    <x v="7"/>
    <x v="6"/>
    <x v="364"/>
    <n v="974.11"/>
    <n v="880.99"/>
    <n v="880.99"/>
    <n v="0.111"/>
    <n v="0.111"/>
    <n v="10"/>
    <s v="OK"/>
    <d v="2025-02-03T00:00:00"/>
    <n v="14"/>
    <n v="7832.0010999999995"/>
    <n v="9741.1"/>
    <n v="-1909.0989000000009"/>
    <n v="-0.2437562093805121"/>
    <x v="8"/>
    <s v="Components"/>
    <s v="Components"/>
    <x v="1"/>
    <x v="1"/>
  </r>
  <r>
    <x v="366"/>
    <x v="270"/>
    <d v="2025-02-08T00:00:00"/>
    <x v="2"/>
    <x v="10"/>
    <x v="29"/>
    <s v="Non-Profit"/>
    <x v="5"/>
    <x v="11"/>
    <x v="5"/>
    <x v="365"/>
    <n v="594.74"/>
    <n v="1020.69"/>
    <n v="1020.69"/>
    <n v="0.21099999999999999"/>
    <n v="0.21099999999999999"/>
    <n v="6"/>
    <s v="OK"/>
    <d v="2025-02-08T00:00:00"/>
    <n v="26"/>
    <n v="4831.9464600000001"/>
    <n v="3568.44"/>
    <n v="1263.5064600000001"/>
    <n v="0.26149016146176424"/>
    <x v="8"/>
    <s v="Monitors"/>
    <s v="Monitors"/>
    <x v="0"/>
    <x v="1"/>
  </r>
  <r>
    <x v="367"/>
    <x v="271"/>
    <d v="2025-01-20T00:00:00"/>
    <x v="1"/>
    <x v="6"/>
    <x v="15"/>
    <s v="Corporate"/>
    <x v="0"/>
    <x v="1"/>
    <x v="2"/>
    <x v="366"/>
    <n v="432.13"/>
    <n v="1034.6600000000001"/>
    <n v="1034.6600000000001"/>
    <n v="9.1999999999999998E-2"/>
    <n v="9.1999999999999998E-2"/>
    <n v="7"/>
    <s v="OK"/>
    <d v="2025-01-20T00:00:00"/>
    <n v="13"/>
    <n v="6576.298960000001"/>
    <n v="3024.91"/>
    <n v="3551.3889600000011"/>
    <n v="0.54002851476204794"/>
    <x v="8"/>
    <s v="Networking"/>
    <s v="Networking"/>
    <x v="1"/>
    <x v="1"/>
  </r>
  <r>
    <x v="368"/>
    <x v="272"/>
    <d v="2025-02-06T00:00:00"/>
    <x v="0"/>
    <x v="0"/>
    <x v="1"/>
    <s v="Non-Profit"/>
    <x v="1"/>
    <x v="12"/>
    <x v="1"/>
    <x v="367"/>
    <n v="725.62"/>
    <n v="1559.19"/>
    <n v="1559.19"/>
    <n v="0.19"/>
    <n v="0.19"/>
    <n v="12"/>
    <s v="OK"/>
    <d v="2025-02-06T00:00:00"/>
    <n v="27"/>
    <n v="15155.326800000001"/>
    <n v="8707.44"/>
    <n v="6447.8868000000002"/>
    <n v="0.42545349797405885"/>
    <x v="8"/>
    <s v="Laptops"/>
    <s v="Laptops"/>
    <x v="1"/>
    <x v="1"/>
  </r>
  <r>
    <x v="369"/>
    <x v="265"/>
    <d v="2025-02-14T00:00:00"/>
    <x v="1"/>
    <x v="1"/>
    <x v="2"/>
    <s v="Small Business"/>
    <x v="1"/>
    <x v="2"/>
    <x v="0"/>
    <x v="368"/>
    <n v="1030.44"/>
    <n v="2562.84"/>
    <n v="2562.84"/>
    <n v="0.14799999999999999"/>
    <n v="0.14799999999999999"/>
    <n v="13"/>
    <s v="OK"/>
    <d v="2025-02-14T00:00:00"/>
    <n v="24"/>
    <n v="28386.015839999996"/>
    <n v="13395.720000000001"/>
    <n v="14990.295839999995"/>
    <n v="0.52808734852027039"/>
    <x v="8"/>
    <s v="Accessories"/>
    <s v="Accessories"/>
    <x v="1"/>
    <x v="1"/>
  </r>
  <r>
    <x v="370"/>
    <x v="273"/>
    <d v="2025-02-06T00:00:00"/>
    <x v="1"/>
    <x v="1"/>
    <x v="16"/>
    <s v="Education"/>
    <x v="1"/>
    <x v="12"/>
    <x v="4"/>
    <x v="369"/>
    <n v="1445.27"/>
    <n v="2691.45"/>
    <n v="2691.45"/>
    <n v="0"/>
    <n v="0"/>
    <n v="9"/>
    <s v="OK"/>
    <d v="2025-02-06T00:00:00"/>
    <n v="8"/>
    <n v="24223.05"/>
    <n v="13007.43"/>
    <n v="11215.619999999999"/>
    <n v="0.46301436028906351"/>
    <x v="8"/>
    <s v="Phones"/>
    <s v="Phones"/>
    <x v="1"/>
    <x v="1"/>
  </r>
  <r>
    <x v="371"/>
    <x v="274"/>
    <d v="2025-01-05T00:00:00"/>
    <x v="3"/>
    <x v="4"/>
    <x v="6"/>
    <s v="Education"/>
    <x v="1"/>
    <x v="13"/>
    <x v="6"/>
    <x v="370"/>
    <n v="1428.33"/>
    <n v="3028.05"/>
    <n v="3028.05"/>
    <n v="0"/>
    <n v="0"/>
    <n v="11"/>
    <s v="OK"/>
    <d v="2025-01-05T00:00:00"/>
    <n v="1"/>
    <n v="33308.550000000003"/>
    <n v="15711.63"/>
    <n v="17596.920000000006"/>
    <n v="0.52830039134096207"/>
    <x v="8"/>
    <s v="Components"/>
    <s v="Components"/>
    <x v="1"/>
    <x v="0"/>
  </r>
  <r>
    <x v="372"/>
    <x v="275"/>
    <d v="2025-02-15T00:00:00"/>
    <x v="3"/>
    <x v="7"/>
    <x v="14"/>
    <s v="Non-Profit"/>
    <x v="0"/>
    <x v="0"/>
    <x v="4"/>
    <x v="371"/>
    <n v="1253.22"/>
    <n v="3104.71"/>
    <n v="3104.71"/>
    <n v="0"/>
    <n v="0"/>
    <n v="17"/>
    <s v="OK"/>
    <d v="2025-02-15T00:00:00"/>
    <n v="19"/>
    <n v="52780.07"/>
    <n v="21304.74"/>
    <n v="31475.329999999998"/>
    <n v="0.59634877331538205"/>
    <x v="8"/>
    <s v="Phones"/>
    <s v="Phones"/>
    <x v="1"/>
    <x v="1"/>
  </r>
  <r>
    <x v="373"/>
    <x v="276"/>
    <d v="2024-01-27T00:00:00"/>
    <x v="1"/>
    <x v="6"/>
    <x v="15"/>
    <s v="Enterprise"/>
    <x v="0"/>
    <x v="8"/>
    <x v="6"/>
    <x v="372"/>
    <n v="109.75"/>
    <n v="124.25"/>
    <n v="124.25"/>
    <n v="0.12"/>
    <n v="0.12"/>
    <n v="19"/>
    <s v="Correct"/>
    <d v="2024-02-04T00:00:00"/>
    <n v="7"/>
    <n v="2077.46"/>
    <n v="2085.25"/>
    <n v="-7.7899999999999636"/>
    <n v="-3.7497713554051405E-3"/>
    <x v="9"/>
    <s v="Components"/>
    <s v="Components"/>
    <x v="1"/>
    <x v="0"/>
  </r>
  <r>
    <x v="374"/>
    <x v="277"/>
    <d v="2024-01-22T00:00:00"/>
    <x v="3"/>
    <x v="4"/>
    <x v="19"/>
    <s v="Enterprise"/>
    <x v="4"/>
    <x v="2"/>
    <x v="6"/>
    <x v="373"/>
    <n v="313.60000000000002"/>
    <n v="334.28"/>
    <n v="334.28"/>
    <n v="0.14000000000000001"/>
    <n v="0.14000000000000001"/>
    <n v="22"/>
    <s v="OK"/>
    <d v="2024-01-22T00:00:00"/>
    <n v="9"/>
    <n v="6324.5775999999996"/>
    <n v="6899.2000000000007"/>
    <n v="-574.62240000000111"/>
    <n v="-9.0855458868905517E-2"/>
    <x v="9"/>
    <s v="Components"/>
    <s v="Components"/>
    <x v="1"/>
    <x v="1"/>
  </r>
  <r>
    <x v="375"/>
    <x v="278"/>
    <d v="2024-01-01T00:00:00"/>
    <x v="0"/>
    <x v="9"/>
    <x v="30"/>
    <s v="Education"/>
    <x v="4"/>
    <x v="12"/>
    <x v="2"/>
    <x v="374"/>
    <n v="404.77"/>
    <n v="433.88"/>
    <n v="433.88"/>
    <n v="0.215"/>
    <n v="0.215"/>
    <n v="22"/>
    <s v="Correct"/>
    <d v="2024-01-09T00:00:00"/>
    <n v="7"/>
    <n v="7493.1076000000012"/>
    <n v="8904.9399999999987"/>
    <n v="-1411.8323999999975"/>
    <n v="-0.18841747314558746"/>
    <x v="9"/>
    <s v="Networking"/>
    <s v="Networking"/>
    <x v="0"/>
    <x v="0"/>
  </r>
  <r>
    <x v="376"/>
    <x v="279"/>
    <d v="2024-01-12T00:00:00"/>
    <x v="3"/>
    <x v="4"/>
    <x v="23"/>
    <s v="Corporate"/>
    <x v="0"/>
    <x v="11"/>
    <x v="3"/>
    <x v="375"/>
    <n v="802.32"/>
    <n v="602.34"/>
    <n v="602.34"/>
    <n v="0.12"/>
    <n v="0.12"/>
    <n v="25"/>
    <s v="OK"/>
    <d v="2024-01-12T00:00:00"/>
    <n v="4"/>
    <n v="13251.48"/>
    <n v="20058"/>
    <n v="-6806.52"/>
    <n v="-0.51364224977134632"/>
    <x v="9"/>
    <s v="Printers"/>
    <s v="Printers"/>
    <x v="1"/>
    <x v="0"/>
  </r>
  <r>
    <x v="377"/>
    <x v="280"/>
    <d v="2024-01-29T00:00:00"/>
    <x v="3"/>
    <x v="4"/>
    <x v="31"/>
    <s v="Small Business"/>
    <x v="0"/>
    <x v="12"/>
    <x v="6"/>
    <x v="376"/>
    <n v="310.02"/>
    <n v="619.51"/>
    <n v="619.51"/>
    <n v="4.2000000000000003E-2"/>
    <n v="4.2000000000000003E-2"/>
    <n v="4"/>
    <s v="OK"/>
    <d v="2024-01-29T00:00:00"/>
    <n v="17"/>
    <n v="2373.9623200000001"/>
    <n v="1240.08"/>
    <n v="1133.8823200000002"/>
    <n v="0.47763282106347843"/>
    <x v="9"/>
    <s v="Components"/>
    <s v="Components"/>
    <x v="1"/>
    <x v="1"/>
  </r>
  <r>
    <x v="378"/>
    <x v="280"/>
    <d v="2024-01-29T00:00:00"/>
    <x v="0"/>
    <x v="9"/>
    <x v="30"/>
    <s v="Education"/>
    <x v="2"/>
    <x v="5"/>
    <x v="3"/>
    <x v="377"/>
    <n v="493.76"/>
    <n v="625.04"/>
    <n v="625.04"/>
    <n v="0.25800000000000001"/>
    <n v="0.25800000000000001"/>
    <n v="10"/>
    <s v="OK"/>
    <d v="2024-01-29T00:00:00"/>
    <n v="17"/>
    <n v="4637.7968000000001"/>
    <n v="4937.6000000000004"/>
    <n v="-299.80320000000029"/>
    <n v="-6.464345311549663E-2"/>
    <x v="9"/>
    <s v="Printers"/>
    <s v="Printers"/>
    <x v="0"/>
    <x v="1"/>
  </r>
  <r>
    <x v="379"/>
    <x v="276"/>
    <d v="2024-02-09T00:00:00"/>
    <x v="2"/>
    <x v="11"/>
    <x v="36"/>
    <s v="Corporate"/>
    <x v="3"/>
    <x v="15"/>
    <x v="0"/>
    <x v="378"/>
    <n v="644.16999999999996"/>
    <n v="700.12"/>
    <n v="700.12"/>
    <n v="6.0000000000000001E-3"/>
    <n v="6.0000000000000001E-3"/>
    <n v="23"/>
    <s v="OK"/>
    <d v="2024-02-09T00:00:00"/>
    <n v="12"/>
    <n v="16006.14344"/>
    <n v="14815.91"/>
    <n v="1190.23344"/>
    <n v="7.436103796405813E-2"/>
    <x v="9"/>
    <s v="Accessories"/>
    <s v="Accessories"/>
    <x v="1"/>
    <x v="1"/>
  </r>
  <r>
    <x v="380"/>
    <x v="278"/>
    <d v="2024-01-02T00:00:00"/>
    <x v="0"/>
    <x v="3"/>
    <x v="18"/>
    <s v="Education"/>
    <x v="0"/>
    <x v="5"/>
    <x v="1"/>
    <x v="379"/>
    <n v="444.41"/>
    <n v="754.24"/>
    <n v="754.24"/>
    <n v="0.20699999999999999"/>
    <n v="0.20699999999999999"/>
    <n v="32"/>
    <s v="OK"/>
    <d v="2024-01-02T00:00:00"/>
    <n v="0"/>
    <n v="19139.594240000002"/>
    <n v="14221.12"/>
    <n v="4918.4742400000014"/>
    <n v="0.25697902360546598"/>
    <x v="9"/>
    <s v="Laptops"/>
    <s v="Laptops"/>
    <x v="0"/>
    <x v="0"/>
  </r>
  <r>
    <x v="381"/>
    <x v="281"/>
    <d v="2024-02-11T00:00:00"/>
    <x v="2"/>
    <x v="11"/>
    <x v="34"/>
    <s v="Non-Profit"/>
    <x v="2"/>
    <x v="11"/>
    <x v="5"/>
    <x v="380"/>
    <n v="504.93"/>
    <n v="819.06"/>
    <n v="819.06"/>
    <n v="0.22600000000000001"/>
    <n v="0.22600000000000001"/>
    <n v="15"/>
    <s v="OK"/>
    <d v="2024-02-11T00:00:00"/>
    <n v="26"/>
    <n v="9509.2865999999995"/>
    <n v="7573.95"/>
    <n v="1935.3365999999996"/>
    <n v="0.20352069312959814"/>
    <x v="9"/>
    <s v="Monitors"/>
    <s v="Monitors"/>
    <x v="0"/>
    <x v="1"/>
  </r>
  <r>
    <x v="382"/>
    <x v="282"/>
    <d v="2024-01-23T00:00:00"/>
    <x v="2"/>
    <x v="10"/>
    <x v="33"/>
    <s v="Corporate"/>
    <x v="0"/>
    <x v="5"/>
    <x v="3"/>
    <x v="381"/>
    <n v="720"/>
    <n v="907.59"/>
    <n v="907.59"/>
    <n v="0.154"/>
    <n v="0.154"/>
    <n v="10"/>
    <s v="OK"/>
    <d v="2024-01-23T00:00:00"/>
    <n v="13"/>
    <n v="7678.2113999999992"/>
    <n v="7200"/>
    <n v="478.21139999999923"/>
    <n v="6.2281614179052078E-2"/>
    <x v="9"/>
    <s v="Printers"/>
    <s v="Printers"/>
    <x v="1"/>
    <x v="1"/>
  </r>
  <r>
    <x v="383"/>
    <x v="283"/>
    <d v="2024-02-08T00:00:00"/>
    <x v="3"/>
    <x v="5"/>
    <x v="9"/>
    <s v="Consumer"/>
    <x v="4"/>
    <x v="13"/>
    <x v="2"/>
    <x v="382"/>
    <n v="937.16"/>
    <n v="1069.77"/>
    <n v="1069.77"/>
    <n v="3.7999999999999999E-2"/>
    <n v="3.7999999999999999E-2"/>
    <n v="9"/>
    <s v="OK"/>
    <d v="2024-02-08T00:00:00"/>
    <n v="14"/>
    <n v="9262.0686600000008"/>
    <n v="8434.44"/>
    <n v="827.62866000000031"/>
    <n v="8.9356783066645962E-2"/>
    <x v="9"/>
    <s v="Networking"/>
    <s v="Networking"/>
    <x v="1"/>
    <x v="1"/>
  </r>
  <r>
    <x v="384"/>
    <x v="284"/>
    <d v="2024-01-25T00:00:00"/>
    <x v="3"/>
    <x v="4"/>
    <x v="6"/>
    <s v="Consumer"/>
    <x v="0"/>
    <x v="6"/>
    <x v="5"/>
    <x v="383"/>
    <n v="523.70000000000005"/>
    <n v="1109.92"/>
    <n v="1109.92"/>
    <n v="0.03"/>
    <n v="0.03"/>
    <n v="11"/>
    <s v="OK"/>
    <d v="2024-01-25T00:00:00"/>
    <n v="4"/>
    <n v="11842.8464"/>
    <n v="5760.7000000000007"/>
    <n v="6082.1463999999996"/>
    <n v="0.51357133197302973"/>
    <x v="9"/>
    <s v="Monitors"/>
    <s v="Monitors"/>
    <x v="1"/>
    <x v="0"/>
  </r>
  <r>
    <x v="385"/>
    <x v="285"/>
    <d v="2024-02-04T00:00:00"/>
    <x v="2"/>
    <x v="2"/>
    <x v="26"/>
    <s v="Consumer"/>
    <x v="1"/>
    <x v="12"/>
    <x v="1"/>
    <x v="384"/>
    <n v="525.34"/>
    <n v="1233.79"/>
    <n v="1233.79"/>
    <n v="0.14299999999999999"/>
    <n v="0.14299999999999999"/>
    <n v="4"/>
    <s v="OK"/>
    <d v="2024-02-04T00:00:00"/>
    <n v="11"/>
    <n v="4229.4321199999995"/>
    <n v="2101.36"/>
    <n v="2128.0721199999994"/>
    <n v="0.50315788494082736"/>
    <x v="9"/>
    <s v="Laptops"/>
    <s v="Laptops"/>
    <x v="1"/>
    <x v="1"/>
  </r>
  <r>
    <x v="386"/>
    <x v="286"/>
    <d v="2024-01-27T00:00:00"/>
    <x v="2"/>
    <x v="2"/>
    <x v="26"/>
    <s v="Education"/>
    <x v="2"/>
    <x v="9"/>
    <x v="0"/>
    <x v="385"/>
    <n v="657.45"/>
    <n v="1325.96"/>
    <n v="1325.96"/>
    <n v="0.16700000000000001"/>
    <n v="0.16700000000000001"/>
    <n v="21"/>
    <s v="OK"/>
    <d v="2024-01-27T00:00:00"/>
    <n v="26"/>
    <n v="23195.01828"/>
    <n v="13806.45"/>
    <n v="9388.5682799999995"/>
    <n v="0.40476658249048808"/>
    <x v="9"/>
    <s v="Accessories"/>
    <s v="Accessories"/>
    <x v="1"/>
    <x v="1"/>
  </r>
  <r>
    <x v="387"/>
    <x v="287"/>
    <d v="2024-02-03T00:00:00"/>
    <x v="1"/>
    <x v="6"/>
    <x v="15"/>
    <s v="Non-Profit"/>
    <x v="2"/>
    <x v="0"/>
    <x v="3"/>
    <x v="386"/>
    <n v="666.23"/>
    <n v="1382.91"/>
    <n v="1382.91"/>
    <n v="0.17599999999999999"/>
    <n v="0.17599999999999999"/>
    <n v="13"/>
    <s v="OK"/>
    <d v="2024-02-03T00:00:00"/>
    <n v="16"/>
    <n v="14813.731920000002"/>
    <n v="8660.99"/>
    <n v="6152.7419200000022"/>
    <n v="0.41534043907553048"/>
    <x v="9"/>
    <s v="Printers"/>
    <s v="Printers"/>
    <x v="1"/>
    <x v="1"/>
  </r>
  <r>
    <x v="388"/>
    <x v="288"/>
    <d v="2024-02-02T00:00:00"/>
    <x v="3"/>
    <x v="5"/>
    <x v="7"/>
    <s v="Small Business"/>
    <x v="3"/>
    <x v="14"/>
    <x v="3"/>
    <x v="387"/>
    <n v="1237.68"/>
    <n v="1432.8"/>
    <n v="1432.8"/>
    <n v="6.8000000000000005E-2"/>
    <n v="6.8000000000000005E-2"/>
    <n v="13"/>
    <s v="OK"/>
    <d v="2024-02-02T00:00:00"/>
    <n v="22"/>
    <n v="17359.804799999998"/>
    <n v="16089.84"/>
    <n v="1269.9647999999979"/>
    <n v="7.315547695559331E-2"/>
    <x v="9"/>
    <s v="Printers"/>
    <s v="Printers"/>
    <x v="1"/>
    <x v="1"/>
  </r>
  <r>
    <x v="389"/>
    <x v="289"/>
    <d v="2024-02-13T00:00:00"/>
    <x v="2"/>
    <x v="10"/>
    <x v="33"/>
    <s v="Corporate"/>
    <x v="1"/>
    <x v="10"/>
    <x v="3"/>
    <x v="388"/>
    <n v="643.53"/>
    <n v="1439.01"/>
    <n v="1439.01"/>
    <n v="0"/>
    <n v="0"/>
    <n v="15"/>
    <s v="OK"/>
    <d v="2024-02-13T00:00:00"/>
    <n v="24"/>
    <n v="21585.15"/>
    <n v="9652.9499999999989"/>
    <n v="11932.200000000003"/>
    <n v="0.55279671440782208"/>
    <x v="9"/>
    <s v="Printers"/>
    <s v="Printers"/>
    <x v="1"/>
    <x v="1"/>
  </r>
  <r>
    <x v="390"/>
    <x v="277"/>
    <d v="2024-02-05T00:00:00"/>
    <x v="2"/>
    <x v="11"/>
    <x v="34"/>
    <s v="Education"/>
    <x v="0"/>
    <x v="12"/>
    <x v="1"/>
    <x v="389"/>
    <n v="1017.93"/>
    <n v="1529.14"/>
    <n v="1529.14"/>
    <n v="0.155"/>
    <n v="0.155"/>
    <n v="12"/>
    <s v="OK"/>
    <d v="2024-02-05T00:00:00"/>
    <n v="23"/>
    <n v="15505.479600000001"/>
    <n v="12215.16"/>
    <n v="3290.3196000000007"/>
    <n v="0.21220366508366503"/>
    <x v="9"/>
    <s v="Laptops"/>
    <s v="Laptops"/>
    <x v="1"/>
    <x v="1"/>
  </r>
  <r>
    <x v="391"/>
    <x v="276"/>
    <d v="2024-01-30T00:00:00"/>
    <x v="1"/>
    <x v="6"/>
    <x v="15"/>
    <s v="Consumer"/>
    <x v="0"/>
    <x v="7"/>
    <x v="0"/>
    <x v="390"/>
    <n v="798.45"/>
    <n v="1592.02"/>
    <n v="1592.02"/>
    <n v="6.6000000000000003E-2"/>
    <n v="6.6000000000000003E-2"/>
    <n v="18"/>
    <s v="OK"/>
    <d v="2024-01-30T00:00:00"/>
    <n v="2"/>
    <n v="26765.040239999998"/>
    <n v="14372.1"/>
    <n v="12392.940239999998"/>
    <n v="0.46302714768494585"/>
    <x v="9"/>
    <s v="Accessories"/>
    <s v="Accessories"/>
    <x v="1"/>
    <x v="0"/>
  </r>
  <r>
    <x v="392"/>
    <x v="283"/>
    <d v="2024-01-27T00:00:00"/>
    <x v="0"/>
    <x v="0"/>
    <x v="17"/>
    <s v="Non-Profit"/>
    <x v="4"/>
    <x v="3"/>
    <x v="1"/>
    <x v="391"/>
    <n v="1410.97"/>
    <n v="1650.75"/>
    <n v="1650.75"/>
    <n v="0.13500000000000001"/>
    <n v="0.13500000000000001"/>
    <n v="6"/>
    <s v="OK"/>
    <d v="2024-01-27T00:00:00"/>
    <n v="2"/>
    <n v="8567.3924999999999"/>
    <n v="8465.82"/>
    <n v="101.57250000000022"/>
    <n v="1.1855707556295596E-2"/>
    <x v="9"/>
    <s v="Laptops"/>
    <s v="Laptops"/>
    <x v="1"/>
    <x v="0"/>
  </r>
  <r>
    <x v="393"/>
    <x v="288"/>
    <d v="2024-02-02T00:00:00"/>
    <x v="1"/>
    <x v="6"/>
    <x v="10"/>
    <s v="Consumer"/>
    <x v="3"/>
    <x v="1"/>
    <x v="2"/>
    <x v="392"/>
    <n v="1206.2"/>
    <n v="1759.79"/>
    <n v="1759.79"/>
    <n v="0"/>
    <n v="0"/>
    <n v="6"/>
    <s v="OK"/>
    <d v="2024-02-02T00:00:00"/>
    <n v="22"/>
    <n v="10558.74"/>
    <n v="7237.2000000000007"/>
    <n v="3321.5399999999991"/>
    <n v="0.31457730751964713"/>
    <x v="9"/>
    <s v="Networking"/>
    <s v="Networking"/>
    <x v="1"/>
    <x v="1"/>
  </r>
  <r>
    <x v="394"/>
    <x v="277"/>
    <d v="2024-01-15T00:00:00"/>
    <x v="0"/>
    <x v="9"/>
    <x v="32"/>
    <s v="Non-Profit"/>
    <x v="0"/>
    <x v="11"/>
    <x v="6"/>
    <x v="393"/>
    <n v="1061.3699999999999"/>
    <n v="1938.33"/>
    <n v="1938.33"/>
    <n v="0.17"/>
    <n v="0.17"/>
    <n v="4"/>
    <s v="OK"/>
    <d v="2024-01-15T00:00:00"/>
    <n v="2"/>
    <n v="6435.2555999999995"/>
    <n v="4245.4799999999996"/>
    <n v="2189.7755999999999"/>
    <n v="0.34027795259600879"/>
    <x v="9"/>
    <s v="Components"/>
    <s v="Components"/>
    <x v="1"/>
    <x v="0"/>
  </r>
  <r>
    <x v="395"/>
    <x v="278"/>
    <d v="2024-01-15T00:00:00"/>
    <x v="3"/>
    <x v="5"/>
    <x v="7"/>
    <s v="Small Business"/>
    <x v="4"/>
    <x v="15"/>
    <x v="2"/>
    <x v="394"/>
    <n v="1219.06"/>
    <n v="2738.69"/>
    <n v="2738.69"/>
    <n v="7.5999999999999998E-2"/>
    <n v="7.5999999999999998E-2"/>
    <n v="16"/>
    <s v="OK"/>
    <d v="2024-01-15T00:00:00"/>
    <n v="13"/>
    <n v="40488.792960000006"/>
    <n v="19504.96"/>
    <n v="20983.832960000007"/>
    <n v="0.51826274447673737"/>
    <x v="9"/>
    <s v="Networking"/>
    <s v="Networking"/>
    <x v="1"/>
    <x v="1"/>
  </r>
  <r>
    <x v="396"/>
    <x v="290"/>
    <d v="2023-01-13T00:00:00"/>
    <x v="1"/>
    <x v="8"/>
    <x v="28"/>
    <s v="Education"/>
    <x v="3"/>
    <x v="8"/>
    <x v="3"/>
    <x v="395"/>
    <n v="28.38"/>
    <n v="47.22"/>
    <n v="47.22"/>
    <n v="0.19400000000000001"/>
    <n v="0.19400000000000001"/>
    <n v="18"/>
    <s v="Correct"/>
    <d v="2023-01-22T00:00:00"/>
    <n v="7"/>
    <n v="685.06776000000002"/>
    <n v="510.84"/>
    <n v="174.22776000000005"/>
    <n v="0.25432193743871417"/>
    <x v="10"/>
    <s v="Printers"/>
    <s v="Printers"/>
    <x v="1"/>
    <x v="0"/>
  </r>
  <r>
    <x v="397"/>
    <x v="291"/>
    <d v="2023-02-06T00:00:00"/>
    <x v="0"/>
    <x v="0"/>
    <x v="1"/>
    <s v="Corporate"/>
    <x v="4"/>
    <x v="9"/>
    <x v="5"/>
    <x v="396"/>
    <n v="41.84"/>
    <n v="86.2"/>
    <n v="86.2"/>
    <n v="0.22600000000000001"/>
    <n v="0.22600000000000001"/>
    <n v="27"/>
    <s v="OK"/>
    <d v="2023-02-06T00:00:00"/>
    <n v="8"/>
    <n v="1801.4076000000002"/>
    <n v="1129.68"/>
    <n v="671.72760000000017"/>
    <n v="0.37289039970742882"/>
    <x v="10"/>
    <s v="Monitors"/>
    <s v="Monitors"/>
    <x v="0"/>
    <x v="1"/>
  </r>
  <r>
    <x v="398"/>
    <x v="292"/>
    <d v="2023-01-21T00:00:00"/>
    <x v="2"/>
    <x v="11"/>
    <x v="35"/>
    <s v="Corporate"/>
    <x v="0"/>
    <x v="7"/>
    <x v="5"/>
    <x v="397"/>
    <n v="150.86000000000001"/>
    <n v="346.96"/>
    <n v="346.96"/>
    <n v="0.19600000000000001"/>
    <n v="0.19600000000000001"/>
    <n v="8"/>
    <s v="Correct"/>
    <d v="2023-01-29T00:00:00"/>
    <n v="7"/>
    <n v="2231.6467200000002"/>
    <n v="1206.8800000000001"/>
    <n v="1024.7667200000001"/>
    <n v="0.45919755614365343"/>
    <x v="10"/>
    <s v="Monitors"/>
    <s v="Monitors"/>
    <x v="1"/>
    <x v="0"/>
  </r>
  <r>
    <x v="399"/>
    <x v="293"/>
    <d v="2023-02-15T00:00:00"/>
    <x v="2"/>
    <x v="11"/>
    <x v="36"/>
    <s v="Small Business"/>
    <x v="3"/>
    <x v="8"/>
    <x v="2"/>
    <x v="398"/>
    <n v="492.62"/>
    <n v="366.7"/>
    <n v="366.7"/>
    <n v="8.8999999999999996E-2"/>
    <n v="8.8999999999999996E-2"/>
    <n v="10"/>
    <s v="OK"/>
    <d v="2023-02-15T00:00:00"/>
    <n v="20"/>
    <n v="3340.6370000000002"/>
    <n v="4926.2"/>
    <n v="-1585.5629999999996"/>
    <n v="-0.47462894052840809"/>
    <x v="10"/>
    <s v="Networking"/>
    <s v="Networking"/>
    <x v="1"/>
    <x v="1"/>
  </r>
  <r>
    <x v="400"/>
    <x v="294"/>
    <d v="2023-01-05T00:00:00"/>
    <x v="0"/>
    <x v="3"/>
    <x v="4"/>
    <s v="Corporate"/>
    <x v="2"/>
    <x v="12"/>
    <x v="1"/>
    <x v="399"/>
    <n v="315.87"/>
    <n v="591.67999999999995"/>
    <n v="591.67999999999995"/>
    <n v="0"/>
    <n v="0"/>
    <n v="7"/>
    <s v="OK"/>
    <d v="2023-01-05T00:00:00"/>
    <n v="3"/>
    <n v="4141.7599999999993"/>
    <n v="2211.09"/>
    <n v="1930.6699999999992"/>
    <n v="0.46614724175229844"/>
    <x v="10"/>
    <s v="Laptops"/>
    <s v="Laptops"/>
    <x v="1"/>
    <x v="0"/>
  </r>
  <r>
    <x v="401"/>
    <x v="295"/>
    <d v="2023-01-31T00:00:00"/>
    <x v="2"/>
    <x v="2"/>
    <x v="26"/>
    <s v="Enterprise"/>
    <x v="3"/>
    <x v="3"/>
    <x v="1"/>
    <x v="400"/>
    <n v="941.2"/>
    <n v="668.02"/>
    <n v="668.02"/>
    <n v="0.22"/>
    <n v="0.22"/>
    <n v="16"/>
    <s v="OK"/>
    <d v="2023-01-31T00:00:00"/>
    <n v="4"/>
    <n v="8336.8896000000004"/>
    <n v="15059.2"/>
    <n v="-6722.3104000000003"/>
    <n v="-0.80633314371825193"/>
    <x v="10"/>
    <s v="Laptops"/>
    <s v="Laptops"/>
    <x v="0"/>
    <x v="0"/>
  </r>
  <r>
    <x v="402"/>
    <x v="296"/>
    <d v="2023-01-30T00:00:00"/>
    <x v="1"/>
    <x v="6"/>
    <x v="15"/>
    <s v="Consumer"/>
    <x v="3"/>
    <x v="5"/>
    <x v="3"/>
    <x v="401"/>
    <n v="299.02"/>
    <n v="724.7"/>
    <n v="724.7"/>
    <n v="0.14000000000000001"/>
    <n v="0.14000000000000001"/>
    <n v="5"/>
    <s v="OK"/>
    <d v="2023-01-30T00:00:00"/>
    <n v="23"/>
    <n v="3116.21"/>
    <n v="1495.1"/>
    <n v="1621.1100000000001"/>
    <n v="0.52021847051386139"/>
    <x v="10"/>
    <s v="Printers"/>
    <s v="Printers"/>
    <x v="1"/>
    <x v="1"/>
  </r>
  <r>
    <x v="403"/>
    <x v="297"/>
    <d v="2023-01-29T00:00:00"/>
    <x v="2"/>
    <x v="10"/>
    <x v="24"/>
    <s v="Non-Profit"/>
    <x v="0"/>
    <x v="9"/>
    <x v="1"/>
    <x v="402"/>
    <n v="401.66"/>
    <n v="772.09"/>
    <n v="772.09"/>
    <n v="8.8999999999999996E-2"/>
    <n v="8.8999999999999996E-2"/>
    <n v="14"/>
    <s v="OK"/>
    <d v="2023-01-29T00:00:00"/>
    <n v="19"/>
    <n v="9847.2358600000007"/>
    <n v="5623.2400000000007"/>
    <n v="4223.99586"/>
    <n v="0.42895244107619046"/>
    <x v="10"/>
    <s v="Laptops"/>
    <s v="Laptops"/>
    <x v="1"/>
    <x v="1"/>
  </r>
  <r>
    <x v="404"/>
    <x v="298"/>
    <d v="2023-01-19T00:00:00"/>
    <x v="0"/>
    <x v="9"/>
    <x v="30"/>
    <s v="Corporate"/>
    <x v="0"/>
    <x v="10"/>
    <x v="4"/>
    <x v="403"/>
    <n v="833.57"/>
    <n v="881.57"/>
    <n v="881.57"/>
    <n v="5.7000000000000002E-2"/>
    <n v="5.7000000000000002E-2"/>
    <n v="18"/>
    <s v="OK"/>
    <d v="2023-01-19T00:00:00"/>
    <n v="6"/>
    <n v="14963.769179999999"/>
    <n v="15004.26"/>
    <n v="-40.490820000000895"/>
    <n v="-2.7059238560107821E-3"/>
    <x v="10"/>
    <s v="Phones"/>
    <s v="Phones"/>
    <x v="1"/>
    <x v="0"/>
  </r>
  <r>
    <x v="405"/>
    <x v="292"/>
    <d v="2023-01-30T00:00:00"/>
    <x v="0"/>
    <x v="9"/>
    <x v="32"/>
    <s v="Small Business"/>
    <x v="3"/>
    <x v="5"/>
    <x v="2"/>
    <x v="404"/>
    <n v="413.52"/>
    <n v="1004.34"/>
    <n v="1004.34"/>
    <n v="0.111"/>
    <n v="0.111"/>
    <n v="18"/>
    <s v="OK"/>
    <d v="2023-01-30T00:00:00"/>
    <n v="8"/>
    <n v="16071.44868"/>
    <n v="7443.36"/>
    <n v="8628.0886800000007"/>
    <n v="0.53685817948304593"/>
    <x v="10"/>
    <s v="Networking"/>
    <s v="Networking"/>
    <x v="1"/>
    <x v="1"/>
  </r>
  <r>
    <x v="406"/>
    <x v="299"/>
    <d v="2023-01-26T00:00:00"/>
    <x v="3"/>
    <x v="7"/>
    <x v="14"/>
    <s v="Non-Profit"/>
    <x v="1"/>
    <x v="4"/>
    <x v="3"/>
    <x v="405"/>
    <n v="1083.0899999999999"/>
    <n v="1425.87"/>
    <n v="1425.87"/>
    <n v="0"/>
    <n v="0"/>
    <n v="8"/>
    <s v="OK"/>
    <d v="2023-01-26T00:00:00"/>
    <n v="14"/>
    <n v="11406.96"/>
    <n v="8664.7199999999993"/>
    <n v="2742.24"/>
    <n v="0.24040059752992909"/>
    <x v="10"/>
    <s v="Printers"/>
    <s v="Printers"/>
    <x v="1"/>
    <x v="1"/>
  </r>
  <r>
    <x v="407"/>
    <x v="300"/>
    <d v="2023-02-21T00:00:00"/>
    <x v="2"/>
    <x v="11"/>
    <x v="35"/>
    <s v="Small Business"/>
    <x v="4"/>
    <x v="15"/>
    <x v="2"/>
    <x v="406"/>
    <n v="1142.8800000000001"/>
    <n v="1465.29"/>
    <n v="1465.29"/>
    <n v="0.186"/>
    <n v="0.186"/>
    <n v="7"/>
    <s v="OK"/>
    <d v="2023-02-21T00:00:00"/>
    <n v="22"/>
    <n v="8349.2224200000001"/>
    <n v="8000.1600000000008"/>
    <n v="349.06241999999929"/>
    <n v="4.1807775915017401E-2"/>
    <x v="10"/>
    <s v="Networking"/>
    <s v="Networking"/>
    <x v="1"/>
    <x v="1"/>
  </r>
  <r>
    <x v="408"/>
    <x v="301"/>
    <d v="2023-02-03T00:00:00"/>
    <x v="1"/>
    <x v="1"/>
    <x v="16"/>
    <s v="Corporate"/>
    <x v="1"/>
    <x v="4"/>
    <x v="2"/>
    <x v="407"/>
    <n v="884.36"/>
    <n v="1545.34"/>
    <n v="1545.34"/>
    <n v="0.24299999999999999"/>
    <n v="0.24299999999999999"/>
    <n v="41"/>
    <s v="OK"/>
    <d v="2023-02-03T00:00:00"/>
    <n v="14"/>
    <n v="47962.717579999997"/>
    <n v="36258.76"/>
    <n v="11703.957579999995"/>
    <n v="0.24402198562827965"/>
    <x v="10"/>
    <s v="Networking"/>
    <s v="Networking"/>
    <x v="0"/>
    <x v="1"/>
  </r>
  <r>
    <x v="409"/>
    <x v="302"/>
    <d v="2023-02-03T00:00:00"/>
    <x v="2"/>
    <x v="2"/>
    <x v="3"/>
    <s v="Enterprise"/>
    <x v="2"/>
    <x v="15"/>
    <x v="0"/>
    <x v="408"/>
    <n v="873.06"/>
    <n v="2101.5500000000002"/>
    <n v="2101.5500000000002"/>
    <n v="6.6000000000000003E-2"/>
    <n v="6.6000000000000003E-2"/>
    <n v="10"/>
    <s v="OK"/>
    <d v="2023-02-03T00:00:00"/>
    <n v="15"/>
    <n v="19628.476999999999"/>
    <n v="8730.5999999999985"/>
    <n v="10897.877"/>
    <n v="0.55520746719167269"/>
    <x v="10"/>
    <s v="Accessories"/>
    <s v="Accessories"/>
    <x v="1"/>
    <x v="1"/>
  </r>
  <r>
    <x v="410"/>
    <x v="303"/>
    <d v="2025-03-10T00:00:00"/>
    <x v="3"/>
    <x v="5"/>
    <x v="9"/>
    <s v="Education"/>
    <x v="2"/>
    <x v="3"/>
    <x v="1"/>
    <x v="409"/>
    <n v="51.86"/>
    <n v="45.98"/>
    <n v="45.98"/>
    <n v="0.17299999999999999"/>
    <n v="0.17299999999999999"/>
    <n v="7"/>
    <s v="OK"/>
    <d v="2025-03-10T00:00:00"/>
    <n v="10"/>
    <n v="266.17821999999995"/>
    <n v="363.02"/>
    <n v="-96.841780000000028"/>
    <n v="-0.3638230806412337"/>
    <x v="8"/>
    <s v="Laptops"/>
    <s v="Laptops"/>
    <x v="1"/>
    <x v="1"/>
  </r>
  <r>
    <x v="411"/>
    <x v="304"/>
    <d v="2025-02-16T00:00:00"/>
    <x v="1"/>
    <x v="8"/>
    <x v="12"/>
    <s v="Small Business"/>
    <x v="2"/>
    <x v="6"/>
    <x v="3"/>
    <x v="410"/>
    <n v="90.68"/>
    <n v="118.17"/>
    <n v="118.17"/>
    <n v="0.13500000000000001"/>
    <n v="0.13500000000000001"/>
    <n v="21"/>
    <s v="OK"/>
    <d v="2025-02-16T00:00:00"/>
    <n v="9"/>
    <n v="2146.5580500000001"/>
    <n v="1904.2800000000002"/>
    <n v="242.27804999999989"/>
    <n v="0.11286815653552899"/>
    <x v="8"/>
    <s v="Printers"/>
    <s v="Printers"/>
    <x v="1"/>
    <x v="1"/>
  </r>
  <r>
    <x v="412"/>
    <x v="305"/>
    <d v="2025-03-09T00:00:00"/>
    <x v="3"/>
    <x v="4"/>
    <x v="6"/>
    <s v="Small Business"/>
    <x v="0"/>
    <x v="8"/>
    <x v="5"/>
    <x v="411"/>
    <n v="325.87"/>
    <n v="538.79"/>
    <n v="538.79"/>
    <n v="0.17399999999999999"/>
    <n v="0.17399999999999999"/>
    <n v="16"/>
    <s v="OK"/>
    <d v="2025-03-09T00:00:00"/>
    <n v="18"/>
    <n v="7120.6486400000003"/>
    <n v="5213.92"/>
    <n v="1906.7286400000003"/>
    <n v="0.26777457172778013"/>
    <x v="8"/>
    <s v="Monitors"/>
    <s v="Monitors"/>
    <x v="1"/>
    <x v="1"/>
  </r>
  <r>
    <x v="413"/>
    <x v="306"/>
    <d v="2025-02-08T00:00:00"/>
    <x v="2"/>
    <x v="2"/>
    <x v="26"/>
    <s v="Enterprise"/>
    <x v="4"/>
    <x v="0"/>
    <x v="2"/>
    <x v="412"/>
    <n v="586.21"/>
    <n v="727.22"/>
    <n v="727.22"/>
    <n v="6.8000000000000005E-2"/>
    <n v="6.8000000000000005E-2"/>
    <n v="15"/>
    <s v="OK"/>
    <d v="2025-02-08T00:00:00"/>
    <n v="4"/>
    <n v="10166.535600000001"/>
    <n v="8793.1500000000015"/>
    <n v="1373.3855999999996"/>
    <n v="0.13508884973559721"/>
    <x v="8"/>
    <s v="Networking"/>
    <s v="Networking"/>
    <x v="1"/>
    <x v="0"/>
  </r>
  <r>
    <x v="414"/>
    <x v="307"/>
    <d v="2025-03-17T00:00:00"/>
    <x v="2"/>
    <x v="11"/>
    <x v="35"/>
    <s v="Consumer"/>
    <x v="1"/>
    <x v="0"/>
    <x v="0"/>
    <x v="413"/>
    <n v="730.42"/>
    <n v="956.7"/>
    <n v="956.7"/>
    <n v="4.2000000000000003E-2"/>
    <n v="4.2000000000000003E-2"/>
    <n v="22"/>
    <s v="OK"/>
    <d v="2025-03-17T00:00:00"/>
    <n v="29"/>
    <n v="20163.409200000002"/>
    <n v="16069.24"/>
    <n v="4094.1692000000021"/>
    <n v="0.20304945256975698"/>
    <x v="8"/>
    <s v="Accessories"/>
    <s v="Accessories"/>
    <x v="1"/>
    <x v="1"/>
  </r>
  <r>
    <x v="415"/>
    <x v="308"/>
    <d v="2025-02-28T00:00:00"/>
    <x v="0"/>
    <x v="0"/>
    <x v="17"/>
    <s v="Non-Profit"/>
    <x v="0"/>
    <x v="12"/>
    <x v="5"/>
    <x v="414"/>
    <n v="414.95"/>
    <n v="1027.73"/>
    <n v="1027.73"/>
    <n v="6.3E-2"/>
    <n v="6.3E-2"/>
    <n v="8"/>
    <s v="OK"/>
    <d v="2025-02-28T00:00:00"/>
    <n v="16"/>
    <n v="7703.8640800000003"/>
    <n v="3319.6"/>
    <n v="4384.2640800000008"/>
    <n v="0.56909935513815568"/>
    <x v="8"/>
    <s v="Monitors"/>
    <s v="Monitors"/>
    <x v="1"/>
    <x v="1"/>
  </r>
  <r>
    <x v="416"/>
    <x v="309"/>
    <d v="2025-03-21T00:00:00"/>
    <x v="1"/>
    <x v="8"/>
    <x v="28"/>
    <s v="Enterprise"/>
    <x v="4"/>
    <x v="13"/>
    <x v="4"/>
    <x v="415"/>
    <n v="1437.39"/>
    <n v="1388.31"/>
    <n v="1388.31"/>
    <n v="0.13800000000000001"/>
    <n v="0.13800000000000001"/>
    <n v="18"/>
    <s v="OK"/>
    <d v="2025-03-21T00:00:00"/>
    <n v="28"/>
    <n v="21541.017959999997"/>
    <n v="25873.02"/>
    <n v="-4332.002040000003"/>
    <n v="-0.20110479681341872"/>
    <x v="8"/>
    <s v="Phones"/>
    <s v="Phones"/>
    <x v="1"/>
    <x v="1"/>
  </r>
  <r>
    <x v="417"/>
    <x v="310"/>
    <d v="2025-03-01T00:00:00"/>
    <x v="1"/>
    <x v="1"/>
    <x v="5"/>
    <s v="Education"/>
    <x v="0"/>
    <x v="0"/>
    <x v="0"/>
    <x v="416"/>
    <n v="1162.8599999999999"/>
    <n v="1447.68"/>
    <n v="1447.68"/>
    <n v="8.6999999999999994E-2"/>
    <n v="8.6999999999999994E-2"/>
    <n v="12"/>
    <s v="OK"/>
    <d v="2025-03-01T00:00:00"/>
    <n v="14"/>
    <n v="15860.782080000001"/>
    <n v="13954.32"/>
    <n v="1906.4620800000012"/>
    <n v="0.12019975247021369"/>
    <x v="8"/>
    <s v="Accessories"/>
    <s v="Accessories"/>
    <x v="1"/>
    <x v="1"/>
  </r>
  <r>
    <x v="418"/>
    <x v="311"/>
    <d v="2025-03-17T00:00:00"/>
    <x v="0"/>
    <x v="9"/>
    <x v="32"/>
    <s v="Non-Profit"/>
    <x v="4"/>
    <x v="10"/>
    <x v="4"/>
    <x v="417"/>
    <n v="1205.26"/>
    <n v="1696.35"/>
    <n v="1696.35"/>
    <n v="1.9E-2"/>
    <n v="1.9E-2"/>
    <n v="6"/>
    <s v="OK"/>
    <d v="2025-03-17T00:00:00"/>
    <n v="20"/>
    <n v="9984.7160999999978"/>
    <n v="7231.5599999999995"/>
    <n v="2753.1560999999983"/>
    <n v="0.27573704374028213"/>
    <x v="8"/>
    <s v="Phones"/>
    <s v="Phones"/>
    <x v="1"/>
    <x v="1"/>
  </r>
  <r>
    <x v="419"/>
    <x v="312"/>
    <d v="2025-02-15T00:00:00"/>
    <x v="0"/>
    <x v="3"/>
    <x v="4"/>
    <s v="Small Business"/>
    <x v="1"/>
    <x v="9"/>
    <x v="6"/>
    <x v="418"/>
    <n v="1133.47"/>
    <n v="1698.75"/>
    <n v="1698.75"/>
    <n v="4.2999999999999997E-2"/>
    <n v="4.2999999999999997E-2"/>
    <n v="5"/>
    <s v="Correct"/>
    <d v="2025-02-24T00:00:00"/>
    <n v="7"/>
    <n v="8128.5187499999993"/>
    <n v="5667.35"/>
    <n v="2461.1687499999989"/>
    <n v="0.30278194904821976"/>
    <x v="8"/>
    <s v="Components"/>
    <s v="Components"/>
    <x v="1"/>
    <x v="0"/>
  </r>
  <r>
    <x v="420"/>
    <x v="313"/>
    <d v="2025-02-15T00:00:00"/>
    <x v="0"/>
    <x v="0"/>
    <x v="17"/>
    <s v="Non-Profit"/>
    <x v="2"/>
    <x v="7"/>
    <x v="2"/>
    <x v="419"/>
    <n v="837.39"/>
    <n v="1905.42"/>
    <n v="1905.42"/>
    <n v="3.2000000000000001E-2"/>
    <n v="3.2000000000000001E-2"/>
    <n v="18"/>
    <s v="OK"/>
    <d v="2025-02-15T00:00:00"/>
    <n v="9"/>
    <n v="33200.038079999998"/>
    <n v="15073.02"/>
    <n v="18127.018079999998"/>
    <n v="0.54599389423350919"/>
    <x v="8"/>
    <s v="Networking"/>
    <s v="Networking"/>
    <x v="1"/>
    <x v="1"/>
  </r>
  <r>
    <x v="421"/>
    <x v="314"/>
    <d v="2025-03-04T00:00:00"/>
    <x v="3"/>
    <x v="5"/>
    <x v="9"/>
    <s v="Education"/>
    <x v="2"/>
    <x v="0"/>
    <x v="0"/>
    <x v="420"/>
    <n v="766.59"/>
    <n v="1912.8"/>
    <n v="1912.8"/>
    <n v="0.19600000000000001"/>
    <n v="0.19600000000000001"/>
    <n v="5"/>
    <s v="OK"/>
    <d v="2025-03-04T00:00:00"/>
    <n v="30"/>
    <n v="7689.4560000000001"/>
    <n v="3832.9500000000003"/>
    <n v="3856.5059999999999"/>
    <n v="0.50153170783472845"/>
    <x v="8"/>
    <s v="Accessories"/>
    <s v="Accessories"/>
    <x v="1"/>
    <x v="1"/>
  </r>
  <r>
    <x v="422"/>
    <x v="310"/>
    <d v="2025-02-15T00:00:00"/>
    <x v="2"/>
    <x v="11"/>
    <x v="34"/>
    <s v="Small Business"/>
    <x v="4"/>
    <x v="0"/>
    <x v="0"/>
    <x v="421"/>
    <n v="815.83"/>
    <n v="1982.18"/>
    <n v="1982.18"/>
    <n v="0.127"/>
    <n v="0.127"/>
    <n v="6"/>
    <s v="OK"/>
    <d v="2025-02-15T00:00:00"/>
    <n v="0"/>
    <n v="10382.65884"/>
    <n v="4894.9800000000005"/>
    <n v="5487.6788399999996"/>
    <n v="0.52854272923408507"/>
    <x v="8"/>
    <s v="Accessories"/>
    <s v="Accessories"/>
    <x v="1"/>
    <x v="0"/>
  </r>
  <r>
    <x v="423"/>
    <x v="310"/>
    <d v="2025-02-27T00:00:00"/>
    <x v="2"/>
    <x v="10"/>
    <x v="24"/>
    <s v="Non-Profit"/>
    <x v="0"/>
    <x v="1"/>
    <x v="0"/>
    <x v="422"/>
    <n v="1027.26"/>
    <n v="2200.41"/>
    <n v="2200.41"/>
    <n v="8.7999999999999995E-2"/>
    <n v="8.7999999999999995E-2"/>
    <n v="6"/>
    <s v="OK"/>
    <d v="2025-02-27T00:00:00"/>
    <n v="12"/>
    <n v="12040.64352"/>
    <n v="6163.5599999999995"/>
    <n v="5877.0835200000001"/>
    <n v="0.48810377204822358"/>
    <x v="8"/>
    <s v="Accessories"/>
    <s v="Accessories"/>
    <x v="1"/>
    <x v="1"/>
  </r>
  <r>
    <x v="424"/>
    <x v="306"/>
    <d v="2025-02-25T00:00:00"/>
    <x v="2"/>
    <x v="2"/>
    <x v="37"/>
    <s v="Corporate"/>
    <x v="4"/>
    <x v="9"/>
    <x v="5"/>
    <x v="423"/>
    <n v="1016.32"/>
    <n v="2253.42"/>
    <n v="2253.42"/>
    <n v="5.5E-2"/>
    <n v="5.5E-2"/>
    <n v="12"/>
    <s v="OK"/>
    <d v="2025-02-25T00:00:00"/>
    <n v="21"/>
    <n v="25553.782800000001"/>
    <n v="12195.84"/>
    <n v="13357.942800000001"/>
    <n v="0.52273837124419797"/>
    <x v="8"/>
    <s v="Monitors"/>
    <s v="Monitors"/>
    <x v="1"/>
    <x v="1"/>
  </r>
  <r>
    <x v="425"/>
    <x v="315"/>
    <d v="2025-03-01T00:00:00"/>
    <x v="0"/>
    <x v="0"/>
    <x v="17"/>
    <s v="Corporate"/>
    <x v="2"/>
    <x v="12"/>
    <x v="1"/>
    <x v="424"/>
    <n v="1154.6400000000001"/>
    <n v="2794.13"/>
    <n v="2794.13"/>
    <n v="3.5000000000000003E-2"/>
    <n v="3.5000000000000003E-2"/>
    <n v="11"/>
    <s v="OK"/>
    <d v="2025-03-01T00:00:00"/>
    <n v="20"/>
    <n v="29659.68995"/>
    <n v="12701.04"/>
    <n v="16958.649949999999"/>
    <n v="0.57177435025749479"/>
    <x v="8"/>
    <s v="Laptops"/>
    <s v="Laptops"/>
    <x v="1"/>
    <x v="1"/>
  </r>
  <r>
    <x v="426"/>
    <x v="316"/>
    <d v="2024-02-21T00:00:00"/>
    <x v="2"/>
    <x v="11"/>
    <x v="34"/>
    <s v="Corporate"/>
    <x v="1"/>
    <x v="10"/>
    <x v="6"/>
    <x v="425"/>
    <n v="39.229999999999997"/>
    <n v="30.09"/>
    <n v="30.09"/>
    <n v="0.17699999999999999"/>
    <n v="0.17699999999999999"/>
    <n v="13"/>
    <s v="OK"/>
    <d v="2024-02-21T00:00:00"/>
    <n v="18"/>
    <n v="321.93290999999999"/>
    <n v="509.98999999999995"/>
    <n v="-188.05708999999996"/>
    <n v="-0.58414993981199359"/>
    <x v="9"/>
    <s v="Components"/>
    <s v="Components"/>
    <x v="1"/>
    <x v="1"/>
  </r>
  <r>
    <x v="427"/>
    <x v="317"/>
    <d v="2024-03-11T00:00:00"/>
    <x v="0"/>
    <x v="0"/>
    <x v="17"/>
    <s v="Consumer"/>
    <x v="3"/>
    <x v="5"/>
    <x v="6"/>
    <x v="426"/>
    <n v="80.48"/>
    <n v="65.650000000000006"/>
    <n v="65.650000000000006"/>
    <n v="0.17599999999999999"/>
    <n v="0.17599999999999999"/>
    <n v="13"/>
    <s v="OK"/>
    <d v="2024-03-11T00:00:00"/>
    <n v="22"/>
    <n v="703.2428000000001"/>
    <n v="1046.24"/>
    <n v="-342.99719999999991"/>
    <n v="-0.48773652570634191"/>
    <x v="9"/>
    <s v="Components"/>
    <s v="Components"/>
    <x v="1"/>
    <x v="1"/>
  </r>
  <r>
    <x v="428"/>
    <x v="318"/>
    <d v="2024-02-14T00:00:00"/>
    <x v="3"/>
    <x v="7"/>
    <x v="11"/>
    <s v="Corporate"/>
    <x v="2"/>
    <x v="0"/>
    <x v="0"/>
    <x v="427"/>
    <n v="65.930000000000007"/>
    <n v="84.9"/>
    <n v="84.9"/>
    <n v="0.25900000000000001"/>
    <n v="0.25900000000000001"/>
    <n v="23"/>
    <s v="OK"/>
    <d v="2024-02-14T00:00:00"/>
    <n v="0"/>
    <n v="1446.9507000000001"/>
    <n v="1516.39"/>
    <n v="-69.439300000000003"/>
    <n v="-4.7990093926489688E-2"/>
    <x v="9"/>
    <s v="Accessories"/>
    <s v="Accessories"/>
    <x v="0"/>
    <x v="0"/>
  </r>
  <r>
    <x v="429"/>
    <x v="319"/>
    <d v="2024-03-30T00:00:00"/>
    <x v="3"/>
    <x v="5"/>
    <x v="7"/>
    <s v="Small Business"/>
    <x v="0"/>
    <x v="13"/>
    <x v="2"/>
    <x v="428"/>
    <n v="231.11"/>
    <n v="318.17"/>
    <n v="318.17"/>
    <n v="0.20100000000000001"/>
    <n v="0.20100000000000001"/>
    <n v="60"/>
    <s v="OK"/>
    <d v="2024-03-30T00:00:00"/>
    <n v="30"/>
    <n v="15253.069799999999"/>
    <n v="13866.6"/>
    <n v="1386.4697999999989"/>
    <n v="9.0897754889969692E-2"/>
    <x v="9"/>
    <s v="Networking"/>
    <s v="Networking"/>
    <x v="0"/>
    <x v="1"/>
  </r>
  <r>
    <x v="430"/>
    <x v="320"/>
    <d v="2024-03-09T00:00:00"/>
    <x v="2"/>
    <x v="10"/>
    <x v="33"/>
    <s v="Small Business"/>
    <x v="2"/>
    <x v="11"/>
    <x v="5"/>
    <x v="429"/>
    <n v="322.44"/>
    <n v="395.61"/>
    <n v="395.61"/>
    <n v="0"/>
    <n v="0"/>
    <n v="34"/>
    <s v="OK"/>
    <d v="2024-03-09T00:00:00"/>
    <n v="13"/>
    <n v="13450.74"/>
    <n v="10962.96"/>
    <n v="2487.7800000000007"/>
    <n v="0.18495487980586947"/>
    <x v="9"/>
    <s v="Monitors"/>
    <s v="Monitors"/>
    <x v="1"/>
    <x v="1"/>
  </r>
  <r>
    <x v="431"/>
    <x v="321"/>
    <d v="2024-03-03T00:00:00"/>
    <x v="1"/>
    <x v="1"/>
    <x v="16"/>
    <s v="Enterprise"/>
    <x v="3"/>
    <x v="12"/>
    <x v="4"/>
    <x v="430"/>
    <n v="516.86"/>
    <n v="852.54"/>
    <n v="852.54"/>
    <n v="5.0999999999999997E-2"/>
    <n v="5.0999999999999997E-2"/>
    <n v="14"/>
    <s v="OK"/>
    <d v="2024-03-03T00:00:00"/>
    <n v="21"/>
    <n v="11326.846439999999"/>
    <n v="7236.04"/>
    <n v="4090.8064399999994"/>
    <n v="0.36116022775355994"/>
    <x v="9"/>
    <s v="Phones"/>
    <s v="Phones"/>
    <x v="1"/>
    <x v="1"/>
  </r>
  <r>
    <x v="432"/>
    <x v="316"/>
    <d v="2024-02-19T00:00:00"/>
    <x v="3"/>
    <x v="7"/>
    <x v="14"/>
    <s v="Small Business"/>
    <x v="3"/>
    <x v="10"/>
    <x v="1"/>
    <x v="431"/>
    <n v="993.75"/>
    <n v="1310.29"/>
    <n v="1310.29"/>
    <n v="0.215"/>
    <n v="0.215"/>
    <n v="19"/>
    <s v="OK"/>
    <d v="2024-02-19T00:00:00"/>
    <n v="16"/>
    <n v="19542.975350000001"/>
    <n v="18881.25"/>
    <n v="661.72535000000062"/>
    <n v="3.3860010471742245E-2"/>
    <x v="9"/>
    <s v="Laptops"/>
    <s v="Laptops"/>
    <x v="0"/>
    <x v="1"/>
  </r>
  <r>
    <x v="433"/>
    <x v="317"/>
    <d v="2024-03-03T00:00:00"/>
    <x v="0"/>
    <x v="0"/>
    <x v="25"/>
    <s v="Enterprise"/>
    <x v="2"/>
    <x v="5"/>
    <x v="3"/>
    <x v="432"/>
    <n v="624.23"/>
    <n v="1318.37"/>
    <n v="1318.37"/>
    <n v="0.21"/>
    <n v="0.21"/>
    <n v="37"/>
    <s v="OK"/>
    <d v="2024-03-03T00:00:00"/>
    <n v="14"/>
    <n v="38535.955099999999"/>
    <n v="23096.510000000002"/>
    <n v="15439.445099999997"/>
    <n v="0.40065038118128793"/>
    <x v="9"/>
    <s v="Printers"/>
    <s v="Printers"/>
    <x v="0"/>
    <x v="1"/>
  </r>
  <r>
    <x v="434"/>
    <x v="322"/>
    <d v="2024-02-21T00:00:00"/>
    <x v="2"/>
    <x v="10"/>
    <x v="29"/>
    <s v="Small Business"/>
    <x v="4"/>
    <x v="5"/>
    <x v="2"/>
    <x v="433"/>
    <n v="656.2"/>
    <n v="1467.17"/>
    <n v="1467.17"/>
    <n v="1.7999999999999999E-2"/>
    <n v="1.7999999999999999E-2"/>
    <n v="5"/>
    <s v="OK"/>
    <d v="2024-02-21T00:00:00"/>
    <n v="20"/>
    <n v="7203.8047000000006"/>
    <n v="3281"/>
    <n v="3922.8047000000006"/>
    <n v="0.54454623124360946"/>
    <x v="9"/>
    <s v="Networking"/>
    <s v="Networking"/>
    <x v="1"/>
    <x v="1"/>
  </r>
  <r>
    <x v="435"/>
    <x v="323"/>
    <d v="2024-02-09T00:00:00"/>
    <x v="1"/>
    <x v="1"/>
    <x v="5"/>
    <s v="Corporate"/>
    <x v="0"/>
    <x v="7"/>
    <x v="6"/>
    <x v="434"/>
    <n v="1233.52"/>
    <n v="1543.76"/>
    <n v="1543.76"/>
    <n v="0.126"/>
    <n v="0.126"/>
    <n v="13"/>
    <s v="OK"/>
    <d v="2024-02-09T00:00:00"/>
    <n v="1"/>
    <n v="17540.201120000002"/>
    <n v="16035.76"/>
    <n v="1504.4411200000013"/>
    <n v="8.5771030201277493E-2"/>
    <x v="9"/>
    <s v="Components"/>
    <s v="Components"/>
    <x v="1"/>
    <x v="0"/>
  </r>
  <r>
    <x v="436"/>
    <x v="324"/>
    <d v="2024-02-28T00:00:00"/>
    <x v="1"/>
    <x v="1"/>
    <x v="16"/>
    <s v="Non-Profit"/>
    <x v="3"/>
    <x v="1"/>
    <x v="5"/>
    <x v="435"/>
    <n v="834.93"/>
    <n v="1588.53"/>
    <n v="1588.53"/>
    <n v="0.126"/>
    <n v="0.126"/>
    <n v="6"/>
    <s v="OK"/>
    <d v="2024-02-28T00:00:00"/>
    <n v="22"/>
    <n v="8330.2513199999994"/>
    <n v="5009.58"/>
    <n v="3320.6713199999995"/>
    <n v="0.39862798761274343"/>
    <x v="9"/>
    <s v="Monitors"/>
    <s v="Monitors"/>
    <x v="1"/>
    <x v="1"/>
  </r>
  <r>
    <x v="437"/>
    <x v="322"/>
    <d v="2024-02-01T00:00:00"/>
    <x v="0"/>
    <x v="9"/>
    <x v="13"/>
    <s v="Consumer"/>
    <x v="2"/>
    <x v="10"/>
    <x v="3"/>
    <x v="436"/>
    <n v="714.43"/>
    <n v="1595.52"/>
    <n v="1595.52"/>
    <n v="0.19400000000000001"/>
    <n v="0.19400000000000001"/>
    <n v="14"/>
    <s v="OK"/>
    <d v="2024-02-01T00:00:00"/>
    <n v="0"/>
    <n v="18003.847679999999"/>
    <n v="10002.019999999999"/>
    <n v="8001.8276800000003"/>
    <n v="0.44445097638151093"/>
    <x v="9"/>
    <s v="Printers"/>
    <s v="Printers"/>
    <x v="1"/>
    <x v="0"/>
  </r>
  <r>
    <x v="438"/>
    <x v="325"/>
    <d v="2024-03-04T00:00:00"/>
    <x v="3"/>
    <x v="4"/>
    <x v="6"/>
    <s v="Small Business"/>
    <x v="4"/>
    <x v="7"/>
    <x v="4"/>
    <x v="437"/>
    <n v="1231.8"/>
    <n v="2015.99"/>
    <n v="2015.99"/>
    <n v="0.26100000000000001"/>
    <n v="0.26100000000000001"/>
    <n v="6"/>
    <s v="OK"/>
    <d v="2024-03-04T00:00:00"/>
    <n v="16"/>
    <n v="8938.8996600000009"/>
    <n v="7390.7999999999993"/>
    <n v="1548.0996600000017"/>
    <n v="0.17318682599464391"/>
    <x v="9"/>
    <s v="Phones"/>
    <s v="Phones"/>
    <x v="0"/>
    <x v="1"/>
  </r>
  <r>
    <x v="439"/>
    <x v="317"/>
    <d v="2024-03-04T00:00:00"/>
    <x v="1"/>
    <x v="1"/>
    <x v="16"/>
    <s v="Education"/>
    <x v="0"/>
    <x v="1"/>
    <x v="3"/>
    <x v="438"/>
    <n v="928.68"/>
    <n v="2145.17"/>
    <n v="2145.17"/>
    <n v="0.13600000000000001"/>
    <n v="0.13600000000000001"/>
    <n v="16"/>
    <s v="OK"/>
    <d v="2024-03-04T00:00:00"/>
    <n v="15"/>
    <n v="29654.83008"/>
    <n v="14858.88"/>
    <n v="14795.950080000001"/>
    <n v="0.49893896003062177"/>
    <x v="9"/>
    <s v="Printers"/>
    <s v="Printers"/>
    <x v="1"/>
    <x v="1"/>
  </r>
  <r>
    <x v="440"/>
    <x v="326"/>
    <d v="2024-03-04T00:00:00"/>
    <x v="0"/>
    <x v="3"/>
    <x v="39"/>
    <s v="Non-Profit"/>
    <x v="1"/>
    <x v="9"/>
    <x v="1"/>
    <x v="439"/>
    <n v="1350.98"/>
    <n v="2210.4"/>
    <n v="2210.4"/>
    <n v="0.26300000000000001"/>
    <n v="0.26300000000000001"/>
    <n v="6"/>
    <s v="OK"/>
    <d v="2024-03-04T00:00:00"/>
    <n v="17"/>
    <n v="9774.3888000000006"/>
    <n v="8105.88"/>
    <n v="1668.5088000000005"/>
    <n v="0.17070211080615091"/>
    <x v="9"/>
    <s v="Laptops"/>
    <s v="Laptops"/>
    <x v="0"/>
    <x v="1"/>
  </r>
  <r>
    <x v="441"/>
    <x v="327"/>
    <d v="2024-03-26T00:00:00"/>
    <x v="3"/>
    <x v="4"/>
    <x v="19"/>
    <s v="Education"/>
    <x v="4"/>
    <x v="15"/>
    <x v="1"/>
    <x v="440"/>
    <n v="1035.19"/>
    <n v="2322.6999999999998"/>
    <n v="2322.6999999999998"/>
    <n v="0.17299999999999999"/>
    <n v="0.17299999999999999"/>
    <n v="8"/>
    <s v="OK"/>
    <d v="2024-03-26T00:00:00"/>
    <n v="28"/>
    <n v="15366.983199999999"/>
    <n v="8281.52"/>
    <n v="7085.4631999999983"/>
    <n v="0.46108355217047409"/>
    <x v="9"/>
    <s v="Laptops"/>
    <s v="Laptops"/>
    <x v="1"/>
    <x v="1"/>
  </r>
  <r>
    <x v="442"/>
    <x v="328"/>
    <d v="2024-02-20T00:00:00"/>
    <x v="0"/>
    <x v="9"/>
    <x v="21"/>
    <s v="Enterprise"/>
    <x v="3"/>
    <x v="6"/>
    <x v="2"/>
    <x v="441"/>
    <n v="1407.05"/>
    <n v="2858.93"/>
    <n v="2858.93"/>
    <n v="0"/>
    <n v="0"/>
    <n v="12"/>
    <s v="OK"/>
    <d v="2024-02-20T00:00:00"/>
    <n v="0"/>
    <n v="34307.159999999996"/>
    <n v="16884.599999999999"/>
    <n v="17422.559999999998"/>
    <n v="0.50784034586366222"/>
    <x v="9"/>
    <s v="Networking"/>
    <s v="Networking"/>
    <x v="1"/>
    <x v="0"/>
  </r>
  <r>
    <x v="443"/>
    <x v="329"/>
    <d v="2024-03-06T00:00:00"/>
    <x v="3"/>
    <x v="7"/>
    <x v="11"/>
    <s v="Education"/>
    <x v="4"/>
    <x v="8"/>
    <x v="3"/>
    <x v="442"/>
    <n v="1477.84"/>
    <n v="3197.47"/>
    <n v="3197.47"/>
    <n v="0.24299999999999999"/>
    <n v="0.24299999999999999"/>
    <n v="24"/>
    <s v="OK"/>
    <d v="2024-03-06T00:00:00"/>
    <n v="16"/>
    <n v="58091.634960000003"/>
    <n v="35468.159999999996"/>
    <n v="22623.474960000007"/>
    <n v="0.38944462443823091"/>
    <x v="9"/>
    <s v="Printers"/>
    <s v="Printers"/>
    <x v="0"/>
    <x v="1"/>
  </r>
  <r>
    <x v="444"/>
    <x v="330"/>
    <d v="2023-03-25T00:00:00"/>
    <x v="1"/>
    <x v="1"/>
    <x v="2"/>
    <s v="Corporate"/>
    <x v="1"/>
    <x v="13"/>
    <x v="2"/>
    <x v="443"/>
    <n v="1460.76"/>
    <n v="-30.66"/>
    <n v="30.66"/>
    <n v="0.13100000000000001"/>
    <n v="0.13100000000000001"/>
    <n v="12"/>
    <s v="OK"/>
    <d v="2023-03-25T00:00:00"/>
    <n v="25"/>
    <n v="319.72248000000002"/>
    <n v="17529.12"/>
    <n v="-17209.397519999999"/>
    <n v="-53.826047890032626"/>
    <x v="10"/>
    <s v="Networking"/>
    <s v="Networking"/>
    <x v="1"/>
    <x v="1"/>
  </r>
  <r>
    <x v="445"/>
    <x v="331"/>
    <d v="2023-03-09T00:00:00"/>
    <x v="0"/>
    <x v="9"/>
    <x v="21"/>
    <s v="Enterprise"/>
    <x v="3"/>
    <x v="4"/>
    <x v="6"/>
    <x v="444"/>
    <n v="6.85"/>
    <n v="10.18"/>
    <n v="10.18"/>
    <n v="4.7E-2"/>
    <n v="4.7E-2"/>
    <n v="10"/>
    <s v="OK"/>
    <d v="2023-03-09T00:00:00"/>
    <n v="13"/>
    <n v="97.0154"/>
    <n v="68.5"/>
    <n v="28.5154"/>
    <n v="0.2939265312517394"/>
    <x v="10"/>
    <s v="Components"/>
    <s v="Components"/>
    <x v="1"/>
    <x v="1"/>
  </r>
  <r>
    <x v="446"/>
    <x v="332"/>
    <d v="2023-03-08T00:00:00"/>
    <x v="2"/>
    <x v="2"/>
    <x v="26"/>
    <s v="Small Business"/>
    <x v="0"/>
    <x v="6"/>
    <x v="3"/>
    <x v="445"/>
    <n v="307.37"/>
    <n v="462.61"/>
    <n v="462.61"/>
    <n v="0.188"/>
    <n v="0.188"/>
    <n v="11"/>
    <s v="OK"/>
    <d v="2023-03-08T00:00:00"/>
    <n v="13"/>
    <n v="4132.0325200000007"/>
    <n v="3381.07"/>
    <n v="750.9625200000005"/>
    <n v="0.18174167709599739"/>
    <x v="10"/>
    <s v="Printers"/>
    <s v="Printers"/>
    <x v="1"/>
    <x v="1"/>
  </r>
  <r>
    <x v="447"/>
    <x v="333"/>
    <d v="2023-03-12T00:00:00"/>
    <x v="1"/>
    <x v="1"/>
    <x v="22"/>
    <s v="Corporate"/>
    <x v="3"/>
    <x v="7"/>
    <x v="2"/>
    <x v="446"/>
    <n v="352.65"/>
    <n v="485.86"/>
    <n v="485.86"/>
    <n v="4.1000000000000002E-2"/>
    <n v="4.1000000000000002E-2"/>
    <n v="6"/>
    <s v="OK"/>
    <d v="2023-03-12T00:00:00"/>
    <n v="19"/>
    <n v="2795.6384399999997"/>
    <n v="2115.8999999999996"/>
    <n v="679.73844000000008"/>
    <n v="0.24314247159943908"/>
    <x v="10"/>
    <s v="Networking"/>
    <s v="Networking"/>
    <x v="1"/>
    <x v="1"/>
  </r>
  <r>
    <x v="448"/>
    <x v="334"/>
    <d v="2023-03-04T00:00:00"/>
    <x v="3"/>
    <x v="4"/>
    <x v="6"/>
    <s v="Consumer"/>
    <x v="2"/>
    <x v="4"/>
    <x v="5"/>
    <x v="447"/>
    <n v="299.75"/>
    <n v="523.01"/>
    <n v="523.01"/>
    <n v="0.157"/>
    <n v="0.157"/>
    <n v="50"/>
    <s v="OK"/>
    <d v="2023-03-04T00:00:00"/>
    <n v="12"/>
    <n v="22044.871499999997"/>
    <n v="14987.5"/>
    <n v="7057.3714999999975"/>
    <n v="0.32013665854210122"/>
    <x v="10"/>
    <s v="Monitors"/>
    <s v="Monitors"/>
    <x v="1"/>
    <x v="1"/>
  </r>
  <r>
    <x v="449"/>
    <x v="335"/>
    <d v="2023-02-26T00:00:00"/>
    <x v="1"/>
    <x v="6"/>
    <x v="38"/>
    <s v="Non-Profit"/>
    <x v="1"/>
    <x v="1"/>
    <x v="1"/>
    <x v="448"/>
    <n v="498.5"/>
    <n v="755.87"/>
    <n v="755.87"/>
    <n v="0.13"/>
    <n v="0.13"/>
    <n v="40"/>
    <s v="OK"/>
    <d v="2023-02-26T00:00:00"/>
    <n v="11"/>
    <n v="26304.275999999998"/>
    <n v="19940"/>
    <n v="6364.275999999998"/>
    <n v="0.24194834330357537"/>
    <x v="10"/>
    <s v="Laptops"/>
    <s v="Laptops"/>
    <x v="1"/>
    <x v="1"/>
  </r>
  <r>
    <x v="450"/>
    <x v="336"/>
    <d v="2023-02-12T00:00:00"/>
    <x v="1"/>
    <x v="8"/>
    <x v="27"/>
    <s v="Non-Profit"/>
    <x v="0"/>
    <x v="9"/>
    <x v="0"/>
    <x v="449"/>
    <n v="944.61"/>
    <n v="839.04"/>
    <n v="839.04"/>
    <n v="5.8999999999999997E-2"/>
    <n v="5.8999999999999997E-2"/>
    <n v="6"/>
    <s v="OK"/>
    <d v="2023-02-12T00:00:00"/>
    <n v="1"/>
    <n v="4737.2198399999997"/>
    <n v="5667.66"/>
    <n v="-930.44016000000011"/>
    <n v="-0.19641059343363726"/>
    <x v="10"/>
    <s v="Accessories"/>
    <s v="Accessories"/>
    <x v="1"/>
    <x v="0"/>
  </r>
  <r>
    <x v="451"/>
    <x v="330"/>
    <d v="2023-03-06T00:00:00"/>
    <x v="2"/>
    <x v="11"/>
    <x v="34"/>
    <s v="Small Business"/>
    <x v="4"/>
    <x v="9"/>
    <x v="3"/>
    <x v="450"/>
    <n v="880.02"/>
    <n v="1251.21"/>
    <n v="1251.21"/>
    <n v="0.123"/>
    <n v="0.123"/>
    <n v="29"/>
    <s v="OK"/>
    <d v="2023-03-06T00:00:00"/>
    <n v="6"/>
    <n v="31822.023930000003"/>
    <n v="25520.579999999998"/>
    <n v="6301.4439300000049"/>
    <n v="0.19802146915172672"/>
    <x v="10"/>
    <s v="Printers"/>
    <s v="Printers"/>
    <x v="1"/>
    <x v="0"/>
  </r>
  <r>
    <x v="452"/>
    <x v="337"/>
    <d v="2023-02-28T00:00:00"/>
    <x v="0"/>
    <x v="9"/>
    <x v="13"/>
    <s v="Non-Profit"/>
    <x v="2"/>
    <x v="0"/>
    <x v="4"/>
    <x v="451"/>
    <n v="1214.49"/>
    <n v="1533.95"/>
    <n v="1533.95"/>
    <n v="0"/>
    <n v="0"/>
    <n v="11"/>
    <s v="OK"/>
    <d v="2023-02-28T00:00:00"/>
    <n v="23"/>
    <n v="16873.45"/>
    <n v="13359.39"/>
    <n v="3514.0600000000013"/>
    <n v="0.20825972163369086"/>
    <x v="10"/>
    <s v="Phones"/>
    <s v="Phones"/>
    <x v="1"/>
    <x v="1"/>
  </r>
  <r>
    <x v="453"/>
    <x v="332"/>
    <d v="2023-03-18T00:00:00"/>
    <x v="3"/>
    <x v="7"/>
    <x v="11"/>
    <s v="Education"/>
    <x v="2"/>
    <x v="1"/>
    <x v="3"/>
    <x v="452"/>
    <n v="770.11"/>
    <n v="1667.82"/>
    <n v="1667.82"/>
    <n v="6.9000000000000006E-2"/>
    <n v="6.9000000000000006E-2"/>
    <n v="7"/>
    <s v="OK"/>
    <d v="2023-03-18T00:00:00"/>
    <n v="23"/>
    <n v="10869.182940000001"/>
    <n v="5390.77"/>
    <n v="5478.4129400000002"/>
    <n v="0.50403171703355287"/>
    <x v="10"/>
    <s v="Printers"/>
    <s v="Printers"/>
    <x v="1"/>
    <x v="1"/>
  </r>
  <r>
    <x v="454"/>
    <x v="332"/>
    <d v="2023-03-25T00:00:00"/>
    <x v="0"/>
    <x v="3"/>
    <x v="39"/>
    <s v="Enterprise"/>
    <x v="3"/>
    <x v="9"/>
    <x v="4"/>
    <x v="453"/>
    <n v="1242.6600000000001"/>
    <n v="1794.07"/>
    <n v="1794.07"/>
    <n v="8.8999999999999996E-2"/>
    <n v="8.8999999999999996E-2"/>
    <n v="16"/>
    <s v="OK"/>
    <d v="2023-03-25T00:00:00"/>
    <n v="30"/>
    <n v="26150.364320000001"/>
    <n v="19882.560000000001"/>
    <n v="6267.8043199999993"/>
    <n v="0.23968325042440553"/>
    <x v="10"/>
    <s v="Phones"/>
    <s v="Phones"/>
    <x v="1"/>
    <x v="1"/>
  </r>
  <r>
    <x v="455"/>
    <x v="330"/>
    <d v="2023-03-20T00:00:00"/>
    <x v="2"/>
    <x v="11"/>
    <x v="36"/>
    <s v="Small Business"/>
    <x v="0"/>
    <x v="10"/>
    <x v="1"/>
    <x v="454"/>
    <n v="1200.78"/>
    <n v="2001.17"/>
    <n v="2001.17"/>
    <n v="0.29199999999999998"/>
    <n v="0.29199999999999998"/>
    <n v="18"/>
    <s v="OK"/>
    <d v="2023-03-20T00:00:00"/>
    <n v="20"/>
    <n v="25502.910479999999"/>
    <n v="21614.04"/>
    <n v="3888.8704799999978"/>
    <n v="0.15248732034132906"/>
    <x v="10"/>
    <s v="Laptops"/>
    <s v="Laptops"/>
    <x v="0"/>
    <x v="1"/>
  </r>
  <r>
    <x v="456"/>
    <x v="338"/>
    <d v="2023-03-12T00:00:00"/>
    <x v="2"/>
    <x v="11"/>
    <x v="36"/>
    <s v="Small Business"/>
    <x v="0"/>
    <x v="0"/>
    <x v="5"/>
    <x v="455"/>
    <n v="1234.81"/>
    <n v="2055.2399999999998"/>
    <n v="2055.2399999999998"/>
    <n v="5.2999999999999999E-2"/>
    <n v="5.2999999999999999E-2"/>
    <n v="44"/>
    <s v="OK"/>
    <d v="2023-03-12T00:00:00"/>
    <n v="21"/>
    <n v="85637.740319999997"/>
    <n v="54331.64"/>
    <n v="31306.100319999998"/>
    <n v="0.36556429680441616"/>
    <x v="10"/>
    <s v="Monitors"/>
    <s v="Monitors"/>
    <x v="1"/>
    <x v="1"/>
  </r>
  <r>
    <x v="457"/>
    <x v="339"/>
    <d v="2023-02-12T00:00:00"/>
    <x v="0"/>
    <x v="0"/>
    <x v="17"/>
    <s v="Education"/>
    <x v="3"/>
    <x v="3"/>
    <x v="6"/>
    <x v="456"/>
    <n v="948.55"/>
    <n v="2089.16"/>
    <n v="2089.16"/>
    <n v="7.0000000000000001E-3"/>
    <n v="7.0000000000000001E-3"/>
    <n v="12"/>
    <s v="OK"/>
    <d v="2023-02-12T00:00:00"/>
    <n v="5"/>
    <n v="24894.430559999997"/>
    <n v="11382.599999999999"/>
    <n v="13511.830559999999"/>
    <n v="0.54276519912492427"/>
    <x v="10"/>
    <s v="Components"/>
    <s v="Components"/>
    <x v="1"/>
    <x v="0"/>
  </r>
  <r>
    <x v="458"/>
    <x v="340"/>
    <d v="2023-02-26T00:00:00"/>
    <x v="0"/>
    <x v="9"/>
    <x v="32"/>
    <s v="Non-Profit"/>
    <x v="3"/>
    <x v="0"/>
    <x v="2"/>
    <x v="457"/>
    <n v="1015.91"/>
    <n v="2331.48"/>
    <n v="2331.48"/>
    <n v="0.14599999999999999"/>
    <n v="0.14599999999999999"/>
    <n v="26"/>
    <s v="Correct"/>
    <d v="2023-03-06T00:00:00"/>
    <n v="7"/>
    <n v="51768.181920000003"/>
    <n v="26413.66"/>
    <n v="25354.521920000003"/>
    <n v="0.48977037592669626"/>
    <x v="10"/>
    <s v="Networking"/>
    <s v="Networking"/>
    <x v="1"/>
    <x v="0"/>
  </r>
  <r>
    <x v="459"/>
    <x v="341"/>
    <d v="2023-02-11T00:00:00"/>
    <x v="1"/>
    <x v="6"/>
    <x v="15"/>
    <s v="Corporate"/>
    <x v="0"/>
    <x v="4"/>
    <x v="2"/>
    <x v="458"/>
    <n v="1410.05"/>
    <n v="2763.95"/>
    <n v="2763.95"/>
    <n v="0.161"/>
    <n v="0.161"/>
    <n v="26"/>
    <s v="OK"/>
    <d v="2023-02-11T00:00:00"/>
    <n v="3"/>
    <n v="60292.805299999993"/>
    <n v="36661.299999999996"/>
    <n v="23631.505299999997"/>
    <n v="0.39194569206750779"/>
    <x v="10"/>
    <s v="Networking"/>
    <s v="Networking"/>
    <x v="1"/>
    <x v="0"/>
  </r>
  <r>
    <x v="460"/>
    <x v="330"/>
    <d v="2023-02-27T00:00:00"/>
    <x v="2"/>
    <x v="10"/>
    <x v="33"/>
    <s v="Corporate"/>
    <x v="1"/>
    <x v="1"/>
    <x v="2"/>
    <x v="459"/>
    <n v="1299.81"/>
    <n v="3149.13"/>
    <n v="3149.13"/>
    <n v="0.10299999999999999"/>
    <n v="0.10299999999999999"/>
    <n v="14"/>
    <s v="Correct"/>
    <d v="2023-03-07T00:00:00"/>
    <n v="7"/>
    <n v="39546.774539999999"/>
    <n v="18197.34"/>
    <n v="21349.434539999998"/>
    <n v="0.53985273864511729"/>
    <x v="10"/>
    <s v="Networking"/>
    <s v="Networking"/>
    <x v="1"/>
    <x v="0"/>
  </r>
  <r>
    <x v="461"/>
    <x v="342"/>
    <d v="2025-01-16T00:00:00"/>
    <x v="2"/>
    <x v="2"/>
    <x v="26"/>
    <s v="Corporate"/>
    <x v="1"/>
    <x v="9"/>
    <x v="5"/>
    <x v="460"/>
    <n v="722.87"/>
    <n v="-33.659999999999997"/>
    <n v="33.659999999999997"/>
    <n v="0.10199999999999999"/>
    <n v="0.10199999999999999"/>
    <n v="28"/>
    <s v="OK"/>
    <d v="2025-01-16T00:00:00"/>
    <n v="30"/>
    <n v="846.34703999999988"/>
    <n v="20240.36"/>
    <n v="-19394.01296"/>
    <n v="-22.914965189693348"/>
    <x v="3"/>
    <s v="Monitors"/>
    <s v="Monitors"/>
    <x v="1"/>
    <x v="1"/>
  </r>
  <r>
    <x v="462"/>
    <x v="343"/>
    <d v="2024-12-12T00:00:00"/>
    <x v="2"/>
    <x v="11"/>
    <x v="34"/>
    <s v="Enterprise"/>
    <x v="4"/>
    <x v="12"/>
    <x v="3"/>
    <x v="461"/>
    <n v="72.06"/>
    <n v="122.74"/>
    <n v="122.74"/>
    <n v="0.23799999999999999"/>
    <n v="0.23799999999999999"/>
    <n v="8"/>
    <s v="OK"/>
    <d v="2024-12-12T00:00:00"/>
    <n v="8"/>
    <n v="748.22303999999997"/>
    <n v="576.48"/>
    <n v="171.74303999999995"/>
    <n v="0.22953455162246802"/>
    <x v="3"/>
    <s v="Printers"/>
    <s v="Printers"/>
    <x v="0"/>
    <x v="1"/>
  </r>
  <r>
    <x v="463"/>
    <x v="344"/>
    <d v="2024-12-28T00:00:00"/>
    <x v="0"/>
    <x v="3"/>
    <x v="18"/>
    <s v="Corporate"/>
    <x v="0"/>
    <x v="7"/>
    <x v="0"/>
    <x v="462"/>
    <n v="107.03"/>
    <n v="242.29"/>
    <n v="242.29"/>
    <n v="0.18"/>
    <n v="0.18"/>
    <n v="30"/>
    <s v="OK"/>
    <d v="2024-12-28T00:00:00"/>
    <n v="23"/>
    <n v="5960.3340000000007"/>
    <n v="3210.9"/>
    <n v="2749.4340000000007"/>
    <n v="0.46128857879440988"/>
    <x v="3"/>
    <s v="Accessories"/>
    <s v="Accessories"/>
    <x v="1"/>
    <x v="1"/>
  </r>
  <r>
    <x v="464"/>
    <x v="345"/>
    <d v="2025-01-13T00:00:00"/>
    <x v="3"/>
    <x v="4"/>
    <x v="23"/>
    <s v="Corporate"/>
    <x v="4"/>
    <x v="9"/>
    <x v="2"/>
    <x v="463"/>
    <n v="126.15"/>
    <n v="284.23"/>
    <n v="284.23"/>
    <n v="0.113"/>
    <n v="0.113"/>
    <n v="22"/>
    <s v="OK"/>
    <d v="2025-01-13T00:00:00"/>
    <n v="20"/>
    <n v="5546.4642200000008"/>
    <n v="2775.3"/>
    <n v="2771.1642200000006"/>
    <n v="0.49962716968541088"/>
    <x v="3"/>
    <s v="Networking"/>
    <s v="Networking"/>
    <x v="1"/>
    <x v="1"/>
  </r>
  <r>
    <x v="465"/>
    <x v="346"/>
    <d v="2024-12-08T00:00:00"/>
    <x v="2"/>
    <x v="10"/>
    <x v="24"/>
    <s v="Enterprise"/>
    <x v="1"/>
    <x v="10"/>
    <x v="6"/>
    <x v="464"/>
    <n v="257.44"/>
    <n v="290.33"/>
    <n v="290.33"/>
    <n v="9.1999999999999998E-2"/>
    <n v="9.1999999999999998E-2"/>
    <n v="23"/>
    <s v="OK"/>
    <d v="2024-12-08T00:00:00"/>
    <n v="0"/>
    <n v="6063.2517199999993"/>
    <n v="5921.12"/>
    <n v="142.1317199999994"/>
    <n v="2.3441500792581216E-2"/>
    <x v="3"/>
    <s v="Components"/>
    <s v="Components"/>
    <x v="1"/>
    <x v="0"/>
  </r>
  <r>
    <x v="466"/>
    <x v="347"/>
    <d v="2024-12-20T00:00:00"/>
    <x v="3"/>
    <x v="7"/>
    <x v="14"/>
    <s v="Small Business"/>
    <x v="0"/>
    <x v="2"/>
    <x v="2"/>
    <x v="465"/>
    <n v="717.55"/>
    <n v="546.42999999999995"/>
    <n v="546.42999999999995"/>
    <n v="4.7E-2"/>
    <n v="4.7E-2"/>
    <n v="18"/>
    <s v="OK"/>
    <d v="2024-12-20T00:00:00"/>
    <n v="5"/>
    <n v="9373.460219999999"/>
    <n v="12915.9"/>
    <n v="-3542.4397800000006"/>
    <n v="-0.37792231437026369"/>
    <x v="3"/>
    <s v="Networking"/>
    <s v="Networking"/>
    <x v="1"/>
    <x v="0"/>
  </r>
  <r>
    <x v="467"/>
    <x v="348"/>
    <d v="2024-12-26T00:00:00"/>
    <x v="0"/>
    <x v="9"/>
    <x v="32"/>
    <s v="Consumer"/>
    <x v="4"/>
    <x v="4"/>
    <x v="3"/>
    <x v="466"/>
    <n v="699.57"/>
    <n v="572.71"/>
    <n v="572.71"/>
    <n v="0.192"/>
    <n v="0.192"/>
    <n v="26"/>
    <s v="OK"/>
    <d v="2024-12-26T00:00:00"/>
    <n v="5"/>
    <n v="12031.491680000001"/>
    <n v="18188.82"/>
    <n v="-6157.3283199999987"/>
    <n v="-0.51176765805651114"/>
    <x v="3"/>
    <s v="Printers"/>
    <s v="Printers"/>
    <x v="1"/>
    <x v="0"/>
  </r>
  <r>
    <x v="468"/>
    <x v="349"/>
    <d v="2025-01-15T00:00:00"/>
    <x v="3"/>
    <x v="4"/>
    <x v="6"/>
    <s v="Non-Profit"/>
    <x v="2"/>
    <x v="15"/>
    <x v="6"/>
    <x v="467"/>
    <n v="495.59"/>
    <n v="631.78"/>
    <n v="631.78"/>
    <n v="8.6999999999999994E-2"/>
    <n v="8.6999999999999994E-2"/>
    <n v="17"/>
    <s v="OK"/>
    <d v="2025-01-15T00:00:00"/>
    <n v="19"/>
    <n v="9805.8573800000013"/>
    <n v="8425.0299999999988"/>
    <n v="1380.8273800000024"/>
    <n v="0.14081658813601899"/>
    <x v="3"/>
    <s v="Components"/>
    <s v="Components"/>
    <x v="1"/>
    <x v="1"/>
  </r>
  <r>
    <x v="469"/>
    <x v="342"/>
    <d v="2024-12-18T00:00:00"/>
    <x v="2"/>
    <x v="11"/>
    <x v="35"/>
    <s v="Education"/>
    <x v="1"/>
    <x v="0"/>
    <x v="0"/>
    <x v="468"/>
    <n v="346.82"/>
    <n v="701.95"/>
    <n v="701.95"/>
    <n v="0.14699999999999999"/>
    <n v="0.14699999999999999"/>
    <n v="8"/>
    <s v="OK"/>
    <d v="2024-12-18T00:00:00"/>
    <n v="1"/>
    <n v="4790.1068000000005"/>
    <n v="2774.56"/>
    <n v="2015.5468000000005"/>
    <n v="0.42077283120284509"/>
    <x v="3"/>
    <s v="Accessories"/>
    <s v="Accessories"/>
    <x v="1"/>
    <x v="0"/>
  </r>
  <r>
    <x v="470"/>
    <x v="349"/>
    <d v="2025-01-14T00:00:00"/>
    <x v="3"/>
    <x v="4"/>
    <x v="23"/>
    <s v="Small Business"/>
    <x v="4"/>
    <x v="11"/>
    <x v="5"/>
    <x v="469"/>
    <n v="586.07000000000005"/>
    <n v="845.97"/>
    <n v="845.97"/>
    <n v="0.14699999999999999"/>
    <n v="0.14699999999999999"/>
    <n v="4"/>
    <s v="OK"/>
    <d v="2025-01-14T00:00:00"/>
    <n v="18"/>
    <n v="2886.4496399999998"/>
    <n v="2344.2800000000002"/>
    <n v="542.16963999999962"/>
    <n v="0.18783270370862928"/>
    <x v="3"/>
    <s v="Monitors"/>
    <s v="Monitors"/>
    <x v="1"/>
    <x v="1"/>
  </r>
  <r>
    <x v="471"/>
    <x v="350"/>
    <d v="2025-01-11T00:00:00"/>
    <x v="2"/>
    <x v="11"/>
    <x v="36"/>
    <s v="Education"/>
    <x v="1"/>
    <x v="1"/>
    <x v="4"/>
    <x v="470"/>
    <n v="501.81"/>
    <n v="921.62"/>
    <n v="921.62"/>
    <n v="0.01"/>
    <n v="0.01"/>
    <n v="9"/>
    <s v="OK"/>
    <d v="2025-01-11T00:00:00"/>
    <n v="19"/>
    <n v="8211.6342000000004"/>
    <n v="4516.29"/>
    <n v="3695.3442000000005"/>
    <n v="0.45001325071202031"/>
    <x v="3"/>
    <s v="Phones"/>
    <s v="Phones"/>
    <x v="1"/>
    <x v="1"/>
  </r>
  <r>
    <x v="472"/>
    <x v="351"/>
    <d v="2024-12-19T00:00:00"/>
    <x v="1"/>
    <x v="8"/>
    <x v="12"/>
    <s v="Corporate"/>
    <x v="1"/>
    <x v="8"/>
    <x v="5"/>
    <x v="471"/>
    <n v="488.68"/>
    <n v="984.36"/>
    <n v="984.36"/>
    <n v="5.8999999999999997E-2"/>
    <n v="5.8999999999999997E-2"/>
    <n v="14"/>
    <s v="OK"/>
    <d v="2024-12-19T00:00:00"/>
    <n v="9"/>
    <n v="12967.958640000001"/>
    <n v="6841.52"/>
    <n v="6126.4386400000003"/>
    <n v="0.47242891576649876"/>
    <x v="3"/>
    <s v="Monitors"/>
    <s v="Monitors"/>
    <x v="1"/>
    <x v="1"/>
  </r>
  <r>
    <x v="473"/>
    <x v="351"/>
    <d v="2025-01-08T00:00:00"/>
    <x v="2"/>
    <x v="10"/>
    <x v="33"/>
    <s v="Small Business"/>
    <x v="1"/>
    <x v="1"/>
    <x v="3"/>
    <x v="472"/>
    <n v="891.08"/>
    <n v="1040.0999999999999"/>
    <n v="1040.0999999999999"/>
    <n v="0.109"/>
    <n v="0.109"/>
    <n v="28"/>
    <s v="OK"/>
    <d v="2025-01-08T00:00:00"/>
    <n v="29"/>
    <n v="25948.414799999995"/>
    <n v="24950.240000000002"/>
    <n v="998.17479999999341"/>
    <n v="3.8467660074556598E-2"/>
    <x v="3"/>
    <s v="Printers"/>
    <s v="Printers"/>
    <x v="1"/>
    <x v="1"/>
  </r>
  <r>
    <x v="474"/>
    <x v="352"/>
    <d v="2024-12-20T00:00:00"/>
    <x v="3"/>
    <x v="5"/>
    <x v="8"/>
    <s v="Corporate"/>
    <x v="1"/>
    <x v="12"/>
    <x v="1"/>
    <x v="473"/>
    <n v="1202.47"/>
    <n v="1444.72"/>
    <n v="1444.72"/>
    <n v="0.24099999999999999"/>
    <n v="0.24099999999999999"/>
    <n v="17"/>
    <s v="OK"/>
    <d v="2024-12-20T00:00:00"/>
    <n v="8"/>
    <n v="18641.222160000001"/>
    <n v="20441.990000000002"/>
    <n v="-1800.7678400000004"/>
    <n v="-9.6601382921343834E-2"/>
    <x v="3"/>
    <s v="Laptops"/>
    <s v="Laptops"/>
    <x v="0"/>
    <x v="1"/>
  </r>
  <r>
    <x v="475"/>
    <x v="353"/>
    <d v="2025-01-12T00:00:00"/>
    <x v="3"/>
    <x v="7"/>
    <x v="14"/>
    <s v="Education"/>
    <x v="3"/>
    <x v="2"/>
    <x v="6"/>
    <x v="474"/>
    <n v="1412.15"/>
    <n v="1631.04"/>
    <n v="1631.04"/>
    <n v="8.9999999999999993E-3"/>
    <n v="8.9999999999999993E-3"/>
    <n v="6"/>
    <s v="OK"/>
    <d v="2025-01-12T00:00:00"/>
    <n v="29"/>
    <n v="9698.1638399999993"/>
    <n v="8472.9000000000015"/>
    <n v="1225.2638399999978"/>
    <n v="0.12633977526203535"/>
    <x v="3"/>
    <s v="Components"/>
    <s v="Components"/>
    <x v="1"/>
    <x v="1"/>
  </r>
  <r>
    <x v="476"/>
    <x v="354"/>
    <d v="2025-01-14T00:00:00"/>
    <x v="3"/>
    <x v="4"/>
    <x v="6"/>
    <s v="Small Business"/>
    <x v="1"/>
    <x v="4"/>
    <x v="3"/>
    <x v="475"/>
    <n v="1361.34"/>
    <n v="1737.9"/>
    <n v="1737.9"/>
    <n v="7.6999999999999999E-2"/>
    <n v="7.6999999999999999E-2"/>
    <n v="14"/>
    <s v="OK"/>
    <d v="2025-01-14T00:00:00"/>
    <n v="25"/>
    <n v="22457.143800000002"/>
    <n v="19058.759999999998"/>
    <n v="3398.3838000000032"/>
    <n v="0.15132751654731813"/>
    <x v="3"/>
    <s v="Printers"/>
    <s v="Printers"/>
    <x v="1"/>
    <x v="1"/>
  </r>
  <r>
    <x v="477"/>
    <x v="349"/>
    <d v="2024-12-29T00:00:00"/>
    <x v="0"/>
    <x v="3"/>
    <x v="18"/>
    <s v="Enterprise"/>
    <x v="4"/>
    <x v="6"/>
    <x v="0"/>
    <x v="476"/>
    <n v="1146.72"/>
    <n v="2074.34"/>
    <n v="2074.34"/>
    <n v="0.111"/>
    <n v="0.111"/>
    <n v="8"/>
    <s v="OK"/>
    <d v="2024-12-29T00:00:00"/>
    <n v="2"/>
    <n v="14752.706080000002"/>
    <n v="9173.76"/>
    <n v="5578.9460800000015"/>
    <n v="0.37816425337472737"/>
    <x v="3"/>
    <s v="Accessories"/>
    <s v="Accessories"/>
    <x v="1"/>
    <x v="0"/>
  </r>
  <r>
    <x v="478"/>
    <x v="355"/>
    <d v="2024-12-26T00:00:00"/>
    <x v="2"/>
    <x v="2"/>
    <x v="3"/>
    <s v="Enterprise"/>
    <x v="3"/>
    <x v="9"/>
    <x v="2"/>
    <x v="477"/>
    <n v="1035.24"/>
    <n v="2383.41"/>
    <n v="2383.41"/>
    <n v="0.17"/>
    <n v="0.17"/>
    <n v="15"/>
    <s v="OK"/>
    <d v="2024-12-26T00:00:00"/>
    <n v="19"/>
    <n v="29673.454499999993"/>
    <n v="15528.6"/>
    <n v="14144.854499999992"/>
    <n v="0.47668378145860962"/>
    <x v="3"/>
    <s v="Networking"/>
    <s v="Networking"/>
    <x v="1"/>
    <x v="1"/>
  </r>
  <r>
    <x v="479"/>
    <x v="356"/>
    <d v="2025-01-08T00:00:00"/>
    <x v="3"/>
    <x v="7"/>
    <x v="14"/>
    <s v="Enterprise"/>
    <x v="3"/>
    <x v="1"/>
    <x v="1"/>
    <x v="478"/>
    <n v="1201.31"/>
    <n v="2764.65"/>
    <n v="2764.65"/>
    <n v="0"/>
    <n v="0"/>
    <n v="21"/>
    <s v="OK"/>
    <d v="2025-01-08T00:00:00"/>
    <n v="11"/>
    <n v="58057.65"/>
    <n v="25227.51"/>
    <n v="32830.14"/>
    <n v="0.56547483406579491"/>
    <x v="3"/>
    <s v="Laptops"/>
    <s v="Laptops"/>
    <x v="1"/>
    <x v="1"/>
  </r>
  <r>
    <x v="480"/>
    <x v="357"/>
    <d v="2025-01-12T00:00:00"/>
    <x v="2"/>
    <x v="2"/>
    <x v="26"/>
    <s v="Corporate"/>
    <x v="0"/>
    <x v="12"/>
    <x v="5"/>
    <x v="479"/>
    <n v="1399.72"/>
    <n v="3149.21"/>
    <n v="3149.21"/>
    <n v="0.185"/>
    <n v="0.185"/>
    <n v="12"/>
    <s v="OK"/>
    <d v="2025-01-12T00:00:00"/>
    <n v="14"/>
    <n v="30799.273800000003"/>
    <n v="16796.64"/>
    <n v="14002.633800000003"/>
    <n v="0.45464168703873797"/>
    <x v="3"/>
    <s v="Monitors"/>
    <s v="Monitors"/>
    <x v="1"/>
    <x v="1"/>
  </r>
  <r>
    <x v="481"/>
    <x v="349"/>
    <d v="2025-01-02T00:00:00"/>
    <x v="2"/>
    <x v="11"/>
    <x v="34"/>
    <s v="Education"/>
    <x v="0"/>
    <x v="7"/>
    <x v="1"/>
    <x v="480"/>
    <n v="1391.99"/>
    <n v="3469.7"/>
    <n v="3469.7"/>
    <n v="0.184"/>
    <n v="0.184"/>
    <n v="23"/>
    <s v="OK"/>
    <d v="2025-01-02T00:00:00"/>
    <n v="6"/>
    <n v="65119.329599999997"/>
    <n v="32015.77"/>
    <n v="33103.559599999993"/>
    <n v="0.50835227886006973"/>
    <x v="3"/>
    <s v="Laptops"/>
    <s v="Laptops"/>
    <x v="1"/>
    <x v="0"/>
  </r>
  <r>
    <x v="482"/>
    <x v="358"/>
    <d v="2023-12-12T00:00:00"/>
    <x v="0"/>
    <x v="0"/>
    <x v="1"/>
    <s v="Corporate"/>
    <x v="0"/>
    <x v="7"/>
    <x v="4"/>
    <x v="481"/>
    <n v="307.43"/>
    <n v="495.19"/>
    <n v="495.19"/>
    <n v="0"/>
    <n v="0"/>
    <n v="42"/>
    <s v="OK"/>
    <d v="2023-12-12T00:00:00"/>
    <n v="7"/>
    <n v="20797.98"/>
    <n v="12912.06"/>
    <n v="7885.92"/>
    <n v="0.37916759223732305"/>
    <x v="4"/>
    <s v="Phones"/>
    <s v="Phones"/>
    <x v="1"/>
    <x v="0"/>
  </r>
  <r>
    <x v="483"/>
    <x v="359"/>
    <d v="2024-01-01T00:00:00"/>
    <x v="0"/>
    <x v="0"/>
    <x v="17"/>
    <s v="Education"/>
    <x v="0"/>
    <x v="6"/>
    <x v="4"/>
    <x v="482"/>
    <n v="526.49"/>
    <n v="496.2"/>
    <n v="496.2"/>
    <n v="0"/>
    <n v="0"/>
    <n v="14"/>
    <s v="OK"/>
    <d v="2024-01-01T00:00:00"/>
    <n v="8"/>
    <n v="6946.8"/>
    <n v="7370.8600000000006"/>
    <n v="-424.0600000000004"/>
    <n v="-6.1043933897621985E-2"/>
    <x v="4"/>
    <s v="Phones"/>
    <s v="Phones"/>
    <x v="1"/>
    <x v="1"/>
  </r>
  <r>
    <x v="484"/>
    <x v="360"/>
    <d v="2024-01-03T00:00:00"/>
    <x v="2"/>
    <x v="10"/>
    <x v="24"/>
    <s v="Small Business"/>
    <x v="1"/>
    <x v="4"/>
    <x v="1"/>
    <x v="483"/>
    <n v="492.75"/>
    <n v="731.29"/>
    <n v="731.29"/>
    <n v="5.8000000000000003E-2"/>
    <n v="5.8000000000000003E-2"/>
    <n v="6"/>
    <s v="OK"/>
    <d v="2024-01-03T00:00:00"/>
    <n v="8"/>
    <n v="4133.25108"/>
    <n v="2956.5"/>
    <n v="1176.75108"/>
    <n v="0.28470350753528384"/>
    <x v="4"/>
    <s v="Laptops"/>
    <s v="Laptops"/>
    <x v="1"/>
    <x v="1"/>
  </r>
  <r>
    <x v="485"/>
    <x v="361"/>
    <d v="2023-12-31T00:00:00"/>
    <x v="3"/>
    <x v="5"/>
    <x v="9"/>
    <s v="Consumer"/>
    <x v="1"/>
    <x v="0"/>
    <x v="3"/>
    <x v="484"/>
    <n v="663.03"/>
    <n v="813.51"/>
    <n v="813.51"/>
    <n v="0.10199999999999999"/>
    <n v="0.10199999999999999"/>
    <n v="15"/>
    <s v="OK"/>
    <d v="2023-12-31T00:00:00"/>
    <n v="25"/>
    <n v="10957.9797"/>
    <n v="9945.4499999999989"/>
    <n v="1012.529700000001"/>
    <n v="9.2401129379715952E-2"/>
    <x v="4"/>
    <s v="Printers"/>
    <s v="Printers"/>
    <x v="1"/>
    <x v="1"/>
  </r>
  <r>
    <x v="486"/>
    <x v="362"/>
    <d v="2023-12-05T00:00:00"/>
    <x v="3"/>
    <x v="5"/>
    <x v="8"/>
    <s v="Non-Profit"/>
    <x v="4"/>
    <x v="10"/>
    <x v="3"/>
    <x v="485"/>
    <n v="1097.5899999999999"/>
    <n v="845.55"/>
    <n v="845.55"/>
    <n v="0.184"/>
    <n v="0.184"/>
    <n v="6"/>
    <s v="Correct"/>
    <d v="2023-12-14T00:00:00"/>
    <n v="7"/>
    <n v="4139.8127999999997"/>
    <n v="6585.5399999999991"/>
    <n v="-2445.7271999999994"/>
    <n v="-0.59078207594314402"/>
    <x v="4"/>
    <s v="Printers"/>
    <s v="Printers"/>
    <x v="1"/>
    <x v="0"/>
  </r>
  <r>
    <x v="487"/>
    <x v="363"/>
    <d v="2024-01-01T00:00:00"/>
    <x v="0"/>
    <x v="3"/>
    <x v="4"/>
    <s v="Enterprise"/>
    <x v="1"/>
    <x v="1"/>
    <x v="5"/>
    <x v="486"/>
    <n v="856.1"/>
    <n v="901.48"/>
    <n v="901.48"/>
    <n v="5.6000000000000001E-2"/>
    <n v="5.6000000000000001E-2"/>
    <n v="17"/>
    <s v="OK"/>
    <d v="2024-01-01T00:00:00"/>
    <n v="13"/>
    <n v="14466.95104"/>
    <n v="14553.7"/>
    <n v="-86.748960000000807"/>
    <n v="-5.9963540182134192E-3"/>
    <x v="4"/>
    <s v="Monitors"/>
    <s v="Monitors"/>
    <x v="1"/>
    <x v="1"/>
  </r>
  <r>
    <x v="488"/>
    <x v="364"/>
    <d v="2024-01-16T00:00:00"/>
    <x v="3"/>
    <x v="4"/>
    <x v="31"/>
    <s v="Small Business"/>
    <x v="1"/>
    <x v="5"/>
    <x v="6"/>
    <x v="487"/>
    <n v="1346.81"/>
    <n v="978.09"/>
    <n v="978.09"/>
    <n v="0.159"/>
    <n v="0.159"/>
    <n v="17"/>
    <s v="OK"/>
    <d v="2024-01-16T00:00:00"/>
    <n v="25"/>
    <n v="13983.752729999998"/>
    <n v="22895.77"/>
    <n v="-8912.0172700000021"/>
    <n v="-0.6373122753293996"/>
    <x v="4"/>
    <s v="Components"/>
    <s v="Components"/>
    <x v="1"/>
    <x v="1"/>
  </r>
  <r>
    <x v="489"/>
    <x v="365"/>
    <d v="2023-12-16T00:00:00"/>
    <x v="2"/>
    <x v="11"/>
    <x v="34"/>
    <s v="Education"/>
    <x v="0"/>
    <x v="3"/>
    <x v="5"/>
    <x v="488"/>
    <n v="879.08"/>
    <n v="1093.3900000000001"/>
    <n v="1093.3900000000001"/>
    <n v="0.113"/>
    <n v="0.113"/>
    <n v="17"/>
    <s v="OK"/>
    <d v="2023-12-16T00:00:00"/>
    <n v="14"/>
    <n v="16487.22781"/>
    <n v="14944.36"/>
    <n v="1542.8678099999997"/>
    <n v="9.3579577341935186E-2"/>
    <x v="4"/>
    <s v="Monitors"/>
    <s v="Monitors"/>
    <x v="1"/>
    <x v="1"/>
  </r>
  <r>
    <x v="490"/>
    <x v="366"/>
    <d v="2023-12-26T00:00:00"/>
    <x v="0"/>
    <x v="0"/>
    <x v="0"/>
    <s v="Education"/>
    <x v="1"/>
    <x v="8"/>
    <x v="4"/>
    <x v="489"/>
    <n v="1303.1099999999999"/>
    <n v="1145.67"/>
    <n v="1145.67"/>
    <n v="0.184"/>
    <n v="0.184"/>
    <n v="13"/>
    <s v="OK"/>
    <d v="2023-12-26T00:00:00"/>
    <n v="23"/>
    <n v="12153.267360000002"/>
    <n v="16940.43"/>
    <n v="-4787.1626399999986"/>
    <n v="-0.39389922875851208"/>
    <x v="4"/>
    <s v="Phones"/>
    <s v="Phones"/>
    <x v="1"/>
    <x v="1"/>
  </r>
  <r>
    <x v="491"/>
    <x v="367"/>
    <d v="2024-01-08T00:00:00"/>
    <x v="2"/>
    <x v="10"/>
    <x v="33"/>
    <s v="Consumer"/>
    <x v="4"/>
    <x v="0"/>
    <x v="0"/>
    <x v="490"/>
    <n v="861.1"/>
    <n v="1224.72"/>
    <n v="1224.72"/>
    <n v="0.17399999999999999"/>
    <n v="0.17399999999999999"/>
    <n v="24"/>
    <s v="OK"/>
    <d v="2024-01-08T00:00:00"/>
    <n v="9"/>
    <n v="24278.849280000002"/>
    <n v="20666.400000000001"/>
    <n v="3612.4492800000007"/>
    <n v="0.14878997098827909"/>
    <x v="4"/>
    <s v="Accessories"/>
    <s v="Accessories"/>
    <x v="1"/>
    <x v="1"/>
  </r>
  <r>
    <x v="492"/>
    <x v="368"/>
    <d v="2024-01-14T00:00:00"/>
    <x v="3"/>
    <x v="4"/>
    <x v="19"/>
    <s v="Non-Profit"/>
    <x v="4"/>
    <x v="0"/>
    <x v="5"/>
    <x v="491"/>
    <n v="1085.6099999999999"/>
    <n v="1246.4100000000001"/>
    <n v="1246.4100000000001"/>
    <n v="0.113"/>
    <n v="0.113"/>
    <n v="7"/>
    <s v="OK"/>
    <d v="2024-01-14T00:00:00"/>
    <n v="25"/>
    <n v="7738.9596900000006"/>
    <n v="7599.2699999999995"/>
    <n v="139.68969000000106"/>
    <n v="1.8050189637310417E-2"/>
    <x v="4"/>
    <s v="Monitors"/>
    <s v="Monitors"/>
    <x v="1"/>
    <x v="1"/>
  </r>
  <r>
    <x v="493"/>
    <x v="364"/>
    <d v="2023-12-23T00:00:00"/>
    <x v="1"/>
    <x v="6"/>
    <x v="15"/>
    <s v="Non-Profit"/>
    <x v="4"/>
    <x v="9"/>
    <x v="6"/>
    <x v="492"/>
    <n v="1186.18"/>
    <n v="1285.0899999999999"/>
    <n v="1285.0899999999999"/>
    <n v="7.0000000000000007E-2"/>
    <n v="7.0000000000000007E-2"/>
    <n v="11"/>
    <s v="OK"/>
    <d v="2023-12-23T00:00:00"/>
    <n v="1"/>
    <n v="13146.470699999998"/>
    <n v="13047.980000000001"/>
    <n v="98.49069999999665"/>
    <n v="7.4917977796121861E-3"/>
    <x v="4"/>
    <s v="Components"/>
    <s v="Components"/>
    <x v="1"/>
    <x v="0"/>
  </r>
  <r>
    <x v="494"/>
    <x v="359"/>
    <d v="2024-01-13T00:00:00"/>
    <x v="3"/>
    <x v="5"/>
    <x v="7"/>
    <s v="Education"/>
    <x v="0"/>
    <x v="12"/>
    <x v="1"/>
    <x v="493"/>
    <n v="625.37"/>
    <n v="1319.04"/>
    <n v="1319.04"/>
    <n v="7.3999999999999996E-2"/>
    <n v="7.3999999999999996E-2"/>
    <n v="8"/>
    <s v="OK"/>
    <d v="2024-01-13T00:00:00"/>
    <n v="20"/>
    <n v="9771.4483199999995"/>
    <n v="5002.96"/>
    <n v="4768.4883199999995"/>
    <n v="0.48800220436513547"/>
    <x v="4"/>
    <s v="Laptops"/>
    <s v="Laptops"/>
    <x v="1"/>
    <x v="1"/>
  </r>
  <r>
    <x v="495"/>
    <x v="369"/>
    <d v="2024-01-20T00:00:00"/>
    <x v="1"/>
    <x v="1"/>
    <x v="16"/>
    <s v="Corporate"/>
    <x v="0"/>
    <x v="0"/>
    <x v="4"/>
    <x v="494"/>
    <n v="1395.49"/>
    <n v="1679.42"/>
    <n v="1679.42"/>
    <n v="0.20300000000000001"/>
    <n v="0.20300000000000001"/>
    <n v="12"/>
    <s v="OK"/>
    <d v="2024-01-20T00:00:00"/>
    <n v="22"/>
    <n v="16061.972879999999"/>
    <n v="16745.88"/>
    <n v="-683.90712000000167"/>
    <n v="-4.2579272490964493E-2"/>
    <x v="4"/>
    <s v="Phones"/>
    <s v="Phones"/>
    <x v="0"/>
    <x v="1"/>
  </r>
  <r>
    <x v="496"/>
    <x v="370"/>
    <d v="2023-12-19T00:00:00"/>
    <x v="3"/>
    <x v="7"/>
    <x v="11"/>
    <s v="Education"/>
    <x v="1"/>
    <x v="5"/>
    <x v="0"/>
    <x v="495"/>
    <n v="1415.05"/>
    <n v="1972.38"/>
    <n v="1972.38"/>
    <n v="0"/>
    <n v="0"/>
    <n v="12"/>
    <s v="OK"/>
    <d v="2023-12-19T00:00:00"/>
    <n v="3"/>
    <n v="23668.560000000001"/>
    <n v="16980.599999999999"/>
    <n v="6687.9600000000028"/>
    <n v="0.28256725377462771"/>
    <x v="4"/>
    <s v="Accessories"/>
    <s v="Accessories"/>
    <x v="1"/>
    <x v="0"/>
  </r>
  <r>
    <x v="497"/>
    <x v="371"/>
    <d v="2024-01-06T00:00:00"/>
    <x v="1"/>
    <x v="8"/>
    <x v="25"/>
    <s v="Corporate"/>
    <x v="4"/>
    <x v="1"/>
    <x v="6"/>
    <x v="496"/>
    <n v="932.61"/>
    <n v="1982.98"/>
    <n v="1982.98"/>
    <n v="0.14399999999999999"/>
    <n v="0.14399999999999999"/>
    <n v="16"/>
    <s v="OK"/>
    <d v="2024-01-06T00:00:00"/>
    <n v="16"/>
    <n v="27158.894079999998"/>
    <n v="14921.76"/>
    <n v="12237.134079999998"/>
    <n v="0.45057556629345635"/>
    <x v="4"/>
    <s v="Components"/>
    <s v="Components"/>
    <x v="1"/>
    <x v="1"/>
  </r>
  <r>
    <x v="498"/>
    <x v="372"/>
    <d v="2024-01-14T00:00:00"/>
    <x v="3"/>
    <x v="4"/>
    <x v="19"/>
    <s v="Consumer"/>
    <x v="2"/>
    <x v="9"/>
    <x v="2"/>
    <x v="497"/>
    <n v="1408.3"/>
    <n v="2193.13"/>
    <n v="2193.13"/>
    <n v="7.0999999999999994E-2"/>
    <n v="7.0999999999999994E-2"/>
    <n v="7"/>
    <s v="OK"/>
    <d v="2024-01-14T00:00:00"/>
    <n v="27"/>
    <n v="14261.92439"/>
    <n v="9858.1"/>
    <n v="4403.8243899999998"/>
    <n v="0.30878191957656281"/>
    <x v="4"/>
    <s v="Networking"/>
    <s v="Networking"/>
    <x v="1"/>
    <x v="1"/>
  </r>
  <r>
    <x v="499"/>
    <x v="373"/>
    <d v="2024-01-01T00:00:00"/>
    <x v="1"/>
    <x v="6"/>
    <x v="15"/>
    <s v="Education"/>
    <x v="2"/>
    <x v="5"/>
    <x v="3"/>
    <x v="498"/>
    <n v="1141.8"/>
    <n v="2318.7399999999998"/>
    <n v="2318.7399999999998"/>
    <n v="0.107"/>
    <n v="0.107"/>
    <n v="32"/>
    <s v="OK"/>
    <d v="2024-01-01T00:00:00"/>
    <n v="4"/>
    <n v="66260.314239999992"/>
    <n v="36537.599999999999"/>
    <n v="29722.714239999994"/>
    <n v="0.44857490612468304"/>
    <x v="4"/>
    <s v="Printers"/>
    <s v="Printers"/>
    <x v="1"/>
    <x v="0"/>
  </r>
  <r>
    <x v="500"/>
    <x v="362"/>
    <d v="2024-01-02T00:00:00"/>
    <x v="2"/>
    <x v="11"/>
    <x v="34"/>
    <s v="Enterprise"/>
    <x v="2"/>
    <x v="11"/>
    <x v="6"/>
    <x v="499"/>
    <n v="1071.99"/>
    <n v="2397.3000000000002"/>
    <n v="2397.3000000000002"/>
    <n v="6.2E-2"/>
    <n v="6.2E-2"/>
    <n v="18"/>
    <s v="OK"/>
    <d v="2024-01-02T00:00:00"/>
    <n v="26"/>
    <n v="40476.013200000001"/>
    <n v="19295.82"/>
    <n v="21180.193200000002"/>
    <n v="0.52327765324476183"/>
    <x v="4"/>
    <s v="Components"/>
    <s v="Components"/>
    <x v="1"/>
    <x v="1"/>
  </r>
  <r>
    <x v="501"/>
    <x v="363"/>
    <d v="2023-12-20T00:00:00"/>
    <x v="0"/>
    <x v="0"/>
    <x v="0"/>
    <s v="Consumer"/>
    <x v="2"/>
    <x v="2"/>
    <x v="4"/>
    <x v="500"/>
    <n v="1080.43"/>
    <n v="2529.15"/>
    <n v="2529.15"/>
    <n v="0.14699999999999999"/>
    <n v="0.14699999999999999"/>
    <n v="10"/>
    <s v="OK"/>
    <d v="2023-12-20T00:00:00"/>
    <n v="1"/>
    <n v="21573.6495"/>
    <n v="10804.300000000001"/>
    <n v="10769.349499999998"/>
    <n v="0.49918997247081437"/>
    <x v="4"/>
    <s v="Phones"/>
    <s v="Phones"/>
    <x v="1"/>
    <x v="0"/>
  </r>
  <r>
    <x v="502"/>
    <x v="374"/>
    <d v="2023-12-18T00:00:00"/>
    <x v="3"/>
    <x v="5"/>
    <x v="7"/>
    <s v="Small Business"/>
    <x v="0"/>
    <x v="3"/>
    <x v="1"/>
    <x v="501"/>
    <n v="1495.79"/>
    <n v="2783.12"/>
    <n v="2783.12"/>
    <n v="0.02"/>
    <n v="0.02"/>
    <n v="5"/>
    <s v="OK"/>
    <d v="2023-12-18T00:00:00"/>
    <n v="17"/>
    <n v="13637.287999999999"/>
    <n v="7478.95"/>
    <n v="6158.3379999999988"/>
    <n v="0.45158084217331185"/>
    <x v="4"/>
    <s v="Laptops"/>
    <s v="Laptops"/>
    <x v="1"/>
    <x v="1"/>
  </r>
  <r>
    <x v="503"/>
    <x v="375"/>
    <d v="2025-08-16T00:00:00"/>
    <x v="3"/>
    <x v="4"/>
    <x v="25"/>
    <s v="Enterprise"/>
    <x v="0"/>
    <x v="8"/>
    <x v="5"/>
    <x v="502"/>
    <n v="24.44"/>
    <n v="28.69"/>
    <n v="28.69"/>
    <n v="0.14599999999999999"/>
    <n v="0.14599999999999999"/>
    <n v="6"/>
    <s v="OK"/>
    <d v="2025-08-16T00:00:00"/>
    <n v="15"/>
    <n v="147.00756000000001"/>
    <n v="146.64000000000001"/>
    <n v="0.36755999999999744"/>
    <n v="2.5002795774584476E-3"/>
    <x v="0"/>
    <s v="Monitors"/>
    <s v="Monitors"/>
    <x v="1"/>
    <x v="1"/>
  </r>
  <r>
    <x v="504"/>
    <x v="376"/>
    <d v="2025-08-14T00:00:00"/>
    <x v="2"/>
    <x v="2"/>
    <x v="3"/>
    <s v="Non-Profit"/>
    <x v="0"/>
    <x v="11"/>
    <x v="6"/>
    <x v="503"/>
    <n v="41.76"/>
    <n v="45.19"/>
    <n v="45.19"/>
    <n v="0.17899999999999999"/>
    <n v="0.17899999999999999"/>
    <n v="23"/>
    <s v="OK"/>
    <d v="2025-08-14T00:00:00"/>
    <n v="9"/>
    <n v="853.32276999999988"/>
    <n v="960.4799999999999"/>
    <n v="-107.15723000000003"/>
    <n v="-0.12557643340514638"/>
    <x v="0"/>
    <s v="Components"/>
    <s v="Components"/>
    <x v="1"/>
    <x v="1"/>
  </r>
  <r>
    <x v="505"/>
    <x v="377"/>
    <d v="2025-08-23T00:00:00"/>
    <x v="0"/>
    <x v="0"/>
    <x v="1"/>
    <s v="Consumer"/>
    <x v="2"/>
    <x v="5"/>
    <x v="5"/>
    <x v="504"/>
    <n v="86.64"/>
    <n v="213.06"/>
    <n v="213.06"/>
    <n v="0.21199999999999999"/>
    <n v="0.21199999999999999"/>
    <n v="11"/>
    <s v="OK"/>
    <d v="2025-08-23T00:00:00"/>
    <n v="17"/>
    <n v="1846.8040799999999"/>
    <n v="953.04"/>
    <n v="893.76407999999992"/>
    <n v="0.48395175735154322"/>
    <x v="0"/>
    <s v="Monitors"/>
    <s v="Monitors"/>
    <x v="0"/>
    <x v="1"/>
  </r>
  <r>
    <x v="506"/>
    <x v="378"/>
    <d v="2025-09-12T00:00:00"/>
    <x v="3"/>
    <x v="7"/>
    <x v="14"/>
    <s v="Education"/>
    <x v="1"/>
    <x v="12"/>
    <x v="3"/>
    <x v="505"/>
    <n v="352.66"/>
    <n v="411.18"/>
    <n v="411.18"/>
    <n v="0.17299999999999999"/>
    <n v="0.17299999999999999"/>
    <n v="13"/>
    <s v="OK"/>
    <d v="2025-09-12T00:00:00"/>
    <n v="22"/>
    <n v="4420.5961799999995"/>
    <n v="4584.58"/>
    <n v="-163.98382000000038"/>
    <n v="-3.7095408248758066E-2"/>
    <x v="0"/>
    <s v="Printers"/>
    <s v="Printers"/>
    <x v="1"/>
    <x v="1"/>
  </r>
  <r>
    <x v="507"/>
    <x v="379"/>
    <d v="2025-08-28T00:00:00"/>
    <x v="2"/>
    <x v="10"/>
    <x v="29"/>
    <s v="Education"/>
    <x v="3"/>
    <x v="7"/>
    <x v="2"/>
    <x v="506"/>
    <n v="416.16"/>
    <n v="571.9"/>
    <n v="571.9"/>
    <n v="7.0999999999999994E-2"/>
    <n v="7.0999999999999994E-2"/>
    <n v="2"/>
    <s v="OK"/>
    <d v="2025-08-28T00:00:00"/>
    <n v="17"/>
    <n v="1062.5902000000001"/>
    <n v="832.32"/>
    <n v="230.27020000000005"/>
    <n v="0.21670649701079497"/>
    <x v="0"/>
    <s v="Networking"/>
    <s v="Networking"/>
    <x v="1"/>
    <x v="1"/>
  </r>
  <r>
    <x v="508"/>
    <x v="380"/>
    <d v="2025-08-19T00:00:00"/>
    <x v="1"/>
    <x v="1"/>
    <x v="22"/>
    <s v="Corporate"/>
    <x v="5"/>
    <x v="4"/>
    <x v="6"/>
    <x v="507"/>
    <n v="601.51"/>
    <n v="679.35"/>
    <n v="679.35"/>
    <n v="0.188"/>
    <n v="0.188"/>
    <n v="3"/>
    <s v="OK"/>
    <d v="2025-08-19T00:00:00"/>
    <n v="12"/>
    <n v="1654.8966000000003"/>
    <n v="1804.53"/>
    <n v="-149.63339999999971"/>
    <n v="-9.0418579626062243E-2"/>
    <x v="0"/>
    <s v="Components"/>
    <s v="Components"/>
    <x v="1"/>
    <x v="1"/>
  </r>
  <r>
    <x v="509"/>
    <x v="381"/>
    <d v="2025-08-16T00:00:00"/>
    <x v="0"/>
    <x v="3"/>
    <x v="39"/>
    <s v="Enterprise"/>
    <x v="2"/>
    <x v="8"/>
    <x v="2"/>
    <x v="508"/>
    <n v="698.66"/>
    <n v="868.62"/>
    <n v="868.62"/>
    <n v="7.1999999999999995E-2"/>
    <n v="7.1999999999999995E-2"/>
    <n v="15"/>
    <s v="OK"/>
    <d v="2025-08-16T00:00:00"/>
    <n v="13"/>
    <n v="12091.190399999999"/>
    <n v="10479.9"/>
    <n v="1611.2903999999999"/>
    <n v="0.13326151906432637"/>
    <x v="0"/>
    <s v="Networking"/>
    <s v="Networking"/>
    <x v="1"/>
    <x v="1"/>
  </r>
  <r>
    <x v="510"/>
    <x v="382"/>
    <d v="2025-09-22T00:00:00"/>
    <x v="2"/>
    <x v="10"/>
    <x v="33"/>
    <s v="Corporate"/>
    <x v="0"/>
    <x v="11"/>
    <x v="6"/>
    <x v="509"/>
    <n v="663.9"/>
    <n v="947.77"/>
    <n v="947.77"/>
    <n v="0.17399999999999999"/>
    <n v="0.17399999999999999"/>
    <n v="15"/>
    <s v="OK"/>
    <d v="2025-09-22T00:00:00"/>
    <n v="23"/>
    <n v="11742.8703"/>
    <n v="9958.5"/>
    <n v="1784.3703000000005"/>
    <n v="0.1519535049280073"/>
    <x v="0"/>
    <s v="Components"/>
    <s v="Components"/>
    <x v="1"/>
    <x v="1"/>
  </r>
  <r>
    <x v="511"/>
    <x v="376"/>
    <d v="2025-08-28T00:00:00"/>
    <x v="3"/>
    <x v="4"/>
    <x v="19"/>
    <s v="Non-Profit"/>
    <x v="2"/>
    <x v="3"/>
    <x v="1"/>
    <x v="510"/>
    <n v="638.54"/>
    <n v="987.24"/>
    <n v="987.24"/>
    <n v="0"/>
    <n v="0"/>
    <n v="11"/>
    <s v="OK"/>
    <d v="2025-08-28T00:00:00"/>
    <n v="23"/>
    <n v="10859.64"/>
    <n v="7023.94"/>
    <n v="3835.7"/>
    <n v="0.35320692030306716"/>
    <x v="0"/>
    <s v="Laptops"/>
    <s v="Laptops"/>
    <x v="1"/>
    <x v="1"/>
  </r>
  <r>
    <x v="512"/>
    <x v="380"/>
    <d v="2025-09-06T00:00:00"/>
    <x v="0"/>
    <x v="3"/>
    <x v="39"/>
    <s v="Education"/>
    <x v="0"/>
    <x v="4"/>
    <x v="2"/>
    <x v="511"/>
    <n v="833.73"/>
    <n v="1116.5999999999999"/>
    <n v="1116.5999999999999"/>
    <n v="0.17599999999999999"/>
    <n v="0.17599999999999999"/>
    <n v="14"/>
    <s v="OK"/>
    <d v="2025-09-06T00:00:00"/>
    <n v="30"/>
    <n v="12881.097599999999"/>
    <n v="11672.220000000001"/>
    <n v="1208.877599999998"/>
    <n v="9.3848958958279924E-2"/>
    <x v="0"/>
    <s v="Networking"/>
    <s v="Networking"/>
    <x v="1"/>
    <x v="1"/>
  </r>
  <r>
    <x v="513"/>
    <x v="383"/>
    <d v="2025-08-26T00:00:00"/>
    <x v="1"/>
    <x v="8"/>
    <x v="27"/>
    <s v="Small Business"/>
    <x v="1"/>
    <x v="5"/>
    <x v="0"/>
    <x v="512"/>
    <n v="521.05999999999995"/>
    <n v="1240.31"/>
    <n v="1240.31"/>
    <n v="0.14599999999999999"/>
    <n v="0.14599999999999999"/>
    <n v="18"/>
    <s v="Correct"/>
    <d v="2025-09-04T00:00:00"/>
    <n v="7"/>
    <n v="19066.045319999997"/>
    <n v="9379.0799999999981"/>
    <n v="9686.9653199999993"/>
    <n v="0.50807417885650974"/>
    <x v="0"/>
    <s v="Accessories"/>
    <s v="Accessories"/>
    <x v="1"/>
    <x v="0"/>
  </r>
  <r>
    <x v="514"/>
    <x v="384"/>
    <d v="2025-09-24T00:00:00"/>
    <x v="1"/>
    <x v="1"/>
    <x v="2"/>
    <s v="Consumer"/>
    <x v="0"/>
    <x v="12"/>
    <x v="6"/>
    <x v="513"/>
    <n v="589.14"/>
    <n v="1300.58"/>
    <n v="1300.58"/>
    <n v="5.5E-2"/>
    <n v="5.5E-2"/>
    <n v="11"/>
    <s v="OK"/>
    <d v="2025-09-24T00:00:00"/>
    <n v="30"/>
    <n v="13519.529099999998"/>
    <n v="6480.54"/>
    <n v="7038.989099999998"/>
    <n v="0.52065342275863724"/>
    <x v="0"/>
    <s v="Components"/>
    <s v="Components"/>
    <x v="1"/>
    <x v="1"/>
  </r>
  <r>
    <x v="515"/>
    <x v="385"/>
    <d v="2025-09-03T00:00:00"/>
    <x v="2"/>
    <x v="10"/>
    <x v="29"/>
    <s v="Education"/>
    <x v="1"/>
    <x v="13"/>
    <x v="4"/>
    <x v="514"/>
    <n v="603.47"/>
    <n v="1344.05"/>
    <n v="1344.05"/>
    <n v="0.20499999999999999"/>
    <n v="0.20499999999999999"/>
    <n v="18"/>
    <s v="OK"/>
    <d v="2025-09-03T00:00:00"/>
    <n v="21"/>
    <n v="19233.355499999998"/>
    <n v="10862.460000000001"/>
    <n v="8370.8954999999969"/>
    <n v="0.43522803392262976"/>
    <x v="0"/>
    <s v="Phones"/>
    <s v="Phones"/>
    <x v="0"/>
    <x v="1"/>
  </r>
  <r>
    <x v="516"/>
    <x v="386"/>
    <d v="2025-08-30T00:00:00"/>
    <x v="0"/>
    <x v="9"/>
    <x v="32"/>
    <s v="Corporate"/>
    <x v="4"/>
    <x v="1"/>
    <x v="3"/>
    <x v="515"/>
    <n v="933.29"/>
    <n v="1456.81"/>
    <n v="1456.81"/>
    <n v="0.123"/>
    <n v="0.123"/>
    <n v="13"/>
    <s v="OK"/>
    <d v="2025-08-30T00:00:00"/>
    <n v="20"/>
    <n v="16609.090809999998"/>
    <n v="12132.77"/>
    <n v="4476.3208099999974"/>
    <n v="0.26951028573489977"/>
    <x v="0"/>
    <s v="Printers"/>
    <s v="Printers"/>
    <x v="1"/>
    <x v="1"/>
  </r>
  <r>
    <x v="517"/>
    <x v="387"/>
    <d v="2025-08-26T00:00:00"/>
    <x v="0"/>
    <x v="9"/>
    <x v="21"/>
    <s v="Corporate"/>
    <x v="1"/>
    <x v="4"/>
    <x v="2"/>
    <x v="516"/>
    <n v="1304.95"/>
    <n v="1712.03"/>
    <n v="1712.03"/>
    <n v="0.21199999999999999"/>
    <n v="0.21199999999999999"/>
    <n v="8"/>
    <s v="OK"/>
    <d v="2025-08-26T00:00:00"/>
    <n v="6"/>
    <n v="10792.637119999999"/>
    <n v="10439.6"/>
    <n v="353.03711999999905"/>
    <n v="3.2710922833287949E-2"/>
    <x v="0"/>
    <s v="Networking"/>
    <s v="Networking"/>
    <x v="0"/>
    <x v="0"/>
  </r>
  <r>
    <x v="518"/>
    <x v="388"/>
    <d v="2025-08-08T00:00:00"/>
    <x v="3"/>
    <x v="5"/>
    <x v="9"/>
    <s v="Consumer"/>
    <x v="0"/>
    <x v="3"/>
    <x v="1"/>
    <x v="517"/>
    <n v="1225.94"/>
    <n v="1793.08"/>
    <n v="1793.08"/>
    <n v="0.13600000000000001"/>
    <n v="0.13600000000000001"/>
    <n v="22"/>
    <s v="OK"/>
    <d v="2025-08-08T00:00:00"/>
    <n v="6"/>
    <n v="34082.864639999993"/>
    <n v="26970.68"/>
    <n v="7112.1846399999922"/>
    <n v="0.20867332353434462"/>
    <x v="0"/>
    <s v="Laptops"/>
    <s v="Laptops"/>
    <x v="1"/>
    <x v="0"/>
  </r>
  <r>
    <x v="519"/>
    <x v="383"/>
    <d v="2025-09-05T00:00:00"/>
    <x v="1"/>
    <x v="8"/>
    <x v="27"/>
    <s v="Small Business"/>
    <x v="4"/>
    <x v="11"/>
    <x v="1"/>
    <x v="518"/>
    <n v="1271.0999999999999"/>
    <n v="1932.42"/>
    <n v="1932.42"/>
    <n v="0.25"/>
    <n v="0.25"/>
    <n v="21"/>
    <s v="OK"/>
    <d v="2025-09-05T00:00:00"/>
    <n v="8"/>
    <n v="30435.614999999998"/>
    <n v="26693.1"/>
    <n v="3742.5149999999994"/>
    <n v="0.12296498690760807"/>
    <x v="0"/>
    <s v="Laptops"/>
    <s v="Laptops"/>
    <x v="0"/>
    <x v="1"/>
  </r>
  <r>
    <x v="520"/>
    <x v="389"/>
    <d v="2025-09-11T00:00:00"/>
    <x v="0"/>
    <x v="0"/>
    <x v="17"/>
    <s v="Non-Profit"/>
    <x v="0"/>
    <x v="7"/>
    <x v="3"/>
    <x v="519"/>
    <n v="1203.02"/>
    <n v="2439.33"/>
    <n v="2439.33"/>
    <n v="0"/>
    <n v="0"/>
    <n v="18"/>
    <s v="OK"/>
    <d v="2025-09-11T00:00:00"/>
    <n v="28"/>
    <n v="43907.94"/>
    <n v="21654.36"/>
    <n v="22253.58"/>
    <n v="0.50682359500354612"/>
    <x v="0"/>
    <s v="Printers"/>
    <s v="Printers"/>
    <x v="1"/>
    <x v="1"/>
  </r>
  <r>
    <x v="521"/>
    <x v="375"/>
    <d v="2025-08-21T00:00:00"/>
    <x v="3"/>
    <x v="7"/>
    <x v="20"/>
    <s v="Corporate"/>
    <x v="0"/>
    <x v="13"/>
    <x v="4"/>
    <x v="520"/>
    <n v="1220.4100000000001"/>
    <n v="2552.2199999999998"/>
    <n v="2552.2199999999998"/>
    <n v="0.18099999999999999"/>
    <n v="0.18099999999999999"/>
    <n v="14"/>
    <s v="OK"/>
    <d v="2025-08-21T00:00:00"/>
    <n v="20"/>
    <n v="29263.754519999995"/>
    <n v="17085.740000000002"/>
    <n v="12178.014519999993"/>
    <n v="0.41614668793360271"/>
    <x v="0"/>
    <s v="Phones"/>
    <s v="Phones"/>
    <x v="1"/>
    <x v="1"/>
  </r>
  <r>
    <x v="522"/>
    <x v="382"/>
    <d v="2025-09-03T00:00:00"/>
    <x v="2"/>
    <x v="10"/>
    <x v="33"/>
    <s v="Small Business"/>
    <x v="4"/>
    <x v="2"/>
    <x v="1"/>
    <x v="521"/>
    <n v="1286.56"/>
    <n v="2777.35"/>
    <n v="2777.35"/>
    <n v="0.13200000000000001"/>
    <n v="0.13200000000000001"/>
    <n v="15"/>
    <s v="OK"/>
    <d v="2025-09-03T00:00:00"/>
    <n v="4"/>
    <n v="36161.097000000002"/>
    <n v="19298.399999999998"/>
    <n v="16862.697000000004"/>
    <n v="0.46632150014696744"/>
    <x v="0"/>
    <s v="Laptops"/>
    <s v="Laptops"/>
    <x v="1"/>
    <x v="0"/>
  </r>
  <r>
    <x v="523"/>
    <x v="378"/>
    <d v="2025-09-14T00:00:00"/>
    <x v="2"/>
    <x v="11"/>
    <x v="36"/>
    <s v="Non-Profit"/>
    <x v="3"/>
    <x v="5"/>
    <x v="5"/>
    <x v="522"/>
    <n v="1397.67"/>
    <n v="3131.37"/>
    <n v="3131.37"/>
    <n v="0.10299999999999999"/>
    <n v="0.10299999999999999"/>
    <n v="20"/>
    <s v="OK"/>
    <d v="2025-09-14T00:00:00"/>
    <n v="24"/>
    <n v="56176.777799999996"/>
    <n v="27953.4"/>
    <n v="28223.377799999995"/>
    <n v="0.50240293062874808"/>
    <x v="0"/>
    <s v="Monitors"/>
    <s v="Monitors"/>
    <x v="1"/>
    <x v="1"/>
  </r>
  <r>
    <x v="524"/>
    <x v="390"/>
    <d v="2024-09-04T00:00:00"/>
    <x v="2"/>
    <x v="11"/>
    <x v="34"/>
    <s v="Non-Profit"/>
    <x v="1"/>
    <x v="0"/>
    <x v="3"/>
    <x v="523"/>
    <n v="90.04"/>
    <n v="194.62"/>
    <n v="194.62"/>
    <n v="4.2999999999999997E-2"/>
    <n v="4.2999999999999997E-2"/>
    <n v="32"/>
    <s v="OK"/>
    <d v="2024-09-04T00:00:00"/>
    <n v="13"/>
    <n v="5960.04288"/>
    <n v="2881.28"/>
    <n v="3078.7628799999998"/>
    <n v="0.51656723650954672"/>
    <x v="1"/>
    <s v="Printers"/>
    <s v="Printers"/>
    <x v="1"/>
    <x v="1"/>
  </r>
  <r>
    <x v="525"/>
    <x v="391"/>
    <d v="2024-08-15T00:00:00"/>
    <x v="0"/>
    <x v="0"/>
    <x v="0"/>
    <s v="Consumer"/>
    <x v="0"/>
    <x v="4"/>
    <x v="5"/>
    <x v="524"/>
    <n v="165.3"/>
    <n v="275.07"/>
    <n v="275.07"/>
    <n v="0.13300000000000001"/>
    <n v="0.13300000000000001"/>
    <n v="25"/>
    <s v="Correct"/>
    <d v="2024-08-24T00:00:00"/>
    <n v="7"/>
    <n v="5962.1422499999999"/>
    <n v="4132.5"/>
    <n v="1829.6422499999999"/>
    <n v="0.30687665159280625"/>
    <x v="1"/>
    <s v="Monitors"/>
    <s v="Monitors"/>
    <x v="1"/>
    <x v="0"/>
  </r>
  <r>
    <x v="526"/>
    <x v="392"/>
    <d v="2024-08-17T00:00:00"/>
    <x v="3"/>
    <x v="5"/>
    <x v="9"/>
    <s v="Consumer"/>
    <x v="3"/>
    <x v="1"/>
    <x v="2"/>
    <x v="525"/>
    <n v="436.58"/>
    <n v="527.48"/>
    <n v="527.48"/>
    <n v="0.111"/>
    <n v="0.111"/>
    <n v="19"/>
    <s v="OK"/>
    <d v="2024-08-17T00:00:00"/>
    <n v="10"/>
    <n v="8909.6646800000017"/>
    <n v="8295.02"/>
    <n v="614.64468000000124"/>
    <n v="6.8986286473802644E-2"/>
    <x v="1"/>
    <s v="Networking"/>
    <s v="Networking"/>
    <x v="1"/>
    <x v="1"/>
  </r>
  <r>
    <x v="527"/>
    <x v="393"/>
    <d v="2024-09-07T00:00:00"/>
    <x v="2"/>
    <x v="10"/>
    <x v="33"/>
    <s v="Non-Profit"/>
    <x v="0"/>
    <x v="7"/>
    <x v="3"/>
    <x v="526"/>
    <n v="229.96"/>
    <n v="564.26"/>
    <n v="564.26"/>
    <n v="0.105"/>
    <n v="0.105"/>
    <n v="5"/>
    <s v="OK"/>
    <d v="2024-09-07T00:00:00"/>
    <n v="28"/>
    <n v="2525.0635000000002"/>
    <n v="1149.8"/>
    <n v="1375.2635000000002"/>
    <n v="0.54464511486542821"/>
    <x v="1"/>
    <s v="Printers"/>
    <s v="Printers"/>
    <x v="1"/>
    <x v="1"/>
  </r>
  <r>
    <x v="528"/>
    <x v="394"/>
    <d v="2024-09-07T00:00:00"/>
    <x v="2"/>
    <x v="10"/>
    <x v="24"/>
    <s v="Corporate"/>
    <x v="0"/>
    <x v="2"/>
    <x v="6"/>
    <x v="527"/>
    <n v="297.58999999999997"/>
    <n v="666.41"/>
    <n v="666.41"/>
    <n v="0"/>
    <n v="0"/>
    <n v="10"/>
    <s v="OK"/>
    <d v="2024-09-07T00:00:00"/>
    <n v="19"/>
    <n v="6664.0999999999995"/>
    <n v="2975.8999999999996"/>
    <n v="3688.2"/>
    <n v="0.55344307558409989"/>
    <x v="1"/>
    <s v="Components"/>
    <s v="Components"/>
    <x v="1"/>
    <x v="1"/>
  </r>
  <r>
    <x v="529"/>
    <x v="395"/>
    <d v="2024-08-17T00:00:00"/>
    <x v="0"/>
    <x v="9"/>
    <x v="13"/>
    <s v="Consumer"/>
    <x v="1"/>
    <x v="9"/>
    <x v="5"/>
    <x v="528"/>
    <n v="352.79"/>
    <n v="754.22"/>
    <n v="754.22"/>
    <n v="0.113"/>
    <n v="0.113"/>
    <n v="7"/>
    <s v="OK"/>
    <d v="2024-08-17T00:00:00"/>
    <n v="13"/>
    <n v="4682.9519799999998"/>
    <n v="2469.5300000000002"/>
    <n v="2213.4219799999996"/>
    <n v="0.47265528014233443"/>
    <x v="1"/>
    <s v="Monitors"/>
    <s v="Monitors"/>
    <x v="1"/>
    <x v="1"/>
  </r>
  <r>
    <x v="530"/>
    <x v="396"/>
    <d v="2024-09-05T00:00:00"/>
    <x v="3"/>
    <x v="5"/>
    <x v="7"/>
    <s v="Education"/>
    <x v="3"/>
    <x v="3"/>
    <x v="1"/>
    <x v="529"/>
    <n v="466.16"/>
    <n v="876.81"/>
    <n v="876.81"/>
    <n v="0.24099999999999999"/>
    <n v="0.24099999999999999"/>
    <n v="8"/>
    <s v="OK"/>
    <d v="2024-09-05T00:00:00"/>
    <n v="6"/>
    <n v="5323.9903199999999"/>
    <n v="3729.28"/>
    <n v="1594.7103199999997"/>
    <n v="0.29953291124691594"/>
    <x v="1"/>
    <s v="Laptops"/>
    <s v="Laptops"/>
    <x v="0"/>
    <x v="0"/>
  </r>
  <r>
    <x v="531"/>
    <x v="397"/>
    <d v="2024-09-03T00:00:00"/>
    <x v="0"/>
    <x v="9"/>
    <x v="13"/>
    <s v="Consumer"/>
    <x v="2"/>
    <x v="13"/>
    <x v="1"/>
    <x v="530"/>
    <n v="797.8"/>
    <n v="886.22"/>
    <n v="886.22"/>
    <n v="0.23599999999999999"/>
    <n v="0.23599999999999999"/>
    <n v="36"/>
    <s v="OK"/>
    <d v="2024-09-03T00:00:00"/>
    <n v="22"/>
    <n v="24374.594880000001"/>
    <n v="28720.799999999999"/>
    <n v="-4346.2051199999987"/>
    <n v="-0.17830881462428633"/>
    <x v="1"/>
    <s v="Laptops"/>
    <s v="Laptops"/>
    <x v="0"/>
    <x v="1"/>
  </r>
  <r>
    <x v="532"/>
    <x v="398"/>
    <d v="2024-08-09T00:00:00"/>
    <x v="1"/>
    <x v="1"/>
    <x v="5"/>
    <s v="Consumer"/>
    <x v="4"/>
    <x v="10"/>
    <x v="1"/>
    <x v="531"/>
    <n v="643.21"/>
    <n v="1112.81"/>
    <n v="1112.81"/>
    <n v="0.14099999999999999"/>
    <n v="0.14099999999999999"/>
    <n v="4"/>
    <s v="OK"/>
    <d v="2024-08-09T00:00:00"/>
    <n v="6"/>
    <n v="3823.6151599999998"/>
    <n v="2572.84"/>
    <n v="1250.7751599999997"/>
    <n v="0.32711847496702562"/>
    <x v="1"/>
    <s v="Laptops"/>
    <s v="Laptops"/>
    <x v="1"/>
    <x v="0"/>
  </r>
  <r>
    <x v="533"/>
    <x v="397"/>
    <d v="2024-08-15T00:00:00"/>
    <x v="0"/>
    <x v="9"/>
    <x v="30"/>
    <s v="Corporate"/>
    <x v="4"/>
    <x v="9"/>
    <x v="3"/>
    <x v="532"/>
    <n v="850.7"/>
    <n v="1118.56"/>
    <n v="1118.56"/>
    <n v="0.18"/>
    <n v="0.18"/>
    <n v="19"/>
    <s v="OK"/>
    <d v="2024-08-15T00:00:00"/>
    <n v="3"/>
    <n v="17427.164800000002"/>
    <n v="16163.300000000001"/>
    <n v="1263.8648000000012"/>
    <n v="7.2522685962090688E-2"/>
    <x v="1"/>
    <s v="Printers"/>
    <s v="Printers"/>
    <x v="1"/>
    <x v="0"/>
  </r>
  <r>
    <x v="534"/>
    <x v="394"/>
    <d v="2024-09-02T00:00:00"/>
    <x v="0"/>
    <x v="3"/>
    <x v="4"/>
    <s v="Consumer"/>
    <x v="2"/>
    <x v="6"/>
    <x v="3"/>
    <x v="533"/>
    <n v="1337.01"/>
    <n v="1269.78"/>
    <n v="1269.78"/>
    <n v="0.16"/>
    <n v="0.16"/>
    <n v="7"/>
    <s v="OK"/>
    <d v="2024-09-02T00:00:00"/>
    <n v="14"/>
    <n v="7466.3063999999986"/>
    <n v="9359.07"/>
    <n v="-1892.7636000000011"/>
    <n v="-0.25350735672996244"/>
    <x v="1"/>
    <s v="Printers"/>
    <s v="Printers"/>
    <x v="1"/>
    <x v="1"/>
  </r>
  <r>
    <x v="535"/>
    <x v="399"/>
    <d v="2024-09-19T00:00:00"/>
    <x v="2"/>
    <x v="11"/>
    <x v="36"/>
    <s v="Small Business"/>
    <x v="0"/>
    <x v="9"/>
    <x v="5"/>
    <x v="534"/>
    <n v="1024.01"/>
    <n v="1580.97"/>
    <n v="1580.97"/>
    <n v="3.6999999999999998E-2"/>
    <n v="3.6999999999999998E-2"/>
    <n v="27"/>
    <s v="OK"/>
    <d v="2024-09-19T00:00:00"/>
    <n v="23"/>
    <n v="41106.800970000004"/>
    <n v="27648.27"/>
    <n v="13458.530970000003"/>
    <n v="0.3274039976942531"/>
    <x v="1"/>
    <s v="Monitors"/>
    <s v="Monitors"/>
    <x v="1"/>
    <x v="1"/>
  </r>
  <r>
    <x v="536"/>
    <x v="400"/>
    <d v="2024-09-12T00:00:00"/>
    <x v="3"/>
    <x v="4"/>
    <x v="19"/>
    <s v="Consumer"/>
    <x v="4"/>
    <x v="6"/>
    <x v="4"/>
    <x v="535"/>
    <n v="1154.03"/>
    <n v="1590.36"/>
    <n v="1590.36"/>
    <n v="0.314"/>
    <n v="0.3"/>
    <n v="18"/>
    <s v="OK"/>
    <d v="2024-09-12T00:00:00"/>
    <n v="25"/>
    <n v="20038.536"/>
    <n v="20772.54"/>
    <n v="-734.00400000000081"/>
    <n v="-3.6629622044245191E-2"/>
    <x v="1"/>
    <s v="Phones"/>
    <s v="Phones"/>
    <x v="0"/>
    <x v="1"/>
  </r>
  <r>
    <x v="537"/>
    <x v="399"/>
    <d v="2024-09-18T00:00:00"/>
    <x v="3"/>
    <x v="4"/>
    <x v="6"/>
    <s v="Consumer"/>
    <x v="0"/>
    <x v="12"/>
    <x v="6"/>
    <x v="536"/>
    <n v="896.75"/>
    <n v="1651.14"/>
    <n v="1651.14"/>
    <n v="2.5000000000000001E-2"/>
    <n v="2.5000000000000001E-2"/>
    <n v="15"/>
    <s v="OK"/>
    <d v="2024-09-18T00:00:00"/>
    <n v="22"/>
    <n v="24147.922500000001"/>
    <n v="13451.25"/>
    <n v="10696.672500000001"/>
    <n v="0.44296450346815552"/>
    <x v="1"/>
    <s v="Components"/>
    <s v="Components"/>
    <x v="1"/>
    <x v="1"/>
  </r>
  <r>
    <x v="538"/>
    <x v="401"/>
    <d v="2024-08-20T00:00:00"/>
    <x v="3"/>
    <x v="5"/>
    <x v="9"/>
    <s v="Small Business"/>
    <x v="1"/>
    <x v="10"/>
    <x v="2"/>
    <x v="537"/>
    <n v="1233.3599999999999"/>
    <n v="2120.4"/>
    <n v="2120.4"/>
    <n v="0.17899999999999999"/>
    <n v="0.17899999999999999"/>
    <n v="20"/>
    <s v="OK"/>
    <d v="2024-08-20T00:00:00"/>
    <n v="12"/>
    <n v="34816.968000000001"/>
    <n v="24667.199999999997"/>
    <n v="10149.768000000004"/>
    <n v="0.29151785991244278"/>
    <x v="1"/>
    <s v="Networking"/>
    <s v="Networking"/>
    <x v="1"/>
    <x v="1"/>
  </r>
  <r>
    <x v="539"/>
    <x v="402"/>
    <d v="2024-09-04T00:00:00"/>
    <x v="2"/>
    <x v="2"/>
    <x v="26"/>
    <s v="Non-Profit"/>
    <x v="3"/>
    <x v="2"/>
    <x v="4"/>
    <x v="538"/>
    <n v="1138.8"/>
    <n v="2250.81"/>
    <n v="2250.81"/>
    <n v="0.123"/>
    <n v="0.123"/>
    <n v="12"/>
    <s v="OK"/>
    <d v="2024-09-04T00:00:00"/>
    <n v="21"/>
    <n v="23687.524440000001"/>
    <n v="13665.599999999999"/>
    <n v="10021.924440000003"/>
    <n v="0.42308872188756258"/>
    <x v="1"/>
    <s v="Phones"/>
    <s v="Phones"/>
    <x v="1"/>
    <x v="1"/>
  </r>
  <r>
    <x v="540"/>
    <x v="403"/>
    <d v="2024-08-26T00:00:00"/>
    <x v="0"/>
    <x v="9"/>
    <x v="30"/>
    <s v="Corporate"/>
    <x v="2"/>
    <x v="0"/>
    <x v="1"/>
    <x v="35"/>
    <n v="1291.7"/>
    <n v="2657.84"/>
    <n v="2657.84"/>
    <n v="8.6999999999999994E-2"/>
    <n v="8.6999999999999994E-2"/>
    <n v="21"/>
    <s v="OK"/>
    <d v="2024-08-26T00:00:00"/>
    <n v="10"/>
    <n v="50958.766320000002"/>
    <n v="27125.7"/>
    <n v="23833.066320000002"/>
    <n v="0.46769315745083367"/>
    <x v="1"/>
    <s v="Laptops"/>
    <s v="Laptops"/>
    <x v="1"/>
    <x v="1"/>
  </r>
  <r>
    <x v="541"/>
    <x v="404"/>
    <d v="2024-09-26T00:00:00"/>
    <x v="3"/>
    <x v="5"/>
    <x v="8"/>
    <s v="Education"/>
    <x v="3"/>
    <x v="13"/>
    <x v="4"/>
    <x v="539"/>
    <n v="1189.03"/>
    <n v="2949.62"/>
    <n v="2949.62"/>
    <n v="0.125"/>
    <n v="0.125"/>
    <n v="13"/>
    <s v="OK"/>
    <d v="2024-09-26T00:00:00"/>
    <n v="26"/>
    <n v="33551.927499999998"/>
    <n v="15457.39"/>
    <n v="18094.537499999999"/>
    <n v="0.53929949330034765"/>
    <x v="1"/>
    <s v="Phones"/>
    <s v="Phones"/>
    <x v="1"/>
    <x v="1"/>
  </r>
  <r>
    <x v="542"/>
    <x v="405"/>
    <d v="2024-08-21T00:00:00"/>
    <x v="1"/>
    <x v="6"/>
    <x v="38"/>
    <s v="Education"/>
    <x v="1"/>
    <x v="11"/>
    <x v="6"/>
    <x v="540"/>
    <n v="1432.52"/>
    <n v="3036.87"/>
    <n v="3036.87"/>
    <n v="0"/>
    <n v="0"/>
    <n v="9"/>
    <s v="Correct"/>
    <d v="2024-08-30T00:00:00"/>
    <n v="7"/>
    <n v="27331.829999999998"/>
    <n v="12892.68"/>
    <n v="14439.149999999998"/>
    <n v="0.52829064135112791"/>
    <x v="1"/>
    <s v="Components"/>
    <s v="Components"/>
    <x v="1"/>
    <x v="0"/>
  </r>
  <r>
    <x v="543"/>
    <x v="406"/>
    <d v="2024-09-25T00:00:00"/>
    <x v="0"/>
    <x v="0"/>
    <x v="0"/>
    <s v="Non-Profit"/>
    <x v="3"/>
    <x v="14"/>
    <x v="0"/>
    <x v="541"/>
    <n v="1394.65"/>
    <n v="3144.1"/>
    <n v="3144.1"/>
    <n v="0.13400000000000001"/>
    <n v="0.13400000000000001"/>
    <n v="13"/>
    <s v="OK"/>
    <d v="2024-09-25T00:00:00"/>
    <n v="28"/>
    <n v="35396.277799999996"/>
    <n v="18130.45"/>
    <n v="17265.827799999995"/>
    <n v="0.4877865378263021"/>
    <x v="1"/>
    <s v="Accessories"/>
    <s v="Accessories"/>
    <x v="1"/>
    <x v="1"/>
  </r>
  <r>
    <x v="544"/>
    <x v="407"/>
    <d v="2023-09-01T00:00:00"/>
    <x v="2"/>
    <x v="11"/>
    <x v="35"/>
    <s v="Corporate"/>
    <x v="0"/>
    <x v="3"/>
    <x v="2"/>
    <x v="542"/>
    <n v="44.42"/>
    <n v="41.9"/>
    <n v="41.9"/>
    <n v="0.14399999999999999"/>
    <n v="0.14399999999999999"/>
    <n v="6"/>
    <s v="OK"/>
    <d v="2023-09-01T00:00:00"/>
    <n v="2"/>
    <n v="215.19839999999996"/>
    <n v="266.52"/>
    <n v="-51.321600000000018"/>
    <n v="-0.23848504449847224"/>
    <x v="2"/>
    <s v="Networking"/>
    <s v="Networking"/>
    <x v="1"/>
    <x v="0"/>
  </r>
  <r>
    <x v="545"/>
    <x v="408"/>
    <d v="2023-08-25T00:00:00"/>
    <x v="1"/>
    <x v="1"/>
    <x v="2"/>
    <s v="Small Business"/>
    <x v="1"/>
    <x v="3"/>
    <x v="4"/>
    <x v="543"/>
    <n v="91.85"/>
    <n v="111.29"/>
    <n v="111.29"/>
    <n v="0"/>
    <n v="0"/>
    <n v="6"/>
    <s v="OK"/>
    <d v="2023-08-25T00:00:00"/>
    <n v="10"/>
    <n v="667.74"/>
    <n v="551.09999999999991"/>
    <n v="116.6400000000001"/>
    <n v="0.17467876718483258"/>
    <x v="2"/>
    <s v="Phones"/>
    <s v="Phones"/>
    <x v="1"/>
    <x v="1"/>
  </r>
  <r>
    <x v="546"/>
    <x v="409"/>
    <d v="2023-09-04T00:00:00"/>
    <x v="0"/>
    <x v="3"/>
    <x v="39"/>
    <s v="Education"/>
    <x v="2"/>
    <x v="7"/>
    <x v="6"/>
    <x v="544"/>
    <n v="178.19"/>
    <n v="284.43"/>
    <n v="284.43"/>
    <n v="8.8999999999999996E-2"/>
    <n v="8.8999999999999996E-2"/>
    <n v="8"/>
    <s v="OK"/>
    <d v="2023-09-04T00:00:00"/>
    <n v="14"/>
    <n v="2072.9258400000003"/>
    <n v="1425.52"/>
    <n v="647.40584000000035"/>
    <n v="0.31231500302972742"/>
    <x v="2"/>
    <s v="Components"/>
    <s v="Components"/>
    <x v="1"/>
    <x v="1"/>
  </r>
  <r>
    <x v="547"/>
    <x v="410"/>
    <d v="2023-08-14T00:00:00"/>
    <x v="0"/>
    <x v="0"/>
    <x v="1"/>
    <s v="Corporate"/>
    <x v="0"/>
    <x v="2"/>
    <x v="0"/>
    <x v="545"/>
    <n v="232.73"/>
    <n v="334.19"/>
    <n v="334.19"/>
    <n v="0.13400000000000001"/>
    <n v="0.13400000000000001"/>
    <n v="25"/>
    <s v="OK"/>
    <d v="2023-08-14T00:00:00"/>
    <n v="11"/>
    <n v="7235.2134999999998"/>
    <n v="5818.25"/>
    <n v="1416.9634999999998"/>
    <n v="0.1958426658729559"/>
    <x v="2"/>
    <s v="Accessories"/>
    <s v="Accessories"/>
    <x v="1"/>
    <x v="1"/>
  </r>
  <r>
    <x v="548"/>
    <x v="411"/>
    <d v="2023-08-19T00:00:00"/>
    <x v="0"/>
    <x v="3"/>
    <x v="18"/>
    <s v="Corporate"/>
    <x v="3"/>
    <x v="7"/>
    <x v="2"/>
    <x v="546"/>
    <n v="175.38"/>
    <n v="347.9"/>
    <n v="347.9"/>
    <n v="7.1999999999999995E-2"/>
    <n v="7.1999999999999995E-2"/>
    <n v="43"/>
    <s v="OK"/>
    <d v="2023-08-19T00:00:00"/>
    <n v="17"/>
    <n v="13882.6016"/>
    <n v="7541.34"/>
    <n v="6341.2615999999998"/>
    <n v="0.45677761148169804"/>
    <x v="2"/>
    <s v="Networking"/>
    <s v="Networking"/>
    <x v="1"/>
    <x v="1"/>
  </r>
  <r>
    <x v="549"/>
    <x v="412"/>
    <d v="2023-09-10T00:00:00"/>
    <x v="1"/>
    <x v="6"/>
    <x v="15"/>
    <s v="Non-Profit"/>
    <x v="0"/>
    <x v="3"/>
    <x v="6"/>
    <x v="547"/>
    <n v="241.14"/>
    <n v="496.52"/>
    <n v="496.52"/>
    <n v="9.2999999999999999E-2"/>
    <n v="9.2999999999999999E-2"/>
    <n v="10"/>
    <s v="OK"/>
    <d v="2023-09-10T00:00:00"/>
    <n v="15"/>
    <n v="4503.4363999999996"/>
    <n v="2411.3999999999996"/>
    <n v="2092.0364"/>
    <n v="0.46454223268257994"/>
    <x v="2"/>
    <s v="Components"/>
    <s v="Components"/>
    <x v="1"/>
    <x v="1"/>
  </r>
  <r>
    <x v="550"/>
    <x v="413"/>
    <d v="2023-09-22T00:00:00"/>
    <x v="2"/>
    <x v="2"/>
    <x v="3"/>
    <s v="Consumer"/>
    <x v="2"/>
    <x v="8"/>
    <x v="0"/>
    <x v="548"/>
    <n v="209.81"/>
    <n v="523"/>
    <n v="523"/>
    <n v="5.8999999999999997E-2"/>
    <n v="5.8999999999999997E-2"/>
    <n v="15"/>
    <s v="OK"/>
    <d v="2023-09-22T00:00:00"/>
    <n v="30"/>
    <n v="7382.1450000000004"/>
    <n v="3147.15"/>
    <n v="4234.9950000000008"/>
    <n v="0.57368082041195356"/>
    <x v="2"/>
    <s v="Accessories"/>
    <s v="Accessories"/>
    <x v="1"/>
    <x v="1"/>
  </r>
  <r>
    <x v="551"/>
    <x v="410"/>
    <d v="2023-08-30T00:00:00"/>
    <x v="3"/>
    <x v="7"/>
    <x v="20"/>
    <s v="Consumer"/>
    <x v="2"/>
    <x v="3"/>
    <x v="5"/>
    <x v="549"/>
    <n v="226.04"/>
    <n v="545.72"/>
    <n v="545.72"/>
    <n v="0.151"/>
    <n v="0.151"/>
    <n v="11"/>
    <s v="OK"/>
    <d v="2023-08-30T00:00:00"/>
    <n v="27"/>
    <n v="5096.4790800000001"/>
    <n v="2486.44"/>
    <n v="2610.03908"/>
    <n v="0.51212592831834014"/>
    <x v="2"/>
    <s v="Monitors"/>
    <s v="Monitors"/>
    <x v="1"/>
    <x v="1"/>
  </r>
  <r>
    <x v="552"/>
    <x v="414"/>
    <d v="2023-09-07T00:00:00"/>
    <x v="1"/>
    <x v="6"/>
    <x v="38"/>
    <s v="Enterprise"/>
    <x v="1"/>
    <x v="9"/>
    <x v="5"/>
    <x v="550"/>
    <n v="494.61"/>
    <n v="605.23"/>
    <n v="605.23"/>
    <n v="0.20399999999999999"/>
    <n v="0.20399999999999999"/>
    <n v="18"/>
    <s v="OK"/>
    <d v="2023-09-07T00:00:00"/>
    <n v="19"/>
    <n v="8671.7354400000004"/>
    <n v="8902.98"/>
    <n v="-231.24455999999918"/>
    <n v="-2.6666468505639647E-2"/>
    <x v="2"/>
    <s v="Monitors"/>
    <s v="Monitors"/>
    <x v="0"/>
    <x v="1"/>
  </r>
  <r>
    <x v="553"/>
    <x v="415"/>
    <d v="2023-09-06T00:00:00"/>
    <x v="3"/>
    <x v="7"/>
    <x v="20"/>
    <s v="Small Business"/>
    <x v="1"/>
    <x v="12"/>
    <x v="6"/>
    <x v="551"/>
    <n v="950.77"/>
    <n v="694.78"/>
    <n v="694.78"/>
    <n v="8.4000000000000005E-2"/>
    <n v="8.4000000000000005E-2"/>
    <n v="14"/>
    <s v="OK"/>
    <d v="2023-09-06T00:00:00"/>
    <n v="25"/>
    <n v="8909.8587200000002"/>
    <n v="13310.779999999999"/>
    <n v="-4400.9212799999987"/>
    <n v="-0.49393839097821279"/>
    <x v="2"/>
    <s v="Components"/>
    <s v="Components"/>
    <x v="1"/>
    <x v="1"/>
  </r>
  <r>
    <x v="554"/>
    <x v="416"/>
    <d v="2023-08-22T00:00:00"/>
    <x v="2"/>
    <x v="2"/>
    <x v="37"/>
    <s v="Non-Profit"/>
    <x v="0"/>
    <x v="3"/>
    <x v="5"/>
    <x v="552"/>
    <n v="446.69"/>
    <n v="967.25"/>
    <n v="967.25"/>
    <n v="9.4E-2"/>
    <n v="9.4E-2"/>
    <n v="10"/>
    <s v="OK"/>
    <d v="2023-08-22T00:00:00"/>
    <n v="14"/>
    <n v="8763.2849999999999"/>
    <n v="4466.8999999999996"/>
    <n v="4296.3850000000002"/>
    <n v="0.49027105702941309"/>
    <x v="2"/>
    <s v="Monitors"/>
    <s v="Monitors"/>
    <x v="1"/>
    <x v="1"/>
  </r>
  <r>
    <x v="555"/>
    <x v="408"/>
    <d v="2023-09-07T00:00:00"/>
    <x v="0"/>
    <x v="9"/>
    <x v="21"/>
    <s v="Enterprise"/>
    <x v="3"/>
    <x v="1"/>
    <x v="4"/>
    <x v="553"/>
    <n v="590.33000000000004"/>
    <n v="973.04"/>
    <n v="973.04"/>
    <n v="0"/>
    <n v="0"/>
    <n v="26"/>
    <s v="OK"/>
    <d v="2023-09-07T00:00:00"/>
    <n v="23"/>
    <n v="25299.040000000001"/>
    <n v="15348.580000000002"/>
    <n v="9950.4599999999991"/>
    <n v="0.39331373838691108"/>
    <x v="2"/>
    <s v="Phones"/>
    <s v="Phones"/>
    <x v="1"/>
    <x v="1"/>
  </r>
  <r>
    <x v="556"/>
    <x v="417"/>
    <d v="2023-08-24T00:00:00"/>
    <x v="0"/>
    <x v="0"/>
    <x v="1"/>
    <s v="Non-Profit"/>
    <x v="0"/>
    <x v="14"/>
    <x v="2"/>
    <x v="554"/>
    <n v="582.88"/>
    <n v="1044.1400000000001"/>
    <n v="1044.1400000000001"/>
    <n v="0.216"/>
    <n v="0.216"/>
    <n v="10"/>
    <s v="OK"/>
    <d v="2023-08-24T00:00:00"/>
    <n v="20"/>
    <n v="8186.057600000001"/>
    <n v="5828.8"/>
    <n v="2357.2576000000008"/>
    <n v="0.28796005539956138"/>
    <x v="2"/>
    <s v="Networking"/>
    <s v="Networking"/>
    <x v="0"/>
    <x v="1"/>
  </r>
  <r>
    <x v="557"/>
    <x v="418"/>
    <d v="2023-09-03T00:00:00"/>
    <x v="1"/>
    <x v="6"/>
    <x v="10"/>
    <s v="Enterprise"/>
    <x v="1"/>
    <x v="5"/>
    <x v="4"/>
    <x v="555"/>
    <n v="676.37"/>
    <n v="1276.67"/>
    <n v="1276.67"/>
    <n v="6.6000000000000003E-2"/>
    <n v="6.6000000000000003E-2"/>
    <n v="10"/>
    <s v="OK"/>
    <d v="2023-09-03T00:00:00"/>
    <n v="17"/>
    <n v="11924.0978"/>
    <n v="6763.7"/>
    <n v="5160.3977999999997"/>
    <n v="0.4327705027712872"/>
    <x v="2"/>
    <s v="Phones"/>
    <s v="Phones"/>
    <x v="1"/>
    <x v="1"/>
  </r>
  <r>
    <x v="558"/>
    <x v="414"/>
    <d v="2023-08-23T00:00:00"/>
    <x v="1"/>
    <x v="8"/>
    <x v="28"/>
    <s v="Small Business"/>
    <x v="3"/>
    <x v="2"/>
    <x v="5"/>
    <x v="556"/>
    <n v="790.63"/>
    <n v="1382.31"/>
    <n v="1382.31"/>
    <n v="0.10100000000000001"/>
    <n v="0.10100000000000001"/>
    <n v="7"/>
    <s v="OK"/>
    <d v="2023-08-23T00:00:00"/>
    <n v="4"/>
    <n v="8698.8768300000011"/>
    <n v="5534.41"/>
    <n v="3164.4668300000012"/>
    <n v="0.36377878338116448"/>
    <x v="2"/>
    <s v="Monitors"/>
    <s v="Monitors"/>
    <x v="1"/>
    <x v="0"/>
  </r>
  <r>
    <x v="559"/>
    <x v="414"/>
    <d v="2023-09-12T00:00:00"/>
    <x v="0"/>
    <x v="3"/>
    <x v="18"/>
    <s v="Enterprise"/>
    <x v="1"/>
    <x v="13"/>
    <x v="3"/>
    <x v="557"/>
    <n v="1183.95"/>
    <n v="1503.53"/>
    <n v="1503.53"/>
    <n v="0.24099999999999999"/>
    <n v="0.24099999999999999"/>
    <n v="16"/>
    <s v="OK"/>
    <d v="2023-09-12T00:00:00"/>
    <n v="24"/>
    <n v="18258.868320000001"/>
    <n v="18943.2"/>
    <n v="-684.33167999999932"/>
    <n v="-3.7479413729623705E-2"/>
    <x v="2"/>
    <s v="Printers"/>
    <s v="Printers"/>
    <x v="0"/>
    <x v="1"/>
  </r>
  <r>
    <x v="560"/>
    <x v="419"/>
    <d v="2023-09-19T00:00:00"/>
    <x v="2"/>
    <x v="10"/>
    <x v="24"/>
    <s v="Small Business"/>
    <x v="0"/>
    <x v="12"/>
    <x v="3"/>
    <x v="558"/>
    <n v="784.46"/>
    <n v="1843.51"/>
    <n v="1843.51"/>
    <n v="0.13800000000000001"/>
    <n v="0.13800000000000001"/>
    <n v="23"/>
    <s v="OK"/>
    <d v="2023-09-19T00:00:00"/>
    <n v="21"/>
    <n v="36549.429260000004"/>
    <n v="18042.580000000002"/>
    <n v="18506.849260000003"/>
    <n v="0.50635125184441798"/>
    <x v="2"/>
    <s v="Printers"/>
    <s v="Printers"/>
    <x v="1"/>
    <x v="1"/>
  </r>
  <r>
    <x v="561"/>
    <x v="420"/>
    <d v="2023-09-11T00:00:00"/>
    <x v="2"/>
    <x v="2"/>
    <x v="3"/>
    <s v="Consumer"/>
    <x v="4"/>
    <x v="3"/>
    <x v="3"/>
    <x v="559"/>
    <n v="943.79"/>
    <n v="1913.76"/>
    <n v="1913.76"/>
    <n v="9.0999999999999998E-2"/>
    <n v="9.0999999999999998E-2"/>
    <n v="9"/>
    <s v="OK"/>
    <d v="2023-09-11T00:00:00"/>
    <n v="15"/>
    <n v="15656.47056"/>
    <n v="8494.11"/>
    <n v="7162.3605599999992"/>
    <n v="0.45746967891338081"/>
    <x v="2"/>
    <s v="Printers"/>
    <s v="Printers"/>
    <x v="1"/>
    <x v="1"/>
  </r>
  <r>
    <x v="562"/>
    <x v="421"/>
    <d v="2023-08-15T00:00:00"/>
    <x v="0"/>
    <x v="0"/>
    <x v="17"/>
    <s v="Education"/>
    <x v="0"/>
    <x v="15"/>
    <x v="2"/>
    <x v="560"/>
    <n v="1307.52"/>
    <n v="1921.65"/>
    <n v="1921.65"/>
    <n v="0.123"/>
    <n v="0.123"/>
    <n v="13"/>
    <s v="OK"/>
    <d v="2023-08-15T00:00:00"/>
    <n v="5"/>
    <n v="21908.731650000002"/>
    <n v="16997.759999999998"/>
    <n v="4910.9716500000031"/>
    <n v="0.22415590863289445"/>
    <x v="2"/>
    <s v="Networking"/>
    <s v="Networking"/>
    <x v="1"/>
    <x v="0"/>
  </r>
  <r>
    <x v="563"/>
    <x v="410"/>
    <d v="2023-08-02T00:00:00"/>
    <x v="3"/>
    <x v="7"/>
    <x v="20"/>
    <s v="Non-Profit"/>
    <x v="0"/>
    <x v="2"/>
    <x v="2"/>
    <x v="561"/>
    <n v="1021.97"/>
    <n v="2296.25"/>
    <n v="2296.25"/>
    <n v="0.161"/>
    <n v="0.161"/>
    <n v="26"/>
    <s v="Correct"/>
    <d v="2023-08-10T00:00:00"/>
    <n v="7"/>
    <n v="50090.397499999999"/>
    <n v="26571.22"/>
    <n v="23519.177499999998"/>
    <n v="0.46953465482081669"/>
    <x v="2"/>
    <s v="Networking"/>
    <s v="Networking"/>
    <x v="1"/>
    <x v="0"/>
  </r>
  <r>
    <x v="564"/>
    <x v="407"/>
    <d v="2023-09-03T00:00:00"/>
    <x v="3"/>
    <x v="4"/>
    <x v="6"/>
    <s v="Small Business"/>
    <x v="4"/>
    <x v="0"/>
    <x v="0"/>
    <x v="562"/>
    <n v="1082.25"/>
    <n v="2433.34"/>
    <n v="2433.34"/>
    <n v="0.27"/>
    <n v="0.27"/>
    <n v="4"/>
    <s v="OK"/>
    <d v="2023-09-03T00:00:00"/>
    <n v="4"/>
    <n v="7105.3528000000006"/>
    <n v="4329"/>
    <n v="2776.3528000000006"/>
    <n v="0.3907410199251472"/>
    <x v="2"/>
    <s v="Accessories"/>
    <s v="Accessories"/>
    <x v="0"/>
    <x v="0"/>
  </r>
  <r>
    <x v="565"/>
    <x v="422"/>
    <d v="2023-09-16T00:00:00"/>
    <x v="1"/>
    <x v="8"/>
    <x v="28"/>
    <s v="Corporate"/>
    <x v="4"/>
    <x v="0"/>
    <x v="4"/>
    <x v="563"/>
    <n v="1196.83"/>
    <n v="2513.5100000000002"/>
    <n v="2513.5100000000002"/>
    <n v="8.3000000000000004E-2"/>
    <n v="8.3000000000000004E-2"/>
    <n v="7"/>
    <s v="OK"/>
    <d v="2023-09-16T00:00:00"/>
    <n v="22"/>
    <n v="16134.22069"/>
    <n v="8377.81"/>
    <n v="7756.4106900000006"/>
    <n v="0.48074281609445374"/>
    <x v="2"/>
    <s v="Phones"/>
    <s v="Phones"/>
    <x v="1"/>
    <x v="1"/>
  </r>
  <r>
    <x v="566"/>
    <x v="419"/>
    <d v="2023-09-13T00:00:00"/>
    <x v="0"/>
    <x v="3"/>
    <x v="18"/>
    <s v="Small Business"/>
    <x v="4"/>
    <x v="8"/>
    <x v="3"/>
    <x v="564"/>
    <n v="1287.6400000000001"/>
    <n v="2717.15"/>
    <n v="2717.15"/>
    <n v="3.2000000000000001E-2"/>
    <n v="3.2000000000000001E-2"/>
    <n v="7"/>
    <s v="OK"/>
    <d v="2023-09-13T00:00:00"/>
    <n v="15"/>
    <n v="18411.4084"/>
    <n v="9013.4800000000014"/>
    <n v="9397.9283999999989"/>
    <n v="0.51044049405802105"/>
    <x v="2"/>
    <s v="Printers"/>
    <s v="Printers"/>
    <x v="1"/>
    <x v="1"/>
  </r>
  <r>
    <x v="567"/>
    <x v="423"/>
    <d v="2023-09-20T00:00:00"/>
    <x v="1"/>
    <x v="6"/>
    <x v="10"/>
    <s v="Small Business"/>
    <x v="4"/>
    <x v="4"/>
    <x v="3"/>
    <x v="565"/>
    <n v="1399.64"/>
    <n v="3342.11"/>
    <n v="3342.11"/>
    <n v="0"/>
    <n v="0"/>
    <n v="10"/>
    <s v="OK"/>
    <d v="2023-09-20T00:00:00"/>
    <n v="27"/>
    <n v="33421.1"/>
    <n v="13996.400000000001"/>
    <n v="19424.699999999997"/>
    <n v="0.58121067229983447"/>
    <x v="2"/>
    <s v="Printers"/>
    <s v="Printers"/>
    <x v="1"/>
    <x v="1"/>
  </r>
  <r>
    <x v="568"/>
    <x v="424"/>
    <d v="2025-04-13T00:00:00"/>
    <x v="2"/>
    <x v="11"/>
    <x v="35"/>
    <s v="Consumer"/>
    <x v="4"/>
    <x v="7"/>
    <x v="4"/>
    <x v="566"/>
    <n v="7.02"/>
    <n v="6.28"/>
    <n v="6.28"/>
    <n v="0.13400000000000001"/>
    <n v="0.13400000000000001"/>
    <n v="14"/>
    <s v="OK"/>
    <d v="2025-04-13T00:00:00"/>
    <n v="9"/>
    <n v="76.138720000000006"/>
    <n v="98.28"/>
    <n v="-22.141279999999995"/>
    <n v="-0.29080184169106066"/>
    <x v="5"/>
    <s v="Phones"/>
    <s v="Phones"/>
    <x v="1"/>
    <x v="1"/>
  </r>
  <r>
    <x v="569"/>
    <x v="425"/>
    <d v="2025-05-02T00:00:00"/>
    <x v="2"/>
    <x v="11"/>
    <x v="36"/>
    <s v="Corporate"/>
    <x v="4"/>
    <x v="6"/>
    <x v="5"/>
    <x v="567"/>
    <n v="20.149999999999999"/>
    <n v="39.74"/>
    <n v="39.74"/>
    <n v="0.151"/>
    <n v="0.151"/>
    <n v="18"/>
    <s v="OK"/>
    <d v="2025-05-02T00:00:00"/>
    <n v="10"/>
    <n v="607.30668000000003"/>
    <n v="362.7"/>
    <n v="244.60668000000004"/>
    <n v="0.4027729120318585"/>
    <x v="5"/>
    <s v="Monitors"/>
    <s v="Monitors"/>
    <x v="1"/>
    <x v="1"/>
  </r>
  <r>
    <x v="570"/>
    <x v="426"/>
    <d v="2025-04-22T00:00:00"/>
    <x v="0"/>
    <x v="9"/>
    <x v="32"/>
    <s v="Non-Profit"/>
    <x v="2"/>
    <x v="9"/>
    <x v="5"/>
    <x v="568"/>
    <n v="23.24"/>
    <n v="44.57"/>
    <n v="44.57"/>
    <n v="0.215"/>
    <n v="0.215"/>
    <n v="15"/>
    <s v="Correct"/>
    <d v="2025-04-30T00:00:00"/>
    <n v="7"/>
    <n v="524.81174999999996"/>
    <n v="348.59999999999997"/>
    <n v="176.21174999999999"/>
    <n v="0.33576182316802167"/>
    <x v="5"/>
    <s v="Monitors"/>
    <s v="Monitors"/>
    <x v="0"/>
    <x v="0"/>
  </r>
  <r>
    <x v="571"/>
    <x v="425"/>
    <d v="2025-05-12T00:00:00"/>
    <x v="2"/>
    <x v="10"/>
    <x v="24"/>
    <s v="Enterprise"/>
    <x v="4"/>
    <x v="1"/>
    <x v="5"/>
    <x v="569"/>
    <n v="59.51"/>
    <n v="67.040000000000006"/>
    <n v="67.040000000000006"/>
    <n v="0.114"/>
    <n v="0.114"/>
    <n v="9"/>
    <s v="OK"/>
    <d v="2025-05-12T00:00:00"/>
    <n v="20"/>
    <n v="534.57695999999999"/>
    <n v="535.59"/>
    <n v="-1.0130400000000463"/>
    <n v="-1.8950311663264469E-3"/>
    <x v="5"/>
    <s v="Monitors"/>
    <s v="Monitors"/>
    <x v="1"/>
    <x v="1"/>
  </r>
  <r>
    <x v="572"/>
    <x v="427"/>
    <d v="2025-04-19T00:00:00"/>
    <x v="1"/>
    <x v="6"/>
    <x v="10"/>
    <s v="Enterprise"/>
    <x v="5"/>
    <x v="15"/>
    <x v="2"/>
    <x v="570"/>
    <n v="113.74"/>
    <n v="165.7"/>
    <n v="165.7"/>
    <n v="0.124"/>
    <n v="0.124"/>
    <n v="13"/>
    <s v="OK"/>
    <d v="2025-04-19T00:00:00"/>
    <n v="9"/>
    <n v="1886.9915999999998"/>
    <n v="1478.62"/>
    <n v="408.37159999999994"/>
    <n v="0.21641410592394794"/>
    <x v="5"/>
    <s v="Networking"/>
    <s v="Networking"/>
    <x v="1"/>
    <x v="1"/>
  </r>
  <r>
    <x v="573"/>
    <x v="428"/>
    <d v="2025-04-12T00:00:00"/>
    <x v="2"/>
    <x v="10"/>
    <x v="24"/>
    <s v="Small Business"/>
    <x v="2"/>
    <x v="10"/>
    <x v="5"/>
    <x v="571"/>
    <n v="86.68"/>
    <n v="213.32"/>
    <n v="213.32"/>
    <n v="3.7999999999999999E-2"/>
    <n v="3.7999999999999999E-2"/>
    <n v="8"/>
    <s v="OK"/>
    <d v="2025-04-12T00:00:00"/>
    <n v="3"/>
    <n v="1641.7107199999998"/>
    <n v="693.44"/>
    <n v="948.27071999999976"/>
    <n v="0.57761133459614611"/>
    <x v="5"/>
    <s v="Monitors"/>
    <s v="Monitors"/>
    <x v="1"/>
    <x v="0"/>
  </r>
  <r>
    <x v="574"/>
    <x v="429"/>
    <d v="2025-04-27T00:00:00"/>
    <x v="0"/>
    <x v="9"/>
    <x v="32"/>
    <s v="Corporate"/>
    <x v="0"/>
    <x v="13"/>
    <x v="5"/>
    <x v="572"/>
    <n v="156.55000000000001"/>
    <n v="227.45"/>
    <n v="227.45"/>
    <n v="1.4E-2"/>
    <n v="1.4E-2"/>
    <n v="13"/>
    <s v="OK"/>
    <d v="2025-04-27T00:00:00"/>
    <n v="26"/>
    <n v="2915.4540999999999"/>
    <n v="2035.15"/>
    <n v="880.30409999999983"/>
    <n v="0.3019440779396938"/>
    <x v="5"/>
    <s v="Monitors"/>
    <s v="Monitors"/>
    <x v="1"/>
    <x v="1"/>
  </r>
  <r>
    <x v="575"/>
    <x v="424"/>
    <d v="2025-04-10T00:00:00"/>
    <x v="2"/>
    <x v="2"/>
    <x v="37"/>
    <s v="Non-Profit"/>
    <x v="0"/>
    <x v="3"/>
    <x v="3"/>
    <x v="573"/>
    <n v="290.14"/>
    <n v="250.73"/>
    <n v="250.73"/>
    <n v="3.4000000000000002E-2"/>
    <n v="3.4000000000000002E-2"/>
    <n v="17"/>
    <s v="OK"/>
    <d v="2025-04-10T00:00:00"/>
    <n v="6"/>
    <n v="4117.4880599999997"/>
    <n v="4932.38"/>
    <n v="-814.89194000000043"/>
    <n v="-0.19790997038131072"/>
    <x v="5"/>
    <s v="Printers"/>
    <s v="Printers"/>
    <x v="1"/>
    <x v="0"/>
  </r>
  <r>
    <x v="576"/>
    <x v="430"/>
    <d v="2025-04-14T00:00:00"/>
    <x v="3"/>
    <x v="5"/>
    <x v="9"/>
    <s v="Enterprise"/>
    <x v="3"/>
    <x v="15"/>
    <x v="6"/>
    <x v="574"/>
    <n v="138.9"/>
    <n v="289.92"/>
    <n v="289.92"/>
    <n v="2.9000000000000001E-2"/>
    <n v="2.9000000000000001E-2"/>
    <n v="12"/>
    <s v="OK"/>
    <d v="2025-04-14T00:00:00"/>
    <n v="1"/>
    <n v="3378.1478400000001"/>
    <n v="1666.8000000000002"/>
    <n v="1711.3478399999999"/>
    <n v="0.50659353025828491"/>
    <x v="5"/>
    <s v="Components"/>
    <s v="Components"/>
    <x v="1"/>
    <x v="0"/>
  </r>
  <r>
    <x v="577"/>
    <x v="431"/>
    <d v="2025-05-03T00:00:00"/>
    <x v="0"/>
    <x v="0"/>
    <x v="0"/>
    <s v="Consumer"/>
    <x v="4"/>
    <x v="2"/>
    <x v="2"/>
    <x v="575"/>
    <n v="168.68"/>
    <n v="413.34"/>
    <n v="413.34"/>
    <n v="0.186"/>
    <n v="0.186"/>
    <n v="7"/>
    <s v="OK"/>
    <d v="2025-05-03T00:00:00"/>
    <n v="16"/>
    <n v="2355.2113199999999"/>
    <n v="1180.76"/>
    <n v="1174.4513199999999"/>
    <n v="0.49866069767361682"/>
    <x v="5"/>
    <s v="Networking"/>
    <s v="Networking"/>
    <x v="1"/>
    <x v="1"/>
  </r>
  <r>
    <x v="578"/>
    <x v="432"/>
    <d v="2025-05-19T00:00:00"/>
    <x v="2"/>
    <x v="11"/>
    <x v="36"/>
    <s v="Corporate"/>
    <x v="2"/>
    <x v="12"/>
    <x v="4"/>
    <x v="576"/>
    <n v="350.76"/>
    <n v="492.18"/>
    <n v="492.18"/>
    <n v="5.2999999999999999E-2"/>
    <n v="5.2999999999999999E-2"/>
    <n v="11"/>
    <s v="OK"/>
    <d v="2025-05-19T00:00:00"/>
    <n v="21"/>
    <n v="5127.0390600000001"/>
    <n v="3858.3599999999997"/>
    <n v="1268.6790600000004"/>
    <n v="0.24744868239798437"/>
    <x v="5"/>
    <s v="Phones"/>
    <s v="Phones"/>
    <x v="1"/>
    <x v="1"/>
  </r>
  <r>
    <x v="579"/>
    <x v="433"/>
    <d v="2025-05-16T00:00:00"/>
    <x v="0"/>
    <x v="3"/>
    <x v="39"/>
    <s v="Enterprise"/>
    <x v="2"/>
    <x v="1"/>
    <x v="3"/>
    <x v="577"/>
    <n v="763.32"/>
    <n v="568.29"/>
    <n v="568.29"/>
    <n v="0.13100000000000001"/>
    <n v="0.13100000000000001"/>
    <n v="16"/>
    <s v="OK"/>
    <d v="2025-05-16T00:00:00"/>
    <n v="30"/>
    <n v="7901.5041599999995"/>
    <n v="12213.12"/>
    <n v="-4311.6158400000013"/>
    <n v="-0.54567026134426555"/>
    <x v="5"/>
    <s v="Printers"/>
    <s v="Printers"/>
    <x v="1"/>
    <x v="1"/>
  </r>
  <r>
    <x v="580"/>
    <x v="428"/>
    <d v="2025-05-06T00:00:00"/>
    <x v="0"/>
    <x v="0"/>
    <x v="1"/>
    <s v="Enterprise"/>
    <x v="4"/>
    <x v="7"/>
    <x v="1"/>
    <x v="578"/>
    <n v="264.19"/>
    <n v="620.92999999999995"/>
    <n v="620.92999999999995"/>
    <n v="0.14199999999999999"/>
    <n v="0.14199999999999999"/>
    <n v="12"/>
    <s v="OK"/>
    <d v="2025-05-06T00:00:00"/>
    <n v="27"/>
    <n v="6393.0952799999995"/>
    <n v="3170.2799999999997"/>
    <n v="3222.8152799999998"/>
    <n v="0.50410875152794532"/>
    <x v="5"/>
    <s v="Laptops"/>
    <s v="Laptops"/>
    <x v="1"/>
    <x v="1"/>
  </r>
  <r>
    <x v="581"/>
    <x v="434"/>
    <d v="2025-05-06T00:00:00"/>
    <x v="0"/>
    <x v="0"/>
    <x v="1"/>
    <s v="Consumer"/>
    <x v="3"/>
    <x v="6"/>
    <x v="4"/>
    <x v="579"/>
    <n v="394.13"/>
    <n v="932.29"/>
    <n v="932.29"/>
    <n v="0.109"/>
    <n v="0.109"/>
    <n v="7"/>
    <s v="OK"/>
    <d v="2025-05-06T00:00:00"/>
    <n v="12"/>
    <n v="5814.6927299999998"/>
    <n v="2758.91"/>
    <n v="3055.7827299999999"/>
    <n v="0.5255278089303268"/>
    <x v="5"/>
    <s v="Phones"/>
    <s v="Phones"/>
    <x v="1"/>
    <x v="1"/>
  </r>
  <r>
    <x v="582"/>
    <x v="435"/>
    <d v="2025-04-30T00:00:00"/>
    <x v="0"/>
    <x v="0"/>
    <x v="1"/>
    <s v="Education"/>
    <x v="3"/>
    <x v="1"/>
    <x v="5"/>
    <x v="580"/>
    <n v="855.78"/>
    <n v="977.38"/>
    <n v="977.38"/>
    <n v="0.14699999999999999"/>
    <n v="0.14699999999999999"/>
    <n v="38"/>
    <s v="OK"/>
    <d v="2025-04-30T00:00:00"/>
    <n v="24"/>
    <n v="31680.795320000001"/>
    <n v="32519.64"/>
    <n v="-838.84467999999833"/>
    <n v="-2.6478018355506307E-2"/>
    <x v="5"/>
    <s v="Monitors"/>
    <s v="Monitors"/>
    <x v="1"/>
    <x v="1"/>
  </r>
  <r>
    <x v="583"/>
    <x v="436"/>
    <d v="2025-05-04T00:00:00"/>
    <x v="3"/>
    <x v="5"/>
    <x v="9"/>
    <s v="Small Business"/>
    <x v="3"/>
    <x v="4"/>
    <x v="6"/>
    <x v="581"/>
    <n v="786.2"/>
    <n v="1075.3"/>
    <n v="1075.3"/>
    <n v="0.08"/>
    <n v="0.08"/>
    <n v="9"/>
    <s v="OK"/>
    <d v="2025-05-04T00:00:00"/>
    <n v="23"/>
    <n v="8903.4839999999986"/>
    <n v="7075.8"/>
    <n v="1827.6839999999984"/>
    <n v="0.20527739478163815"/>
    <x v="5"/>
    <s v="Components"/>
    <s v="Components"/>
    <x v="1"/>
    <x v="1"/>
  </r>
  <r>
    <x v="584"/>
    <x v="431"/>
    <d v="2025-04-17T00:00:00"/>
    <x v="0"/>
    <x v="0"/>
    <x v="17"/>
    <s v="Corporate"/>
    <x v="2"/>
    <x v="0"/>
    <x v="4"/>
    <x v="582"/>
    <n v="719.41"/>
    <n v="1125.99"/>
    <n v="1125.99"/>
    <n v="4.1000000000000002E-2"/>
    <n v="4.1000000000000002E-2"/>
    <n v="21"/>
    <s v="OK"/>
    <d v="2025-04-17T00:00:00"/>
    <n v="0"/>
    <n v="22676.312610000001"/>
    <n v="15107.609999999999"/>
    <n v="7568.7026100000021"/>
    <n v="0.33377131194876403"/>
    <x v="5"/>
    <s v="Phones"/>
    <s v="Phones"/>
    <x v="1"/>
    <x v="0"/>
  </r>
  <r>
    <x v="585"/>
    <x v="437"/>
    <d v="2025-05-27T00:00:00"/>
    <x v="3"/>
    <x v="4"/>
    <x v="25"/>
    <s v="Enterprise"/>
    <x v="4"/>
    <x v="10"/>
    <x v="4"/>
    <x v="583"/>
    <n v="481.32"/>
    <n v="1135.99"/>
    <n v="1135.99"/>
    <n v="0.14499999999999999"/>
    <n v="0.14499999999999999"/>
    <n v="5"/>
    <s v="OK"/>
    <d v="2025-05-27T00:00:00"/>
    <n v="30"/>
    <n v="4856.35725"/>
    <n v="2406.6"/>
    <n v="2449.7572500000001"/>
    <n v="0.50444337677175621"/>
    <x v="5"/>
    <s v="Phones"/>
    <s v="Phones"/>
    <x v="1"/>
    <x v="1"/>
  </r>
  <r>
    <x v="586"/>
    <x v="437"/>
    <d v="2025-05-25T00:00:00"/>
    <x v="2"/>
    <x v="10"/>
    <x v="29"/>
    <s v="Small Business"/>
    <x v="4"/>
    <x v="13"/>
    <x v="4"/>
    <x v="584"/>
    <n v="603.45000000000005"/>
    <n v="1244.08"/>
    <n v="1244.08"/>
    <n v="0.2"/>
    <n v="0.2"/>
    <n v="11"/>
    <s v="OK"/>
    <d v="2025-05-25T00:00:00"/>
    <n v="28"/>
    <n v="10947.904"/>
    <n v="6637.9500000000007"/>
    <n v="4309.9539999999997"/>
    <n v="0.39367846119220623"/>
    <x v="5"/>
    <s v="Phones"/>
    <s v="Phones"/>
    <x v="1"/>
    <x v="1"/>
  </r>
  <r>
    <x v="587"/>
    <x v="432"/>
    <d v="2025-05-15T00:00:00"/>
    <x v="3"/>
    <x v="5"/>
    <x v="7"/>
    <s v="Education"/>
    <x v="0"/>
    <x v="3"/>
    <x v="2"/>
    <x v="585"/>
    <n v="691.19"/>
    <n v="1284.3"/>
    <n v="1284.3"/>
    <n v="7.3999999999999996E-2"/>
    <n v="7.3999999999999996E-2"/>
    <n v="7"/>
    <s v="OK"/>
    <d v="2025-05-15T00:00:00"/>
    <n v="17"/>
    <n v="8324.8326000000015"/>
    <n v="4838.33"/>
    <n v="3486.5026000000016"/>
    <n v="0.41880753253825198"/>
    <x v="5"/>
    <s v="Networking"/>
    <s v="Networking"/>
    <x v="1"/>
    <x v="1"/>
  </r>
  <r>
    <x v="588"/>
    <x v="438"/>
    <d v="2025-04-30T00:00:00"/>
    <x v="1"/>
    <x v="1"/>
    <x v="16"/>
    <s v="Corporate"/>
    <x v="4"/>
    <x v="7"/>
    <x v="2"/>
    <x v="586"/>
    <n v="1119.04"/>
    <n v="1299.02"/>
    <n v="1299.02"/>
    <n v="2.5000000000000001E-2"/>
    <n v="2.5000000000000001E-2"/>
    <n v="14"/>
    <s v="OK"/>
    <d v="2025-04-30T00:00:00"/>
    <n v="18"/>
    <n v="17731.623"/>
    <n v="15666.56"/>
    <n v="2065.0630000000001"/>
    <n v="0.11646215352085933"/>
    <x v="5"/>
    <s v="Networking"/>
    <s v="Networking"/>
    <x v="1"/>
    <x v="1"/>
  </r>
  <r>
    <x v="589"/>
    <x v="437"/>
    <d v="2025-05-17T00:00:00"/>
    <x v="0"/>
    <x v="9"/>
    <x v="13"/>
    <s v="Corporate"/>
    <x v="0"/>
    <x v="3"/>
    <x v="4"/>
    <x v="587"/>
    <n v="932.26"/>
    <n v="1624.67"/>
    <n v="1624.67"/>
    <n v="0.23499999999999999"/>
    <n v="0.23499999999999999"/>
    <n v="28"/>
    <s v="OK"/>
    <d v="2025-05-17T00:00:00"/>
    <n v="20"/>
    <n v="34800.431400000001"/>
    <n v="26103.279999999999"/>
    <n v="8697.1514000000025"/>
    <n v="0.24991504559337163"/>
    <x v="5"/>
    <s v="Phones"/>
    <s v="Phones"/>
    <x v="0"/>
    <x v="1"/>
  </r>
  <r>
    <x v="590"/>
    <x v="439"/>
    <d v="2025-04-11T00:00:00"/>
    <x v="2"/>
    <x v="10"/>
    <x v="24"/>
    <s v="Education"/>
    <x v="1"/>
    <x v="11"/>
    <x v="2"/>
    <x v="588"/>
    <n v="754.77"/>
    <n v="1666.18"/>
    <n v="1666.18"/>
    <n v="0.13900000000000001"/>
    <n v="0.13900000000000001"/>
    <n v="14"/>
    <s v="OK"/>
    <d v="2025-04-11T00:00:00"/>
    <n v="4"/>
    <n v="20084.133720000002"/>
    <n v="10566.779999999999"/>
    <n v="9517.3537200000028"/>
    <n v="0.47387424584424653"/>
    <x v="5"/>
    <s v="Networking"/>
    <s v="Networking"/>
    <x v="1"/>
    <x v="0"/>
  </r>
  <r>
    <x v="591"/>
    <x v="433"/>
    <d v="2025-04-26T00:00:00"/>
    <x v="1"/>
    <x v="8"/>
    <x v="27"/>
    <s v="Enterprise"/>
    <x v="4"/>
    <x v="7"/>
    <x v="1"/>
    <x v="589"/>
    <n v="1457.44"/>
    <n v="1996.81"/>
    <n v="1996.81"/>
    <n v="0.126"/>
    <n v="0.126"/>
    <n v="23"/>
    <s v="OK"/>
    <d v="2025-04-26T00:00:00"/>
    <n v="10"/>
    <n v="40139.874619999995"/>
    <n v="33521.120000000003"/>
    <n v="6618.7546199999924"/>
    <n v="0.16489225944672353"/>
    <x v="5"/>
    <s v="Laptops"/>
    <s v="Laptops"/>
    <x v="1"/>
    <x v="1"/>
  </r>
  <r>
    <x v="592"/>
    <x v="440"/>
    <d v="2025-05-04T00:00:00"/>
    <x v="2"/>
    <x v="2"/>
    <x v="37"/>
    <s v="Enterprise"/>
    <x v="4"/>
    <x v="1"/>
    <x v="5"/>
    <x v="590"/>
    <n v="1413.87"/>
    <n v="3275"/>
    <n v="3275"/>
    <n v="0.255"/>
    <n v="0.255"/>
    <n v="38"/>
    <s v="OK"/>
    <d v="2025-05-04T00:00:00"/>
    <n v="20"/>
    <n v="92715.25"/>
    <n v="53727.06"/>
    <n v="38988.19"/>
    <n v="0.42051539525590453"/>
    <x v="5"/>
    <s v="Monitors"/>
    <s v="Monitors"/>
    <x v="0"/>
    <x v="1"/>
  </r>
  <r>
    <x v="593"/>
    <x v="441"/>
    <d v="2024-05-19T00:00:00"/>
    <x v="1"/>
    <x v="8"/>
    <x v="12"/>
    <s v="Corporate"/>
    <x v="2"/>
    <x v="5"/>
    <x v="0"/>
    <x v="591"/>
    <n v="187.22"/>
    <n v="309.47000000000003"/>
    <n v="309.47000000000003"/>
    <n v="0"/>
    <n v="0"/>
    <n v="5"/>
    <s v="OK"/>
    <d v="2024-05-19T00:00:00"/>
    <n v="28"/>
    <n v="1547.3500000000001"/>
    <n v="936.1"/>
    <n v="611.25000000000011"/>
    <n v="0.39503021294471197"/>
    <x v="6"/>
    <s v="Accessories"/>
    <s v="Accessories"/>
    <x v="1"/>
    <x v="1"/>
  </r>
  <r>
    <x v="594"/>
    <x v="442"/>
    <d v="2024-04-27T00:00:00"/>
    <x v="1"/>
    <x v="1"/>
    <x v="22"/>
    <s v="Enterprise"/>
    <x v="3"/>
    <x v="9"/>
    <x v="3"/>
    <x v="592"/>
    <n v="401.3"/>
    <n v="826.47"/>
    <n v="826.47"/>
    <n v="0.22500000000000001"/>
    <n v="0.22500000000000001"/>
    <n v="13"/>
    <s v="OK"/>
    <d v="2024-04-27T00:00:00"/>
    <n v="11"/>
    <n v="8326.6852500000005"/>
    <n v="5216.9000000000005"/>
    <n v="3109.7852499999999"/>
    <n v="0.37347217489696755"/>
    <x v="6"/>
    <s v="Printers"/>
    <s v="Printers"/>
    <x v="0"/>
    <x v="1"/>
  </r>
  <r>
    <x v="595"/>
    <x v="443"/>
    <d v="2024-04-24T00:00:00"/>
    <x v="2"/>
    <x v="2"/>
    <x v="3"/>
    <s v="Non-Profit"/>
    <x v="2"/>
    <x v="3"/>
    <x v="4"/>
    <x v="593"/>
    <n v="1232.77"/>
    <n v="891.73"/>
    <n v="891.73"/>
    <n v="0.16700000000000001"/>
    <n v="0.16700000000000001"/>
    <n v="10"/>
    <s v="Correct"/>
    <d v="2024-05-03T00:00:00"/>
    <n v="7"/>
    <n v="7428.1108999999988"/>
    <n v="12327.7"/>
    <n v="-4899.589100000002"/>
    <n v="-0.65960096260813805"/>
    <x v="6"/>
    <s v="Phones"/>
    <s v="Phones"/>
    <x v="1"/>
    <x v="0"/>
  </r>
  <r>
    <x v="596"/>
    <x v="444"/>
    <d v="2024-04-24T00:00:00"/>
    <x v="2"/>
    <x v="11"/>
    <x v="34"/>
    <s v="Non-Profit"/>
    <x v="0"/>
    <x v="8"/>
    <x v="0"/>
    <x v="594"/>
    <n v="683.42"/>
    <n v="951.51"/>
    <n v="951.51"/>
    <n v="0"/>
    <n v="0"/>
    <n v="14"/>
    <s v="OK"/>
    <d v="2024-04-24T00:00:00"/>
    <n v="20"/>
    <n v="13321.14"/>
    <n v="9567.8799999999992"/>
    <n v="3753.26"/>
    <n v="0.28175216235247136"/>
    <x v="6"/>
    <s v="Accessories"/>
    <s v="Accessories"/>
    <x v="1"/>
    <x v="1"/>
  </r>
  <r>
    <x v="597"/>
    <x v="445"/>
    <d v="2024-04-09T00:00:00"/>
    <x v="1"/>
    <x v="8"/>
    <x v="12"/>
    <s v="Non-Profit"/>
    <x v="0"/>
    <x v="1"/>
    <x v="6"/>
    <x v="595"/>
    <n v="395.07"/>
    <n v="970.27"/>
    <n v="970.27"/>
    <n v="0.123"/>
    <n v="0.123"/>
    <n v="38"/>
    <s v="OK"/>
    <d v="2024-04-09T00:00:00"/>
    <n v="4"/>
    <n v="32335.21802"/>
    <n v="15012.66"/>
    <n v="17322.55802"/>
    <n v="0.53571799049833657"/>
    <x v="6"/>
    <s v="Components"/>
    <s v="Components"/>
    <x v="1"/>
    <x v="0"/>
  </r>
  <r>
    <x v="598"/>
    <x v="446"/>
    <d v="2024-05-10T00:00:00"/>
    <x v="1"/>
    <x v="1"/>
    <x v="16"/>
    <s v="Non-Profit"/>
    <x v="3"/>
    <x v="3"/>
    <x v="5"/>
    <x v="596"/>
    <n v="513.30999999999995"/>
    <n v="1186.26"/>
    <n v="1186.26"/>
    <n v="9.4E-2"/>
    <n v="9.4E-2"/>
    <n v="15"/>
    <s v="OK"/>
    <d v="2024-05-10T00:00:00"/>
    <n v="16"/>
    <n v="16121.273400000002"/>
    <n v="7699.65"/>
    <n v="8421.6234000000022"/>
    <n v="0.52239194702820446"/>
    <x v="6"/>
    <s v="Monitors"/>
    <s v="Monitors"/>
    <x v="1"/>
    <x v="1"/>
  </r>
  <r>
    <x v="599"/>
    <x v="447"/>
    <d v="2024-05-08T00:00:00"/>
    <x v="2"/>
    <x v="2"/>
    <x v="3"/>
    <s v="Non-Profit"/>
    <x v="5"/>
    <x v="9"/>
    <x v="1"/>
    <x v="597"/>
    <n v="645.33000000000004"/>
    <n v="1321.85"/>
    <n v="1321.85"/>
    <n v="0"/>
    <n v="0"/>
    <n v="10"/>
    <s v="OK"/>
    <d v="2024-05-08T00:00:00"/>
    <n v="20"/>
    <n v="13218.5"/>
    <n v="6453.3"/>
    <n v="6765.2"/>
    <n v="0.51179785906116426"/>
    <x v="6"/>
    <s v="Laptops"/>
    <s v="Laptops"/>
    <x v="1"/>
    <x v="1"/>
  </r>
  <r>
    <x v="600"/>
    <x v="448"/>
    <d v="2024-04-07T00:00:00"/>
    <x v="0"/>
    <x v="0"/>
    <x v="1"/>
    <s v="Non-Profit"/>
    <x v="0"/>
    <x v="3"/>
    <x v="4"/>
    <x v="598"/>
    <n v="1023.27"/>
    <n v="1343.64"/>
    <n v="1343.64"/>
    <n v="0.13300000000000001"/>
    <n v="0.13300000000000001"/>
    <n v="7"/>
    <s v="OK"/>
    <d v="2024-04-07T00:00:00"/>
    <n v="4"/>
    <n v="8154.5511600000009"/>
    <n v="7162.8899999999994"/>
    <n v="991.66116000000147"/>
    <n v="0.12160830688810116"/>
    <x v="6"/>
    <s v="Phones"/>
    <s v="Phones"/>
    <x v="1"/>
    <x v="0"/>
  </r>
  <r>
    <x v="601"/>
    <x v="449"/>
    <d v="2024-05-06T00:00:00"/>
    <x v="1"/>
    <x v="8"/>
    <x v="27"/>
    <s v="Non-Profit"/>
    <x v="3"/>
    <x v="5"/>
    <x v="3"/>
    <x v="599"/>
    <n v="865.33"/>
    <n v="1395.64"/>
    <n v="1395.64"/>
    <n v="0.17499999999999999"/>
    <n v="0.17499999999999999"/>
    <n v="13"/>
    <s v="OK"/>
    <d v="2024-05-06T00:00:00"/>
    <n v="17"/>
    <n v="14968.239"/>
    <n v="11249.29"/>
    <n v="3718.9489999999987"/>
    <n v="0.24845601409758347"/>
    <x v="6"/>
    <s v="Printers"/>
    <s v="Printers"/>
    <x v="1"/>
    <x v="1"/>
  </r>
  <r>
    <x v="602"/>
    <x v="450"/>
    <d v="2024-05-07T00:00:00"/>
    <x v="1"/>
    <x v="6"/>
    <x v="38"/>
    <s v="Education"/>
    <x v="2"/>
    <x v="5"/>
    <x v="1"/>
    <x v="600"/>
    <n v="1376.51"/>
    <n v="1455.91"/>
    <n v="1455.91"/>
    <n v="0.185"/>
    <n v="0.185"/>
    <n v="17"/>
    <s v="OK"/>
    <d v="2024-05-07T00:00:00"/>
    <n v="25"/>
    <n v="20171.63305"/>
    <n v="23400.67"/>
    <n v="-3229.0369499999979"/>
    <n v="-0.1600781127634085"/>
    <x v="6"/>
    <s v="Laptops"/>
    <s v="Laptops"/>
    <x v="1"/>
    <x v="1"/>
  </r>
  <r>
    <x v="603"/>
    <x v="451"/>
    <d v="2024-05-19T00:00:00"/>
    <x v="2"/>
    <x v="11"/>
    <x v="34"/>
    <s v="Enterprise"/>
    <x v="4"/>
    <x v="6"/>
    <x v="1"/>
    <x v="601"/>
    <n v="668.97"/>
    <n v="1667.44"/>
    <n v="1667.44"/>
    <n v="3.4000000000000002E-2"/>
    <n v="3.4000000000000002E-2"/>
    <n v="15"/>
    <s v="OK"/>
    <d v="2024-05-19T00:00:00"/>
    <n v="20"/>
    <n v="24161.205600000001"/>
    <n v="10034.550000000001"/>
    <n v="14126.6556"/>
    <n v="0.58468339013679016"/>
    <x v="6"/>
    <s v="Laptops"/>
    <s v="Laptops"/>
    <x v="1"/>
    <x v="1"/>
  </r>
  <r>
    <x v="604"/>
    <x v="452"/>
    <d v="2024-04-25T00:00:00"/>
    <x v="3"/>
    <x v="7"/>
    <x v="20"/>
    <s v="Corporate"/>
    <x v="1"/>
    <x v="1"/>
    <x v="6"/>
    <x v="602"/>
    <n v="1366.48"/>
    <n v="1678.14"/>
    <n v="1678.14"/>
    <n v="0.154"/>
    <n v="0.154"/>
    <n v="10"/>
    <s v="OK"/>
    <d v="2024-04-25T00:00:00"/>
    <n v="19"/>
    <n v="14197.064400000001"/>
    <n v="13664.8"/>
    <n v="532.26440000000184"/>
    <n v="3.7491159087790132E-2"/>
    <x v="6"/>
    <s v="Components"/>
    <s v="Components"/>
    <x v="1"/>
    <x v="1"/>
  </r>
  <r>
    <x v="605"/>
    <x v="448"/>
    <d v="2024-04-21T00:00:00"/>
    <x v="0"/>
    <x v="0"/>
    <x v="1"/>
    <s v="Small Business"/>
    <x v="2"/>
    <x v="12"/>
    <x v="2"/>
    <x v="603"/>
    <n v="1176.69"/>
    <n v="2201.54"/>
    <n v="2201.54"/>
    <n v="0.17"/>
    <n v="0.17"/>
    <n v="27"/>
    <s v="OK"/>
    <d v="2024-04-21T00:00:00"/>
    <n v="18"/>
    <n v="49336.511399999996"/>
    <n v="31770.63"/>
    <n v="17565.881399999995"/>
    <n v="0.35604222717701106"/>
    <x v="6"/>
    <s v="Networking"/>
    <s v="Networking"/>
    <x v="1"/>
    <x v="1"/>
  </r>
  <r>
    <x v="606"/>
    <x v="453"/>
    <d v="2024-04-18T00:00:00"/>
    <x v="2"/>
    <x v="10"/>
    <x v="24"/>
    <s v="Consumer"/>
    <x v="3"/>
    <x v="11"/>
    <x v="3"/>
    <x v="604"/>
    <n v="1288.8499999999999"/>
    <n v="2751.84"/>
    <n v="2751.84"/>
    <n v="0.158"/>
    <n v="0.158"/>
    <n v="7"/>
    <s v="OK"/>
    <d v="2024-04-18T00:00:00"/>
    <n v="9"/>
    <n v="16219.34496"/>
    <n v="9021.9499999999989"/>
    <n v="7197.3949600000014"/>
    <n v="0.44375373837538756"/>
    <x v="6"/>
    <s v="Printers"/>
    <s v="Printers"/>
    <x v="1"/>
    <x v="1"/>
  </r>
  <r>
    <x v="607"/>
    <x v="454"/>
    <d v="2023-04-11T00:00:00"/>
    <x v="0"/>
    <x v="9"/>
    <x v="32"/>
    <s v="Education"/>
    <x v="4"/>
    <x v="15"/>
    <x v="2"/>
    <x v="605"/>
    <n v="32.1"/>
    <n v="70.599999999999994"/>
    <n v="70.599999999999994"/>
    <n v="0.28199999999999997"/>
    <n v="0.28199999999999997"/>
    <n v="22"/>
    <s v="Correct"/>
    <d v="2023-04-20T00:00:00"/>
    <n v="7"/>
    <n v="1115.1975999999997"/>
    <n v="706.2"/>
    <n v="408.99759999999969"/>
    <n v="0.36674899587301818"/>
    <x v="7"/>
    <s v="Networking"/>
    <s v="Networking"/>
    <x v="0"/>
    <x v="0"/>
  </r>
  <r>
    <x v="608"/>
    <x v="455"/>
    <d v="2023-04-26T00:00:00"/>
    <x v="2"/>
    <x v="10"/>
    <x v="33"/>
    <s v="Consumer"/>
    <x v="0"/>
    <x v="4"/>
    <x v="6"/>
    <x v="606"/>
    <n v="81.489999999999995"/>
    <n v="113.08"/>
    <n v="113.08"/>
    <n v="0.121"/>
    <n v="0.121"/>
    <n v="5"/>
    <s v="OK"/>
    <d v="2023-04-26T00:00:00"/>
    <n v="0"/>
    <n v="496.98660000000001"/>
    <n v="407.45"/>
    <n v="89.536600000000021"/>
    <n v="0.18015898215364362"/>
    <x v="7"/>
    <s v="Components"/>
    <s v="Components"/>
    <x v="1"/>
    <x v="0"/>
  </r>
  <r>
    <x v="609"/>
    <x v="456"/>
    <d v="2023-05-18T00:00:00"/>
    <x v="3"/>
    <x v="7"/>
    <x v="14"/>
    <s v="Non-Profit"/>
    <x v="1"/>
    <x v="10"/>
    <x v="1"/>
    <x v="607"/>
    <n v="329.03"/>
    <n v="391.15"/>
    <n v="391.15"/>
    <n v="0.19700000000000001"/>
    <n v="0.19700000000000001"/>
    <n v="46"/>
    <s v="OK"/>
    <d v="2023-05-18T00:00:00"/>
    <n v="30"/>
    <n v="14448.298699999998"/>
    <n v="15135.38"/>
    <n v="-687.08130000000165"/>
    <n v="-4.7554477815440081E-2"/>
    <x v="7"/>
    <s v="Laptops"/>
    <s v="Laptops"/>
    <x v="1"/>
    <x v="1"/>
  </r>
  <r>
    <x v="610"/>
    <x v="454"/>
    <d v="2023-04-20T00:00:00"/>
    <x v="2"/>
    <x v="10"/>
    <x v="24"/>
    <s v="Small Business"/>
    <x v="3"/>
    <x v="5"/>
    <x v="1"/>
    <x v="608"/>
    <n v="227.02"/>
    <n v="434.72"/>
    <n v="434.72"/>
    <n v="9.8000000000000004E-2"/>
    <n v="9.8000000000000004E-2"/>
    <n v="10"/>
    <s v="OK"/>
    <d v="2023-04-20T00:00:00"/>
    <n v="7"/>
    <n v="3921.1744000000008"/>
    <n v="2270.2000000000003"/>
    <n v="1650.9744000000005"/>
    <n v="0.42104079838938052"/>
    <x v="7"/>
    <s v="Laptops"/>
    <s v="Laptops"/>
    <x v="1"/>
    <x v="0"/>
  </r>
  <r>
    <x v="611"/>
    <x v="457"/>
    <d v="2023-05-14T00:00:00"/>
    <x v="1"/>
    <x v="1"/>
    <x v="22"/>
    <s v="Consumer"/>
    <x v="4"/>
    <x v="4"/>
    <x v="4"/>
    <x v="609"/>
    <n v="209.25"/>
    <n v="434.8"/>
    <n v="434.8"/>
    <n v="0"/>
    <n v="0"/>
    <n v="9"/>
    <s v="OK"/>
    <d v="2023-05-14T00:00:00"/>
    <n v="30"/>
    <n v="3913.2000000000003"/>
    <n v="1883.25"/>
    <n v="2029.9500000000003"/>
    <n v="0.51874425022999082"/>
    <x v="7"/>
    <s v="Phones"/>
    <s v="Phones"/>
    <x v="1"/>
    <x v="1"/>
  </r>
  <r>
    <x v="612"/>
    <x v="458"/>
    <d v="2023-04-16T00:00:00"/>
    <x v="0"/>
    <x v="3"/>
    <x v="18"/>
    <s v="Non-Profit"/>
    <x v="3"/>
    <x v="8"/>
    <x v="5"/>
    <x v="610"/>
    <n v="213.1"/>
    <n v="501.31"/>
    <n v="501.31"/>
    <n v="5.6000000000000001E-2"/>
    <n v="5.6000000000000001E-2"/>
    <n v="15"/>
    <s v="OK"/>
    <d v="2023-04-16T00:00:00"/>
    <n v="11"/>
    <n v="7098.5495999999994"/>
    <n v="3196.5"/>
    <n v="3902.0495999999994"/>
    <n v="0.54969674368409005"/>
    <x v="7"/>
    <s v="Monitors"/>
    <s v="Monitors"/>
    <x v="1"/>
    <x v="1"/>
  </r>
  <r>
    <x v="613"/>
    <x v="459"/>
    <d v="2023-04-16T00:00:00"/>
    <x v="2"/>
    <x v="10"/>
    <x v="33"/>
    <s v="Non-Profit"/>
    <x v="4"/>
    <x v="4"/>
    <x v="0"/>
    <x v="611"/>
    <n v="790.54"/>
    <n v="601.49"/>
    <n v="601.49"/>
    <n v="0"/>
    <n v="0"/>
    <n v="15"/>
    <s v="OK"/>
    <d v="2023-04-16T00:00:00"/>
    <n v="13"/>
    <n v="9022.35"/>
    <n v="11858.099999999999"/>
    <n v="-2835.7499999999982"/>
    <n v="-0.31430281467688553"/>
    <x v="7"/>
    <s v="Accessories"/>
    <s v="Accessories"/>
    <x v="1"/>
    <x v="1"/>
  </r>
  <r>
    <x v="614"/>
    <x v="460"/>
    <d v="2023-04-19T00:00:00"/>
    <x v="2"/>
    <x v="11"/>
    <x v="35"/>
    <s v="Corporate"/>
    <x v="0"/>
    <x v="12"/>
    <x v="0"/>
    <x v="612"/>
    <n v="553.61"/>
    <n v="699.47"/>
    <n v="699.47"/>
    <n v="0.02"/>
    <n v="0.02"/>
    <n v="33"/>
    <s v="OK"/>
    <d v="2023-04-19T00:00:00"/>
    <n v="3"/>
    <n v="22620.859800000002"/>
    <n v="18269.13"/>
    <n v="4351.729800000001"/>
    <n v="0.19237685209472014"/>
    <x v="7"/>
    <s v="Accessories"/>
    <s v="Accessories"/>
    <x v="1"/>
    <x v="0"/>
  </r>
  <r>
    <x v="615"/>
    <x v="461"/>
    <d v="2023-05-07T00:00:00"/>
    <x v="2"/>
    <x v="2"/>
    <x v="3"/>
    <s v="Non-Profit"/>
    <x v="0"/>
    <x v="10"/>
    <x v="2"/>
    <x v="613"/>
    <n v="516.96"/>
    <n v="745.38"/>
    <n v="745.38"/>
    <n v="0.19700000000000001"/>
    <n v="0.19700000000000001"/>
    <n v="4"/>
    <s v="OK"/>
    <d v="2023-05-07T00:00:00"/>
    <n v="18"/>
    <n v="2394.1605599999998"/>
    <n v="2067.84"/>
    <n v="326.32055999999966"/>
    <n v="0.13629852794835101"/>
    <x v="7"/>
    <s v="Networking"/>
    <s v="Networking"/>
    <x v="1"/>
    <x v="1"/>
  </r>
  <r>
    <x v="616"/>
    <x v="462"/>
    <d v="2023-04-22T00:00:00"/>
    <x v="1"/>
    <x v="1"/>
    <x v="2"/>
    <s v="Small Business"/>
    <x v="0"/>
    <x v="11"/>
    <x v="1"/>
    <x v="614"/>
    <n v="756.51"/>
    <n v="850.8"/>
    <n v="850.8"/>
    <n v="7.3999999999999996E-2"/>
    <n v="7.3999999999999996E-2"/>
    <n v="9"/>
    <s v="Correct"/>
    <d v="2023-04-30T00:00:00"/>
    <n v="7"/>
    <n v="7090.5672000000004"/>
    <n v="6808.59"/>
    <n v="281.97720000000027"/>
    <n v="3.9767932810791252E-2"/>
    <x v="7"/>
    <s v="Laptops"/>
    <s v="Laptops"/>
    <x v="1"/>
    <x v="0"/>
  </r>
  <r>
    <x v="617"/>
    <x v="461"/>
    <d v="2023-04-28T00:00:00"/>
    <x v="0"/>
    <x v="0"/>
    <x v="0"/>
    <s v="Corporate"/>
    <x v="2"/>
    <x v="4"/>
    <x v="4"/>
    <x v="615"/>
    <n v="1013.54"/>
    <n v="927.93"/>
    <n v="927.93"/>
    <n v="0.17499999999999999"/>
    <n v="0.17499999999999999"/>
    <n v="16"/>
    <s v="OK"/>
    <d v="2023-04-28T00:00:00"/>
    <n v="9"/>
    <n v="12248.675999999999"/>
    <n v="16216.64"/>
    <n v="-3967.9639999999999"/>
    <n v="-0.32395044166406234"/>
    <x v="7"/>
    <s v="Phones"/>
    <s v="Phones"/>
    <x v="1"/>
    <x v="1"/>
  </r>
  <r>
    <x v="618"/>
    <x v="463"/>
    <d v="2023-04-25T00:00:00"/>
    <x v="2"/>
    <x v="2"/>
    <x v="3"/>
    <s v="Small Business"/>
    <x v="1"/>
    <x v="9"/>
    <x v="3"/>
    <x v="616"/>
    <n v="405.66"/>
    <n v="962.51"/>
    <n v="962.51"/>
    <n v="0.19"/>
    <n v="0.19"/>
    <n v="7"/>
    <s v="OK"/>
    <d v="2023-04-25T00:00:00"/>
    <n v="15"/>
    <n v="5457.4317000000001"/>
    <n v="2839.6200000000003"/>
    <n v="2617.8116999999997"/>
    <n v="0.47967832561239376"/>
    <x v="7"/>
    <s v="Printers"/>
    <s v="Printers"/>
    <x v="1"/>
    <x v="1"/>
  </r>
  <r>
    <x v="619"/>
    <x v="461"/>
    <d v="2023-05-07T00:00:00"/>
    <x v="2"/>
    <x v="2"/>
    <x v="37"/>
    <s v="Enterprise"/>
    <x v="1"/>
    <x v="3"/>
    <x v="1"/>
    <x v="617"/>
    <n v="1089.1500000000001"/>
    <n v="1088.2"/>
    <n v="1088.2"/>
    <n v="5.0999999999999997E-2"/>
    <n v="5.0999999999999997E-2"/>
    <n v="15"/>
    <s v="OK"/>
    <d v="2023-05-07T00:00:00"/>
    <n v="18"/>
    <n v="15490.527"/>
    <n v="16337.250000000002"/>
    <n v="-846.72300000000178"/>
    <n v="-5.4660696824582002E-2"/>
    <x v="7"/>
    <s v="Laptops"/>
    <s v="Laptops"/>
    <x v="1"/>
    <x v="1"/>
  </r>
  <r>
    <x v="620"/>
    <x v="464"/>
    <d v="2023-04-19T00:00:00"/>
    <x v="3"/>
    <x v="5"/>
    <x v="7"/>
    <s v="Small Business"/>
    <x v="0"/>
    <x v="4"/>
    <x v="6"/>
    <x v="618"/>
    <n v="607.04"/>
    <n v="1229.3399999999999"/>
    <n v="1229.3399999999999"/>
    <n v="0.14699999999999999"/>
    <n v="0.14699999999999999"/>
    <n v="7"/>
    <s v="Correct"/>
    <d v="2023-04-28T00:00:00"/>
    <n v="7"/>
    <n v="7340.3891399999993"/>
    <n v="4249.28"/>
    <n v="3091.1091399999996"/>
    <n v="0.42110970972310058"/>
    <x v="7"/>
    <s v="Components"/>
    <s v="Components"/>
    <x v="1"/>
    <x v="0"/>
  </r>
  <r>
    <x v="621"/>
    <x v="461"/>
    <d v="2023-04-30T00:00:00"/>
    <x v="3"/>
    <x v="4"/>
    <x v="6"/>
    <s v="Small Business"/>
    <x v="1"/>
    <x v="5"/>
    <x v="2"/>
    <x v="619"/>
    <n v="826.55"/>
    <n v="1397.05"/>
    <n v="1397.05"/>
    <n v="0.16900000000000001"/>
    <n v="0.16900000000000001"/>
    <n v="28"/>
    <s v="OK"/>
    <d v="2023-04-30T00:00:00"/>
    <n v="11"/>
    <n v="32506.559399999998"/>
    <n v="23143.399999999998"/>
    <n v="9363.1594000000005"/>
    <n v="0.28803907804527601"/>
    <x v="7"/>
    <s v="Networking"/>
    <s v="Networking"/>
    <x v="1"/>
    <x v="1"/>
  </r>
  <r>
    <x v="622"/>
    <x v="465"/>
    <d v="2023-05-14T00:00:00"/>
    <x v="3"/>
    <x v="5"/>
    <x v="7"/>
    <s v="Enterprise"/>
    <x v="1"/>
    <x v="5"/>
    <x v="0"/>
    <x v="620"/>
    <n v="1209.22"/>
    <n v="1404.33"/>
    <n v="1404.33"/>
    <n v="0.10299999999999999"/>
    <n v="0.10299999999999999"/>
    <n v="11"/>
    <s v="OK"/>
    <d v="2023-05-14T00:00:00"/>
    <n v="22"/>
    <n v="13856.52411"/>
    <n v="13301.42"/>
    <n v="555.10411000000022"/>
    <n v="4.0060848275751328E-2"/>
    <x v="7"/>
    <s v="Accessories"/>
    <s v="Accessories"/>
    <x v="1"/>
    <x v="1"/>
  </r>
  <r>
    <x v="623"/>
    <x v="460"/>
    <d v="2023-04-23T00:00:00"/>
    <x v="0"/>
    <x v="9"/>
    <x v="13"/>
    <s v="Corporate"/>
    <x v="2"/>
    <x v="8"/>
    <x v="3"/>
    <x v="621"/>
    <n v="1099.1500000000001"/>
    <n v="1431.37"/>
    <n v="1431.37"/>
    <n v="0.104"/>
    <n v="0.104"/>
    <n v="8"/>
    <s v="OK"/>
    <d v="2023-04-23T00:00:00"/>
    <n v="7"/>
    <n v="10260.060159999999"/>
    <n v="8793.2000000000007"/>
    <n v="1466.8601599999984"/>
    <n v="0.14296798821109433"/>
    <x v="7"/>
    <s v="Printers"/>
    <s v="Printers"/>
    <x v="1"/>
    <x v="0"/>
  </r>
  <r>
    <x v="624"/>
    <x v="466"/>
    <d v="2023-04-08T00:00:00"/>
    <x v="1"/>
    <x v="8"/>
    <x v="28"/>
    <s v="Small Business"/>
    <x v="4"/>
    <x v="1"/>
    <x v="5"/>
    <x v="622"/>
    <n v="720.35"/>
    <n v="1571.66"/>
    <n v="1571.66"/>
    <n v="0.107"/>
    <n v="0.107"/>
    <n v="23"/>
    <s v="OK"/>
    <d v="2023-04-08T00:00:00"/>
    <n v="2"/>
    <n v="32280.32474"/>
    <n v="16568.05"/>
    <n v="15712.274740000001"/>
    <n v="0.4867446305622265"/>
    <x v="7"/>
    <s v="Monitors"/>
    <s v="Monitors"/>
    <x v="1"/>
    <x v="0"/>
  </r>
  <r>
    <x v="625"/>
    <x v="454"/>
    <d v="2023-05-02T00:00:00"/>
    <x v="0"/>
    <x v="3"/>
    <x v="39"/>
    <s v="Consumer"/>
    <x v="2"/>
    <x v="11"/>
    <x v="5"/>
    <x v="623"/>
    <n v="671.05"/>
    <n v="1645.48"/>
    <n v="1645.48"/>
    <n v="0.13700000000000001"/>
    <n v="0.13700000000000001"/>
    <n v="6"/>
    <s v="OK"/>
    <d v="2023-05-02T00:00:00"/>
    <n v="19"/>
    <n v="8520.2954399999999"/>
    <n v="4026.2999999999997"/>
    <n v="4493.9954400000006"/>
    <n v="0.52744596377517172"/>
    <x v="7"/>
    <s v="Monitors"/>
    <s v="Monitors"/>
    <x v="1"/>
    <x v="1"/>
  </r>
  <r>
    <x v="626"/>
    <x v="464"/>
    <d v="2023-05-10T00:00:00"/>
    <x v="3"/>
    <x v="7"/>
    <x v="20"/>
    <s v="Corporate"/>
    <x v="1"/>
    <x v="5"/>
    <x v="6"/>
    <x v="624"/>
    <n v="882.33"/>
    <n v="1880.15"/>
    <n v="1880.15"/>
    <n v="0.05"/>
    <n v="0.05"/>
    <n v="5"/>
    <s v="OK"/>
    <d v="2023-05-10T00:00:00"/>
    <n v="19"/>
    <n v="8930.7124999999996"/>
    <n v="4411.6500000000005"/>
    <n v="4519.0624999999991"/>
    <n v="0.50601365792482955"/>
    <x v="7"/>
    <s v="Components"/>
    <s v="Components"/>
    <x v="1"/>
    <x v="1"/>
  </r>
  <r>
    <x v="627"/>
    <x v="467"/>
    <d v="2023-04-17T00:00:00"/>
    <x v="2"/>
    <x v="10"/>
    <x v="24"/>
    <s v="Enterprise"/>
    <x v="0"/>
    <x v="11"/>
    <x v="5"/>
    <x v="625"/>
    <n v="1087.81"/>
    <n v="2323.87"/>
    <n v="2323.87"/>
    <n v="9.4E-2"/>
    <n v="9.4E-2"/>
    <n v="13"/>
    <s v="OK"/>
    <d v="2023-04-17T00:00:00"/>
    <n v="5"/>
    <n v="27370.540859999997"/>
    <n v="14141.529999999999"/>
    <n v="13229.010859999999"/>
    <n v="0.48333026839572651"/>
    <x v="7"/>
    <s v="Monitors"/>
    <s v="Monitors"/>
    <x v="1"/>
    <x v="0"/>
  </r>
  <r>
    <x v="628"/>
    <x v="461"/>
    <d v="2023-04-28T00:00:00"/>
    <x v="2"/>
    <x v="11"/>
    <x v="36"/>
    <s v="Education"/>
    <x v="3"/>
    <x v="11"/>
    <x v="5"/>
    <x v="626"/>
    <n v="1178.42"/>
    <n v="2446.56"/>
    <n v="2446.56"/>
    <n v="2.9000000000000001E-2"/>
    <n v="2.9000000000000001E-2"/>
    <n v="11"/>
    <s v="OK"/>
    <d v="2023-04-28T00:00:00"/>
    <n v="9"/>
    <n v="26131.70736"/>
    <n v="12962.62"/>
    <n v="13169.08736"/>
    <n v="0.5039505141618883"/>
    <x v="7"/>
    <s v="Monitors"/>
    <s v="Monitors"/>
    <x v="1"/>
    <x v="1"/>
  </r>
  <r>
    <x v="629"/>
    <x v="466"/>
    <d v="2023-04-27T00:00:00"/>
    <x v="2"/>
    <x v="2"/>
    <x v="26"/>
    <s v="Enterprise"/>
    <x v="2"/>
    <x v="13"/>
    <x v="3"/>
    <x v="627"/>
    <n v="1084.79"/>
    <n v="2484.9899999999998"/>
    <n v="2484.9899999999998"/>
    <n v="3.4000000000000002E-2"/>
    <n v="3.4000000000000002E-2"/>
    <n v="18"/>
    <s v="OK"/>
    <d v="2023-04-27T00:00:00"/>
    <n v="21"/>
    <n v="43209.006119999991"/>
    <n v="19526.22"/>
    <n v="23682.78611999999"/>
    <n v="0.54809837685755114"/>
    <x v="7"/>
    <s v="Printers"/>
    <s v="Printers"/>
    <x v="1"/>
    <x v="1"/>
  </r>
  <r>
    <x v="630"/>
    <x v="457"/>
    <d v="2023-05-13T00:00:00"/>
    <x v="2"/>
    <x v="11"/>
    <x v="34"/>
    <s v="Consumer"/>
    <x v="0"/>
    <x v="2"/>
    <x v="3"/>
    <x v="628"/>
    <n v="1320.33"/>
    <n v="2645.23"/>
    <n v="2645.23"/>
    <n v="0.155"/>
    <n v="0.155"/>
    <n v="25"/>
    <s v="OK"/>
    <d v="2023-05-13T00:00:00"/>
    <n v="29"/>
    <n v="55880.483749999999"/>
    <n v="33008.25"/>
    <n v="22872.233749999999"/>
    <n v="0.40930629470436536"/>
    <x v="7"/>
    <s v="Printers"/>
    <s v="Printers"/>
    <x v="1"/>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1">
  <r>
    <n v="5.92"/>
    <x v="0"/>
  </r>
  <r>
    <n v="631.57000000000005"/>
    <x v="1"/>
  </r>
  <r>
    <n v="728.61"/>
    <x v="1"/>
  </r>
  <r>
    <n v="885.92"/>
    <x v="1"/>
  </r>
  <r>
    <n v="921.68"/>
    <x v="1"/>
  </r>
  <r>
    <n v="1088.81"/>
    <x v="1"/>
  </r>
  <r>
    <n v="1483.74"/>
    <x v="2"/>
  </r>
  <r>
    <n v="1630.39"/>
    <x v="2"/>
  </r>
  <r>
    <n v="1653.64"/>
    <x v="2"/>
  </r>
  <r>
    <n v="2593.7800000000002"/>
    <x v="2"/>
  </r>
  <r>
    <n v="2705.57"/>
    <x v="2"/>
  </r>
  <r>
    <n v="2875.8"/>
    <x v="2"/>
  </r>
  <r>
    <n v="94.78"/>
    <x v="0"/>
  </r>
  <r>
    <n v="190.84"/>
    <x v="0"/>
  </r>
  <r>
    <n v="325.79000000000002"/>
    <x v="0"/>
  </r>
  <r>
    <n v="405.97"/>
    <x v="0"/>
  </r>
  <r>
    <n v="937.46"/>
    <x v="1"/>
  </r>
  <r>
    <n v="976.17"/>
    <x v="1"/>
  </r>
  <r>
    <n v="1015.7"/>
    <x v="1"/>
  </r>
  <r>
    <n v="1031.6400000000001"/>
    <x v="1"/>
  </r>
  <r>
    <n v="1335.02"/>
    <x v="2"/>
  </r>
  <r>
    <n v="1641.61"/>
    <x v="2"/>
  </r>
  <r>
    <n v="1765.76"/>
    <x v="2"/>
  </r>
  <r>
    <n v="1805.11"/>
    <x v="2"/>
  </r>
  <r>
    <n v="1952.04"/>
    <x v="2"/>
  </r>
  <r>
    <n v="2307.75"/>
    <x v="2"/>
  </r>
  <r>
    <n v="2411.52"/>
    <x v="2"/>
  </r>
  <r>
    <n v="2492.14"/>
    <x v="2"/>
  </r>
  <r>
    <n v="2569.77"/>
    <x v="2"/>
  </r>
  <r>
    <n v="2968.87"/>
    <x v="2"/>
  </r>
  <r>
    <n v="228.15"/>
    <x v="0"/>
  </r>
  <r>
    <n v="411.48"/>
    <x v="0"/>
  </r>
  <r>
    <n v="606.76"/>
    <x v="1"/>
  </r>
  <r>
    <n v="668.27"/>
    <x v="1"/>
  </r>
  <r>
    <n v="732.88"/>
    <x v="1"/>
  </r>
  <r>
    <n v="972.91"/>
    <x v="1"/>
  </r>
  <r>
    <n v="975.43"/>
    <x v="1"/>
  </r>
  <r>
    <n v="1108.43"/>
    <x v="1"/>
  </r>
  <r>
    <n v="2062.12"/>
    <x v="2"/>
  </r>
  <r>
    <n v="2451.2199999999998"/>
    <x v="2"/>
  </r>
  <r>
    <n v="3083.8"/>
    <x v="2"/>
  </r>
  <r>
    <n v="3398.37"/>
    <x v="2"/>
  </r>
  <r>
    <n v="106.3"/>
    <x v="0"/>
  </r>
  <r>
    <n v="166.04"/>
    <x v="0"/>
  </r>
  <r>
    <n v="504.76"/>
    <x v="0"/>
  </r>
  <r>
    <n v="527.64"/>
    <x v="0"/>
  </r>
  <r>
    <n v="538.04"/>
    <x v="0"/>
  </r>
  <r>
    <n v="758.92"/>
    <x v="1"/>
  </r>
  <r>
    <n v="759.33"/>
    <x v="1"/>
  </r>
  <r>
    <n v="968.94"/>
    <x v="1"/>
  </r>
  <r>
    <n v="1010.75"/>
    <x v="1"/>
  </r>
  <r>
    <n v="1028.46"/>
    <x v="1"/>
  </r>
  <r>
    <n v="1217.71"/>
    <x v="1"/>
  </r>
  <r>
    <n v="1355.61"/>
    <x v="2"/>
  </r>
  <r>
    <n v="1564.76"/>
    <x v="2"/>
  </r>
  <r>
    <n v="1784.7"/>
    <x v="2"/>
  </r>
  <r>
    <n v="1823.04"/>
    <x v="2"/>
  </r>
  <r>
    <n v="1825.61"/>
    <x v="2"/>
  </r>
  <r>
    <n v="2206.63"/>
    <x v="2"/>
  </r>
  <r>
    <n v="2366.5100000000002"/>
    <x v="2"/>
  </r>
  <r>
    <n v="2503.79"/>
    <x v="2"/>
  </r>
  <r>
    <n v="2606.11"/>
    <x v="2"/>
  </r>
  <r>
    <n v="3204.5"/>
    <x v="2"/>
  </r>
  <r>
    <n v="42.56"/>
    <x v="0"/>
  </r>
  <r>
    <n v="278.35000000000002"/>
    <x v="0"/>
  </r>
  <r>
    <n v="550.07000000000005"/>
    <x v="0"/>
  </r>
  <r>
    <n v="602.91999999999996"/>
    <x v="0"/>
  </r>
  <r>
    <n v="790.61"/>
    <x v="1"/>
  </r>
  <r>
    <n v="902.47"/>
    <x v="1"/>
  </r>
  <r>
    <n v="908.3"/>
    <x v="1"/>
  </r>
  <r>
    <n v="1145.9000000000001"/>
    <x v="1"/>
  </r>
  <r>
    <n v="1349.94"/>
    <x v="2"/>
  </r>
  <r>
    <n v="1360.12"/>
    <x v="2"/>
  </r>
  <r>
    <n v="1395.56"/>
    <x v="2"/>
  </r>
  <r>
    <n v="1482.75"/>
    <x v="2"/>
  </r>
  <r>
    <n v="1711.16"/>
    <x v="2"/>
  </r>
  <r>
    <n v="2066.75"/>
    <x v="2"/>
  </r>
  <r>
    <n v="2105.5300000000002"/>
    <x v="2"/>
  </r>
  <r>
    <n v="2137.21"/>
    <x v="2"/>
  </r>
  <r>
    <n v="2562.5500000000002"/>
    <x v="2"/>
  </r>
  <r>
    <n v="3154.14"/>
    <x v="2"/>
  </r>
  <r>
    <n v="128.68"/>
    <x v="0"/>
  </r>
  <r>
    <n v="175.67"/>
    <x v="0"/>
  </r>
  <r>
    <n v="233.51"/>
    <x v="0"/>
  </r>
  <r>
    <n v="327.72"/>
    <x v="0"/>
  </r>
  <r>
    <n v="814.36"/>
    <x v="1"/>
  </r>
  <r>
    <n v="901.79"/>
    <x v="1"/>
  </r>
  <r>
    <n v="1009"/>
    <x v="1"/>
  </r>
  <r>
    <n v="1184.71"/>
    <x v="1"/>
  </r>
  <r>
    <n v="1330.85"/>
    <x v="2"/>
  </r>
  <r>
    <n v="1433.9"/>
    <x v="2"/>
  </r>
  <r>
    <n v="1493.53"/>
    <x v="2"/>
  </r>
  <r>
    <n v="1837.19"/>
    <x v="2"/>
  </r>
  <r>
    <n v="1841.9"/>
    <x v="2"/>
  </r>
  <r>
    <n v="1856.16"/>
    <x v="2"/>
  </r>
  <r>
    <n v="1860.41"/>
    <x v="2"/>
  </r>
  <r>
    <n v="1912.51"/>
    <x v="2"/>
  </r>
  <r>
    <n v="1997.19"/>
    <x v="2"/>
  </r>
  <r>
    <n v="2077.5"/>
    <x v="2"/>
  </r>
  <r>
    <n v="2629.75"/>
    <x v="2"/>
  </r>
  <r>
    <n v="2665.91"/>
    <x v="2"/>
  </r>
  <r>
    <n v="249.87"/>
    <x v="0"/>
  </r>
  <r>
    <n v="415.96"/>
    <x v="0"/>
  </r>
  <r>
    <n v="630.72"/>
    <x v="1"/>
  </r>
  <r>
    <n v="776.46"/>
    <x v="1"/>
  </r>
  <r>
    <n v="873.75"/>
    <x v="1"/>
  </r>
  <r>
    <n v="1154.3399999999999"/>
    <x v="1"/>
  </r>
  <r>
    <n v="1175.25"/>
    <x v="1"/>
  </r>
  <r>
    <n v="1853.86"/>
    <x v="2"/>
  </r>
  <r>
    <n v="2636.6"/>
    <x v="2"/>
  </r>
  <r>
    <n v="2742.97"/>
    <x v="2"/>
  </r>
  <r>
    <n v="141.43"/>
    <x v="0"/>
  </r>
  <r>
    <n v="388.04"/>
    <x v="0"/>
  </r>
  <r>
    <n v="552.84"/>
    <x v="0"/>
  </r>
  <r>
    <n v="594.41999999999996"/>
    <x v="0"/>
  </r>
  <r>
    <n v="842.09"/>
    <x v="1"/>
  </r>
  <r>
    <n v="952.56"/>
    <x v="1"/>
  </r>
  <r>
    <n v="1100.0899999999999"/>
    <x v="1"/>
  </r>
  <r>
    <n v="1135.43"/>
    <x v="1"/>
  </r>
  <r>
    <n v="1337.69"/>
    <x v="2"/>
  </r>
  <r>
    <n v="1426.03"/>
    <x v="2"/>
  </r>
  <r>
    <n v="1437.06"/>
    <x v="2"/>
  </r>
  <r>
    <n v="1978.91"/>
    <x v="2"/>
  </r>
  <r>
    <n v="2077.69"/>
    <x v="2"/>
  </r>
  <r>
    <n v="2148.14"/>
    <x v="2"/>
  </r>
  <r>
    <n v="2281.7199999999998"/>
    <x v="2"/>
  </r>
  <r>
    <n v="2309.56"/>
    <x v="2"/>
  </r>
  <r>
    <n v="2755.04"/>
    <x v="2"/>
  </r>
  <r>
    <n v="2778.74"/>
    <x v="2"/>
  </r>
  <r>
    <n v="57.53"/>
    <x v="0"/>
  </r>
  <r>
    <n v="172.88"/>
    <x v="0"/>
  </r>
  <r>
    <n v="221.58"/>
    <x v="0"/>
  </r>
  <r>
    <n v="249.57"/>
    <x v="0"/>
  </r>
  <r>
    <n v="361.1"/>
    <x v="0"/>
  </r>
  <r>
    <n v="651.55999999999995"/>
    <x v="1"/>
  </r>
  <r>
    <n v="824.26"/>
    <x v="1"/>
  </r>
  <r>
    <n v="996.36"/>
    <x v="1"/>
  </r>
  <r>
    <n v="1228.01"/>
    <x v="2"/>
  </r>
  <r>
    <n v="1242.1500000000001"/>
    <x v="2"/>
  </r>
  <r>
    <n v="1394.3"/>
    <x v="2"/>
  </r>
  <r>
    <n v="1617.85"/>
    <x v="2"/>
  </r>
  <r>
    <n v="1625.42"/>
    <x v="2"/>
  </r>
  <r>
    <n v="1658.92"/>
    <x v="2"/>
  </r>
  <r>
    <n v="1848.97"/>
    <x v="2"/>
  </r>
  <r>
    <n v="1870.89"/>
    <x v="2"/>
  </r>
  <r>
    <n v="1896.62"/>
    <x v="2"/>
  </r>
  <r>
    <n v="2125.44"/>
    <x v="2"/>
  </r>
  <r>
    <n v="2422.1"/>
    <x v="2"/>
  </r>
  <r>
    <n v="2530.81"/>
    <x v="2"/>
  </r>
  <r>
    <n v="2553.69"/>
    <x v="2"/>
  </r>
  <r>
    <n v="3472.81"/>
    <x v="2"/>
  </r>
  <r>
    <n v="3524"/>
    <x v="2"/>
  </r>
  <r>
    <n v="15.41"/>
    <x v="0"/>
  </r>
  <r>
    <n v="48.94"/>
    <x v="0"/>
  </r>
  <r>
    <n v="62.82"/>
    <x v="0"/>
  </r>
  <r>
    <n v="123.62"/>
    <x v="0"/>
  </r>
  <r>
    <n v="147.12"/>
    <x v="0"/>
  </r>
  <r>
    <n v="299.94"/>
    <x v="0"/>
  </r>
  <r>
    <n v="361.33"/>
    <x v="0"/>
  </r>
  <r>
    <n v="479.54"/>
    <x v="0"/>
  </r>
  <r>
    <n v="757.59"/>
    <x v="1"/>
  </r>
  <r>
    <n v="833.69"/>
    <x v="1"/>
  </r>
  <r>
    <n v="878.73"/>
    <x v="1"/>
  </r>
  <r>
    <n v="913.78"/>
    <x v="1"/>
  </r>
  <r>
    <n v="931.84"/>
    <x v="1"/>
  </r>
  <r>
    <n v="963.73"/>
    <x v="1"/>
  </r>
  <r>
    <n v="1290.29"/>
    <x v="2"/>
  </r>
  <r>
    <n v="1347.92"/>
    <x v="2"/>
  </r>
  <r>
    <n v="1568.83"/>
    <x v="2"/>
  </r>
  <r>
    <n v="2068.21"/>
    <x v="2"/>
  </r>
  <r>
    <n v="2210.94"/>
    <x v="2"/>
  </r>
  <r>
    <n v="2252.2399999999998"/>
    <x v="2"/>
  </r>
  <r>
    <n v="2462.77"/>
    <x v="2"/>
  </r>
  <r>
    <n v="2576.65"/>
    <x v="2"/>
  </r>
  <r>
    <n v="2580.5700000000002"/>
    <x v="2"/>
  </r>
  <r>
    <n v="2903.09"/>
    <x v="2"/>
  </r>
  <r>
    <n v="2905.06"/>
    <x v="2"/>
  </r>
  <r>
    <n v="3101.11"/>
    <x v="2"/>
  </r>
  <r>
    <n v="47.29"/>
    <x v="0"/>
  </r>
  <r>
    <n v="118.37"/>
    <x v="0"/>
  </r>
  <r>
    <n v="140.82"/>
    <x v="0"/>
  </r>
  <r>
    <n v="157.82"/>
    <x v="0"/>
  </r>
  <r>
    <n v="255.94"/>
    <x v="0"/>
  </r>
  <r>
    <n v="314.87"/>
    <x v="0"/>
  </r>
  <r>
    <n v="468.09"/>
    <x v="0"/>
  </r>
  <r>
    <n v="529.14"/>
    <x v="0"/>
  </r>
  <r>
    <n v="548.4"/>
    <x v="0"/>
  </r>
  <r>
    <n v="1002.11"/>
    <x v="1"/>
  </r>
  <r>
    <n v="1210.04"/>
    <x v="2"/>
  </r>
  <r>
    <n v="1217.43"/>
    <x v="2"/>
  </r>
  <r>
    <n v="1355.94"/>
    <x v="2"/>
  </r>
  <r>
    <n v="1808.26"/>
    <x v="2"/>
  </r>
  <r>
    <n v="1897.74"/>
    <x v="2"/>
  </r>
  <r>
    <n v="1921.51"/>
    <x v="2"/>
  </r>
  <r>
    <n v="1952.83"/>
    <x v="2"/>
  </r>
  <r>
    <n v="1994.67"/>
    <x v="2"/>
  </r>
  <r>
    <n v="2303.46"/>
    <x v="2"/>
  </r>
  <r>
    <n v="2726.62"/>
    <x v="2"/>
  </r>
  <r>
    <n v="4.22"/>
    <x v="0"/>
  </r>
  <r>
    <n v="12.69"/>
    <x v="0"/>
  </r>
  <r>
    <n v="151.88"/>
    <x v="0"/>
  </r>
  <r>
    <n v="258.52"/>
    <x v="0"/>
  </r>
  <r>
    <n v="333.48"/>
    <x v="0"/>
  </r>
  <r>
    <n v="464.05"/>
    <x v="0"/>
  </r>
  <r>
    <n v="571.89"/>
    <x v="0"/>
  </r>
  <r>
    <n v="608.9"/>
    <x v="0"/>
  </r>
  <r>
    <n v="628.54"/>
    <x v="1"/>
  </r>
  <r>
    <n v="815.19"/>
    <x v="1"/>
  </r>
  <r>
    <n v="927.51"/>
    <x v="1"/>
  </r>
  <r>
    <n v="956.49"/>
    <x v="1"/>
  </r>
  <r>
    <n v="1054.29"/>
    <x v="1"/>
  </r>
  <r>
    <n v="1118.43"/>
    <x v="1"/>
  </r>
  <r>
    <n v="1206.04"/>
    <x v="1"/>
  </r>
  <r>
    <n v="1269.4000000000001"/>
    <x v="2"/>
  </r>
  <r>
    <n v="1436.54"/>
    <x v="2"/>
  </r>
  <r>
    <n v="1481.45"/>
    <x v="2"/>
  </r>
  <r>
    <n v="1680.93"/>
    <x v="2"/>
  </r>
  <r>
    <n v="1731.75"/>
    <x v="2"/>
  </r>
  <r>
    <n v="1802.44"/>
    <x v="2"/>
  </r>
  <r>
    <n v="1911.89"/>
    <x v="2"/>
  </r>
  <r>
    <n v="2247.14"/>
    <x v="2"/>
  </r>
  <r>
    <n v="199.37"/>
    <x v="0"/>
  </r>
  <r>
    <n v="301.7"/>
    <x v="0"/>
  </r>
  <r>
    <n v="360.34"/>
    <x v="0"/>
  </r>
  <r>
    <n v="385.72"/>
    <x v="0"/>
  </r>
  <r>
    <n v="393.31"/>
    <x v="0"/>
  </r>
  <r>
    <n v="912.45"/>
    <x v="1"/>
  </r>
  <r>
    <n v="918.19"/>
    <x v="1"/>
  </r>
  <r>
    <n v="1159.3499999999999"/>
    <x v="1"/>
  </r>
  <r>
    <n v="1178.6199999999999"/>
    <x v="1"/>
  </r>
  <r>
    <n v="1234.0999999999999"/>
    <x v="2"/>
  </r>
  <r>
    <n v="1589.07"/>
    <x v="2"/>
  </r>
  <r>
    <n v="1620.6"/>
    <x v="2"/>
  </r>
  <r>
    <n v="2030.64"/>
    <x v="2"/>
  </r>
  <r>
    <n v="2050.87"/>
    <x v="2"/>
  </r>
  <r>
    <n v="3436.52"/>
    <x v="2"/>
  </r>
  <r>
    <n v="5.27"/>
    <x v="0"/>
  </r>
  <r>
    <n v="53.45"/>
    <x v="0"/>
  </r>
  <r>
    <n v="99.04"/>
    <x v="0"/>
  </r>
  <r>
    <n v="322.70999999999998"/>
    <x v="0"/>
  </r>
  <r>
    <n v="400.84"/>
    <x v="0"/>
  </r>
  <r>
    <n v="687.95"/>
    <x v="1"/>
  </r>
  <r>
    <n v="699.5"/>
    <x v="1"/>
  </r>
  <r>
    <n v="712.75"/>
    <x v="1"/>
  </r>
  <r>
    <n v="742.23"/>
    <x v="1"/>
  </r>
  <r>
    <n v="796.15"/>
    <x v="1"/>
  </r>
  <r>
    <n v="893.19"/>
    <x v="1"/>
  </r>
  <r>
    <n v="911.72"/>
    <x v="1"/>
  </r>
  <r>
    <n v="979.84"/>
    <x v="1"/>
  </r>
  <r>
    <n v="1242.8399999999999"/>
    <x v="2"/>
  </r>
  <r>
    <n v="1480.83"/>
    <x v="2"/>
  </r>
  <r>
    <n v="1735.41"/>
    <x v="2"/>
  </r>
  <r>
    <n v="1959.09"/>
    <x v="2"/>
  </r>
  <r>
    <n v="2115.19"/>
    <x v="2"/>
  </r>
  <r>
    <n v="2187.8000000000002"/>
    <x v="2"/>
  </r>
  <r>
    <n v="2197.23"/>
    <x v="2"/>
  </r>
  <r>
    <n v="2299.3000000000002"/>
    <x v="2"/>
  </r>
  <r>
    <n v="2821.36"/>
    <x v="2"/>
  </r>
  <r>
    <n v="3294.57"/>
    <x v="2"/>
  </r>
  <r>
    <n v="3589.89"/>
    <x v="2"/>
  </r>
  <r>
    <n v="4.37"/>
    <x v="0"/>
  </r>
  <r>
    <n v="356.55"/>
    <x v="0"/>
  </r>
  <r>
    <n v="537.39"/>
    <x v="0"/>
  </r>
  <r>
    <n v="587.95000000000005"/>
    <x v="0"/>
  </r>
  <r>
    <n v="741.92"/>
    <x v="1"/>
  </r>
  <r>
    <n v="1025.05"/>
    <x v="1"/>
  </r>
  <r>
    <n v="1045"/>
    <x v="1"/>
  </r>
  <r>
    <n v="1467.17"/>
    <x v="2"/>
  </r>
  <r>
    <n v="1511.71"/>
    <x v="2"/>
  </r>
  <r>
    <n v="1594.78"/>
    <x v="2"/>
  </r>
  <r>
    <n v="1646.43"/>
    <x v="2"/>
  </r>
  <r>
    <n v="1787.2"/>
    <x v="2"/>
  </r>
  <r>
    <n v="1795.17"/>
    <x v="2"/>
  </r>
  <r>
    <n v="1848.39"/>
    <x v="2"/>
  </r>
  <r>
    <n v="2095.73"/>
    <x v="2"/>
  </r>
  <r>
    <n v="2209.66"/>
    <x v="2"/>
  </r>
  <r>
    <n v="2210.17"/>
    <x v="2"/>
  </r>
  <r>
    <n v="2328.9"/>
    <x v="2"/>
  </r>
  <r>
    <n v="2583.02"/>
    <x v="2"/>
  </r>
  <r>
    <n v="3024.03"/>
    <x v="2"/>
  </r>
  <r>
    <n v="3062.01"/>
    <x v="2"/>
  </r>
  <r>
    <n v="3087.13"/>
    <x v="2"/>
  </r>
  <r>
    <n v="3230.35"/>
    <x v="2"/>
  </r>
  <r>
    <n v="83.57"/>
    <x v="0"/>
  </r>
  <r>
    <n v="454.42"/>
    <x v="0"/>
  </r>
  <r>
    <n v="495.19"/>
    <x v="0"/>
  </r>
  <r>
    <n v="511.03"/>
    <x v="0"/>
  </r>
  <r>
    <n v="548.89"/>
    <x v="0"/>
  </r>
  <r>
    <n v="621.02"/>
    <x v="1"/>
  </r>
  <r>
    <n v="703.62"/>
    <x v="1"/>
  </r>
  <r>
    <n v="728.69"/>
    <x v="1"/>
  </r>
  <r>
    <n v="771.12"/>
    <x v="1"/>
  </r>
  <r>
    <n v="824.81"/>
    <x v="1"/>
  </r>
  <r>
    <n v="887.9"/>
    <x v="1"/>
  </r>
  <r>
    <n v="997.2"/>
    <x v="1"/>
  </r>
  <r>
    <n v="1072.29"/>
    <x v="1"/>
  </r>
  <r>
    <n v="1111.8800000000001"/>
    <x v="1"/>
  </r>
  <r>
    <n v="1278.3"/>
    <x v="2"/>
  </r>
  <r>
    <n v="1405.07"/>
    <x v="2"/>
  </r>
  <r>
    <n v="1421.55"/>
    <x v="2"/>
  </r>
  <r>
    <n v="1435.54"/>
    <x v="2"/>
  </r>
  <r>
    <n v="2066.6"/>
    <x v="2"/>
  </r>
  <r>
    <n v="2182.31"/>
    <x v="2"/>
  </r>
  <r>
    <n v="2981.01"/>
    <x v="2"/>
  </r>
  <r>
    <n v="88.51"/>
    <x v="0"/>
  </r>
  <r>
    <n v="131.76"/>
    <x v="0"/>
  </r>
  <r>
    <n v="419.17"/>
    <x v="0"/>
  </r>
  <r>
    <n v="486.13"/>
    <x v="0"/>
  </r>
  <r>
    <n v="608.36"/>
    <x v="0"/>
  </r>
  <r>
    <n v="744.27"/>
    <x v="1"/>
  </r>
  <r>
    <n v="861.16"/>
    <x v="1"/>
  </r>
  <r>
    <n v="1086.68"/>
    <x v="1"/>
  </r>
  <r>
    <n v="1383.6"/>
    <x v="2"/>
  </r>
  <r>
    <n v="1455"/>
    <x v="2"/>
  </r>
  <r>
    <n v="2065.73"/>
    <x v="2"/>
  </r>
  <r>
    <n v="2375.37"/>
    <x v="2"/>
  </r>
  <r>
    <n v="2633.02"/>
    <x v="2"/>
  </r>
  <r>
    <n v="2757.54"/>
    <x v="2"/>
  </r>
  <r>
    <n v="2884.34"/>
    <x v="2"/>
  </r>
  <r>
    <n v="2941.2"/>
    <x v="2"/>
  </r>
  <r>
    <n v="244.13"/>
    <x v="0"/>
  </r>
  <r>
    <n v="758.23"/>
    <x v="1"/>
  </r>
  <r>
    <n v="899.83"/>
    <x v="1"/>
  </r>
  <r>
    <n v="979.42"/>
    <x v="1"/>
  </r>
  <r>
    <n v="1104.8"/>
    <x v="1"/>
  </r>
  <r>
    <n v="1201.47"/>
    <x v="1"/>
  </r>
  <r>
    <n v="1218.92"/>
    <x v="1"/>
  </r>
  <r>
    <n v="1374.72"/>
    <x v="2"/>
  </r>
  <r>
    <n v="1417.24"/>
    <x v="2"/>
  </r>
  <r>
    <n v="1503.96"/>
    <x v="2"/>
  </r>
  <r>
    <n v="1558.89"/>
    <x v="2"/>
  </r>
  <r>
    <n v="1814.06"/>
    <x v="2"/>
  </r>
  <r>
    <n v="2050.31"/>
    <x v="2"/>
  </r>
  <r>
    <n v="3661.07"/>
    <x v="2"/>
  </r>
  <r>
    <n v="188.3"/>
    <x v="0"/>
  </r>
  <r>
    <n v="206.88"/>
    <x v="0"/>
  </r>
  <r>
    <n v="441.74"/>
    <x v="0"/>
  </r>
  <r>
    <n v="656.66"/>
    <x v="1"/>
  </r>
  <r>
    <n v="995.47"/>
    <x v="1"/>
  </r>
  <r>
    <n v="998.76"/>
    <x v="1"/>
  </r>
  <r>
    <n v="1139.1500000000001"/>
    <x v="1"/>
  </r>
  <r>
    <n v="1254.95"/>
    <x v="2"/>
  </r>
  <r>
    <n v="1330.07"/>
    <x v="2"/>
  </r>
  <r>
    <n v="1424.74"/>
    <x v="2"/>
  </r>
  <r>
    <n v="1454.22"/>
    <x v="2"/>
  </r>
  <r>
    <n v="1634.86"/>
    <x v="2"/>
  </r>
  <r>
    <n v="1643.18"/>
    <x v="2"/>
  </r>
  <r>
    <n v="1766.55"/>
    <x v="2"/>
  </r>
  <r>
    <n v="1780.56"/>
    <x v="2"/>
  </r>
  <r>
    <n v="1791.37"/>
    <x v="2"/>
  </r>
  <r>
    <n v="2071.1"/>
    <x v="2"/>
  </r>
  <r>
    <n v="2132.19"/>
    <x v="2"/>
  </r>
  <r>
    <n v="2273.42"/>
    <x v="2"/>
  </r>
  <r>
    <n v="2545.81"/>
    <x v="2"/>
  </r>
  <r>
    <n v="2698.01"/>
    <x v="2"/>
  </r>
  <r>
    <n v="2789.61"/>
    <x v="2"/>
  </r>
  <r>
    <n v="2797.41"/>
    <x v="2"/>
  </r>
  <r>
    <n v="218.5"/>
    <x v="0"/>
  </r>
  <r>
    <n v="224.95"/>
    <x v="0"/>
  </r>
  <r>
    <n v="226.14"/>
    <x v="0"/>
  </r>
  <r>
    <n v="236.87"/>
    <x v="0"/>
  </r>
  <r>
    <n v="537.27"/>
    <x v="0"/>
  </r>
  <r>
    <n v="541.55999999999995"/>
    <x v="0"/>
  </r>
  <r>
    <n v="577.24"/>
    <x v="0"/>
  </r>
  <r>
    <n v="691.37"/>
    <x v="1"/>
  </r>
  <r>
    <n v="880.99"/>
    <x v="1"/>
  </r>
  <r>
    <n v="1020.69"/>
    <x v="1"/>
  </r>
  <r>
    <n v="1034.6600000000001"/>
    <x v="1"/>
  </r>
  <r>
    <n v="1559.19"/>
    <x v="2"/>
  </r>
  <r>
    <n v="2562.84"/>
    <x v="2"/>
  </r>
  <r>
    <n v="2691.45"/>
    <x v="2"/>
  </r>
  <r>
    <n v="3028.05"/>
    <x v="2"/>
  </r>
  <r>
    <n v="3104.71"/>
    <x v="2"/>
  </r>
  <r>
    <n v="124.25"/>
    <x v="0"/>
  </r>
  <r>
    <n v="334.28"/>
    <x v="0"/>
  </r>
  <r>
    <n v="433.88"/>
    <x v="0"/>
  </r>
  <r>
    <n v="602.34"/>
    <x v="1"/>
  </r>
  <r>
    <n v="619.51"/>
    <x v="1"/>
  </r>
  <r>
    <n v="625.04"/>
    <x v="1"/>
  </r>
  <r>
    <n v="700.12"/>
    <x v="1"/>
  </r>
  <r>
    <n v="754.24"/>
    <x v="1"/>
  </r>
  <r>
    <n v="819.06"/>
    <x v="1"/>
  </r>
  <r>
    <n v="907.59"/>
    <x v="1"/>
  </r>
  <r>
    <n v="1069.77"/>
    <x v="1"/>
  </r>
  <r>
    <n v="1109.92"/>
    <x v="1"/>
  </r>
  <r>
    <n v="1233.79"/>
    <x v="2"/>
  </r>
  <r>
    <n v="1325.96"/>
    <x v="2"/>
  </r>
  <r>
    <n v="1382.91"/>
    <x v="2"/>
  </r>
  <r>
    <n v="1432.8"/>
    <x v="2"/>
  </r>
  <r>
    <n v="1439.01"/>
    <x v="2"/>
  </r>
  <r>
    <n v="1529.14"/>
    <x v="2"/>
  </r>
  <r>
    <n v="1592.02"/>
    <x v="2"/>
  </r>
  <r>
    <n v="1650.75"/>
    <x v="2"/>
  </r>
  <r>
    <n v="1759.79"/>
    <x v="2"/>
  </r>
  <r>
    <n v="1938.33"/>
    <x v="2"/>
  </r>
  <r>
    <n v="2738.69"/>
    <x v="2"/>
  </r>
  <r>
    <n v="47.22"/>
    <x v="0"/>
  </r>
  <r>
    <n v="86.2"/>
    <x v="0"/>
  </r>
  <r>
    <n v="346.96"/>
    <x v="0"/>
  </r>
  <r>
    <n v="366.7"/>
    <x v="0"/>
  </r>
  <r>
    <n v="591.67999999999995"/>
    <x v="1"/>
  </r>
  <r>
    <n v="668.02"/>
    <x v="1"/>
  </r>
  <r>
    <n v="724.7"/>
    <x v="1"/>
  </r>
  <r>
    <n v="772.09"/>
    <x v="1"/>
  </r>
  <r>
    <n v="881.57"/>
    <x v="1"/>
  </r>
  <r>
    <n v="1004.34"/>
    <x v="1"/>
  </r>
  <r>
    <n v="1425.87"/>
    <x v="2"/>
  </r>
  <r>
    <n v="1465.29"/>
    <x v="2"/>
  </r>
  <r>
    <n v="1545.34"/>
    <x v="2"/>
  </r>
  <r>
    <n v="2101.5500000000002"/>
    <x v="2"/>
  </r>
  <r>
    <n v="45.98"/>
    <x v="0"/>
  </r>
  <r>
    <n v="118.17"/>
    <x v="0"/>
  </r>
  <r>
    <n v="538.79"/>
    <x v="0"/>
  </r>
  <r>
    <n v="727.22"/>
    <x v="1"/>
  </r>
  <r>
    <n v="956.7"/>
    <x v="1"/>
  </r>
  <r>
    <n v="1027.73"/>
    <x v="1"/>
  </r>
  <r>
    <n v="1388.31"/>
    <x v="2"/>
  </r>
  <r>
    <n v="1447.68"/>
    <x v="2"/>
  </r>
  <r>
    <n v="1696.35"/>
    <x v="2"/>
  </r>
  <r>
    <n v="1698.75"/>
    <x v="2"/>
  </r>
  <r>
    <n v="1905.42"/>
    <x v="2"/>
  </r>
  <r>
    <n v="1912.8"/>
    <x v="2"/>
  </r>
  <r>
    <n v="1982.18"/>
    <x v="2"/>
  </r>
  <r>
    <n v="2200.41"/>
    <x v="2"/>
  </r>
  <r>
    <n v="2253.42"/>
    <x v="2"/>
  </r>
  <r>
    <n v="2794.13"/>
    <x v="2"/>
  </r>
  <r>
    <n v="30.09"/>
    <x v="0"/>
  </r>
  <r>
    <n v="65.650000000000006"/>
    <x v="0"/>
  </r>
  <r>
    <n v="84.9"/>
    <x v="0"/>
  </r>
  <r>
    <n v="318.17"/>
    <x v="0"/>
  </r>
  <r>
    <n v="395.61"/>
    <x v="0"/>
  </r>
  <r>
    <n v="852.54"/>
    <x v="1"/>
  </r>
  <r>
    <n v="1310.29"/>
    <x v="2"/>
  </r>
  <r>
    <n v="1318.37"/>
    <x v="2"/>
  </r>
  <r>
    <n v="1467.17"/>
    <x v="2"/>
  </r>
  <r>
    <n v="1543.76"/>
    <x v="2"/>
  </r>
  <r>
    <n v="1588.53"/>
    <x v="2"/>
  </r>
  <r>
    <n v="1595.52"/>
    <x v="2"/>
  </r>
  <r>
    <n v="2015.99"/>
    <x v="2"/>
  </r>
  <r>
    <n v="2145.17"/>
    <x v="2"/>
  </r>
  <r>
    <n v="2210.4"/>
    <x v="2"/>
  </r>
  <r>
    <n v="2322.6999999999998"/>
    <x v="2"/>
  </r>
  <r>
    <n v="2858.93"/>
    <x v="2"/>
  </r>
  <r>
    <n v="3197.47"/>
    <x v="2"/>
  </r>
  <r>
    <n v="30.66"/>
    <x v="0"/>
  </r>
  <r>
    <n v="10.18"/>
    <x v="0"/>
  </r>
  <r>
    <n v="462.61"/>
    <x v="0"/>
  </r>
  <r>
    <n v="485.86"/>
    <x v="0"/>
  </r>
  <r>
    <n v="523.01"/>
    <x v="0"/>
  </r>
  <r>
    <n v="755.87"/>
    <x v="1"/>
  </r>
  <r>
    <n v="839.04"/>
    <x v="1"/>
  </r>
  <r>
    <n v="1251.21"/>
    <x v="2"/>
  </r>
  <r>
    <n v="1533.95"/>
    <x v="2"/>
  </r>
  <r>
    <n v="1667.82"/>
    <x v="2"/>
  </r>
  <r>
    <n v="1794.07"/>
    <x v="2"/>
  </r>
  <r>
    <n v="2001.17"/>
    <x v="2"/>
  </r>
  <r>
    <n v="2055.2399999999998"/>
    <x v="2"/>
  </r>
  <r>
    <n v="2089.16"/>
    <x v="2"/>
  </r>
  <r>
    <n v="2331.48"/>
    <x v="2"/>
  </r>
  <r>
    <n v="2763.95"/>
    <x v="2"/>
  </r>
  <r>
    <n v="3149.13"/>
    <x v="2"/>
  </r>
  <r>
    <n v="33.659999999999997"/>
    <x v="0"/>
  </r>
  <r>
    <n v="122.74"/>
    <x v="0"/>
  </r>
  <r>
    <n v="242.29"/>
    <x v="0"/>
  </r>
  <r>
    <n v="284.23"/>
    <x v="0"/>
  </r>
  <r>
    <n v="290.33"/>
    <x v="0"/>
  </r>
  <r>
    <n v="546.42999999999995"/>
    <x v="0"/>
  </r>
  <r>
    <n v="572.71"/>
    <x v="0"/>
  </r>
  <r>
    <n v="631.78"/>
    <x v="1"/>
  </r>
  <r>
    <n v="701.95"/>
    <x v="1"/>
  </r>
  <r>
    <n v="845.97"/>
    <x v="1"/>
  </r>
  <r>
    <n v="921.62"/>
    <x v="1"/>
  </r>
  <r>
    <n v="984.36"/>
    <x v="1"/>
  </r>
  <r>
    <n v="1040.0999999999999"/>
    <x v="1"/>
  </r>
  <r>
    <n v="1444.72"/>
    <x v="2"/>
  </r>
  <r>
    <n v="1631.04"/>
    <x v="2"/>
  </r>
  <r>
    <n v="1737.9"/>
    <x v="2"/>
  </r>
  <r>
    <n v="2074.34"/>
    <x v="2"/>
  </r>
  <r>
    <n v="2383.41"/>
    <x v="2"/>
  </r>
  <r>
    <n v="2764.65"/>
    <x v="2"/>
  </r>
  <r>
    <n v="3149.21"/>
    <x v="2"/>
  </r>
  <r>
    <n v="3469.7"/>
    <x v="2"/>
  </r>
  <r>
    <n v="495.19"/>
    <x v="0"/>
  </r>
  <r>
    <n v="496.2"/>
    <x v="0"/>
  </r>
  <r>
    <n v="731.29"/>
    <x v="1"/>
  </r>
  <r>
    <n v="813.51"/>
    <x v="1"/>
  </r>
  <r>
    <n v="845.55"/>
    <x v="1"/>
  </r>
  <r>
    <n v="901.48"/>
    <x v="1"/>
  </r>
  <r>
    <n v="978.09"/>
    <x v="1"/>
  </r>
  <r>
    <n v="1093.3900000000001"/>
    <x v="1"/>
  </r>
  <r>
    <n v="1145.67"/>
    <x v="1"/>
  </r>
  <r>
    <n v="1224.72"/>
    <x v="2"/>
  </r>
  <r>
    <n v="1246.4100000000001"/>
    <x v="2"/>
  </r>
  <r>
    <n v="1285.0899999999999"/>
    <x v="2"/>
  </r>
  <r>
    <n v="1319.04"/>
    <x v="2"/>
  </r>
  <r>
    <n v="1679.42"/>
    <x v="2"/>
  </r>
  <r>
    <n v="1972.38"/>
    <x v="2"/>
  </r>
  <r>
    <n v="1982.98"/>
    <x v="2"/>
  </r>
  <r>
    <n v="2193.13"/>
    <x v="2"/>
  </r>
  <r>
    <n v="2318.7399999999998"/>
    <x v="2"/>
  </r>
  <r>
    <n v="2397.3000000000002"/>
    <x v="2"/>
  </r>
  <r>
    <n v="2529.15"/>
    <x v="2"/>
  </r>
  <r>
    <n v="2783.12"/>
    <x v="2"/>
  </r>
  <r>
    <n v="28.69"/>
    <x v="0"/>
  </r>
  <r>
    <n v="45.19"/>
    <x v="0"/>
  </r>
  <r>
    <n v="213.06"/>
    <x v="0"/>
  </r>
  <r>
    <n v="411.18"/>
    <x v="0"/>
  </r>
  <r>
    <n v="571.9"/>
    <x v="1"/>
  </r>
  <r>
    <n v="679.35"/>
    <x v="1"/>
  </r>
  <r>
    <n v="868.62"/>
    <x v="1"/>
  </r>
  <r>
    <n v="947.77"/>
    <x v="1"/>
  </r>
  <r>
    <n v="987.24"/>
    <x v="1"/>
  </r>
  <r>
    <n v="1116.5999999999999"/>
    <x v="1"/>
  </r>
  <r>
    <n v="1240.31"/>
    <x v="2"/>
  </r>
  <r>
    <n v="1300.58"/>
    <x v="2"/>
  </r>
  <r>
    <n v="1344.05"/>
    <x v="2"/>
  </r>
  <r>
    <n v="1456.81"/>
    <x v="2"/>
  </r>
  <r>
    <n v="1712.03"/>
    <x v="2"/>
  </r>
  <r>
    <n v="1793.08"/>
    <x v="2"/>
  </r>
  <r>
    <n v="1932.42"/>
    <x v="2"/>
  </r>
  <r>
    <n v="2439.33"/>
    <x v="2"/>
  </r>
  <r>
    <n v="2552.2199999999998"/>
    <x v="2"/>
  </r>
  <r>
    <n v="2777.35"/>
    <x v="2"/>
  </r>
  <r>
    <n v="3131.37"/>
    <x v="2"/>
  </r>
  <r>
    <n v="194.62"/>
    <x v="0"/>
  </r>
  <r>
    <n v="275.07"/>
    <x v="0"/>
  </r>
  <r>
    <n v="527.48"/>
    <x v="0"/>
  </r>
  <r>
    <n v="564.26"/>
    <x v="1"/>
  </r>
  <r>
    <n v="666.41"/>
    <x v="1"/>
  </r>
  <r>
    <n v="754.22"/>
    <x v="1"/>
  </r>
  <r>
    <n v="876.81"/>
    <x v="1"/>
  </r>
  <r>
    <n v="886.22"/>
    <x v="1"/>
  </r>
  <r>
    <n v="1112.81"/>
    <x v="1"/>
  </r>
  <r>
    <n v="1118.56"/>
    <x v="1"/>
  </r>
  <r>
    <n v="1269.78"/>
    <x v="2"/>
  </r>
  <r>
    <n v="1580.97"/>
    <x v="2"/>
  </r>
  <r>
    <n v="1590.36"/>
    <x v="2"/>
  </r>
  <r>
    <n v="1651.14"/>
    <x v="2"/>
  </r>
  <r>
    <n v="2120.4"/>
    <x v="2"/>
  </r>
  <r>
    <n v="2250.81"/>
    <x v="2"/>
  </r>
  <r>
    <n v="2657.84"/>
    <x v="2"/>
  </r>
  <r>
    <n v="2949.62"/>
    <x v="2"/>
  </r>
  <r>
    <n v="3036.87"/>
    <x v="2"/>
  </r>
  <r>
    <n v="3144.1"/>
    <x v="2"/>
  </r>
  <r>
    <n v="41.9"/>
    <x v="0"/>
  </r>
  <r>
    <n v="111.29"/>
    <x v="0"/>
  </r>
  <r>
    <n v="284.43"/>
    <x v="0"/>
  </r>
  <r>
    <n v="334.19"/>
    <x v="0"/>
  </r>
  <r>
    <n v="347.9"/>
    <x v="0"/>
  </r>
  <r>
    <n v="496.52"/>
    <x v="0"/>
  </r>
  <r>
    <n v="523"/>
    <x v="0"/>
  </r>
  <r>
    <n v="545.72"/>
    <x v="0"/>
  </r>
  <r>
    <n v="605.23"/>
    <x v="1"/>
  </r>
  <r>
    <n v="694.78"/>
    <x v="1"/>
  </r>
  <r>
    <n v="967.25"/>
    <x v="1"/>
  </r>
  <r>
    <n v="973.04"/>
    <x v="1"/>
  </r>
  <r>
    <n v="1044.1400000000001"/>
    <x v="1"/>
  </r>
  <r>
    <n v="1276.67"/>
    <x v="2"/>
  </r>
  <r>
    <n v="1382.31"/>
    <x v="2"/>
  </r>
  <r>
    <n v="1503.53"/>
    <x v="2"/>
  </r>
  <r>
    <n v="1843.51"/>
    <x v="2"/>
  </r>
  <r>
    <n v="1913.76"/>
    <x v="2"/>
  </r>
  <r>
    <n v="1921.65"/>
    <x v="2"/>
  </r>
  <r>
    <n v="2296.25"/>
    <x v="2"/>
  </r>
  <r>
    <n v="2433.34"/>
    <x v="2"/>
  </r>
  <r>
    <n v="2513.5100000000002"/>
    <x v="2"/>
  </r>
  <r>
    <n v="2717.15"/>
    <x v="2"/>
  </r>
  <r>
    <n v="3342.11"/>
    <x v="2"/>
  </r>
  <r>
    <n v="6.28"/>
    <x v="0"/>
  </r>
  <r>
    <n v="39.74"/>
    <x v="0"/>
  </r>
  <r>
    <n v="44.57"/>
    <x v="0"/>
  </r>
  <r>
    <n v="67.040000000000006"/>
    <x v="0"/>
  </r>
  <r>
    <n v="165.7"/>
    <x v="0"/>
  </r>
  <r>
    <n v="213.32"/>
    <x v="0"/>
  </r>
  <r>
    <n v="227.45"/>
    <x v="0"/>
  </r>
  <r>
    <n v="250.73"/>
    <x v="0"/>
  </r>
  <r>
    <n v="289.92"/>
    <x v="0"/>
  </r>
  <r>
    <n v="413.34"/>
    <x v="0"/>
  </r>
  <r>
    <n v="492.18"/>
    <x v="0"/>
  </r>
  <r>
    <n v="568.29"/>
    <x v="0"/>
  </r>
  <r>
    <n v="620.92999999999995"/>
    <x v="0"/>
  </r>
  <r>
    <n v="932.29"/>
    <x v="1"/>
  </r>
  <r>
    <n v="977.38"/>
    <x v="1"/>
  </r>
  <r>
    <n v="1075.3"/>
    <x v="1"/>
  </r>
  <r>
    <n v="1125.99"/>
    <x v="1"/>
  </r>
  <r>
    <n v="1135.99"/>
    <x v="1"/>
  </r>
  <r>
    <n v="1244.08"/>
    <x v="1"/>
  </r>
  <r>
    <n v="1284.3"/>
    <x v="1"/>
  </r>
  <r>
    <n v="1299.02"/>
    <x v="1"/>
  </r>
  <r>
    <n v="1624.67"/>
    <x v="2"/>
  </r>
  <r>
    <n v="1666.18"/>
    <x v="2"/>
  </r>
  <r>
    <n v="1996.81"/>
    <x v="2"/>
  </r>
  <r>
    <n v="3275"/>
    <x v="2"/>
  </r>
  <r>
    <n v="309.47000000000003"/>
    <x v="0"/>
  </r>
  <r>
    <n v="826.47"/>
    <x v="0"/>
  </r>
  <r>
    <n v="891.73"/>
    <x v="1"/>
  </r>
  <r>
    <n v="951.51"/>
    <x v="1"/>
  </r>
  <r>
    <n v="970.27"/>
    <x v="1"/>
  </r>
  <r>
    <n v="1186.26"/>
    <x v="1"/>
  </r>
  <r>
    <n v="1321.85"/>
    <x v="1"/>
  </r>
  <r>
    <n v="1343.64"/>
    <x v="1"/>
  </r>
  <r>
    <n v="1395.64"/>
    <x v="1"/>
  </r>
  <r>
    <n v="1455.91"/>
    <x v="2"/>
  </r>
  <r>
    <n v="1667.44"/>
    <x v="2"/>
  </r>
  <r>
    <n v="1678.14"/>
    <x v="2"/>
  </r>
  <r>
    <n v="2201.54"/>
    <x v="2"/>
  </r>
  <r>
    <n v="2751.84"/>
    <x v="2"/>
  </r>
  <r>
    <n v="70.599999999999994"/>
    <x v="0"/>
  </r>
  <r>
    <n v="113.08"/>
    <x v="0"/>
  </r>
  <r>
    <n v="391.15"/>
    <x v="0"/>
  </r>
  <r>
    <n v="434.72"/>
    <x v="0"/>
  </r>
  <r>
    <n v="434.8"/>
    <x v="0"/>
  </r>
  <r>
    <n v="501.31"/>
    <x v="0"/>
  </r>
  <r>
    <n v="601.49"/>
    <x v="0"/>
  </r>
  <r>
    <n v="699.47"/>
    <x v="0"/>
  </r>
  <r>
    <n v="745.38"/>
    <x v="0"/>
  </r>
  <r>
    <n v="850.8"/>
    <x v="0"/>
  </r>
  <r>
    <n v="927.93"/>
    <x v="0"/>
  </r>
  <r>
    <n v="962.51"/>
    <x v="0"/>
  </r>
  <r>
    <n v="1088.2"/>
    <x v="0"/>
  </r>
  <r>
    <n v="1229.3399999999999"/>
    <x v="0"/>
  </r>
  <r>
    <n v="1397.05"/>
    <x v="0"/>
  </r>
  <r>
    <n v="1404.33"/>
    <x v="0"/>
  </r>
  <r>
    <n v="1431.37"/>
    <x v="0"/>
  </r>
  <r>
    <n v="1571.66"/>
    <x v="0"/>
  </r>
  <r>
    <n v="1645.48"/>
    <x v="0"/>
  </r>
  <r>
    <n v="1880.15"/>
    <x v="0"/>
  </r>
  <r>
    <n v="2323.87"/>
    <x v="0"/>
  </r>
  <r>
    <n v="2446.56"/>
    <x v="0"/>
  </r>
  <r>
    <n v="2484.9899999999998"/>
    <x v="0"/>
  </r>
  <r>
    <n v="2645.23"/>
    <x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1">
  <r>
    <s v="ORD-2025-667201"/>
    <d v="2025-09-15T00:00:00"/>
    <d v="2025-09-18T00:00:00"/>
    <x v="0"/>
    <x v="0"/>
    <x v="0"/>
    <s v="Non-Profit"/>
    <s v="Direct"/>
    <s v="L. Okafor"/>
    <s v="Accessories"/>
    <s v="ACC-6777"/>
    <n v="5.5"/>
    <n v="5.92"/>
    <n v="5.92"/>
    <s v="Low"/>
    <n v="0.21199999999999999"/>
    <n v="0.21199999999999999"/>
    <n v="4"/>
    <s v="OK"/>
    <d v="2025-09-18T00:00:00"/>
    <n v="3"/>
    <n v="18.659839999999999"/>
    <n v="22"/>
    <n v="-3.3401600000000009"/>
    <n v="-0.17900260666758133"/>
    <s v="Q3-2025"/>
    <s v="Accessories"/>
    <s v="Accessories"/>
    <x v="0"/>
    <s v="On-time"/>
    <n v="0.2"/>
    <n v="6.0500000000000007"/>
    <n v="4.4000000000000004"/>
    <n v="20.838400000000004"/>
    <n v="26.620000000000005"/>
    <n v="-5.781600000000001"/>
  </r>
  <r>
    <s v="ORD-2025-840976"/>
    <d v="2025-09-01T00:00:00"/>
    <d v="2025-09-30T00:00:00"/>
    <x v="0"/>
    <x v="0"/>
    <x v="1"/>
    <s v="Education"/>
    <s v="Retail"/>
    <s v="K. Singh"/>
    <s v="Accessories"/>
    <s v="ACC-1663"/>
    <n v="780.59"/>
    <n v="631.57000000000005"/>
    <n v="631.57000000000005"/>
    <s v="Middle"/>
    <n v="0"/>
    <n v="0"/>
    <n v="12"/>
    <s v="OK"/>
    <d v="2025-09-30T00:00:00"/>
    <n v="29"/>
    <n v="7578.84"/>
    <n v="9367.08"/>
    <n v="-1788.2399999999998"/>
    <n v="-0.23595167598207639"/>
    <s v="Q3-2025"/>
    <s v="Accessories"/>
    <s v="Accessories"/>
    <x v="1"/>
    <s v="Late"/>
    <n v="0"/>
    <n v="858.64900000000011"/>
    <n v="13.200000000000001"/>
    <n v="8336.724000000002"/>
    <n v="11334.166800000003"/>
    <n v="-2997.4428000000007"/>
  </r>
  <r>
    <s v="ORD-2025-244832"/>
    <d v="2025-09-11T00:00:00"/>
    <d v="2025-09-28T00:00:00"/>
    <x v="1"/>
    <x v="1"/>
    <x v="2"/>
    <s v="Non-Profit"/>
    <s v="Distributor"/>
    <s v="J. Njeri"/>
    <s v="Laptops"/>
    <s v="LAP-3278"/>
    <n v="891.46"/>
    <n v="728.61"/>
    <n v="728.61"/>
    <s v="Middle"/>
    <n v="0.185"/>
    <n v="0.185"/>
    <n v="6"/>
    <s v="OK"/>
    <d v="2025-09-28T00:00:00"/>
    <n v="17"/>
    <n v="3562.9028999999996"/>
    <n v="5348.76"/>
    <n v="-1785.8571000000006"/>
    <n v="-0.50123653383874167"/>
    <s v="Q3-2025"/>
    <s v="Laptops"/>
    <s v="Laptops"/>
    <x v="1"/>
    <s v="Late"/>
    <n v="0.185"/>
    <n v="980.60600000000011"/>
    <n v="6.6000000000000005"/>
    <n v="3919.1931900000004"/>
    <n v="6471.999600000001"/>
    <n v="-2552.8064100000006"/>
  </r>
  <r>
    <s v="ORD-2025-737787"/>
    <d v="2025-09-14T00:00:00"/>
    <d v="2025-09-26T00:00:00"/>
    <x v="2"/>
    <x v="2"/>
    <x v="3"/>
    <s v="Small Business"/>
    <s v="Direct"/>
    <s v="N. Brown"/>
    <s v="Networking"/>
    <s v="NET-9003"/>
    <n v="425.15"/>
    <n v="885.92"/>
    <n v="885.92"/>
    <s v="Middle"/>
    <n v="0.23899999999999999"/>
    <n v="0.23899999999999999"/>
    <n v="13"/>
    <s v="OK"/>
    <d v="2025-09-26T00:00:00"/>
    <n v="12"/>
    <n v="8764.4065599999994"/>
    <n v="5526.95"/>
    <n v="3237.4565599999996"/>
    <n v="0.3693868532725848"/>
    <s v="Q3-2025"/>
    <s v="Networking"/>
    <s v="Networking"/>
    <x v="0"/>
    <s v="Late"/>
    <n v="0.2"/>
    <n v="467.66500000000002"/>
    <n v="14.3"/>
    <n v="10134.924800000001"/>
    <n v="6687.6095000000005"/>
    <n v="3447.3153000000002"/>
  </r>
  <r>
    <s v="ORD-2025-898022"/>
    <d v="2025-09-02T00:00:00"/>
    <d v="2025-09-11T00:00:00"/>
    <x v="0"/>
    <x v="3"/>
    <x v="4"/>
    <s v="Corporate"/>
    <s v="Distributor"/>
    <s v="M. Rossi"/>
    <s v="Printers"/>
    <s v="PRN-1276"/>
    <n v="1207.6300000000001"/>
    <n v="921.68"/>
    <n v="921.68"/>
    <s v="Middle"/>
    <n v="0.19600000000000001"/>
    <n v="0.19600000000000001"/>
    <n v="17"/>
    <s v="OK"/>
    <d v="2025-09-11T00:00:00"/>
    <n v="9"/>
    <n v="12597.52224"/>
    <n v="20529.710000000003"/>
    <n v="-7932.1877600000025"/>
    <n v="-0.62966253274897988"/>
    <s v="Q3-2025"/>
    <s v="Printers"/>
    <s v="Printers"/>
    <x v="1"/>
    <s v="Late"/>
    <n v="0.19600000000000001"/>
    <n v="1328.3930000000003"/>
    <n v="18.700000000000003"/>
    <n v="13857.274464000002"/>
    <n v="24840.949100000009"/>
    <n v="-10983.674636000007"/>
  </r>
  <r>
    <s v="ORD-2025-725646"/>
    <d v="2025-09-10T00:00:00"/>
    <d v="2025-09-30T00:00:00"/>
    <x v="1"/>
    <x v="1"/>
    <x v="5"/>
    <s v="Corporate"/>
    <s v="Direct"/>
    <s v="L. Okafor"/>
    <s v="Phones"/>
    <s v="PHN-6954"/>
    <n v="1009.48"/>
    <n v="1088.81"/>
    <n v="1088.81"/>
    <s v="Middle"/>
    <n v="0.16"/>
    <n v="0.16"/>
    <n v="6"/>
    <s v="OK"/>
    <d v="2025-09-30T00:00:00"/>
    <n v="20"/>
    <n v="5487.6023999999998"/>
    <n v="6056.88"/>
    <n v="-569.27760000000035"/>
    <n v="-0.10373885688219693"/>
    <s v="Q3-2025"/>
    <s v="Phones"/>
    <s v="Phones"/>
    <x v="1"/>
    <s v="Late"/>
    <n v="0.16"/>
    <n v="1110.4280000000001"/>
    <n v="6.6000000000000005"/>
    <n v="6036.3626400000003"/>
    <n v="7328.8248000000012"/>
    <n v="-1292.4621600000009"/>
  </r>
  <r>
    <s v="ORD-2025-831576"/>
    <d v="2025-09-15T00:00:00"/>
    <d v="2025-09-25T00:00:00"/>
    <x v="3"/>
    <x v="4"/>
    <x v="6"/>
    <s v="Consumer"/>
    <s v="Retail"/>
    <s v="A. Patel"/>
    <s v="Phones"/>
    <s v="PHN-2859"/>
    <n v="1488.91"/>
    <n v="1483.74"/>
    <n v="1483.74"/>
    <s v="High"/>
    <n v="0.16800000000000001"/>
    <n v="0.16800000000000001"/>
    <n v="24"/>
    <s v="OK"/>
    <d v="2025-09-25T00:00:00"/>
    <n v="10"/>
    <n v="29627.320319999999"/>
    <n v="35733.840000000004"/>
    <n v="-6106.5196800000049"/>
    <n v="-0.20611110333450519"/>
    <s v="Q3-2025"/>
    <s v="Phones"/>
    <s v="Phones"/>
    <x v="1"/>
    <s v="Late"/>
    <n v="0.16800000000000001"/>
    <n v="1637.8010000000002"/>
    <n v="26.400000000000002"/>
    <n v="32590.052352000002"/>
    <n v="43237.946400000008"/>
    <n v="-10647.894048000006"/>
  </r>
  <r>
    <s v="ORD-2025-823055"/>
    <d v="2025-09-08T00:00:00"/>
    <d v="2025-10-05T00:00:00"/>
    <x v="0"/>
    <x v="0"/>
    <x v="0"/>
    <s v="Education"/>
    <s v="Online"/>
    <s v="C. Otieno"/>
    <s v="Monitors"/>
    <s v="MON-9274"/>
    <n v="660.78"/>
    <n v="1630.39"/>
    <n v="1630.39"/>
    <s v="High"/>
    <n v="0.218"/>
    <n v="0.218"/>
    <n v="13"/>
    <s v="OK"/>
    <d v="2025-10-05T00:00:00"/>
    <n v="27"/>
    <n v="16574.544740000001"/>
    <n v="8590.14"/>
    <n v="7984.4047400000018"/>
    <n v="0.48172694123724097"/>
    <s v="Q3-2025"/>
    <s v="Monitors"/>
    <s v="Monitors"/>
    <x v="0"/>
    <s v="Late"/>
    <n v="0.2"/>
    <n v="726.85800000000006"/>
    <n v="14.3"/>
    <n v="18651.661600000003"/>
    <n v="10394.069400000002"/>
    <n v="8257.592200000001"/>
  </r>
  <r>
    <s v="ORD-2025-248586"/>
    <d v="2025-09-12T00:00:00"/>
    <d v="2025-09-30T00:00:00"/>
    <x v="3"/>
    <x v="5"/>
    <x v="7"/>
    <s v="Non-Profit"/>
    <s v="Marketplace"/>
    <s v="F. Müller"/>
    <s v="Monitors"/>
    <s v="MON-2998"/>
    <n v="1212.99"/>
    <n v="1653.64"/>
    <n v="1653.64"/>
    <s v="High"/>
    <n v="0.107"/>
    <n v="0.107"/>
    <n v="8"/>
    <s v="OK"/>
    <d v="2025-09-30T00:00:00"/>
    <n v="18"/>
    <n v="11813.604160000001"/>
    <n v="9703.92"/>
    <n v="2109.6841600000007"/>
    <n v="0.17858090819931455"/>
    <s v="Q3-2025"/>
    <s v="Monitors"/>
    <s v="Monitors"/>
    <x v="1"/>
    <s v="Late"/>
    <n v="0.107"/>
    <n v="1334.2890000000002"/>
    <n v="8.8000000000000007"/>
    <n v="12994.964576000002"/>
    <n v="11741.743200000003"/>
    <n v="1253.2213759999995"/>
  </r>
  <r>
    <s v="ORD-2025-779574"/>
    <d v="2025-09-10T00:00:00"/>
    <d v="2025-09-12T00:00:00"/>
    <x v="3"/>
    <x v="5"/>
    <x v="8"/>
    <s v="Consumer"/>
    <s v="Online"/>
    <s v="O. Wang"/>
    <s v="Components"/>
    <s v="CMP-6971"/>
    <n v="1470.15"/>
    <n v="2593.7800000000002"/>
    <n v="2593.7800000000002"/>
    <s v="High"/>
    <n v="0.11"/>
    <n v="0.11"/>
    <n v="12"/>
    <s v="OK"/>
    <d v="2025-09-12T00:00:00"/>
    <n v="2"/>
    <n v="27701.570400000001"/>
    <n v="17641.800000000003"/>
    <n v="10059.770399999998"/>
    <n v="0.36314801849645306"/>
    <s v="Q3-2025"/>
    <s v="Components"/>
    <s v="Components"/>
    <x v="1"/>
    <s v="On-time"/>
    <n v="0.11"/>
    <n v="1617.1650000000002"/>
    <n v="13.200000000000001"/>
    <n v="30471.727440000006"/>
    <n v="21346.578000000005"/>
    <n v="9125.1494400000011"/>
  </r>
  <r>
    <s v="ORD-2025-233883"/>
    <d v="2025-09-08T00:00:00"/>
    <d v="2025-09-16T00:00:00"/>
    <x v="3"/>
    <x v="5"/>
    <x v="9"/>
    <s v="Corporate"/>
    <s v="Distributor"/>
    <s v="C. Otieno"/>
    <s v="Phones"/>
    <s v="PHN-1197"/>
    <n v="1225.57"/>
    <n v="2705.57"/>
    <n v="2705.57"/>
    <s v="High"/>
    <n v="0.183"/>
    <n v="0.183"/>
    <n v="16"/>
    <s v="OK"/>
    <d v="2025-09-16T00:00:00"/>
    <n v="8"/>
    <n v="35367.211040000002"/>
    <n v="19609.12"/>
    <n v="15758.091040000003"/>
    <n v="0.44555650775453404"/>
    <s v="Q3-2025"/>
    <s v="Phones"/>
    <s v="Phones"/>
    <x v="1"/>
    <s v="Late"/>
    <n v="0.183"/>
    <n v="1348.127"/>
    <n v="17.600000000000001"/>
    <n v="38903.932144000006"/>
    <n v="23727.035200000002"/>
    <n v="15176.896944000004"/>
  </r>
  <r>
    <s v="ORD-2025-588029"/>
    <d v="2025-09-14T00:00:00"/>
    <d v="2025-09-23T00:00:00"/>
    <x v="1"/>
    <x v="6"/>
    <x v="10"/>
    <s v="Non-Profit"/>
    <s v="Online"/>
    <s v="D. Smith"/>
    <s v="Components"/>
    <s v="CMP-6898"/>
    <n v="1310.3"/>
    <n v="2875.8"/>
    <n v="2875.8"/>
    <s v="High"/>
    <n v="8.3000000000000004E-2"/>
    <n v="8.3000000000000004E-2"/>
    <n v="5"/>
    <s v="OK"/>
    <d v="2025-09-23T00:00:00"/>
    <n v="9"/>
    <n v="13185.543"/>
    <n v="6551.5"/>
    <n v="6634.0429999999997"/>
    <n v="0.50313005691157353"/>
    <s v="Q3-2025"/>
    <s v="Components"/>
    <s v="Components"/>
    <x v="1"/>
    <s v="Late"/>
    <n v="8.3000000000000004E-2"/>
    <n v="1441.3300000000002"/>
    <n v="5.5"/>
    <n v="14504.097300000001"/>
    <n v="7927.3150000000005"/>
    <n v="6576.7823000000008"/>
  </r>
  <r>
    <s v="ORD-2024-207792"/>
    <d v="2024-09-03T00:00:00"/>
    <d v="2024-09-07T00:00:00"/>
    <x v="3"/>
    <x v="5"/>
    <x v="8"/>
    <s v="Small Business"/>
    <s v="Distributor"/>
    <s v="N. Brown"/>
    <s v="Printers"/>
    <s v="PRN-3917"/>
    <n v="43.23"/>
    <n v="94.78"/>
    <n v="94.78"/>
    <s v="Low"/>
    <n v="9.0999999999999998E-2"/>
    <n v="9.0999999999999998E-2"/>
    <n v="55"/>
    <s v="OK"/>
    <d v="2024-09-07T00:00:00"/>
    <n v="4"/>
    <n v="4738.5261"/>
    <n v="2377.6499999999996"/>
    <n v="2360.8761000000004"/>
    <n v="0.49823005090127082"/>
    <s v="Q3-2024"/>
    <s v="Printers"/>
    <s v="Printers"/>
    <x v="1"/>
    <s v="On-time"/>
    <n v="9.0999999999999998E-2"/>
    <n v="47.552999999999997"/>
    <n v="60.500000000000007"/>
    <n v="5212.3787100000009"/>
    <n v="2876.9565000000002"/>
    <n v="2335.4222100000006"/>
  </r>
  <r>
    <s v="ORD-2024-581530"/>
    <d v="2024-09-07T00:00:00"/>
    <d v="2024-09-18T00:00:00"/>
    <x v="3"/>
    <x v="7"/>
    <x v="11"/>
    <s v="Consumer"/>
    <s v="Distributor"/>
    <s v="O. Wang"/>
    <s v="Networking"/>
    <s v="NET-7998"/>
    <n v="181.74"/>
    <n v="190.84"/>
    <n v="190.84"/>
    <s v="Low"/>
    <n v="0.214"/>
    <n v="0.214"/>
    <n v="13"/>
    <s v="OK"/>
    <d v="2024-09-18T00:00:00"/>
    <n v="11"/>
    <n v="1950.0031200000001"/>
    <n v="2362.62"/>
    <n v="-412.61687999999981"/>
    <n v="-0.21159806144310159"/>
    <s v="Q3-2024"/>
    <s v="Networking"/>
    <s v="Networking"/>
    <x v="0"/>
    <s v="Late"/>
    <n v="0.2"/>
    <n v="199.91400000000002"/>
    <n v="14.3"/>
    <n v="2183.2096000000001"/>
    <n v="2858.7702000000004"/>
    <n v="-675.56060000000025"/>
  </r>
  <r>
    <s v="ORD-2024-423853"/>
    <d v="2024-09-03T00:00:00"/>
    <d v="2024-09-08T00:00:00"/>
    <x v="1"/>
    <x v="8"/>
    <x v="12"/>
    <s v="Small Business"/>
    <s v="Direct"/>
    <s v="K. Singh"/>
    <s v="Printers"/>
    <s v="PRN-1141"/>
    <n v="197.63"/>
    <n v="325.79000000000002"/>
    <n v="325.79000000000002"/>
    <s v="Low"/>
    <n v="0.11600000000000001"/>
    <n v="0.11600000000000001"/>
    <n v="10"/>
    <s v="OK"/>
    <d v="2024-09-08T00:00:00"/>
    <n v="5"/>
    <n v="2879.9836"/>
    <n v="1976.3"/>
    <n v="903.68360000000007"/>
    <n v="0.31378081458519419"/>
    <s v="Q3-2024"/>
    <s v="Printers"/>
    <s v="Printers"/>
    <x v="1"/>
    <s v="On-time"/>
    <n v="0.11600000000000001"/>
    <n v="217.393"/>
    <n v="11"/>
    <n v="3167.9819600000001"/>
    <n v="2391.3229999999999"/>
    <n v="776.65896000000021"/>
  </r>
  <r>
    <s v="ORD-2024-569164"/>
    <d v="2024-09-05T00:00:00"/>
    <d v="2024-09-25T00:00:00"/>
    <x v="3"/>
    <x v="5"/>
    <x v="9"/>
    <s v="Enterprise"/>
    <s v="Distributor"/>
    <s v="D. Smith"/>
    <s v="Monitors"/>
    <s v="MON-5249"/>
    <n v="195.54"/>
    <n v="405.97"/>
    <n v="405.97"/>
    <s v="Low"/>
    <n v="0.187"/>
    <n v="0.187"/>
    <n v="16"/>
    <s v="OK"/>
    <d v="2024-09-25T00:00:00"/>
    <n v="20"/>
    <n v="5280.8577599999999"/>
    <n v="3128.64"/>
    <n v="2152.21776"/>
    <n v="0.40755079152141377"/>
    <s v="Q3-2024"/>
    <s v="Monitors"/>
    <s v="Monitors"/>
    <x v="1"/>
    <s v="Late"/>
    <n v="0.187"/>
    <n v="215.09400000000002"/>
    <n v="17.600000000000001"/>
    <n v="5808.9435360000007"/>
    <n v="3785.6544000000008"/>
    <n v="2023.2891359999999"/>
  </r>
  <r>
    <s v="ORD-2024-777623"/>
    <d v="2024-09-19T00:00:00"/>
    <d v="2024-10-14T00:00:00"/>
    <x v="0"/>
    <x v="0"/>
    <x v="0"/>
    <s v="Small Business"/>
    <s v="Retail"/>
    <s v="K. Singh"/>
    <s v="Printers"/>
    <s v="PRN-2749"/>
    <n v="386.96"/>
    <n v="937.46"/>
    <n v="937.46"/>
    <s v="Middle"/>
    <n v="0.26600000000000001"/>
    <n v="0.26600000000000001"/>
    <n v="41"/>
    <s v="OK"/>
    <d v="2024-10-14T00:00:00"/>
    <n v="25"/>
    <n v="28211.92124"/>
    <n v="15865.359999999999"/>
    <n v="12346.561240000001"/>
    <n v="0.43763631462626335"/>
    <s v="Q3-2024"/>
    <s v="Printers"/>
    <s v="Printers"/>
    <x v="0"/>
    <s v="Late"/>
    <n v="0.2"/>
    <n v="425.65600000000001"/>
    <n v="45.1"/>
    <n v="33823.556800000006"/>
    <n v="19197.085600000002"/>
    <n v="14626.471200000004"/>
  </r>
  <r>
    <s v="ORD-2024-728474"/>
    <d v="2024-09-09T00:00:00"/>
    <d v="2024-09-13T00:00:00"/>
    <x v="2"/>
    <x v="2"/>
    <x v="3"/>
    <s v="Consumer"/>
    <s v="Marketplace"/>
    <s v="F. Müller"/>
    <s v="Networking"/>
    <s v="NET-1145"/>
    <n v="1133.08"/>
    <n v="976.17"/>
    <n v="976.17"/>
    <s v="Middle"/>
    <n v="4.2000000000000003E-2"/>
    <n v="4.2000000000000003E-2"/>
    <n v="27"/>
    <s v="OK"/>
    <d v="2024-09-13T00:00:00"/>
    <n v="4"/>
    <n v="25249.613219999999"/>
    <n v="30593.159999999996"/>
    <n v="-5343.5467799999969"/>
    <n v="-0.21162885678452373"/>
    <s v="Q3-2024"/>
    <s v="Networking"/>
    <s v="Networking"/>
    <x v="1"/>
    <s v="On-time"/>
    <n v="4.2000000000000003E-2"/>
    <n v="1246.3879999999999"/>
    <n v="29.700000000000003"/>
    <n v="27774.574541999998"/>
    <n v="37017.723599999998"/>
    <n v="-9243.1490579999991"/>
  </r>
  <r>
    <s v="ORD-2024-664046"/>
    <d v="2024-09-02T00:00:00"/>
    <d v="2024-09-08T00:00:00"/>
    <x v="0"/>
    <x v="9"/>
    <x v="13"/>
    <s v="Consumer"/>
    <s v="Direct"/>
    <s v="H. Kim"/>
    <s v="Components"/>
    <s v="CMP-7563"/>
    <n v="462.94"/>
    <n v="1015.7"/>
    <n v="1015.7"/>
    <s v="Middle"/>
    <n v="0.14299999999999999"/>
    <n v="0.14299999999999999"/>
    <n v="14"/>
    <s v="OK"/>
    <d v="2024-09-08T00:00:00"/>
    <n v="6"/>
    <n v="12186.368600000002"/>
    <n v="6481.16"/>
    <n v="5705.2086000000018"/>
    <n v="0.46816314090483041"/>
    <s v="Q3-2024"/>
    <s v="Components"/>
    <s v="Components"/>
    <x v="1"/>
    <s v="On-time"/>
    <n v="0.14299999999999999"/>
    <n v="509.23400000000004"/>
    <n v="15.400000000000002"/>
    <n v="13405.005460000002"/>
    <n v="7842.2036000000016"/>
    <n v="5562.8018600000005"/>
  </r>
  <r>
    <s v="ORD-2024-510520"/>
    <d v="2024-09-25T00:00:00"/>
    <d v="2024-10-03T00:00:00"/>
    <x v="0"/>
    <x v="3"/>
    <x v="4"/>
    <s v="Consumer"/>
    <s v="Online"/>
    <s v="E. Garcia"/>
    <s v="Printers"/>
    <s v="PRN-9557"/>
    <n v="558.19000000000005"/>
    <n v="1031.6400000000001"/>
    <n v="1031.6400000000001"/>
    <s v="Middle"/>
    <n v="0"/>
    <n v="0"/>
    <n v="21"/>
    <s v="OK"/>
    <d v="2024-10-03T00:00:00"/>
    <n v="8"/>
    <n v="21664.440000000002"/>
    <n v="11721.990000000002"/>
    <n v="9942.4500000000007"/>
    <n v="0.45892947152107322"/>
    <s v="Q3-2024"/>
    <s v="Printers"/>
    <s v="Printers"/>
    <x v="1"/>
    <s v="Late"/>
    <n v="0"/>
    <n v="614.00900000000013"/>
    <n v="23.1"/>
    <n v="23830.884000000005"/>
    <n v="14183.607900000005"/>
    <n v="9647.276100000001"/>
  </r>
  <r>
    <s v="ORD-2024-988736"/>
    <d v="2024-09-09T00:00:00"/>
    <d v="2024-10-01T00:00:00"/>
    <x v="3"/>
    <x v="7"/>
    <x v="14"/>
    <s v="Consumer"/>
    <s v="Direct"/>
    <s v="L. Okafor"/>
    <s v="Printers"/>
    <s v="PRN-3014"/>
    <n v="1166.18"/>
    <n v="1335.02"/>
    <n v="1335.02"/>
    <s v="High"/>
    <n v="0.128"/>
    <n v="0.128"/>
    <n v="6"/>
    <s v="OK"/>
    <d v="2024-10-01T00:00:00"/>
    <n v="22"/>
    <n v="6984.8246399999998"/>
    <n v="6997.08"/>
    <n v="-12.25536000000011"/>
    <n v="-1.7545694604582242E-3"/>
    <s v="Q3-2024"/>
    <s v="Printers"/>
    <s v="Printers"/>
    <x v="1"/>
    <s v="Late"/>
    <n v="0.128"/>
    <n v="1282.7980000000002"/>
    <n v="6.6000000000000005"/>
    <n v="7683.3071040000013"/>
    <n v="8466.466800000002"/>
    <n v="-783.15969600000062"/>
  </r>
  <r>
    <s v="ORD-2024-972999"/>
    <d v="2024-09-06T00:00:00"/>
    <d v="2024-10-04T00:00:00"/>
    <x v="1"/>
    <x v="6"/>
    <x v="15"/>
    <s v="Corporate"/>
    <s v="Marketplace"/>
    <s v="D. Smith"/>
    <s v="Monitors"/>
    <s v="MON-3504"/>
    <n v="1174.17"/>
    <n v="1641.61"/>
    <n v="1641.61"/>
    <s v="High"/>
    <n v="0.122"/>
    <n v="0.122"/>
    <n v="9"/>
    <s v="OK"/>
    <d v="2024-10-04T00:00:00"/>
    <n v="28"/>
    <n v="12972.00222"/>
    <n v="10567.53"/>
    <n v="2404.4722199999997"/>
    <n v="0.18535860380079394"/>
    <s v="Q3-2024"/>
    <s v="Monitors"/>
    <s v="Monitors"/>
    <x v="1"/>
    <s v="Late"/>
    <n v="0.122"/>
    <n v="1291.5870000000002"/>
    <n v="9.9"/>
    <n v="14269.202442"/>
    <n v="12786.711300000003"/>
    <n v="1482.4911419999971"/>
  </r>
  <r>
    <s v="ORD-2024-805860"/>
    <d v="2024-09-13T00:00:00"/>
    <d v="2024-10-02T00:00:00"/>
    <x v="1"/>
    <x v="1"/>
    <x v="5"/>
    <s v="Small Business"/>
    <s v="Retail"/>
    <s v="M. Rossi"/>
    <s v="Phones"/>
    <s v="PHN-8804"/>
    <n v="1338.99"/>
    <n v="1765.76"/>
    <n v="1765.76"/>
    <s v="High"/>
    <n v="0.126"/>
    <n v="0.126"/>
    <n v="24"/>
    <s v="OK"/>
    <d v="2024-10-02T00:00:00"/>
    <n v="19"/>
    <n v="37038.581760000001"/>
    <n v="32135.760000000002"/>
    <n v="4902.8217599999989"/>
    <n v="0.1323706666677725"/>
    <s v="Q3-2024"/>
    <s v="Phones"/>
    <s v="Phones"/>
    <x v="1"/>
    <s v="Late"/>
    <n v="0.126"/>
    <n v="1472.8890000000001"/>
    <n v="26.400000000000002"/>
    <n v="40742.439936000002"/>
    <n v="38884.269600000007"/>
    <n v="1858.1703359999956"/>
  </r>
  <r>
    <s v="ORD-2024-687100"/>
    <d v="2024-09-10T00:00:00"/>
    <d v="2024-10-07T00:00:00"/>
    <x v="1"/>
    <x v="1"/>
    <x v="16"/>
    <s v="Consumer"/>
    <s v="Retail"/>
    <s v="L. Okafor"/>
    <s v="Printers"/>
    <s v="PRN-6068"/>
    <n v="1248.3900000000001"/>
    <n v="1805.11"/>
    <n v="1805.11"/>
    <s v="High"/>
    <n v="0.20300000000000001"/>
    <n v="0.20300000000000001"/>
    <n v="11"/>
    <s v="OK"/>
    <d v="2024-10-07T00:00:00"/>
    <n v="27"/>
    <n v="15825.399369999997"/>
    <n v="13732.29"/>
    <n v="2093.1093699999965"/>
    <n v="0.13226265707820786"/>
    <s v="Q3-2024"/>
    <s v="Printers"/>
    <s v="Printers"/>
    <x v="0"/>
    <s v="Late"/>
    <n v="0.2"/>
    <n v="1373.2290000000003"/>
    <n v="12.100000000000001"/>
    <n v="17473.464800000002"/>
    <n v="16616.070900000006"/>
    <n v="857.39389999999548"/>
  </r>
  <r>
    <s v="ORD-2024-444710"/>
    <d v="2024-09-22T00:00:00"/>
    <d v="2024-10-01T00:00:00"/>
    <x v="0"/>
    <x v="0"/>
    <x v="17"/>
    <s v="Non-Profit"/>
    <s v="Online"/>
    <s v="K. Singh"/>
    <s v="Monitors"/>
    <s v="MON-6341"/>
    <n v="1378.8"/>
    <n v="1952.04"/>
    <n v="1952.04"/>
    <s v="High"/>
    <n v="0.159"/>
    <n v="0.159"/>
    <n v="19"/>
    <s v="OK"/>
    <d v="2024-10-01T00:00:00"/>
    <n v="9"/>
    <n v="31191.64716"/>
    <n v="26197.200000000001"/>
    <n v="4994.4471599999997"/>
    <n v="0.16012130216723058"/>
    <s v="Q3-2024"/>
    <s v="Monitors"/>
    <s v="Monitors"/>
    <x v="1"/>
    <s v="Late"/>
    <n v="0.159"/>
    <n v="1516.68"/>
    <n v="20.900000000000002"/>
    <n v="34310.811876000007"/>
    <n v="31698.612000000005"/>
    <n v="2612.1998760000024"/>
  </r>
  <r>
    <s v="ORD-2024-594527"/>
    <d v="2024-09-06T00:00:00"/>
    <d v="2024-09-04T00:00:00"/>
    <x v="3"/>
    <x v="5"/>
    <x v="9"/>
    <s v="Corporate"/>
    <s v="Direct"/>
    <s v="A. Patel"/>
    <s v="Laptops"/>
    <s v="LAP-4483"/>
    <n v="1368.17"/>
    <n v="2307.75"/>
    <n v="2307.75"/>
    <s v="High"/>
    <n v="0.16300000000000001"/>
    <n v="0.16300000000000001"/>
    <n v="21"/>
    <s v="Correct"/>
    <d v="2024-09-13T00:00:00"/>
    <n v="7"/>
    <n v="40563.321749999996"/>
    <n v="28731.57"/>
    <n v="11831.751749999996"/>
    <n v="0.29168596750831921"/>
    <s v="Q3-2024"/>
    <s v="Laptops"/>
    <s v="Laptops"/>
    <x v="1"/>
    <s v="On-time"/>
    <n v="0.16300000000000001"/>
    <n v="1504.9870000000003"/>
    <n v="23.1"/>
    <n v="44619.653924999999"/>
    <n v="34765.199700000012"/>
    <n v="9854.4542249999868"/>
  </r>
  <r>
    <s v="ORD-2024-438404"/>
    <d v="2024-09-23T00:00:00"/>
    <d v="2024-10-18T00:00:00"/>
    <x v="0"/>
    <x v="3"/>
    <x v="18"/>
    <s v="Small Business"/>
    <s v="Online"/>
    <s v="N. Brown"/>
    <s v="Phones"/>
    <s v="PHN-4568"/>
    <n v="1297"/>
    <n v="2411.52"/>
    <n v="2411.52"/>
    <s v="High"/>
    <n v="2.1000000000000001E-2"/>
    <n v="2.1000000000000001E-2"/>
    <n v="18"/>
    <s v="OK"/>
    <d v="2024-10-18T00:00:00"/>
    <n v="25"/>
    <n v="42495.805439999996"/>
    <n v="23346"/>
    <n v="19149.805439999996"/>
    <n v="0.45062813239385913"/>
    <s v="Q3-2024"/>
    <s v="Phones"/>
    <s v="Phones"/>
    <x v="1"/>
    <s v="Late"/>
    <n v="2.1000000000000001E-2"/>
    <n v="1426.7"/>
    <n v="19.8"/>
    <n v="46745.385984"/>
    <n v="28248.660000000003"/>
    <n v="18496.725983999997"/>
  </r>
  <r>
    <s v="ORD-2024-500890"/>
    <d v="2024-09-09T00:00:00"/>
    <d v="2024-10-08T00:00:00"/>
    <x v="0"/>
    <x v="0"/>
    <x v="17"/>
    <s v="Education"/>
    <s v="Direct"/>
    <s v="J. Njeri"/>
    <s v="Components"/>
    <s v="CMP-3093"/>
    <n v="1010.33"/>
    <n v="2492.14"/>
    <n v="2492.14"/>
    <s v="High"/>
    <n v="5.0999999999999997E-2"/>
    <n v="5.0999999999999997E-2"/>
    <n v="11"/>
    <s v="OK"/>
    <d v="2024-10-08T00:00:00"/>
    <n v="29"/>
    <n v="26015.449459999996"/>
    <n v="11113.630000000001"/>
    <n v="14901.819459999995"/>
    <n v="0.57280653493656752"/>
    <s v="Q3-2024"/>
    <s v="Components"/>
    <s v="Components"/>
    <x v="1"/>
    <s v="Late"/>
    <n v="5.0999999999999997E-2"/>
    <n v="1111.3630000000001"/>
    <n v="12.100000000000001"/>
    <n v="28616.994405999998"/>
    <n v="13447.492300000002"/>
    <n v="15169.502105999996"/>
  </r>
  <r>
    <s v="ORD-2024-862371"/>
    <d v="2024-09-07T00:00:00"/>
    <d v="2024-09-07T00:00:00"/>
    <x v="3"/>
    <x v="4"/>
    <x v="19"/>
    <s v="Education"/>
    <s v="Distributor"/>
    <s v="B. Chen"/>
    <s v="Networking"/>
    <s v="NET-9835"/>
    <n v="1066.6500000000001"/>
    <n v="2569.77"/>
    <n v="2569.77"/>
    <s v="High"/>
    <n v="0.13400000000000001"/>
    <n v="0.13400000000000001"/>
    <n v="9"/>
    <s v="OK"/>
    <d v="2024-09-07T00:00:00"/>
    <n v="0"/>
    <n v="20028.787380000002"/>
    <n v="9599.85"/>
    <n v="10428.937380000001"/>
    <n v="0.52069739331368348"/>
    <s v="Q3-2024"/>
    <s v="Networking"/>
    <s v="Networking"/>
    <x v="1"/>
    <s v="On-time"/>
    <n v="0.13400000000000001"/>
    <n v="1173.3150000000003"/>
    <n v="9.9"/>
    <n v="22031.666118000001"/>
    <n v="11615.818500000003"/>
    <n v="10415.847617999998"/>
  </r>
  <r>
    <s v="ORD-2024-771210"/>
    <d v="2024-09-14T00:00:00"/>
    <d v="2024-10-05T00:00:00"/>
    <x v="3"/>
    <x v="7"/>
    <x v="20"/>
    <s v="Small Business"/>
    <s v="Online"/>
    <s v="H. Kim"/>
    <s v="Laptops"/>
    <s v="LAP-5150"/>
    <n v="1405.56"/>
    <n v="2968.87"/>
    <n v="2968.87"/>
    <s v="High"/>
    <n v="0.16900000000000001"/>
    <n v="0.16900000000000001"/>
    <n v="5"/>
    <s v="OK"/>
    <d v="2024-10-05T00:00:00"/>
    <n v="21"/>
    <n v="12335.654849999999"/>
    <n v="7027.7999999999993"/>
    <n v="5307.8548499999997"/>
    <n v="0.4302856163327235"/>
    <s v="Q3-2024"/>
    <s v="Laptops"/>
    <s v="Laptops"/>
    <x v="1"/>
    <s v="Late"/>
    <n v="0.16900000000000001"/>
    <n v="1546.116"/>
    <n v="5.5"/>
    <n v="13569.220335"/>
    <n v="8503.637999999999"/>
    <n v="5065.582335000001"/>
  </r>
  <r>
    <s v="ORD-2023-271918"/>
    <d v="2023-09-25T00:00:00"/>
    <d v="2023-10-02T00:00:00"/>
    <x v="0"/>
    <x v="9"/>
    <x v="21"/>
    <s v="Education"/>
    <s v="Marketplace"/>
    <s v="I. Johnson"/>
    <s v="Accessories"/>
    <s v="ACC-3551"/>
    <n v="145.58000000000001"/>
    <n v="228.15"/>
    <n v="228.15"/>
    <s v="Low"/>
    <n v="0.20399999999999999"/>
    <n v="0.20399999999999999"/>
    <n v="5"/>
    <s v="OK"/>
    <d v="2023-10-02T00:00:00"/>
    <n v="7"/>
    <n v="908.03700000000003"/>
    <n v="727.90000000000009"/>
    <n v="180.13699999999994"/>
    <n v="0.19838068272548359"/>
    <s v="Q3-2023"/>
    <s v="Accessories"/>
    <s v="Accessories"/>
    <x v="0"/>
    <s v="On-time"/>
    <n v="0.2"/>
    <n v="160.13800000000003"/>
    <n v="5.5"/>
    <n v="1003.8600000000001"/>
    <n v="880.75900000000024"/>
    <n v="123.10099999999989"/>
  </r>
  <r>
    <s v="ORD-2023-755337"/>
    <d v="2023-09-08T00:00:00"/>
    <d v="2023-09-14T00:00:00"/>
    <x v="1"/>
    <x v="1"/>
    <x v="22"/>
    <s v="Education"/>
    <s v="Direct"/>
    <s v="I. Johnson"/>
    <s v="Accessories"/>
    <s v="ACC-4766"/>
    <n v="251.03"/>
    <n v="411.48"/>
    <n v="411.48"/>
    <s v="Low"/>
    <n v="0.16500000000000001"/>
    <n v="0.16500000000000001"/>
    <n v="3"/>
    <s v="OK"/>
    <d v="2023-09-14T00:00:00"/>
    <n v="6"/>
    <n v="1030.7574"/>
    <n v="753.09"/>
    <n v="277.66739999999993"/>
    <n v="0.26938191275658069"/>
    <s v="Q3-2023"/>
    <s v="Accessories"/>
    <s v="Accessories"/>
    <x v="1"/>
    <s v="On-time"/>
    <n v="0.16500000000000001"/>
    <n v="276.13300000000004"/>
    <n v="3.3000000000000003"/>
    <n v="1133.8331400000002"/>
    <n v="911.23890000000017"/>
    <n v="222.59424000000001"/>
  </r>
  <r>
    <s v="ORD-2023-517216"/>
    <d v="2023-09-19T00:00:00"/>
    <d v="2023-10-08T00:00:00"/>
    <x v="3"/>
    <x v="4"/>
    <x v="23"/>
    <s v="Education"/>
    <s v="Direct"/>
    <s v="J. Njeri"/>
    <s v="Printers"/>
    <s v="PRN-5005"/>
    <n v="385.32"/>
    <n v="606.76"/>
    <n v="606.76"/>
    <s v="Middle"/>
    <n v="8.5999999999999993E-2"/>
    <n v="8.5999999999999993E-2"/>
    <n v="8"/>
    <s v="OK"/>
    <d v="2023-10-08T00:00:00"/>
    <n v="19"/>
    <n v="4436.6291200000005"/>
    <n v="3082.56"/>
    <n v="1354.0691200000006"/>
    <n v="0.30520223425842735"/>
    <s v="Q3-2023"/>
    <s v="Printers"/>
    <s v="Printers"/>
    <x v="1"/>
    <s v="Late"/>
    <n v="8.5999999999999993E-2"/>
    <n v="423.85200000000003"/>
    <n v="8.8000000000000007"/>
    <n v="4880.2920320000003"/>
    <n v="3729.8976000000007"/>
    <n v="1150.3944319999996"/>
  </r>
  <r>
    <s v="ORD-2023-552115"/>
    <d v="2023-09-17T00:00:00"/>
    <d v="2023-10-02T00:00:00"/>
    <x v="0"/>
    <x v="0"/>
    <x v="0"/>
    <s v="Small Business"/>
    <s v="Retail"/>
    <s v="B. Chen"/>
    <s v="Laptops"/>
    <s v="LAP-4932"/>
    <n v="689.33"/>
    <n v="668.27"/>
    <n v="668.27"/>
    <s v="Middle"/>
    <n v="0.186"/>
    <n v="0.186"/>
    <n v="13"/>
    <s v="OK"/>
    <d v="2023-10-02T00:00:00"/>
    <n v="15"/>
    <n v="7071.6331400000008"/>
    <n v="8961.2900000000009"/>
    <n v="-1889.6568600000001"/>
    <n v="-0.26721647214861033"/>
    <s v="Q3-2023"/>
    <s v="Laptops"/>
    <s v="Laptops"/>
    <x v="1"/>
    <s v="Late"/>
    <n v="0.186"/>
    <n v="758.26300000000015"/>
    <n v="14.3"/>
    <n v="7778.7964540000012"/>
    <n v="10843.160900000003"/>
    <n v="-3064.3644460000014"/>
  </r>
  <r>
    <s v="ORD-2023-192324"/>
    <d v="2023-09-14T00:00:00"/>
    <d v="2023-09-16T00:00:00"/>
    <x v="2"/>
    <x v="10"/>
    <x v="24"/>
    <s v="Non-Profit"/>
    <s v="Direct"/>
    <s v="B. Chen"/>
    <s v="Printers"/>
    <s v="PRN-4432"/>
    <n v="376.83"/>
    <n v="732.88"/>
    <n v="732.88"/>
    <s v="Middle"/>
    <n v="0.188"/>
    <n v="0.188"/>
    <n v="25"/>
    <s v="OK"/>
    <d v="2023-09-16T00:00:00"/>
    <n v="2"/>
    <n v="14877.464000000002"/>
    <n v="9420.75"/>
    <n v="5456.7140000000018"/>
    <n v="0.36677716040852132"/>
    <s v="Q3-2023"/>
    <s v="Printers"/>
    <s v="Printers"/>
    <x v="1"/>
    <s v="On-time"/>
    <n v="0.188"/>
    <n v="414.51300000000003"/>
    <n v="27.500000000000004"/>
    <n v="16365.210400000002"/>
    <n v="11399.107500000002"/>
    <n v="4966.1028999999999"/>
  </r>
  <r>
    <s v="ORD-2023-619385"/>
    <d v="2023-09-30T00:00:00"/>
    <d v="2023-10-03T00:00:00"/>
    <x v="3"/>
    <x v="7"/>
    <x v="11"/>
    <s v="Non-Profit"/>
    <s v="Retail"/>
    <s v="J. Njeri"/>
    <s v="Laptops"/>
    <s v="LAP-5763"/>
    <n v="1019.36"/>
    <n v="972.91"/>
    <n v="972.91"/>
    <s v="Middle"/>
    <n v="0.14699999999999999"/>
    <n v="0.14699999999999999"/>
    <n v="17"/>
    <s v="OK"/>
    <d v="2023-10-03T00:00:00"/>
    <n v="3"/>
    <n v="14108.16791"/>
    <n v="17329.12"/>
    <n v="-3220.9520899999989"/>
    <n v="-0.22830406545678819"/>
    <s v="Q3-2023"/>
    <s v="Laptops"/>
    <s v="Laptops"/>
    <x v="1"/>
    <s v="On-time"/>
    <n v="0.14699999999999999"/>
    <n v="1121.296"/>
    <n v="18.700000000000003"/>
    <n v="15518.984701000001"/>
    <n v="20968.235200000003"/>
    <n v="-5449.2504990000016"/>
  </r>
  <r>
    <s v="ORD-2023-568013"/>
    <d v="2023-09-30T00:00:00"/>
    <d v="2023-10-30T00:00:00"/>
    <x v="3"/>
    <x v="5"/>
    <x v="8"/>
    <s v="Enterprise"/>
    <s v="Online"/>
    <s v="D. Smith"/>
    <s v="Printers"/>
    <s v="PRN-1786"/>
    <n v="649.13"/>
    <n v="975.43"/>
    <n v="975.43"/>
    <s v="Middle"/>
    <n v="0.157"/>
    <n v="0.157"/>
    <n v="27"/>
    <s v="OK"/>
    <d v="2023-10-30T00:00:00"/>
    <n v="30"/>
    <n v="22201.762229999997"/>
    <n v="17526.509999999998"/>
    <n v="4675.2522299999982"/>
    <n v="0.21058023149543473"/>
    <s v="Q3-2023"/>
    <s v="Printers"/>
    <s v="Printers"/>
    <x v="1"/>
    <s v="Late"/>
    <n v="0.157"/>
    <n v="714.04300000000001"/>
    <n v="29.700000000000003"/>
    <n v="24421.938452999999"/>
    <n v="21207.077100000002"/>
    <n v="3214.8613529999966"/>
  </r>
  <r>
    <s v="ORD-2023-722117"/>
    <d v="2023-09-18T00:00:00"/>
    <d v="2023-10-08T00:00:00"/>
    <x v="3"/>
    <x v="4"/>
    <x v="6"/>
    <s v="Small Business"/>
    <s v="Direct"/>
    <s v="B. Chen"/>
    <s v="Components"/>
    <s v="CMP-1009"/>
    <n v="825.64"/>
    <n v="1108.43"/>
    <n v="1108.43"/>
    <s v="Middle"/>
    <n v="0.114"/>
    <n v="0.114"/>
    <n v="7"/>
    <s v="OK"/>
    <d v="2023-10-08T00:00:00"/>
    <n v="20"/>
    <n v="6874.4828600000001"/>
    <n v="5779.48"/>
    <n v="1095.0028600000005"/>
    <n v="0.15928512475773349"/>
    <s v="Q3-2023"/>
    <s v="Components"/>
    <s v="Components"/>
    <x v="1"/>
    <s v="Late"/>
    <n v="0.114"/>
    <n v="908.20400000000006"/>
    <n v="7.7000000000000011"/>
    <n v="7561.9311460000017"/>
    <n v="6993.1708000000017"/>
    <n v="568.76034600000003"/>
  </r>
  <r>
    <s v="ORD-2023-450877"/>
    <d v="2023-09-21T00:00:00"/>
    <d v="2023-10-10T00:00:00"/>
    <x v="3"/>
    <x v="5"/>
    <x v="8"/>
    <s v="Education"/>
    <s v="Online"/>
    <s v="D. Smith"/>
    <s v="Components"/>
    <s v="CMP-5211"/>
    <n v="845.63"/>
    <n v="2062.12"/>
    <n v="2062.12"/>
    <s v="High"/>
    <n v="0.13400000000000001"/>
    <n v="0.13400000000000001"/>
    <n v="5"/>
    <s v="OK"/>
    <d v="2023-10-10T00:00:00"/>
    <n v="19"/>
    <n v="8928.9795999999988"/>
    <n v="4228.1499999999996"/>
    <n v="4700.8295999999991"/>
    <n v="0.52646884757133949"/>
    <s v="Q3-2023"/>
    <s v="Components"/>
    <s v="Components"/>
    <x v="1"/>
    <s v="Late"/>
    <n v="0.13400000000000001"/>
    <n v="930.1930000000001"/>
    <n v="5.5"/>
    <n v="9821.877559999999"/>
    <n v="5116.0615000000007"/>
    <n v="4705.8160599999983"/>
  </r>
  <r>
    <s v="ORD-2023-488227"/>
    <d v="2023-09-08T00:00:00"/>
    <d v="2023-10-02T00:00:00"/>
    <x v="0"/>
    <x v="3"/>
    <x v="4"/>
    <s v="Education"/>
    <s v="Direct"/>
    <s v="A. Patel"/>
    <s v="Accessories"/>
    <s v="ACC-3415"/>
    <n v="1299.03"/>
    <n v="2451.2199999999998"/>
    <n v="2451.2199999999998"/>
    <s v="High"/>
    <n v="0.20799999999999999"/>
    <n v="0.20799999999999999"/>
    <n v="8"/>
    <s v="OK"/>
    <d v="2023-10-02T00:00:00"/>
    <n v="24"/>
    <n v="15530.929919999999"/>
    <n v="10392.24"/>
    <n v="5138.6899199999989"/>
    <n v="0.3308681416032041"/>
    <s v="Q3-2023"/>
    <s v="Accessories"/>
    <s v="Accessories"/>
    <x v="0"/>
    <s v="Late"/>
    <n v="0.2"/>
    <n v="1428.933"/>
    <n v="8.8000000000000007"/>
    <n v="17256.588800000001"/>
    <n v="12574.610400000001"/>
    <n v="4681.9784"/>
  </r>
  <r>
    <s v="ORD-2023-132101"/>
    <d v="2023-09-25T00:00:00"/>
    <d v="2023-10-09T00:00:00"/>
    <x v="0"/>
    <x v="9"/>
    <x v="21"/>
    <s v="Small Business"/>
    <s v="Marketplace"/>
    <s v="J. Njeri"/>
    <s v="Laptops"/>
    <s v="LAP-6750"/>
    <n v="1279.56"/>
    <n v="3083.8"/>
    <n v="3083.8"/>
    <s v="High"/>
    <n v="0.106"/>
    <n v="0.106"/>
    <n v="5"/>
    <s v="OK"/>
    <d v="2023-10-09T00:00:00"/>
    <n v="14"/>
    <n v="13784.586000000001"/>
    <n v="6397.7999999999993"/>
    <n v="7386.7860000000019"/>
    <n v="0.53587289455047848"/>
    <s v="Q3-2023"/>
    <s v="Laptops"/>
    <s v="Laptops"/>
    <x v="1"/>
    <s v="Late"/>
    <n v="0.106"/>
    <n v="1407.5160000000001"/>
    <n v="5.5"/>
    <n v="15163.044600000001"/>
    <n v="7741.3380000000006"/>
    <n v="7421.7066000000004"/>
  </r>
  <r>
    <s v="ORD-2023-842820"/>
    <d v="2023-09-20T00:00:00"/>
    <d v="2023-09-28T00:00:00"/>
    <x v="3"/>
    <x v="4"/>
    <x v="25"/>
    <s v="Corporate"/>
    <s v="Unspecified"/>
    <s v="B. Chen"/>
    <s v="Accessories"/>
    <s v="ACC-1375"/>
    <n v="1362.06"/>
    <n v="3398.37"/>
    <n v="3398.37"/>
    <s v="High"/>
    <n v="0.157"/>
    <n v="0.157"/>
    <n v="11"/>
    <s v="OK"/>
    <d v="2023-09-28T00:00:00"/>
    <n v="8"/>
    <n v="31513.085009999999"/>
    <n v="14982.66"/>
    <n v="16530.425009999999"/>
    <n v="0.52455749745714919"/>
    <s v="Q3-2023"/>
    <s v="Accessories"/>
    <s v="Accessories"/>
    <x v="1"/>
    <s v="Late"/>
    <n v="0.157"/>
    <n v="1498.2660000000001"/>
    <n v="12.100000000000001"/>
    <n v="34664.393511000002"/>
    <n v="18129.018600000003"/>
    <n v="16535.374910999999"/>
  </r>
  <r>
    <s v="ORD-2024-260775"/>
    <d v="2024-10-17T00:00:00"/>
    <d v="2024-11-06T00:00:00"/>
    <x v="3"/>
    <x v="4"/>
    <x v="23"/>
    <s v="Enterprise"/>
    <s v="Distributor"/>
    <s v="O. Wang"/>
    <s v="Monitors"/>
    <s v="MON-4330"/>
    <n v="72.94"/>
    <n v="106.3"/>
    <n v="106.3"/>
    <s v="Low"/>
    <n v="0.29499999999999998"/>
    <n v="0.29499999999999998"/>
    <n v="8"/>
    <s v="OK"/>
    <d v="2024-11-06T00:00:00"/>
    <n v="20"/>
    <n v="599.53200000000004"/>
    <n v="583.52"/>
    <n v="16.012000000000057"/>
    <n v="2.6707498515508857E-2"/>
    <s v="Q4-2024"/>
    <s v="Monitors"/>
    <s v="Monitors"/>
    <x v="0"/>
    <s v="Late"/>
    <n v="0.2"/>
    <n v="80.234000000000009"/>
    <n v="8.8000000000000007"/>
    <n v="748.35200000000009"/>
    <n v="706.05920000000015"/>
    <n v="42.292799999999943"/>
  </r>
  <r>
    <s v="ORD-2024-792558"/>
    <d v="2024-10-16T00:00:00"/>
    <d v="2024-11-08T00:00:00"/>
    <x v="3"/>
    <x v="5"/>
    <x v="9"/>
    <s v="Small Business"/>
    <s v="Retail"/>
    <s v="J. Njeri"/>
    <s v="Networking"/>
    <s v="NET-6387"/>
    <n v="82.14"/>
    <n v="166.04"/>
    <n v="166.04"/>
    <s v="Low"/>
    <n v="0"/>
    <n v="0"/>
    <n v="10"/>
    <s v="OK"/>
    <d v="2024-11-08T00:00:00"/>
    <n v="23"/>
    <n v="1660.3999999999999"/>
    <n v="821.4"/>
    <n v="838.99999999999989"/>
    <n v="0.50529992772825827"/>
    <s v="Q4-2024"/>
    <s v="Networking"/>
    <s v="Networking"/>
    <x v="1"/>
    <s v="Late"/>
    <n v="0"/>
    <n v="90.354000000000013"/>
    <n v="11"/>
    <n v="1826.4399999999998"/>
    <n v="993.89400000000012"/>
    <n v="832.54599999999971"/>
  </r>
  <r>
    <s v="ORD-2024-720756"/>
    <d v="2024-10-11T00:00:00"/>
    <d v="2024-11-09T00:00:00"/>
    <x v="3"/>
    <x v="7"/>
    <x v="20"/>
    <s v="Non-Profit"/>
    <s v="Online"/>
    <s v="F. Müller"/>
    <s v="Printers"/>
    <s v="PRN-5666"/>
    <n v="391.64"/>
    <n v="504.76"/>
    <n v="504.76"/>
    <s v="Low"/>
    <n v="4.0000000000000001E-3"/>
    <n v="4.0000000000000001E-3"/>
    <n v="13"/>
    <s v="OK"/>
    <d v="2024-11-09T00:00:00"/>
    <n v="29"/>
    <n v="6535.6324800000002"/>
    <n v="5091.32"/>
    <n v="1444.3124800000005"/>
    <n v="0.22099046793402319"/>
    <s v="Q4-2024"/>
    <s v="Printers"/>
    <s v="Printers"/>
    <x v="1"/>
    <s v="Late"/>
    <n v="4.0000000000000001E-3"/>
    <n v="430.80400000000003"/>
    <n v="14.3"/>
    <n v="7189.1957280000006"/>
    <n v="6160.4972000000007"/>
    <n v="1028.6985279999999"/>
  </r>
  <r>
    <s v="ORD-2024-250862"/>
    <d v="2024-10-25T00:00:00"/>
    <d v="2024-11-05T00:00:00"/>
    <x v="0"/>
    <x v="9"/>
    <x v="21"/>
    <s v="Corporate"/>
    <s v="Distributor"/>
    <s v="N. Brown"/>
    <s v="Components"/>
    <s v="CMP-9498"/>
    <n v="446.66"/>
    <n v="527.64"/>
    <n v="527.64"/>
    <s v="Low"/>
    <n v="0.14499999999999999"/>
    <n v="0.14499999999999999"/>
    <n v="15"/>
    <s v="OK"/>
    <d v="2024-11-05T00:00:00"/>
    <n v="11"/>
    <n v="6766.9829999999993"/>
    <n v="6699.9000000000005"/>
    <n v="67.082999999998719"/>
    <n v="9.9132804087137105E-3"/>
    <s v="Q4-2024"/>
    <s v="Components"/>
    <s v="Components"/>
    <x v="1"/>
    <s v="Late"/>
    <n v="0.14499999999999999"/>
    <n v="491.32600000000008"/>
    <n v="16.5"/>
    <n v="7443.6812999999993"/>
    <n v="8106.8790000000017"/>
    <n v="-663.19770000000244"/>
  </r>
  <r>
    <s v="ORD-2024-942981"/>
    <d v="2024-10-09T00:00:00"/>
    <d v="2024-11-08T00:00:00"/>
    <x v="2"/>
    <x v="2"/>
    <x v="26"/>
    <s v="Small Business"/>
    <s v="Distributor"/>
    <s v="J. Njeri"/>
    <s v="Components"/>
    <s v="CMP-1072"/>
    <n v="343.85"/>
    <n v="538.04"/>
    <n v="538.04"/>
    <s v="Low"/>
    <n v="0.13900000000000001"/>
    <n v="0.13900000000000001"/>
    <n v="5"/>
    <s v="OK"/>
    <d v="2024-11-08T00:00:00"/>
    <n v="30"/>
    <n v="2316.2621999999997"/>
    <n v="1719.25"/>
    <n v="597.01219999999967"/>
    <n v="0.25774810813732563"/>
    <s v="Q4-2024"/>
    <s v="Components"/>
    <s v="Components"/>
    <x v="1"/>
    <s v="Late"/>
    <n v="0.13900000000000001"/>
    <n v="378.23500000000007"/>
    <n v="5.5"/>
    <n v="2547.8884199999998"/>
    <n v="2080.2925000000005"/>
    <n v="467.5959199999993"/>
  </r>
  <r>
    <s v="ORD-2024-350100"/>
    <d v="2024-10-27T00:00:00"/>
    <d v="2024-11-20T00:00:00"/>
    <x v="3"/>
    <x v="5"/>
    <x v="7"/>
    <s v="Non-Profit"/>
    <s v="Online"/>
    <s v="H. Kim"/>
    <s v="Monitors"/>
    <s v="MON-8939"/>
    <n v="317.25"/>
    <n v="758.92"/>
    <n v="758.92"/>
    <s v="Middle"/>
    <n v="5.2999999999999999E-2"/>
    <n v="5.2999999999999999E-2"/>
    <n v="9"/>
    <s v="OK"/>
    <d v="2024-11-20T00:00:00"/>
    <n v="24"/>
    <n v="6468.2751599999992"/>
    <n v="2855.25"/>
    <n v="3613.0251599999992"/>
    <n v="0.5585762928489888"/>
    <s v="Q4-2024"/>
    <s v="Monitors"/>
    <s v="Monitors"/>
    <x v="1"/>
    <s v="Late"/>
    <n v="5.2999999999999999E-2"/>
    <n v="348.97500000000002"/>
    <n v="9.9"/>
    <n v="7115.1026759999995"/>
    <n v="3454.8525000000004"/>
    <n v="3660.2501759999991"/>
  </r>
  <r>
    <s v="ORD-2024-358795"/>
    <d v="2024-10-23T00:00:00"/>
    <d v="2024-10-22T00:00:00"/>
    <x v="1"/>
    <x v="8"/>
    <x v="27"/>
    <s v="Education"/>
    <s v="Online"/>
    <s v="J. Njeri"/>
    <s v="Printers"/>
    <s v="PRN-9322"/>
    <n v="1084.3900000000001"/>
    <n v="759.33"/>
    <n v="759.33"/>
    <s v="Middle"/>
    <n v="0.23699999999999999"/>
    <n v="0.23699999999999999"/>
    <n v="31"/>
    <s v="Correct"/>
    <d v="2024-10-30T00:00:00"/>
    <n v="7"/>
    <n v="17960.432489999999"/>
    <n v="33616.090000000004"/>
    <n v="-15655.657510000005"/>
    <n v="-0.87167486187856302"/>
    <s v="Q4-2024"/>
    <s v="Printers"/>
    <s v="Printers"/>
    <x v="0"/>
    <s v="On-time"/>
    <n v="0.2"/>
    <n v="1192.8290000000002"/>
    <n v="34.1"/>
    <n v="20714.522400000002"/>
    <n v="40675.468900000007"/>
    <n v="-19960.946500000005"/>
  </r>
  <r>
    <s v="ORD-2024-997336"/>
    <d v="2024-10-04T00:00:00"/>
    <d v="2024-11-02T00:00:00"/>
    <x v="1"/>
    <x v="8"/>
    <x v="28"/>
    <s v="Corporate"/>
    <s v="Distributor"/>
    <s v="F. Müller"/>
    <s v="Accessories"/>
    <s v="ACC-9038"/>
    <n v="412.09"/>
    <n v="968.94"/>
    <n v="968.94"/>
    <s v="Middle"/>
    <n v="9.9000000000000005E-2"/>
    <n v="9.9000000000000005E-2"/>
    <n v="23"/>
    <s v="OK"/>
    <d v="2024-11-02T00:00:00"/>
    <n v="29"/>
    <n v="20079.343620000003"/>
    <n v="9478.07"/>
    <n v="10601.273620000004"/>
    <n v="0.52796913189137418"/>
    <s v="Q4-2024"/>
    <s v="Accessories"/>
    <s v="Accessories"/>
    <x v="1"/>
    <s v="Late"/>
    <n v="9.9000000000000005E-2"/>
    <n v="453.29900000000004"/>
    <n v="25.3"/>
    <n v="22087.277982"/>
    <n v="11468.4647"/>
    <n v="10618.813281999999"/>
  </r>
  <r>
    <s v="ORD-2024-756884"/>
    <d v="2024-10-13T00:00:00"/>
    <d v="2024-10-24T00:00:00"/>
    <x v="2"/>
    <x v="10"/>
    <x v="29"/>
    <s v="Education"/>
    <s v="Distributor"/>
    <s v="F. Müller"/>
    <s v="Components"/>
    <s v="CMP-5006"/>
    <n v="816.7"/>
    <n v="1010.75"/>
    <n v="1010.75"/>
    <s v="Middle"/>
    <n v="4.7E-2"/>
    <n v="4.7E-2"/>
    <n v="43"/>
    <s v="OK"/>
    <d v="2024-10-24T00:00:00"/>
    <n v="11"/>
    <n v="41419.524249999995"/>
    <n v="35118.1"/>
    <n v="6301.4242499999964"/>
    <n v="0.15213656757537472"/>
    <s v="Q4-2024"/>
    <s v="Components"/>
    <s v="Components"/>
    <x v="1"/>
    <s v="Late"/>
    <n v="4.7E-2"/>
    <n v="898.37000000000012"/>
    <n v="47.300000000000004"/>
    <n v="45561.476675000005"/>
    <n v="42492.901000000013"/>
    <n v="3068.5756749999928"/>
  </r>
  <r>
    <s v="ORD-2024-741404"/>
    <d v="2024-10-19T00:00:00"/>
    <d v="2024-11-06T00:00:00"/>
    <x v="0"/>
    <x v="9"/>
    <x v="30"/>
    <s v="Education"/>
    <s v="Unspecified"/>
    <s v="C. Otieno"/>
    <s v="Monitors"/>
    <s v="MON-8129"/>
    <n v="942.02"/>
    <n v="1028.46"/>
    <n v="1028.46"/>
    <s v="Middle"/>
    <n v="0"/>
    <n v="0"/>
    <n v="9"/>
    <s v="OK"/>
    <d v="2024-11-06T00:00:00"/>
    <n v="18"/>
    <n v="9256.14"/>
    <n v="8478.18"/>
    <n v="777.95999999999913"/>
    <n v="8.4047994088248354E-2"/>
    <s v="Q4-2024"/>
    <s v="Monitors"/>
    <s v="Monitors"/>
    <x v="1"/>
    <s v="Late"/>
    <n v="0"/>
    <n v="1036.222"/>
    <n v="9.9"/>
    <n v="10181.754000000001"/>
    <n v="10258.5978"/>
    <n v="-76.843799999998737"/>
  </r>
  <r>
    <s v="ORD-2024-357368"/>
    <d v="2024-10-30T00:00:00"/>
    <d v="2024-11-24T00:00:00"/>
    <x v="3"/>
    <x v="7"/>
    <x v="14"/>
    <s v="Small Business"/>
    <s v="Online"/>
    <s v="E. Garcia"/>
    <s v="Components"/>
    <s v="CMP-4610"/>
    <n v="811.05"/>
    <n v="1217.71"/>
    <n v="1217.71"/>
    <s v="Middle"/>
    <n v="7.1999999999999995E-2"/>
    <n v="7.1999999999999995E-2"/>
    <n v="5"/>
    <s v="OK"/>
    <d v="2024-11-24T00:00:00"/>
    <n v="25"/>
    <n v="5650.1744000000008"/>
    <n v="4055.25"/>
    <n v="1594.9244000000008"/>
    <n v="0.28227879125288602"/>
    <s v="Q4-2024"/>
    <s v="Components"/>
    <s v="Components"/>
    <x v="1"/>
    <s v="Late"/>
    <n v="7.1999999999999995E-2"/>
    <n v="892.15499999999997"/>
    <n v="5.5"/>
    <n v="6215.1918400000013"/>
    <n v="4906.8525"/>
    <n v="1308.3393400000014"/>
  </r>
  <r>
    <s v="ORD-2024-640340"/>
    <d v="2024-10-22T00:00:00"/>
    <d v="2024-10-29T00:00:00"/>
    <x v="1"/>
    <x v="8"/>
    <x v="27"/>
    <s v="Enterprise"/>
    <s v="Distributor"/>
    <s v="M. Rossi"/>
    <s v="Monitors"/>
    <s v="MON-8758"/>
    <n v="1023.06"/>
    <n v="1355.61"/>
    <n v="1355.61"/>
    <s v="High"/>
    <n v="0.153"/>
    <n v="0.153"/>
    <n v="23"/>
    <s v="OK"/>
    <d v="2024-10-29T00:00:00"/>
    <n v="7"/>
    <n v="26408.63841"/>
    <n v="23530.379999999997"/>
    <n v="2878.2584100000022"/>
    <n v="0.10898927711888809"/>
    <s v="Q4-2024"/>
    <s v="Monitors"/>
    <s v="Monitors"/>
    <x v="1"/>
    <s v="On-time"/>
    <n v="0.153"/>
    <n v="1125.366"/>
    <n v="25.3"/>
    <n v="29049.502250999998"/>
    <n v="28471.7598"/>
    <n v="577.74245099999825"/>
  </r>
  <r>
    <s v="ORD-2024-668926"/>
    <d v="2024-10-23T00:00:00"/>
    <d v="2024-11-14T00:00:00"/>
    <x v="3"/>
    <x v="5"/>
    <x v="9"/>
    <s v="Non-Profit"/>
    <s v="Direct"/>
    <s v="B. Chen"/>
    <s v="Phones"/>
    <s v="PHN-9789"/>
    <n v="1406.4"/>
    <n v="1564.76"/>
    <n v="1564.76"/>
    <s v="High"/>
    <n v="0.185"/>
    <n v="0.185"/>
    <n v="17"/>
    <s v="OK"/>
    <d v="2024-11-14T00:00:00"/>
    <n v="22"/>
    <n v="21679.749799999998"/>
    <n v="23908.800000000003"/>
    <n v="-2229.0502000000051"/>
    <n v="-0.10281715520536151"/>
    <s v="Q4-2024"/>
    <s v="Phones"/>
    <s v="Phones"/>
    <x v="1"/>
    <s v="Late"/>
    <n v="0.185"/>
    <n v="1547.0400000000002"/>
    <n v="18.700000000000003"/>
    <n v="23847.724780000004"/>
    <n v="28929.648000000008"/>
    <n v="-5081.9232200000042"/>
  </r>
  <r>
    <s v="ORD-2024-964950"/>
    <d v="2024-10-10T00:00:00"/>
    <d v="2024-10-11T00:00:00"/>
    <x v="2"/>
    <x v="2"/>
    <x v="26"/>
    <s v="Non-Profit"/>
    <s v="Distributor"/>
    <s v="L. Okafor"/>
    <s v="Components"/>
    <s v="CMP-8127"/>
    <n v="1389.46"/>
    <n v="1784.7"/>
    <n v="1784.7"/>
    <s v="High"/>
    <n v="0.14599999999999999"/>
    <n v="0.14599999999999999"/>
    <n v="33"/>
    <s v="OK"/>
    <d v="2024-10-11T00:00:00"/>
    <n v="1"/>
    <n v="50296.415399999998"/>
    <n v="45852.18"/>
    <n v="4444.2353999999978"/>
    <n v="8.8360877503011831E-2"/>
    <s v="Q4-2024"/>
    <s v="Components"/>
    <s v="Components"/>
    <x v="1"/>
    <s v="On-time"/>
    <n v="0.14599999999999999"/>
    <n v="1528.4060000000002"/>
    <n v="36.300000000000004"/>
    <n v="55326.056940000002"/>
    <n v="55481.137800000011"/>
    <n v="-155.08086000000912"/>
  </r>
  <r>
    <s v="ORD-2024-333192"/>
    <d v="2024-10-29T00:00:00"/>
    <d v="2024-11-04T00:00:00"/>
    <x v="1"/>
    <x v="1"/>
    <x v="2"/>
    <s v="Corporate"/>
    <s v="Distributor"/>
    <s v="M. Rossi"/>
    <s v="Printers"/>
    <s v="PRN-4893"/>
    <n v="805.81"/>
    <n v="1823.04"/>
    <n v="1823.04"/>
    <s v="High"/>
    <n v="0"/>
    <n v="0"/>
    <n v="11"/>
    <s v="OK"/>
    <d v="2024-11-04T00:00:00"/>
    <n v="6"/>
    <n v="20053.439999999999"/>
    <n v="8863.91"/>
    <n v="11189.529999999999"/>
    <n v="0.55798556257679477"/>
    <s v="Q4-2024"/>
    <s v="Printers"/>
    <s v="Printers"/>
    <x v="1"/>
    <s v="On-time"/>
    <n v="0"/>
    <n v="886.39099999999996"/>
    <n v="12.100000000000001"/>
    <n v="22058.784000000003"/>
    <n v="10725.331100000001"/>
    <n v="11333.452900000002"/>
  </r>
  <r>
    <s v="ORD-2024-966651"/>
    <d v="2024-10-14T00:00:00"/>
    <d v="2024-11-08T00:00:00"/>
    <x v="1"/>
    <x v="8"/>
    <x v="12"/>
    <s v="Enterprise"/>
    <s v="Online"/>
    <s v="O. Wang"/>
    <s v="Networking"/>
    <s v="NET-5268"/>
    <n v="859.35"/>
    <n v="1825.61"/>
    <n v="1825.61"/>
    <s v="High"/>
    <n v="0.187"/>
    <n v="0.187"/>
    <n v="24"/>
    <s v="OK"/>
    <d v="2024-11-08T00:00:00"/>
    <n v="25"/>
    <n v="35621.302319999995"/>
    <n v="20624.400000000001"/>
    <n v="14996.902319999994"/>
    <n v="0.42100937762681989"/>
    <s v="Q4-2024"/>
    <s v="Networking"/>
    <s v="Networking"/>
    <x v="1"/>
    <s v="Late"/>
    <n v="0.187"/>
    <n v="945.28500000000008"/>
    <n v="26.400000000000002"/>
    <n v="39183.432551999998"/>
    <n v="24955.524000000005"/>
    <n v="14227.908551999994"/>
  </r>
  <r>
    <s v="ORD-2024-237478"/>
    <d v="2024-10-03T00:00:00"/>
    <d v="2024-10-11T00:00:00"/>
    <x v="3"/>
    <x v="7"/>
    <x v="11"/>
    <s v="Enterprise"/>
    <s v="Direct"/>
    <s v="B. Chen"/>
    <s v="Phones"/>
    <s v="PHN-7488"/>
    <n v="1132.6099999999999"/>
    <n v="2206.63"/>
    <n v="2206.63"/>
    <s v="High"/>
    <n v="6.3E-2"/>
    <n v="6.3E-2"/>
    <n v="20"/>
    <s v="OK"/>
    <d v="2024-10-11T00:00:00"/>
    <n v="8"/>
    <n v="41352.246200000009"/>
    <n v="22652.199999999997"/>
    <n v="18700.046200000012"/>
    <n v="0.45221355351671338"/>
    <s v="Q4-2024"/>
    <s v="Phones"/>
    <s v="Phones"/>
    <x v="1"/>
    <s v="Late"/>
    <n v="6.3E-2"/>
    <n v="1245.8710000000001"/>
    <n v="22"/>
    <n v="45487.470820000002"/>
    <n v="27409.162000000004"/>
    <n v="18078.308819999998"/>
  </r>
  <r>
    <s v="ORD-2024-686712"/>
    <d v="2024-10-02T00:00:00"/>
    <d v="2024-10-23T00:00:00"/>
    <x v="1"/>
    <x v="6"/>
    <x v="10"/>
    <s v="Corporate"/>
    <s v="Marketplace"/>
    <s v="A. Patel"/>
    <s v="Components"/>
    <s v="CMP-3978"/>
    <n v="1095.6099999999999"/>
    <n v="2366.5100000000002"/>
    <n v="2366.5100000000002"/>
    <s v="High"/>
    <n v="0.152"/>
    <n v="0.152"/>
    <n v="9"/>
    <s v="OK"/>
    <d v="2024-10-23T00:00:00"/>
    <n v="21"/>
    <n v="18061.204320000004"/>
    <n v="9860.49"/>
    <n v="8200.7143200000046"/>
    <n v="0.4540513564158607"/>
    <s v="Q4-2024"/>
    <s v="Components"/>
    <s v="Components"/>
    <x v="1"/>
    <s v="Late"/>
    <n v="0.152"/>
    <n v="1205.171"/>
    <n v="9.9"/>
    <n v="19867.324752000004"/>
    <n v="11931.1929"/>
    <n v="7936.1318520000041"/>
  </r>
  <r>
    <s v="ORD-2024-500511"/>
    <d v="2024-10-08T00:00:00"/>
    <d v="2024-10-08T00:00:00"/>
    <x v="2"/>
    <x v="2"/>
    <x v="3"/>
    <s v="Corporate"/>
    <s v="Online"/>
    <s v="E. Garcia"/>
    <s v="Monitors"/>
    <s v="MON-9733"/>
    <n v="1108.1099999999999"/>
    <n v="2503.79"/>
    <n v="2503.79"/>
    <s v="High"/>
    <n v="0.184"/>
    <n v="0.184"/>
    <n v="19"/>
    <s v="OK"/>
    <d v="2024-10-08T00:00:00"/>
    <n v="0"/>
    <n v="38818.760160000005"/>
    <n v="21054.089999999997"/>
    <n v="17764.670160000009"/>
    <n v="0.45763105485025896"/>
    <s v="Q4-2024"/>
    <s v="Monitors"/>
    <s v="Monitors"/>
    <x v="1"/>
    <s v="On-time"/>
    <n v="0.184"/>
    <n v="1218.921"/>
    <n v="20.900000000000002"/>
    <n v="42700.636176000007"/>
    <n v="25475.448900000003"/>
    <n v="17225.187276000004"/>
  </r>
  <r>
    <s v="ORD-2024-732543"/>
    <d v="2024-10-24T00:00:00"/>
    <d v="2024-10-28T00:00:00"/>
    <x v="3"/>
    <x v="7"/>
    <x v="20"/>
    <s v="Small Business"/>
    <s v="Distributor"/>
    <s v="I. Johnson"/>
    <s v="Networking"/>
    <s v="NET-3728"/>
    <n v="1331.77"/>
    <n v="2606.11"/>
    <n v="2606.11"/>
    <s v="High"/>
    <n v="0.02"/>
    <n v="0.02"/>
    <n v="6"/>
    <s v="OK"/>
    <d v="2024-10-28T00:00:00"/>
    <n v="4"/>
    <n v="15323.926799999999"/>
    <n v="7990.62"/>
    <n v="7333.3067999999994"/>
    <n v="0.47855271665745619"/>
    <s v="Q4-2024"/>
    <s v="Networking"/>
    <s v="Networking"/>
    <x v="1"/>
    <s v="On-time"/>
    <n v="0.02"/>
    <n v="1464.9470000000001"/>
    <n v="6.6000000000000005"/>
    <n v="16856.319480000002"/>
    <n v="9668.6502000000019"/>
    <n v="7187.6692800000001"/>
  </r>
  <r>
    <s v="ORD-2024-998320"/>
    <d v="2024-10-25T00:00:00"/>
    <d v="2024-11-14T00:00:00"/>
    <x v="1"/>
    <x v="1"/>
    <x v="5"/>
    <s v="Corporate"/>
    <s v="Direct"/>
    <s v="H. Kim"/>
    <s v="Printers"/>
    <s v="PRN-3143"/>
    <n v="1396.48"/>
    <n v="3204.5"/>
    <n v="3204.5"/>
    <s v="High"/>
    <n v="0.318"/>
    <n v="0.3"/>
    <n v="14"/>
    <s v="OK"/>
    <d v="2024-11-14T00:00:00"/>
    <n v="20"/>
    <n v="31404.1"/>
    <n v="19550.72"/>
    <n v="11853.379999999997"/>
    <n v="0.3774468938769141"/>
    <s v="Q4-2024"/>
    <s v="Printers"/>
    <s v="Printers"/>
    <x v="0"/>
    <s v="Late"/>
    <n v="0.2"/>
    <n v="1536.1280000000002"/>
    <n v="15.400000000000002"/>
    <n v="39479.44000000001"/>
    <n v="23656.371200000005"/>
    <n v="15823.068800000005"/>
  </r>
  <r>
    <s v="ORD-2023-835226"/>
    <d v="2023-10-26T00:00:00"/>
    <d v="2023-11-05T00:00:00"/>
    <x v="1"/>
    <x v="6"/>
    <x v="15"/>
    <s v="Non-Profit"/>
    <s v="Online"/>
    <s v="I. Johnson"/>
    <s v="Laptops"/>
    <s v="LAP-7320"/>
    <n v="20.38"/>
    <n v="42.56"/>
    <n v="42.56"/>
    <s v="Low"/>
    <n v="7.1999999999999995E-2"/>
    <n v="7.1999999999999995E-2"/>
    <n v="11"/>
    <s v="OK"/>
    <d v="2023-11-05T00:00:00"/>
    <n v="10"/>
    <n v="434.45248000000004"/>
    <n v="224.17999999999998"/>
    <n v="210.27248000000006"/>
    <n v="0.48399419885921713"/>
    <s v="Q4-2023"/>
    <s v="Laptops"/>
    <s v="Laptops"/>
    <x v="1"/>
    <s v="Late"/>
    <n v="7.1999999999999995E-2"/>
    <n v="22.417999999999999"/>
    <n v="12.100000000000001"/>
    <n v="477.89772800000014"/>
    <n v="271.25780000000003"/>
    <n v="206.63992800000011"/>
  </r>
  <r>
    <s v="ORD-2023-659070"/>
    <d v="2023-10-21T00:00:00"/>
    <d v="2023-10-21T00:00:00"/>
    <x v="2"/>
    <x v="2"/>
    <x v="26"/>
    <s v="Enterprise"/>
    <s v="Distributor"/>
    <s v="J. Njeri"/>
    <s v="Monitors"/>
    <s v="MON-8697"/>
    <n v="384.19"/>
    <n v="278.35000000000002"/>
    <n v="278.35000000000002"/>
    <s v="Low"/>
    <n v="5.6000000000000001E-2"/>
    <n v="5.6000000000000001E-2"/>
    <n v="10"/>
    <s v="OK"/>
    <d v="2023-10-21T00:00:00"/>
    <n v="0"/>
    <n v="2627.6239999999998"/>
    <n v="3841.9"/>
    <n v="-1214.2760000000003"/>
    <n v="-0.46211938998882657"/>
    <s v="Q4-2023"/>
    <s v="Monitors"/>
    <s v="Monitors"/>
    <x v="1"/>
    <s v="On-time"/>
    <n v="5.6000000000000001E-2"/>
    <n v="422.60900000000004"/>
    <n v="11"/>
    <n v="2890.3864000000003"/>
    <n v="4648.6990000000005"/>
    <n v="-1758.3126000000002"/>
  </r>
  <r>
    <s v="ORD-2023-888140"/>
    <d v="2023-10-11T00:00:00"/>
    <d v="2023-10-13T00:00:00"/>
    <x v="0"/>
    <x v="0"/>
    <x v="1"/>
    <s v="Consumer"/>
    <s v="Distributor"/>
    <s v="Unassigned"/>
    <s v="Accessories"/>
    <s v="ACC-3567"/>
    <n v="715.94"/>
    <n v="550.07000000000005"/>
    <n v="550.07000000000005"/>
    <s v="Low"/>
    <n v="0.14000000000000001"/>
    <n v="0.14000000000000001"/>
    <n v="16"/>
    <s v="OK"/>
    <d v="2023-10-13T00:00:00"/>
    <n v="2"/>
    <n v="7568.9632000000001"/>
    <n v="11455.04"/>
    <n v="-3886.0768000000007"/>
    <n v="-0.51342260456491595"/>
    <s v="Q4-2023"/>
    <s v="Accessories"/>
    <s v="Accessories"/>
    <x v="1"/>
    <s v="On-time"/>
    <n v="0.14000000000000001"/>
    <n v="787.53400000000011"/>
    <n v="17.600000000000001"/>
    <n v="8325.8595200000018"/>
    <n v="13860.598400000003"/>
    <n v="-5534.7388800000008"/>
  </r>
  <r>
    <s v="ORD-2023-597666"/>
    <d v="2023-10-25T00:00:00"/>
    <d v="2023-11-24T00:00:00"/>
    <x v="2"/>
    <x v="10"/>
    <x v="29"/>
    <s v="Enterprise"/>
    <s v="Distributor"/>
    <s v="C. Otieno"/>
    <s v="Phones"/>
    <s v="PHN-5938"/>
    <n v="287.85000000000002"/>
    <n v="602.91999999999996"/>
    <n v="602.91999999999996"/>
    <s v="Low"/>
    <n v="0.222"/>
    <n v="0.222"/>
    <n v="11"/>
    <s v="OK"/>
    <d v="2023-11-24T00:00:00"/>
    <n v="30"/>
    <n v="5159.7893599999998"/>
    <n v="3166.3500000000004"/>
    <n v="1993.4393599999994"/>
    <n v="0.38634122847216373"/>
    <s v="Q4-2023"/>
    <s v="Phones"/>
    <s v="Phones"/>
    <x v="0"/>
    <s v="Late"/>
    <n v="0.2"/>
    <n v="316.63500000000005"/>
    <n v="12.100000000000001"/>
    <n v="5836.2656000000006"/>
    <n v="3831.2835000000009"/>
    <n v="2004.9820999999997"/>
  </r>
  <r>
    <s v="ORD-2023-925146"/>
    <d v="2023-10-15T00:00:00"/>
    <d v="2023-11-13T00:00:00"/>
    <x v="3"/>
    <x v="7"/>
    <x v="14"/>
    <s v="Non-Profit"/>
    <s v="Distributor"/>
    <s v="J. Njeri"/>
    <s v="Printers"/>
    <s v="PRN-4983"/>
    <n v="986.44"/>
    <n v="790.61"/>
    <n v="790.61"/>
    <s v="Middle"/>
    <n v="7.1999999999999995E-2"/>
    <n v="7.1999999999999995E-2"/>
    <n v="6"/>
    <s v="OK"/>
    <d v="2023-11-13T00:00:00"/>
    <n v="29"/>
    <n v="4402.1164799999997"/>
    <n v="5918.64"/>
    <n v="-1516.5235200000006"/>
    <n v="-0.34449872621271499"/>
    <s v="Q4-2023"/>
    <s v="Printers"/>
    <s v="Printers"/>
    <x v="1"/>
    <s v="Late"/>
    <n v="7.1999999999999995E-2"/>
    <n v="1085.0840000000001"/>
    <n v="6.6000000000000005"/>
    <n v="4842.328128000001"/>
    <n v="7161.5544000000009"/>
    <n v="-2319.2262719999999"/>
  </r>
  <r>
    <s v="ORD-2023-502205"/>
    <d v="2023-10-09T00:00:00"/>
    <d v="2023-10-11T00:00:00"/>
    <x v="1"/>
    <x v="8"/>
    <x v="27"/>
    <s v="Education"/>
    <s v="Marketplace"/>
    <s v="K. Singh"/>
    <s v="Networking"/>
    <s v="NET-8856"/>
    <n v="391.16"/>
    <n v="902.47"/>
    <n v="902.47"/>
    <s v="Middle"/>
    <n v="4.0000000000000001E-3"/>
    <n v="4.0000000000000001E-3"/>
    <n v="12"/>
    <s v="OK"/>
    <d v="2023-10-11T00:00:00"/>
    <n v="2"/>
    <n v="10786.32144"/>
    <n v="4693.92"/>
    <n v="6092.4014399999996"/>
    <n v="0.56482661618139207"/>
    <s v="Q4-2023"/>
    <s v="Networking"/>
    <s v="Networking"/>
    <x v="1"/>
    <s v="On-time"/>
    <n v="4.0000000000000001E-3"/>
    <n v="430.27600000000007"/>
    <n v="13.200000000000001"/>
    <n v="11864.953584000001"/>
    <n v="5679.6432000000013"/>
    <n v="6185.3103839999994"/>
  </r>
  <r>
    <s v="ORD-2023-378104"/>
    <d v="2023-10-18T00:00:00"/>
    <d v="2023-10-20T00:00:00"/>
    <x v="1"/>
    <x v="1"/>
    <x v="16"/>
    <s v="Consumer"/>
    <s v="Retail"/>
    <s v="J. Njeri"/>
    <s v="Phones"/>
    <s v="PHN-8891"/>
    <n v="774.12"/>
    <n v="908.3"/>
    <n v="908.3"/>
    <s v="Middle"/>
    <n v="0"/>
    <n v="0"/>
    <n v="30"/>
    <s v="OK"/>
    <d v="2023-10-20T00:00:00"/>
    <n v="2"/>
    <n v="27249"/>
    <n v="23223.599999999999"/>
    <n v="4025.4000000000015"/>
    <n v="0.14772652207420461"/>
    <s v="Q4-2023"/>
    <s v="Phones"/>
    <s v="Phones"/>
    <x v="1"/>
    <s v="On-time"/>
    <n v="0"/>
    <n v="851.53200000000004"/>
    <n v="33"/>
    <n v="29973.899999999998"/>
    <n v="28100.556"/>
    <n v="1873.3439999999973"/>
  </r>
  <r>
    <s v="ORD-2023-406606"/>
    <d v="2023-10-25T00:00:00"/>
    <d v="2023-10-28T00:00:00"/>
    <x v="0"/>
    <x v="0"/>
    <x v="1"/>
    <s v="Corporate"/>
    <s v="Distributor"/>
    <s v="L. Okafor"/>
    <s v="Accessories"/>
    <s v="ACC-2867"/>
    <n v="509.31"/>
    <n v="1145.9000000000001"/>
    <n v="1145.9000000000001"/>
    <s v="Middle"/>
    <n v="5.7000000000000002E-2"/>
    <n v="5.7000000000000002E-2"/>
    <n v="8"/>
    <s v="OK"/>
    <d v="2023-10-28T00:00:00"/>
    <n v="3"/>
    <n v="8644.6696000000011"/>
    <n v="4074.48"/>
    <n v="4570.1896000000015"/>
    <n v="0.52867140231709964"/>
    <s v="Q4-2023"/>
    <s v="Accessories"/>
    <s v="Accessories"/>
    <x v="1"/>
    <s v="On-time"/>
    <n v="5.7000000000000002E-2"/>
    <n v="560.2410000000001"/>
    <n v="8.8000000000000007"/>
    <n v="9509.1365600000008"/>
    <n v="4930.1208000000015"/>
    <n v="4579.0157599999993"/>
  </r>
  <r>
    <s v="ORD-2023-842488"/>
    <d v="2023-10-31T00:00:00"/>
    <d v="2023-11-02T00:00:00"/>
    <x v="1"/>
    <x v="1"/>
    <x v="16"/>
    <s v="Education"/>
    <s v="Retail"/>
    <s v="O. Wang"/>
    <s v="Accessories"/>
    <s v="ACC-4124"/>
    <n v="867.89"/>
    <n v="1349.94"/>
    <n v="1349.94"/>
    <s v="High"/>
    <n v="0.184"/>
    <n v="0.184"/>
    <n v="10"/>
    <s v="OK"/>
    <d v="2023-11-02T00:00:00"/>
    <n v="2"/>
    <n v="11015.510400000003"/>
    <n v="8678.9"/>
    <n v="2336.6104000000032"/>
    <n v="0.21212003031652557"/>
    <s v="Q4-2023"/>
    <s v="Accessories"/>
    <s v="Accessories"/>
    <x v="1"/>
    <s v="On-time"/>
    <n v="0.184"/>
    <n v="954.67900000000009"/>
    <n v="11"/>
    <n v="12117.061440000001"/>
    <n v="10501.469000000001"/>
    <n v="1615.5924400000004"/>
  </r>
  <r>
    <s v="ORD-2023-166668"/>
    <d v="2023-10-05T00:00:00"/>
    <d v="2023-10-31T00:00:00"/>
    <x v="3"/>
    <x v="7"/>
    <x v="20"/>
    <s v="Consumer"/>
    <s v="Unspecified"/>
    <s v="J. Njeri"/>
    <s v="Printers"/>
    <s v="PRN-6520"/>
    <n v="649.91"/>
    <n v="1360.12"/>
    <n v="1360.12"/>
    <s v="High"/>
    <n v="0.19400000000000001"/>
    <n v="0.19400000000000001"/>
    <n v="9"/>
    <s v="OK"/>
    <d v="2023-10-31T00:00:00"/>
    <n v="26"/>
    <n v="9866.3104799999983"/>
    <n v="5849.19"/>
    <n v="4017.1204799999987"/>
    <n v="0.40715528749506769"/>
    <s v="Q4-2023"/>
    <s v="Printers"/>
    <s v="Printers"/>
    <x v="1"/>
    <s v="Late"/>
    <n v="0.19400000000000001"/>
    <n v="714.90100000000007"/>
    <n v="9.9"/>
    <n v="10852.941528000001"/>
    <n v="7077.5199000000011"/>
    <n v="3775.4216280000001"/>
  </r>
  <r>
    <s v="ORD-2023-304451"/>
    <d v="2023-10-07T00:00:00"/>
    <d v="2023-10-23T00:00:00"/>
    <x v="3"/>
    <x v="4"/>
    <x v="31"/>
    <s v="Consumer"/>
    <s v="Retail"/>
    <s v="G. Dubois"/>
    <s v="Monitors"/>
    <s v="MON-7602"/>
    <n v="906.81"/>
    <n v="1395.56"/>
    <n v="1395.56"/>
    <s v="High"/>
    <n v="0.185"/>
    <n v="0.185"/>
    <n v="6"/>
    <s v="OK"/>
    <d v="2023-10-23T00:00:00"/>
    <n v="16"/>
    <n v="6824.2884000000004"/>
    <n v="5440.86"/>
    <n v="1383.4284000000007"/>
    <n v="0.20272126834498974"/>
    <s v="Q4-2023"/>
    <s v="Monitors"/>
    <s v="Monitors"/>
    <x v="1"/>
    <s v="Late"/>
    <n v="0.185"/>
    <n v="997.49099999999999"/>
    <n v="6.6000000000000005"/>
    <n v="7506.717239999999"/>
    <n v="6583.4406000000008"/>
    <n v="923.27663999999822"/>
  </r>
  <r>
    <s v="ORD-2023-302041"/>
    <d v="2023-10-04T00:00:00"/>
    <d v="2023-10-29T00:00:00"/>
    <x v="0"/>
    <x v="9"/>
    <x v="32"/>
    <s v="Small Business"/>
    <s v="Distributor"/>
    <s v="O. Wang"/>
    <s v="Accessories"/>
    <s v="ACC-5079"/>
    <n v="1239.8399999999999"/>
    <n v="1482.75"/>
    <n v="1482.75"/>
    <s v="High"/>
    <n v="6.7000000000000004E-2"/>
    <n v="6.7000000000000004E-2"/>
    <n v="4"/>
    <s v="OK"/>
    <d v="2023-10-29T00:00:00"/>
    <n v="25"/>
    <n v="5533.6230000000005"/>
    <n v="4959.3599999999997"/>
    <n v="574.26300000000083"/>
    <n v="0.10377703721413634"/>
    <s v="Q4-2023"/>
    <s v="Accessories"/>
    <s v="Accessories"/>
    <x v="1"/>
    <s v="Late"/>
    <n v="6.7000000000000004E-2"/>
    <n v="1363.8240000000001"/>
    <n v="4.4000000000000004"/>
    <n v="6086.9853000000003"/>
    <n v="6000.825600000001"/>
    <n v="86.159699999999248"/>
  </r>
  <r>
    <s v="ORD-2023-623293"/>
    <d v="2023-10-12T00:00:00"/>
    <d v="2023-10-29T00:00:00"/>
    <x v="3"/>
    <x v="5"/>
    <x v="7"/>
    <s v="Non-Profit"/>
    <s v="Direct"/>
    <s v="H. Kim"/>
    <s v="Phones"/>
    <s v="PHN-8478"/>
    <n v="1102.19"/>
    <n v="1711.16"/>
    <n v="1711.16"/>
    <s v="High"/>
    <n v="0.151"/>
    <n v="0.151"/>
    <n v="10"/>
    <s v="OK"/>
    <d v="2023-10-29T00:00:00"/>
    <n v="17"/>
    <n v="14527.748400000002"/>
    <n v="11021.900000000001"/>
    <n v="3505.8484000000008"/>
    <n v="0.24132083675127525"/>
    <s v="Q4-2023"/>
    <s v="Phones"/>
    <s v="Phones"/>
    <x v="1"/>
    <s v="Late"/>
    <n v="0.151"/>
    <n v="1212.4090000000001"/>
    <n v="11"/>
    <n v="15980.52324"/>
    <n v="13336.499000000002"/>
    <n v="2644.0242399999988"/>
  </r>
  <r>
    <s v="ORD-2023-211715"/>
    <d v="2023-10-30T00:00:00"/>
    <d v="2023-11-14T00:00:00"/>
    <x v="3"/>
    <x v="4"/>
    <x v="23"/>
    <s v="Corporate"/>
    <s v="Online"/>
    <s v="F. Müller"/>
    <s v="Laptops"/>
    <s v="LAP-2378"/>
    <n v="953.46"/>
    <n v="2066.75"/>
    <n v="2066.75"/>
    <s v="High"/>
    <n v="0.13800000000000001"/>
    <n v="0.13800000000000001"/>
    <n v="5"/>
    <s v="OK"/>
    <d v="2023-11-14T00:00:00"/>
    <n v="15"/>
    <n v="8907.6924999999992"/>
    <n v="4767.3"/>
    <n v="4140.392499999999"/>
    <n v="0.46481089238318446"/>
    <s v="Q4-2023"/>
    <s v="Laptops"/>
    <s v="Laptops"/>
    <x v="1"/>
    <s v="Late"/>
    <n v="0.13800000000000001"/>
    <n v="1048.806"/>
    <n v="5.5"/>
    <n v="9798.4617500000004"/>
    <n v="5768.433"/>
    <n v="4030.0287500000004"/>
  </r>
  <r>
    <s v="ORD-2023-667815"/>
    <d v="2023-10-21T00:00:00"/>
    <d v="2023-11-09T00:00:00"/>
    <x v="2"/>
    <x v="2"/>
    <x v="3"/>
    <s v="Non-Profit"/>
    <s v="Direct"/>
    <s v="A. Patel"/>
    <s v="Accessories"/>
    <s v="ACC-8557"/>
    <n v="1142.48"/>
    <n v="2105.5300000000002"/>
    <n v="2105.5300000000002"/>
    <s v="High"/>
    <n v="0.20699999999999999"/>
    <n v="0.20699999999999999"/>
    <n v="14"/>
    <s v="OK"/>
    <d v="2023-11-09T00:00:00"/>
    <n v="19"/>
    <n v="23375.594060000003"/>
    <n v="15994.720000000001"/>
    <n v="7380.8740600000019"/>
    <n v="0.31575129346680658"/>
    <s v="Q4-2023"/>
    <s v="Accessories"/>
    <s v="Accessories"/>
    <x v="0"/>
    <s v="Late"/>
    <n v="0.2"/>
    <n v="1256.7280000000001"/>
    <n v="15.400000000000002"/>
    <n v="25940.129600000007"/>
    <n v="19353.611200000003"/>
    <n v="6586.5184000000045"/>
  </r>
  <r>
    <s v="ORD-2023-368449"/>
    <d v="2023-10-09T00:00:00"/>
    <d v="2023-10-26T00:00:00"/>
    <x v="3"/>
    <x v="7"/>
    <x v="20"/>
    <s v="Consumer"/>
    <s v="Marketplace"/>
    <s v="C. Otieno"/>
    <s v="Components"/>
    <s v="CMP-2096"/>
    <n v="1132.03"/>
    <n v="2137.21"/>
    <n v="2137.21"/>
    <s v="High"/>
    <n v="0.35699999999999998"/>
    <n v="0.3"/>
    <n v="35"/>
    <s v="OK"/>
    <d v="2023-10-26T00:00:00"/>
    <n v="17"/>
    <n v="52361.645000000004"/>
    <n v="39621.049999999996"/>
    <n v="12740.595000000008"/>
    <n v="0.24331922727026639"/>
    <s v="Q4-2023"/>
    <s v="Components"/>
    <s v="Components"/>
    <x v="0"/>
    <s v="Late"/>
    <n v="0.2"/>
    <n v="1245.2330000000002"/>
    <n v="38.5"/>
    <n v="65826.068000000014"/>
    <n v="47941.47050000001"/>
    <n v="17884.597500000003"/>
  </r>
  <r>
    <s v="ORD-2023-474313"/>
    <d v="2023-10-05T00:00:00"/>
    <d v="2023-10-06T00:00:00"/>
    <x v="3"/>
    <x v="4"/>
    <x v="23"/>
    <s v="Non-Profit"/>
    <s v="Online"/>
    <s v="I. Johnson"/>
    <s v="Components"/>
    <s v="CMP-4807"/>
    <n v="1470.26"/>
    <n v="2562.5500000000002"/>
    <n v="2562.5500000000002"/>
    <s v="High"/>
    <n v="0.17299999999999999"/>
    <n v="0.17299999999999999"/>
    <n v="9"/>
    <s v="OK"/>
    <d v="2023-10-06T00:00:00"/>
    <n v="1"/>
    <n v="19073.059649999999"/>
    <n v="13232.34"/>
    <n v="5840.7196499999991"/>
    <n v="0.30622877279157462"/>
    <s v="Q4-2023"/>
    <s v="Components"/>
    <s v="Components"/>
    <x v="1"/>
    <s v="On-time"/>
    <n v="0.17299999999999999"/>
    <n v="1617.2860000000001"/>
    <n v="9.9"/>
    <n v="20980.365615000002"/>
    <n v="16011.131400000002"/>
    <n v="4969.2342150000004"/>
  </r>
  <r>
    <s v="ORD-2023-163610"/>
    <d v="2023-10-22T00:00:00"/>
    <d v="2023-11-16T00:00:00"/>
    <x v="0"/>
    <x v="3"/>
    <x v="4"/>
    <s v="Small Business"/>
    <s v="Marketplace"/>
    <s v="I. Johnson"/>
    <s v="Laptops"/>
    <s v="LAP-9024"/>
    <n v="1373.31"/>
    <n v="3154.14"/>
    <n v="3154.14"/>
    <s v="High"/>
    <n v="0.2"/>
    <n v="0.2"/>
    <n v="11"/>
    <s v="OK"/>
    <d v="2023-11-16T00:00:00"/>
    <n v="25"/>
    <n v="27756.432000000001"/>
    <n v="15106.41"/>
    <n v="12650.022000000001"/>
    <n v="0.45575101295440279"/>
    <s v="Q4-2023"/>
    <s v="Laptops"/>
    <s v="Laptops"/>
    <x v="1"/>
    <s v="Late"/>
    <n v="0.2"/>
    <n v="1510.6410000000001"/>
    <n v="12.100000000000001"/>
    <n v="30532.075200000007"/>
    <n v="18278.756100000002"/>
    <n v="12253.319100000004"/>
  </r>
  <r>
    <s v="ORD-2024-225829"/>
    <d v="2024-11-07T00:00:00"/>
    <d v="2024-11-26T00:00:00"/>
    <x v="0"/>
    <x v="0"/>
    <x v="0"/>
    <s v="Non-Profit"/>
    <s v="Distributor"/>
    <s v="J. Njeri"/>
    <s v="Printers"/>
    <s v="PRN-9960"/>
    <n v="55.35"/>
    <n v="128.68"/>
    <n v="128.68"/>
    <s v="Low"/>
    <n v="0.128"/>
    <n v="0.128"/>
    <n v="10"/>
    <s v="OK"/>
    <d v="2024-11-26T00:00:00"/>
    <n v="19"/>
    <n v="1122.0896000000002"/>
    <n v="553.5"/>
    <n v="568.58960000000025"/>
    <n v="0.50672388372550647"/>
    <s v="Q4-2024"/>
    <s v="Printers"/>
    <s v="Printers"/>
    <x v="1"/>
    <s v="Late"/>
    <n v="0.128"/>
    <n v="60.885000000000005"/>
    <n v="11"/>
    <n v="1234.29856"/>
    <n v="669.73500000000001"/>
    <n v="564.56355999999994"/>
  </r>
  <r>
    <s v="ORD-2024-788105"/>
    <d v="2024-11-30T00:00:00"/>
    <d v="2024-12-30T00:00:00"/>
    <x v="2"/>
    <x v="10"/>
    <x v="33"/>
    <s v="Consumer"/>
    <s v="Marketplace"/>
    <s v="F. Müller"/>
    <s v="Printers"/>
    <s v="PRN-4170"/>
    <n v="117.64"/>
    <n v="175.67"/>
    <n v="175.67"/>
    <s v="Low"/>
    <n v="0"/>
    <n v="0"/>
    <n v="10"/>
    <s v="OK"/>
    <d v="2024-12-30T00:00:00"/>
    <n v="30"/>
    <n v="1756.6999999999998"/>
    <n v="1176.4000000000001"/>
    <n v="580.29999999999973"/>
    <n v="0.33033528775545046"/>
    <s v="Q4-2024"/>
    <s v="Printers"/>
    <s v="Printers"/>
    <x v="1"/>
    <s v="Late"/>
    <n v="0"/>
    <n v="129.40400000000002"/>
    <n v="11"/>
    <n v="1932.37"/>
    <n v="1423.4440000000002"/>
    <n v="508.9259999999997"/>
  </r>
  <r>
    <s v="ORD-2024-266562"/>
    <d v="2024-11-27T00:00:00"/>
    <d v="2024-12-24T00:00:00"/>
    <x v="1"/>
    <x v="1"/>
    <x v="5"/>
    <s v="Corporate"/>
    <s v="Distributor"/>
    <s v="B. Chen"/>
    <s v="Printers"/>
    <s v="PRN-5569"/>
    <n v="143.33000000000001"/>
    <n v="233.51"/>
    <n v="233.51"/>
    <s v="Low"/>
    <n v="0.16300000000000001"/>
    <n v="0.16300000000000001"/>
    <n v="14"/>
    <s v="OK"/>
    <d v="2024-12-24T00:00:00"/>
    <n v="27"/>
    <n v="2736.27018"/>
    <n v="2006.6200000000001"/>
    <n v="729.65017999999986"/>
    <n v="0.26665867476580835"/>
    <s v="Q4-2024"/>
    <s v="Printers"/>
    <s v="Printers"/>
    <x v="1"/>
    <s v="Late"/>
    <n v="0.16300000000000001"/>
    <n v="157.66300000000004"/>
    <n v="15.400000000000002"/>
    <n v="3009.8971980000001"/>
    <n v="2428.0102000000011"/>
    <n v="581.88699799999904"/>
  </r>
  <r>
    <s v="ORD-2024-496601"/>
    <d v="2024-11-11T00:00:00"/>
    <d v="2024-11-24T00:00:00"/>
    <x v="2"/>
    <x v="2"/>
    <x v="3"/>
    <s v="Corporate"/>
    <s v="Retail"/>
    <s v="E. Garcia"/>
    <s v="Networking"/>
    <s v="NET-2932"/>
    <n v="164.53"/>
    <n v="327.72"/>
    <n v="327.72"/>
    <s v="Low"/>
    <n v="6.7000000000000004E-2"/>
    <n v="6.7000000000000004E-2"/>
    <n v="14"/>
    <s v="OK"/>
    <d v="2024-11-24T00:00:00"/>
    <n v="13"/>
    <n v="4280.6786400000001"/>
    <n v="2303.42"/>
    <n v="1977.25864"/>
    <n v="0.46190307805960412"/>
    <s v="Q4-2024"/>
    <s v="Networking"/>
    <s v="Networking"/>
    <x v="1"/>
    <s v="Late"/>
    <n v="6.7000000000000004E-2"/>
    <n v="180.983"/>
    <n v="15.400000000000002"/>
    <n v="4708.7465040000006"/>
    <n v="2787.1382000000003"/>
    <n v="1921.6083040000003"/>
  </r>
  <r>
    <s v="ORD-2024-961756"/>
    <d v="2024-11-25T00:00:00"/>
    <d v="2024-12-07T00:00:00"/>
    <x v="3"/>
    <x v="7"/>
    <x v="20"/>
    <s v="Corporate"/>
    <s v="Distributor"/>
    <s v="A. Patel"/>
    <s v="Accessories"/>
    <s v="ACC-7047"/>
    <n v="769.9"/>
    <n v="814.36"/>
    <n v="814.36"/>
    <s v="Middle"/>
    <n v="0"/>
    <n v="0"/>
    <n v="5"/>
    <s v="OK"/>
    <d v="2024-12-07T00:00:00"/>
    <n v="12"/>
    <n v="4071.8"/>
    <n v="3849.5"/>
    <n v="222.30000000000018"/>
    <n v="5.4595019401738831E-2"/>
    <s v="Q4-2024"/>
    <s v="Accessories"/>
    <s v="Accessories"/>
    <x v="1"/>
    <s v="Late"/>
    <n v="0"/>
    <n v="846.8900000000001"/>
    <n v="5.5"/>
    <n v="4478.9800000000005"/>
    <n v="4657.8950000000004"/>
    <n v="-178.91499999999996"/>
  </r>
  <r>
    <s v="ORD-2024-655710"/>
    <d v="2024-11-30T00:00:00"/>
    <d v="2024-12-10T00:00:00"/>
    <x v="3"/>
    <x v="4"/>
    <x v="31"/>
    <s v="Small Business"/>
    <s v="Retail"/>
    <s v="F. Müller"/>
    <s v="Accessories"/>
    <s v="ACC-1075"/>
    <n v="851.49"/>
    <n v="901.79"/>
    <n v="901.79"/>
    <s v="Middle"/>
    <n v="0.245"/>
    <n v="0.245"/>
    <n v="16"/>
    <s v="OK"/>
    <d v="2024-12-10T00:00:00"/>
    <n v="10"/>
    <n v="10893.6232"/>
    <n v="13623.84"/>
    <n v="-2730.2168000000001"/>
    <n v="-0.25062522816100341"/>
    <s v="Q4-2024"/>
    <s v="Accessories"/>
    <s v="Accessories"/>
    <x v="0"/>
    <s v="Late"/>
    <n v="0.2"/>
    <n v="936.63900000000012"/>
    <n v="17.600000000000001"/>
    <n v="12697.203200000002"/>
    <n v="16484.846400000002"/>
    <n v="-3787.6432000000004"/>
  </r>
  <r>
    <s v="ORD-2024-320972"/>
    <d v="2024-11-08T00:00:00"/>
    <d v="2024-11-08T00:00:00"/>
    <x v="1"/>
    <x v="1"/>
    <x v="22"/>
    <s v="Enterprise"/>
    <s v="Marketplace"/>
    <s v="M. Rossi"/>
    <s v="Networking"/>
    <s v="NET-2628"/>
    <n v="803.28"/>
    <n v="1009"/>
    <n v="1009"/>
    <s v="Middle"/>
    <n v="0.11"/>
    <n v="0.11"/>
    <n v="4"/>
    <s v="OK"/>
    <d v="2024-11-08T00:00:00"/>
    <n v="0"/>
    <n v="3592.04"/>
    <n v="3213.12"/>
    <n v="378.92000000000007"/>
    <n v="0.10548880302001093"/>
    <s v="Q4-2024"/>
    <s v="Networking"/>
    <s v="Networking"/>
    <x v="1"/>
    <s v="On-time"/>
    <n v="0.11"/>
    <n v="883.60800000000006"/>
    <n v="4.4000000000000004"/>
    <n v="3951.2440000000006"/>
    <n v="3887.8752000000004"/>
    <n v="63.368800000000192"/>
  </r>
  <r>
    <s v="ORD-2024-170021"/>
    <d v="2024-11-05T00:00:00"/>
    <d v="2024-11-08T00:00:00"/>
    <x v="0"/>
    <x v="3"/>
    <x v="4"/>
    <s v="Education"/>
    <s v="Marketplace"/>
    <s v="O. Wang"/>
    <s v="Components"/>
    <s v="CMP-2015"/>
    <n v="1020.4"/>
    <n v="1184.71"/>
    <n v="1184.71"/>
    <s v="Middle"/>
    <n v="0.106"/>
    <n v="0.106"/>
    <n v="16"/>
    <s v="OK"/>
    <d v="2024-11-08T00:00:00"/>
    <n v="3"/>
    <n v="16946.091840000001"/>
    <n v="16326.4"/>
    <n v="619.69184000000132"/>
    <n v="3.6568422138328345E-2"/>
    <s v="Q4-2024"/>
    <s v="Components"/>
    <s v="Components"/>
    <x v="1"/>
    <s v="On-time"/>
    <n v="0.106"/>
    <n v="1122.44"/>
    <n v="17.600000000000001"/>
    <n v="18640.701024000002"/>
    <n v="19754.944000000003"/>
    <n v="-1114.2429760000014"/>
  </r>
  <r>
    <s v="ORD-2024-381197"/>
    <d v="2024-11-01T00:00:00"/>
    <d v="2024-11-12T00:00:00"/>
    <x v="2"/>
    <x v="11"/>
    <x v="34"/>
    <s v="Consumer"/>
    <s v="Online"/>
    <s v="B. Chen"/>
    <s v="Printers"/>
    <s v="PRN-2409"/>
    <n v="599.84"/>
    <n v="1330.85"/>
    <n v="1330.85"/>
    <s v="High"/>
    <n v="0.115"/>
    <n v="0.115"/>
    <n v="11"/>
    <s v="OK"/>
    <d v="2024-11-12T00:00:00"/>
    <n v="11"/>
    <n v="12955.824749999998"/>
    <n v="6598.2400000000007"/>
    <n v="6357.5847499999973"/>
    <n v="0.49071246892252063"/>
    <s v="Q4-2024"/>
    <s v="Printers"/>
    <s v="Printers"/>
    <x v="1"/>
    <s v="Late"/>
    <n v="0.115"/>
    <n v="659.82400000000007"/>
    <n v="12.100000000000001"/>
    <n v="14251.407225000001"/>
    <n v="7983.8704000000016"/>
    <n v="6267.5368249999992"/>
  </r>
  <r>
    <s v="ORD-2024-588972"/>
    <d v="2024-11-02T00:00:00"/>
    <d v="2024-11-29T00:00:00"/>
    <x v="0"/>
    <x v="0"/>
    <x v="1"/>
    <s v="Small Business"/>
    <s v="Direct"/>
    <s v="I. Johnson"/>
    <s v="Networking"/>
    <s v="NET-8561"/>
    <n v="1363.51"/>
    <n v="1433.9"/>
    <n v="1433.9"/>
    <s v="High"/>
    <n v="5.7000000000000002E-2"/>
    <n v="5.7000000000000002E-2"/>
    <n v="8"/>
    <s v="OK"/>
    <d v="2024-11-29T00:00:00"/>
    <n v="27"/>
    <n v="10817.3416"/>
    <n v="10908.08"/>
    <n v="-90.738400000000183"/>
    <n v="-8.3882346842037592E-3"/>
    <s v="Q4-2024"/>
    <s v="Networking"/>
    <s v="Networking"/>
    <x v="1"/>
    <s v="Late"/>
    <n v="5.7000000000000002E-2"/>
    <n v="1499.8610000000001"/>
    <n v="8.8000000000000007"/>
    <n v="11899.075760000002"/>
    <n v="13198.776800000001"/>
    <n v="-1299.7010399999999"/>
  </r>
  <r>
    <s v="ORD-2024-925626"/>
    <d v="2024-11-04T00:00:00"/>
    <d v="2024-11-05T00:00:00"/>
    <x v="2"/>
    <x v="2"/>
    <x v="3"/>
    <s v="Corporate"/>
    <s v="Retail"/>
    <s v="M. Rossi"/>
    <s v="Printers"/>
    <s v="PRN-2293"/>
    <n v="840.68"/>
    <n v="1493.53"/>
    <n v="1493.53"/>
    <s v="High"/>
    <n v="0"/>
    <n v="0"/>
    <n v="27"/>
    <s v="OK"/>
    <d v="2024-11-05T00:00:00"/>
    <n v="1"/>
    <n v="40325.31"/>
    <n v="22698.359999999997"/>
    <n v="17626.95"/>
    <n v="0.43711877230454027"/>
    <s v="Q4-2024"/>
    <s v="Printers"/>
    <s v="Printers"/>
    <x v="1"/>
    <s v="On-time"/>
    <n v="0"/>
    <n v="924.74800000000005"/>
    <n v="29.700000000000003"/>
    <n v="44357.841"/>
    <n v="27465.015600000002"/>
    <n v="16892.825399999998"/>
  </r>
  <r>
    <s v="ORD-2024-766980"/>
    <d v="2024-11-04T00:00:00"/>
    <d v="2024-11-07T00:00:00"/>
    <x v="2"/>
    <x v="10"/>
    <x v="24"/>
    <s v="Corporate"/>
    <s v="Online"/>
    <s v="O. Wang"/>
    <s v="Monitors"/>
    <s v="MON-1118"/>
    <n v="740.68"/>
    <n v="1837.19"/>
    <n v="1837.19"/>
    <s v="High"/>
    <n v="0.19700000000000001"/>
    <n v="0.19700000000000001"/>
    <n v="17"/>
    <s v="OK"/>
    <d v="2024-11-07T00:00:00"/>
    <n v="3"/>
    <n v="25079.480689999997"/>
    <n v="12591.56"/>
    <n v="12487.920689999997"/>
    <n v="0.4979337827748298"/>
    <s v="Q4-2024"/>
    <s v="Monitors"/>
    <s v="Monitors"/>
    <x v="1"/>
    <s v="On-time"/>
    <n v="0.19700000000000001"/>
    <n v="814.74800000000005"/>
    <n v="18.700000000000003"/>
    <n v="27587.428759000006"/>
    <n v="15235.787600000003"/>
    <n v="12351.641159000003"/>
  </r>
  <r>
    <s v="ORD-2024-331226"/>
    <d v="2024-11-30T00:00:00"/>
    <d v="2024-12-19T00:00:00"/>
    <x v="1"/>
    <x v="1"/>
    <x v="16"/>
    <s v="Corporate"/>
    <s v="Online"/>
    <s v="L. Okafor"/>
    <s v="Phones"/>
    <s v="PHN-1919"/>
    <n v="1195.98"/>
    <n v="1841.9"/>
    <n v="1841.9"/>
    <s v="High"/>
    <n v="5.5E-2"/>
    <n v="5.5E-2"/>
    <n v="19"/>
    <s v="OK"/>
    <d v="2024-12-19T00:00:00"/>
    <n v="19"/>
    <n v="33071.3145"/>
    <n v="22723.62"/>
    <n v="10347.694500000001"/>
    <n v="0.31289032977506842"/>
    <s v="Q4-2024"/>
    <s v="Phones"/>
    <s v="Phones"/>
    <x v="1"/>
    <s v="Late"/>
    <n v="5.5E-2"/>
    <n v="1315.5780000000002"/>
    <n v="20.900000000000002"/>
    <n v="36378.445950000001"/>
    <n v="27495.580200000008"/>
    <n v="8882.8657499999936"/>
  </r>
  <r>
    <s v="ORD-2024-783321"/>
    <d v="2024-11-20T00:00:00"/>
    <d v="2024-12-15T00:00:00"/>
    <x v="2"/>
    <x v="10"/>
    <x v="29"/>
    <s v="Corporate"/>
    <s v="Online"/>
    <s v="G. Dubois"/>
    <s v="Printers"/>
    <s v="PRN-4911"/>
    <n v="1203.58"/>
    <n v="1856.16"/>
    <n v="1856.16"/>
    <s v="High"/>
    <n v="0.129"/>
    <n v="0.129"/>
    <n v="22"/>
    <s v="OK"/>
    <d v="2024-12-15T00:00:00"/>
    <n v="25"/>
    <n v="35567.737920000007"/>
    <n v="26478.76"/>
    <n v="9088.9779200000085"/>
    <n v="0.25553994860295032"/>
    <s v="Q4-2024"/>
    <s v="Printers"/>
    <s v="Printers"/>
    <x v="1"/>
    <s v="Late"/>
    <n v="0.129"/>
    <n v="1323.9380000000001"/>
    <n v="24.200000000000003"/>
    <n v="39124.511712000007"/>
    <n v="32039.299600000006"/>
    <n v="7085.2121120000011"/>
  </r>
  <r>
    <s v="ORD-2024-776337"/>
    <d v="2024-11-12T00:00:00"/>
    <d v="2024-11-21T00:00:00"/>
    <x v="3"/>
    <x v="4"/>
    <x v="19"/>
    <s v="Corporate"/>
    <s v="Direct"/>
    <s v="H. Kim"/>
    <s v="Laptops"/>
    <s v="LAP-5078"/>
    <n v="903.41"/>
    <n v="1860.41"/>
    <n v="1860.41"/>
    <s v="High"/>
    <n v="0.108"/>
    <n v="0.108"/>
    <n v="5"/>
    <s v="OK"/>
    <d v="2024-11-21T00:00:00"/>
    <n v="9"/>
    <n v="8297.4286000000011"/>
    <n v="4517.05"/>
    <n v="3780.3786000000009"/>
    <n v="0.455608451996803"/>
    <s v="Q4-2024"/>
    <s v="Laptops"/>
    <s v="Laptops"/>
    <x v="1"/>
    <s v="Late"/>
    <n v="0.108"/>
    <n v="993.75100000000009"/>
    <n v="5.5"/>
    <n v="9127.1714600000014"/>
    <n v="5465.6305000000002"/>
    <n v="3661.5409600000012"/>
  </r>
  <r>
    <s v="ORD-2024-247979"/>
    <d v="2024-11-02T00:00:00"/>
    <d v="2024-11-18T00:00:00"/>
    <x v="3"/>
    <x v="4"/>
    <x v="19"/>
    <s v="Small Business"/>
    <s v="Distributor"/>
    <s v="O. Wang"/>
    <s v="Monitors"/>
    <s v="MON-5188"/>
    <n v="1233.58"/>
    <n v="1912.51"/>
    <n v="1912.51"/>
    <s v="High"/>
    <n v="0.255"/>
    <n v="0.255"/>
    <n v="51"/>
    <s v="OK"/>
    <d v="2024-11-18T00:00:00"/>
    <n v="16"/>
    <n v="72665.817450000002"/>
    <n v="62912.579999999994"/>
    <n v="9753.2374500000078"/>
    <n v="0.134220432553601"/>
    <s v="Q4-2024"/>
    <s v="Monitors"/>
    <s v="Monitors"/>
    <x v="0"/>
    <s v="Late"/>
    <n v="0.2"/>
    <n v="1356.9380000000001"/>
    <n v="56.1"/>
    <n v="85833.448800000013"/>
    <n v="76124.221800000014"/>
    <n v="9709.226999999999"/>
  </r>
  <r>
    <s v="ORD-2024-192263"/>
    <d v="2024-11-21T00:00:00"/>
    <d v="2024-12-21T00:00:00"/>
    <x v="2"/>
    <x v="10"/>
    <x v="33"/>
    <s v="Small Business"/>
    <s v="Direct"/>
    <s v="I. Johnson"/>
    <s v="Monitors"/>
    <s v="MON-7943"/>
    <n v="1122.68"/>
    <n v="1997.19"/>
    <n v="1997.19"/>
    <s v="High"/>
    <n v="0.186"/>
    <n v="0.186"/>
    <n v="3"/>
    <s v="OK"/>
    <d v="2024-12-21T00:00:00"/>
    <n v="30"/>
    <n v="4877.1379800000004"/>
    <n v="3368.04"/>
    <n v="1509.0979800000005"/>
    <n v="0.30942285951073306"/>
    <s v="Q4-2024"/>
    <s v="Monitors"/>
    <s v="Monitors"/>
    <x v="1"/>
    <s v="Late"/>
    <n v="0.186"/>
    <n v="1234.9480000000001"/>
    <n v="3.3000000000000003"/>
    <n v="5364.8517780000011"/>
    <n v="4075.3284000000008"/>
    <n v="1289.5233780000003"/>
  </r>
  <r>
    <s v="ORD-2024-371409"/>
    <d v="2024-11-17T00:00:00"/>
    <d v="2024-11-28T00:00:00"/>
    <x v="0"/>
    <x v="3"/>
    <x v="25"/>
    <s v="Consumer"/>
    <s v="Distributor"/>
    <s v="A. Patel"/>
    <s v="Printers"/>
    <s v="PRN-1371"/>
    <n v="1008.16"/>
    <n v="2077.5"/>
    <n v="2077.5"/>
    <s v="High"/>
    <n v="7.3999999999999996E-2"/>
    <n v="7.3999999999999996E-2"/>
    <n v="15"/>
    <s v="OK"/>
    <d v="2024-11-28T00:00:00"/>
    <n v="11"/>
    <n v="28856.475000000002"/>
    <n v="15122.4"/>
    <n v="13734.075000000003"/>
    <n v="0.47594430712691005"/>
    <s v="Q4-2024"/>
    <s v="Printers"/>
    <s v="Printers"/>
    <x v="1"/>
    <s v="Late"/>
    <n v="7.3999999999999996E-2"/>
    <n v="1108.9760000000001"/>
    <n v="16.5"/>
    <n v="31742.122500000001"/>
    <n v="18298.104000000003"/>
    <n v="13444.018499999998"/>
  </r>
  <r>
    <s v="ORD-2024-468501"/>
    <d v="2024-11-06T00:00:00"/>
    <d v="2024-11-22T00:00:00"/>
    <x v="0"/>
    <x v="3"/>
    <x v="4"/>
    <s v="Non-Profit"/>
    <s v="Distributor"/>
    <s v="D. Smith"/>
    <s v="Accessories"/>
    <s v="ACC-6348"/>
    <n v="1454.11"/>
    <n v="2629.75"/>
    <n v="2629.75"/>
    <s v="High"/>
    <n v="0.29199999999999998"/>
    <n v="0.29199999999999998"/>
    <n v="8"/>
    <s v="OK"/>
    <d v="2024-11-22T00:00:00"/>
    <n v="16"/>
    <n v="14894.903999999999"/>
    <n v="11632.88"/>
    <n v="3262.0239999999994"/>
    <n v="0.21900268709351867"/>
    <s v="Q4-2024"/>
    <s v="Accessories"/>
    <s v="Accessories"/>
    <x v="0"/>
    <s v="Late"/>
    <n v="0.2"/>
    <n v="1599.521"/>
    <n v="8.8000000000000007"/>
    <n v="18513.440000000002"/>
    <n v="14075.784800000001"/>
    <n v="4437.6552000000011"/>
  </r>
  <r>
    <s v="ORD-2024-508213"/>
    <d v="2024-11-22T00:00:00"/>
    <d v="2024-12-15T00:00:00"/>
    <x v="1"/>
    <x v="1"/>
    <x v="5"/>
    <s v="Non-Profit"/>
    <s v="Distributor"/>
    <s v="C. Otieno"/>
    <s v="Components"/>
    <s v="CMP-3938"/>
    <n v="1335.76"/>
    <n v="2665.91"/>
    <n v="2665.91"/>
    <s v="High"/>
    <n v="0.21099999999999999"/>
    <n v="0.21099999999999999"/>
    <n v="40"/>
    <s v="OK"/>
    <d v="2024-12-15T00:00:00"/>
    <n v="23"/>
    <n v="84136.119600000005"/>
    <n v="53430.400000000001"/>
    <n v="30705.719600000004"/>
    <n v="0.36495288522909253"/>
    <s v="Q4-2024"/>
    <s v="Components"/>
    <s v="Components"/>
    <x v="0"/>
    <s v="Late"/>
    <n v="0.2"/>
    <n v="1469.336"/>
    <n v="44"/>
    <n v="93840.032000000007"/>
    <n v="64650.784"/>
    <n v="29189.248000000007"/>
  </r>
  <r>
    <s v="ORD-2023-975863"/>
    <d v="2023-11-20T00:00:00"/>
    <d v="2023-12-05T00:00:00"/>
    <x v="3"/>
    <x v="5"/>
    <x v="8"/>
    <s v="Enterprise"/>
    <s v="Retail"/>
    <s v="L. Okafor"/>
    <s v="Networking"/>
    <s v="NET-3033"/>
    <n v="354.24"/>
    <n v="249.87"/>
    <n v="249.87"/>
    <s v="Low"/>
    <n v="0"/>
    <n v="0"/>
    <n v="6"/>
    <s v="OK"/>
    <d v="2023-12-05T00:00:00"/>
    <n v="15"/>
    <n v="1499.22"/>
    <n v="2125.44"/>
    <n v="-626.22"/>
    <n v="-0.41769720254532355"/>
    <s v="Q4-2023"/>
    <s v="Networking"/>
    <s v="Networking"/>
    <x v="1"/>
    <s v="Late"/>
    <n v="0"/>
    <n v="389.66400000000004"/>
    <n v="6.6000000000000005"/>
    <n v="1649.1420000000001"/>
    <n v="2571.7824000000005"/>
    <n v="-922.64040000000045"/>
  </r>
  <r>
    <s v="ORD-2023-191563"/>
    <d v="2023-11-30T00:00:00"/>
    <d v="2023-12-10T00:00:00"/>
    <x v="2"/>
    <x v="11"/>
    <x v="35"/>
    <s v="Small Business"/>
    <s v="Direct"/>
    <s v="F. Müller"/>
    <s v="Laptops"/>
    <s v="LAP-4899"/>
    <n v="174.74"/>
    <n v="415.96"/>
    <n v="415.96"/>
    <s v="Low"/>
    <n v="0.125"/>
    <n v="0.125"/>
    <n v="21"/>
    <s v="OK"/>
    <d v="2023-12-10T00:00:00"/>
    <n v="10"/>
    <n v="7643.2649999999994"/>
    <n v="3669.54"/>
    <n v="3973.7249999999995"/>
    <n v="0.51989889137691803"/>
    <s v="Q4-2023"/>
    <s v="Laptops"/>
    <s v="Laptops"/>
    <x v="1"/>
    <s v="Late"/>
    <n v="0.125"/>
    <n v="192.21400000000003"/>
    <n v="23.1"/>
    <n v="8407.5914999999986"/>
    <n v="4440.1434000000008"/>
    <n v="3967.4480999999978"/>
  </r>
  <r>
    <s v="ORD-2023-825495"/>
    <d v="2023-11-30T00:00:00"/>
    <d v="2023-11-29T00:00:00"/>
    <x v="1"/>
    <x v="6"/>
    <x v="10"/>
    <s v="Small Business"/>
    <s v="Marketplace"/>
    <s v="E. Garcia"/>
    <s v="Laptops"/>
    <s v="LAP-1525"/>
    <n v="275.56"/>
    <n v="630.72"/>
    <n v="630.72"/>
    <s v="Middle"/>
    <n v="0.107"/>
    <n v="0.107"/>
    <n v="23"/>
    <s v="Correct"/>
    <d v="2023-12-07T00:00:00"/>
    <n v="7"/>
    <n v="12954.358080000002"/>
    <n v="6337.88"/>
    <n v="6616.4780800000017"/>
    <n v="0.5107530638831933"/>
    <s v="Q4-2023"/>
    <s v="Laptops"/>
    <s v="Laptops"/>
    <x v="1"/>
    <s v="On-time"/>
    <n v="0.107"/>
    <n v="303.11600000000004"/>
    <n v="25.3"/>
    <n v="14249.793888"/>
    <n v="7668.8348000000015"/>
    <n v="6580.9590879999987"/>
  </r>
  <r>
    <s v="ORD-2023-653343"/>
    <d v="2023-11-10T00:00:00"/>
    <d v="2023-11-28T00:00:00"/>
    <x v="0"/>
    <x v="0"/>
    <x v="1"/>
    <s v="Education"/>
    <s v="Marketplace"/>
    <s v="L. Okafor"/>
    <s v="Accessories"/>
    <s v="ACC-5260"/>
    <n v="388.51"/>
    <n v="776.46"/>
    <n v="776.46"/>
    <s v="Middle"/>
    <n v="0.157"/>
    <n v="0.157"/>
    <n v="12"/>
    <s v="OK"/>
    <d v="2023-11-28T00:00:00"/>
    <n v="18"/>
    <n v="7854.6693599999999"/>
    <n v="4662.12"/>
    <n v="3192.54936"/>
    <n v="0.40645241876864946"/>
    <s v="Q4-2023"/>
    <s v="Accessories"/>
    <s v="Accessories"/>
    <x v="1"/>
    <s v="Late"/>
    <n v="0.157"/>
    <n v="427.36100000000005"/>
    <n v="13.200000000000001"/>
    <n v="8640.1362960000006"/>
    <n v="5641.1652000000013"/>
    <n v="2998.9710959999993"/>
  </r>
  <r>
    <s v="ORD-2023-964434"/>
    <d v="2023-11-28T00:00:00"/>
    <d v="2023-12-07T00:00:00"/>
    <x v="3"/>
    <x v="4"/>
    <x v="6"/>
    <s v="Enterprise"/>
    <s v="Marketplace"/>
    <s v="L. Okafor"/>
    <s v="Phones"/>
    <s v="PHN-2447"/>
    <n v="699.33"/>
    <n v="873.75"/>
    <n v="873.75"/>
    <s v="Middle"/>
    <n v="0.23499999999999999"/>
    <n v="0.23499999999999999"/>
    <n v="10"/>
    <s v="OK"/>
    <d v="2023-12-07T00:00:00"/>
    <n v="9"/>
    <n v="6684.1875"/>
    <n v="6993.3"/>
    <n v="-309.11250000000018"/>
    <n v="-4.6245336475076469E-2"/>
    <s v="Q4-2023"/>
    <s v="Phones"/>
    <s v="Phones"/>
    <x v="0"/>
    <s v="Late"/>
    <n v="0.2"/>
    <n v="769.26300000000015"/>
    <n v="11"/>
    <n v="7689"/>
    <n v="8461.8930000000018"/>
    <n v="-772.89300000000185"/>
  </r>
  <r>
    <s v="ORD-2023-181257"/>
    <d v="2023-11-15T00:00:00"/>
    <d v="2023-12-06T00:00:00"/>
    <x v="2"/>
    <x v="2"/>
    <x v="26"/>
    <s v="Education"/>
    <s v="Direct"/>
    <s v="H. Kim"/>
    <s v="Accessories"/>
    <s v="ACC-1060"/>
    <n v="1184.99"/>
    <n v="1154.3399999999999"/>
    <n v="1154.3399999999999"/>
    <s v="Middle"/>
    <n v="2.8000000000000001E-2"/>
    <n v="2.8000000000000001E-2"/>
    <n v="5"/>
    <s v="OK"/>
    <d v="2023-12-06T00:00:00"/>
    <n v="21"/>
    <n v="5610.0923999999995"/>
    <n v="5924.95"/>
    <n v="-314.85760000000028"/>
    <n v="-5.6123424990290764E-2"/>
    <s v="Q4-2023"/>
    <s v="Accessories"/>
    <s v="Accessories"/>
    <x v="1"/>
    <s v="Late"/>
    <n v="2.8000000000000001E-2"/>
    <n v="1303.489"/>
    <n v="5.5"/>
    <n v="6171.1016399999999"/>
    <n v="7169.1895000000004"/>
    <n v="-998.08786000000055"/>
  </r>
  <r>
    <s v="ORD-2023-619570"/>
    <d v="2023-11-14T00:00:00"/>
    <d v="2023-11-30T00:00:00"/>
    <x v="0"/>
    <x v="0"/>
    <x v="17"/>
    <s v="Enterprise"/>
    <s v="Direct"/>
    <s v="K. Singh"/>
    <s v="Networking"/>
    <s v="NET-4104"/>
    <n v="1017.92"/>
    <n v="1175.25"/>
    <n v="1175.25"/>
    <s v="Middle"/>
    <n v="7.4999999999999997E-2"/>
    <n v="7.4999999999999997E-2"/>
    <n v="15"/>
    <s v="OK"/>
    <d v="2023-11-30T00:00:00"/>
    <n v="16"/>
    <n v="16306.59375"/>
    <n v="15268.8"/>
    <n v="1037.7937500000007"/>
    <n v="6.3642583234159542E-2"/>
    <s v="Q4-2023"/>
    <s v="Networking"/>
    <s v="Networking"/>
    <x v="1"/>
    <s v="Late"/>
    <n v="7.4999999999999997E-2"/>
    <n v="1119.712"/>
    <n v="16.5"/>
    <n v="17937.253124999999"/>
    <n v="18475.248"/>
    <n v="-537.99487500000032"/>
  </r>
  <r>
    <s v="ORD-2023-455933"/>
    <d v="2023-11-19T00:00:00"/>
    <d v="2023-12-19T00:00:00"/>
    <x v="3"/>
    <x v="5"/>
    <x v="7"/>
    <s v="Consumer"/>
    <s v="Retail"/>
    <s v="Unassigned"/>
    <s v="Phones"/>
    <s v="PHN-9184"/>
    <n v="807.11"/>
    <n v="1853.86"/>
    <n v="1853.86"/>
    <s v="High"/>
    <n v="0.13900000000000001"/>
    <n v="0.13900000000000001"/>
    <n v="8"/>
    <s v="OK"/>
    <d v="2023-12-19T00:00:00"/>
    <n v="30"/>
    <n v="12769.38768"/>
    <n v="6456.88"/>
    <n v="6312.5076799999997"/>
    <n v="0.49434693645388639"/>
    <s v="Q4-2023"/>
    <s v="Phones"/>
    <s v="Phones"/>
    <x v="1"/>
    <s v="Late"/>
    <n v="0.13900000000000001"/>
    <n v="887.82100000000014"/>
    <n v="8.8000000000000007"/>
    <n v="14046.326448"/>
    <n v="7812.8248000000021"/>
    <n v="6233.5016479999977"/>
  </r>
  <r>
    <s v="ORD-2023-561823"/>
    <d v="2023-11-19T00:00:00"/>
    <d v="2023-12-12T00:00:00"/>
    <x v="3"/>
    <x v="4"/>
    <x v="6"/>
    <s v="Small Business"/>
    <s v="Direct"/>
    <s v="C. Otieno"/>
    <s v="Networking"/>
    <s v="NET-2460"/>
    <n v="1349.04"/>
    <n v="2636.6"/>
    <n v="2636.6"/>
    <s v="High"/>
    <n v="0.114"/>
    <n v="0.114"/>
    <n v="14"/>
    <s v="OK"/>
    <d v="2023-12-12T00:00:00"/>
    <n v="23"/>
    <n v="32704.386400000003"/>
    <n v="18886.559999999998"/>
    <n v="13817.826400000005"/>
    <n v="0.42250682312143928"/>
    <s v="Q4-2023"/>
    <s v="Networking"/>
    <s v="Networking"/>
    <x v="1"/>
    <s v="Late"/>
    <n v="0.114"/>
    <n v="1483.9440000000002"/>
    <n v="15.400000000000002"/>
    <n v="35974.825040000003"/>
    <n v="22852.737600000008"/>
    <n v="13122.087439999996"/>
  </r>
  <r>
    <s v="ORD-2023-576840"/>
    <d v="2023-11-19T00:00:00"/>
    <d v="2023-12-13T00:00:00"/>
    <x v="2"/>
    <x v="10"/>
    <x v="24"/>
    <s v="Non-Profit"/>
    <s v="Direct"/>
    <s v="H. Kim"/>
    <s v="Monitors"/>
    <s v="MON-3745"/>
    <n v="1297.42"/>
    <n v="2742.97"/>
    <n v="2742.97"/>
    <s v="High"/>
    <n v="6.9000000000000006E-2"/>
    <n v="6.9000000000000006E-2"/>
    <n v="9"/>
    <s v="OK"/>
    <d v="2023-12-13T00:00:00"/>
    <n v="24"/>
    <n v="22983.34563"/>
    <n v="11676.78"/>
    <n v="11306.565629999999"/>
    <n v="0.49194602961727291"/>
    <s v="Q4-2023"/>
    <s v="Monitors"/>
    <s v="Monitors"/>
    <x v="1"/>
    <s v="Late"/>
    <n v="6.9000000000000006E-2"/>
    <n v="1427.1620000000003"/>
    <n v="9.9"/>
    <n v="25281.680193"/>
    <n v="14128.903800000004"/>
    <n v="11152.776392999996"/>
  </r>
  <r>
    <s v="ORD-2025-828263"/>
    <d v="2025-05-17T00:00:00"/>
    <d v="2025-05-30T00:00:00"/>
    <x v="1"/>
    <x v="8"/>
    <x v="12"/>
    <s v="Consumer"/>
    <s v="Distributor"/>
    <s v="F. Müller"/>
    <s v="Accessories"/>
    <s v="ACC-3349"/>
    <n v="66.400000000000006"/>
    <n v="141.43"/>
    <n v="141.43"/>
    <s v="Low"/>
    <n v="0.107"/>
    <n v="0.107"/>
    <n v="8"/>
    <s v="OK"/>
    <d v="2025-05-30T00:00:00"/>
    <n v="13"/>
    <n v="1010.3759200000001"/>
    <n v="531.20000000000005"/>
    <n v="479.17592000000002"/>
    <n v="0.47425508715607551"/>
    <s v="Q2-2025"/>
    <s v="Accessories"/>
    <s v="Accessories"/>
    <x v="1"/>
    <s v="Late"/>
    <n v="0.107"/>
    <n v="73.040000000000006"/>
    <n v="8.8000000000000007"/>
    <n v="1111.4135120000001"/>
    <n v="642.75200000000007"/>
    <n v="468.66151200000002"/>
  </r>
  <r>
    <s v="ORD-2025-114382"/>
    <d v="2025-05-14T00:00:00"/>
    <d v="2025-05-24T00:00:00"/>
    <x v="2"/>
    <x v="10"/>
    <x v="29"/>
    <s v="Small Business"/>
    <s v="Marketplace"/>
    <s v="K. Singh"/>
    <s v="Components"/>
    <s v="CMP-2865"/>
    <n v="170.39"/>
    <n v="388.04"/>
    <n v="388.04"/>
    <s v="Low"/>
    <n v="8.4000000000000005E-2"/>
    <n v="8.4000000000000005E-2"/>
    <n v="15"/>
    <s v="OK"/>
    <d v="2025-05-24T00:00:00"/>
    <n v="10"/>
    <n v="5331.6696000000002"/>
    <n v="2555.85"/>
    <n v="2775.8196000000003"/>
    <n v="0.52062858508711796"/>
    <s v="Q2-2025"/>
    <s v="Components"/>
    <s v="Components"/>
    <x v="1"/>
    <s v="Late"/>
    <n v="8.4000000000000005E-2"/>
    <n v="187.429"/>
    <n v="16.5"/>
    <n v="5864.8365600000006"/>
    <n v="3092.5785000000001"/>
    <n v="2772.2580600000006"/>
  </r>
  <r>
    <s v="ORD-2025-364852"/>
    <d v="2025-05-18T00:00:00"/>
    <d v="2025-06-09T00:00:00"/>
    <x v="0"/>
    <x v="9"/>
    <x v="21"/>
    <s v="Consumer"/>
    <s v="Retail"/>
    <s v="H. Kim"/>
    <s v="Networking"/>
    <s v="NET-3749"/>
    <n v="382.96"/>
    <n v="552.84"/>
    <n v="552.84"/>
    <s v="Low"/>
    <n v="0.17599999999999999"/>
    <n v="0.17599999999999999"/>
    <n v="8"/>
    <s v="OK"/>
    <d v="2025-06-09T00:00:00"/>
    <n v="22"/>
    <n v="3644.3212800000006"/>
    <n v="3063.68"/>
    <n v="580.64128000000073"/>
    <n v="0.15932768693763483"/>
    <s v="Q2-2025"/>
    <s v="Networking"/>
    <s v="Networking"/>
    <x v="1"/>
    <s v="Late"/>
    <n v="0.17599999999999999"/>
    <n v="421.25600000000003"/>
    <n v="8.8000000000000007"/>
    <n v="4008.7534080000014"/>
    <n v="3707.0528000000004"/>
    <n v="301.70060800000101"/>
  </r>
  <r>
    <s v="ORD-2025-866565"/>
    <d v="2025-05-12T00:00:00"/>
    <d v="2025-05-26T00:00:00"/>
    <x v="3"/>
    <x v="4"/>
    <x v="31"/>
    <s v="Corporate"/>
    <s v="Marketplace"/>
    <s v="G. Dubois"/>
    <s v="Printers"/>
    <s v="PRN-8850"/>
    <n v="320.12"/>
    <n v="594.41999999999996"/>
    <n v="594.41999999999996"/>
    <s v="Low"/>
    <n v="0.104"/>
    <n v="0.104"/>
    <n v="18"/>
    <s v="OK"/>
    <d v="2025-05-26T00:00:00"/>
    <n v="14"/>
    <n v="9586.8057599999993"/>
    <n v="5762.16"/>
    <n v="3824.6457599999994"/>
    <n v="0.39894891538931104"/>
    <s v="Q2-2025"/>
    <s v="Printers"/>
    <s v="Printers"/>
    <x v="1"/>
    <s v="Late"/>
    <n v="0.104"/>
    <n v="352.13200000000006"/>
    <n v="19.8"/>
    <n v="10545.486336"/>
    <n v="6972.2136000000019"/>
    <n v="3573.2727359999981"/>
  </r>
  <r>
    <s v="ORD-2025-486350"/>
    <d v="2025-05-27T00:00:00"/>
    <d v="2025-06-08T00:00:00"/>
    <x v="3"/>
    <x v="5"/>
    <x v="9"/>
    <s v="Corporate"/>
    <s v="Retail"/>
    <s v="H. Kim"/>
    <s v="Accessories"/>
    <s v="ACC-1249"/>
    <n v="653.6"/>
    <n v="842.09"/>
    <n v="842.09"/>
    <s v="Middle"/>
    <n v="9.8000000000000004E-2"/>
    <n v="9.8000000000000004E-2"/>
    <n v="19"/>
    <s v="OK"/>
    <d v="2025-06-08T00:00:00"/>
    <n v="12"/>
    <n v="14431.738420000001"/>
    <n v="12418.4"/>
    <n v="2013.3384200000019"/>
    <n v="0.13950768517324622"/>
    <s v="Q2-2025"/>
    <s v="Accessories"/>
    <s v="Accessories"/>
    <x v="1"/>
    <s v="Late"/>
    <n v="9.8000000000000004E-2"/>
    <n v="718.96"/>
    <n v="20.900000000000002"/>
    <n v="15874.912262000003"/>
    <n v="15026.264000000003"/>
    <n v="848.64826200000061"/>
  </r>
  <r>
    <s v="ORD-2025-779530"/>
    <d v="2025-05-19T00:00:00"/>
    <d v="2025-05-17T00:00:00"/>
    <x v="0"/>
    <x v="0"/>
    <x v="17"/>
    <s v="Small Business"/>
    <s v="Distributor"/>
    <s v="L. Okafor"/>
    <s v="Monitors"/>
    <s v="MON-2993"/>
    <n v="383.77"/>
    <n v="952.56"/>
    <n v="952.56"/>
    <s v="Middle"/>
    <n v="0.34599999999999997"/>
    <n v="0.3"/>
    <n v="10"/>
    <s v="Correct"/>
    <d v="2025-05-26T00:00:00"/>
    <n v="7"/>
    <n v="6667.9199999999983"/>
    <n v="3837.7"/>
    <n v="2830.2199999999984"/>
    <n v="0.42445320279787385"/>
    <s v="Q2-2025"/>
    <s v="Monitors"/>
    <s v="Monitors"/>
    <x v="0"/>
    <s v="On-time"/>
    <n v="0.2"/>
    <n v="422.14699999999999"/>
    <n v="11"/>
    <n v="8382.5280000000002"/>
    <n v="4643.6170000000002"/>
    <n v="3738.9110000000001"/>
  </r>
  <r>
    <s v="ORD-2025-983096"/>
    <d v="2025-05-17T00:00:00"/>
    <d v="2025-05-28T00:00:00"/>
    <x v="3"/>
    <x v="4"/>
    <x v="23"/>
    <s v="Corporate"/>
    <s v="Distributor"/>
    <s v="B. Chen"/>
    <s v="Laptops"/>
    <s v="LAP-9016"/>
    <n v="623.4"/>
    <n v="1100.0899999999999"/>
    <n v="1100.0899999999999"/>
    <s v="Middle"/>
    <n v="0.114"/>
    <n v="0.114"/>
    <n v="12"/>
    <s v="OK"/>
    <d v="2025-05-28T00:00:00"/>
    <n v="11"/>
    <n v="11696.156879999999"/>
    <n v="7480.7999999999993"/>
    <n v="4215.3568799999994"/>
    <n v="0.36040529579490388"/>
    <s v="Q2-2025"/>
    <s v="Laptops"/>
    <s v="Laptops"/>
    <x v="1"/>
    <s v="Late"/>
    <n v="0.114"/>
    <n v="685.74"/>
    <n v="13.200000000000001"/>
    <n v="12865.772568"/>
    <n v="9051.768"/>
    <n v="3814.0045680000003"/>
  </r>
  <r>
    <s v="ORD-2025-820255"/>
    <d v="2025-05-29T00:00:00"/>
    <d v="2025-06-20T00:00:00"/>
    <x v="2"/>
    <x v="11"/>
    <x v="36"/>
    <s v="Corporate"/>
    <s v="Direct"/>
    <s v="A. Patel"/>
    <s v="Printers"/>
    <s v="PRN-9787"/>
    <n v="483.47"/>
    <n v="1135.43"/>
    <n v="1135.43"/>
    <s v="Middle"/>
    <n v="0.14599999999999999"/>
    <n v="0.14599999999999999"/>
    <n v="11"/>
    <s v="OK"/>
    <d v="2025-06-20T00:00:00"/>
    <n v="22"/>
    <n v="10666.229420000001"/>
    <n v="5318.17"/>
    <n v="5348.0594200000014"/>
    <n v="0.50140112399719983"/>
    <s v="Q2-2025"/>
    <s v="Printers"/>
    <s v="Printers"/>
    <x v="1"/>
    <s v="Late"/>
    <n v="0.14599999999999999"/>
    <n v="531.81700000000012"/>
    <n v="12.100000000000001"/>
    <n v="11732.852362000003"/>
    <n v="6434.985700000002"/>
    <n v="5297.8666620000013"/>
  </r>
  <r>
    <s v="ORD-2025-509940"/>
    <d v="2025-05-16T00:00:00"/>
    <d v="2025-05-27T00:00:00"/>
    <x v="3"/>
    <x v="7"/>
    <x v="11"/>
    <s v="Enterprise"/>
    <s v="Online"/>
    <s v="F. Müller"/>
    <s v="Phones"/>
    <s v="PHN-3800"/>
    <n v="918.12"/>
    <n v="1337.69"/>
    <n v="1337.69"/>
    <s v="High"/>
    <n v="9.5000000000000001E-2"/>
    <n v="9.5000000000000001E-2"/>
    <n v="8"/>
    <s v="OK"/>
    <d v="2025-05-27T00:00:00"/>
    <n v="11"/>
    <n v="9684.8756000000012"/>
    <n v="7344.96"/>
    <n v="2339.9156000000012"/>
    <n v="0.24160512707050164"/>
    <s v="Q2-2025"/>
    <s v="Phones"/>
    <s v="Phones"/>
    <x v="1"/>
    <s v="Late"/>
    <n v="9.5000000000000001E-2"/>
    <n v="1009.9320000000001"/>
    <n v="8.8000000000000007"/>
    <n v="10653.363160000003"/>
    <n v="8887.4016000000011"/>
    <n v="1765.9615600000016"/>
  </r>
  <r>
    <s v="ORD-2025-191328"/>
    <d v="2025-05-10T00:00:00"/>
    <d v="2025-05-27T00:00:00"/>
    <x v="0"/>
    <x v="3"/>
    <x v="18"/>
    <s v="Education"/>
    <s v="Direct"/>
    <s v="C. Otieno"/>
    <s v="Components"/>
    <s v="CMP-9307"/>
    <n v="862.89"/>
    <n v="1426.03"/>
    <n v="1426.03"/>
    <s v="High"/>
    <n v="5.6000000000000001E-2"/>
    <n v="5.6000000000000001E-2"/>
    <n v="19"/>
    <s v="OK"/>
    <d v="2025-05-27T00:00:00"/>
    <n v="17"/>
    <n v="25577.274079999999"/>
    <n v="16394.91"/>
    <n v="9182.3640799999994"/>
    <n v="0.35900479665188778"/>
    <s v="Q2-2025"/>
    <s v="Components"/>
    <s v="Components"/>
    <x v="1"/>
    <s v="Late"/>
    <n v="5.6000000000000001E-2"/>
    <n v="949.17900000000009"/>
    <n v="20.900000000000002"/>
    <n v="28135.001488000002"/>
    <n v="19837.841100000005"/>
    <n v="8297.1603879999966"/>
  </r>
  <r>
    <s v="ORD-2025-762301"/>
    <d v="2025-05-02T00:00:00"/>
    <d v="2025-05-13T00:00:00"/>
    <x v="1"/>
    <x v="1"/>
    <x v="22"/>
    <s v="Small Business"/>
    <s v="Online"/>
    <s v="A. Patel"/>
    <s v="Accessories"/>
    <s v="ACC-2252"/>
    <n v="1057.5999999999999"/>
    <n v="1437.06"/>
    <n v="1437.06"/>
    <s v="High"/>
    <n v="0.20499999999999999"/>
    <n v="0.20499999999999999"/>
    <n v="4"/>
    <s v="OK"/>
    <d v="2025-05-13T00:00:00"/>
    <n v="11"/>
    <n v="4569.8508000000002"/>
    <n v="4230.3999999999996"/>
    <n v="339.45080000000053"/>
    <n v="7.4280499485891424E-2"/>
    <s v="Q2-2025"/>
    <s v="Accessories"/>
    <s v="Accessories"/>
    <x v="0"/>
    <s v="Late"/>
    <n v="0.2"/>
    <n v="1163.3599999999999"/>
    <n v="4.4000000000000004"/>
    <n v="5058.4512000000004"/>
    <n v="5118.7839999999997"/>
    <n v="-60.332799999999224"/>
  </r>
  <r>
    <s v="ORD-2025-874124"/>
    <d v="2025-05-14T00:00:00"/>
    <d v="2025-05-12T00:00:00"/>
    <x v="0"/>
    <x v="3"/>
    <x v="18"/>
    <s v="Non-Profit"/>
    <s v="Distributor"/>
    <s v="F. Müller"/>
    <s v="Printers"/>
    <s v="PRN-2407"/>
    <n v="883.5"/>
    <n v="1978.91"/>
    <n v="1978.91"/>
    <s v="High"/>
    <n v="5.3999999999999999E-2"/>
    <n v="5.3999999999999999E-2"/>
    <n v="27"/>
    <s v="Correct"/>
    <d v="2025-05-21T00:00:00"/>
    <n v="7"/>
    <n v="50545.319219999998"/>
    <n v="23854.5"/>
    <n v="26690.819219999998"/>
    <n v="0.52805718970390547"/>
    <s v="Q2-2025"/>
    <s v="Printers"/>
    <s v="Printers"/>
    <x v="1"/>
    <s v="On-time"/>
    <n v="5.3999999999999999E-2"/>
    <n v="971.85"/>
    <n v="29.700000000000003"/>
    <n v="55599.851142000007"/>
    <n v="28863.945000000003"/>
    <n v="26735.906142000003"/>
  </r>
  <r>
    <s v="ORD-2025-673091"/>
    <d v="2025-05-07T00:00:00"/>
    <d v="2025-05-13T00:00:00"/>
    <x v="3"/>
    <x v="4"/>
    <x v="23"/>
    <s v="Enterprise"/>
    <s v="Direct"/>
    <s v="J. Njeri"/>
    <s v="Phones"/>
    <s v="PHN-5683"/>
    <n v="935.98"/>
    <n v="2077.69"/>
    <n v="2077.69"/>
    <s v="High"/>
    <n v="0.17499999999999999"/>
    <n v="0.17499999999999999"/>
    <n v="24"/>
    <s v="OK"/>
    <d v="2025-05-13T00:00:00"/>
    <n v="6"/>
    <n v="41138.261999999995"/>
    <n v="22463.52"/>
    <n v="18674.741999999995"/>
    <n v="0.45395067978321491"/>
    <s v="Q2-2025"/>
    <s v="Phones"/>
    <s v="Phones"/>
    <x v="1"/>
    <s v="On-time"/>
    <n v="0.17499999999999999"/>
    <n v="1029.5780000000002"/>
    <n v="26.400000000000002"/>
    <n v="45252.088199999998"/>
    <n v="27180.859200000006"/>
    <n v="18071.228999999992"/>
  </r>
  <r>
    <s v="ORD-2025-745263"/>
    <d v="2025-05-21T00:00:00"/>
    <d v="2025-05-19T00:00:00"/>
    <x v="2"/>
    <x v="2"/>
    <x v="37"/>
    <s v="Enterprise"/>
    <s v="Online"/>
    <s v="M. Rossi"/>
    <s v="Laptops"/>
    <s v="LAP-3385"/>
    <n v="1015.16"/>
    <n v="2148.14"/>
    <n v="2148.14"/>
    <s v="High"/>
    <n v="3.7999999999999999E-2"/>
    <n v="3.7999999999999999E-2"/>
    <n v="19"/>
    <s v="Correct"/>
    <d v="2025-05-28T00:00:00"/>
    <n v="7"/>
    <n v="39263.702919999996"/>
    <n v="19288.04"/>
    <n v="19975.662919999995"/>
    <n v="0.50875647059322227"/>
    <s v="Q2-2025"/>
    <s v="Laptops"/>
    <s v="Laptops"/>
    <x v="1"/>
    <s v="On-time"/>
    <n v="3.7999999999999999E-2"/>
    <n v="1116.6760000000002"/>
    <n v="20.900000000000002"/>
    <n v="43190.073212000003"/>
    <n v="23338.528400000007"/>
    <n v="19851.544811999996"/>
  </r>
  <r>
    <s v="ORD-2025-700847"/>
    <d v="2025-05-21T00:00:00"/>
    <d v="2025-05-19T00:00:00"/>
    <x v="1"/>
    <x v="6"/>
    <x v="38"/>
    <s v="Non-Profit"/>
    <s v="Distributor"/>
    <s v="O. Wang"/>
    <s v="Laptops"/>
    <s v="LAP-7099"/>
    <n v="1263.8399999999999"/>
    <n v="2281.7199999999998"/>
    <n v="2281.7199999999998"/>
    <s v="High"/>
    <n v="7.8E-2"/>
    <n v="7.8E-2"/>
    <n v="15"/>
    <s v="Correct"/>
    <d v="2025-05-28T00:00:00"/>
    <n v="7"/>
    <n v="31556.187599999997"/>
    <n v="18957.599999999999"/>
    <n v="12598.587599999999"/>
    <n v="0.39924301882398494"/>
    <s v="Q2-2025"/>
    <s v="Laptops"/>
    <s v="Laptops"/>
    <x v="1"/>
    <s v="On-time"/>
    <n v="7.8E-2"/>
    <n v="1390.2239999999999"/>
    <n v="16.5"/>
    <n v="34711.806360000002"/>
    <n v="22938.696"/>
    <n v="11773.110360000002"/>
  </r>
  <r>
    <s v="ORD-2025-997421"/>
    <d v="2025-05-21T00:00:00"/>
    <d v="2025-06-09T00:00:00"/>
    <x v="0"/>
    <x v="0"/>
    <x v="17"/>
    <s v="Non-Profit"/>
    <s v="Online"/>
    <s v="A. Patel"/>
    <s v="Components"/>
    <s v="CMP-3731"/>
    <n v="1331.38"/>
    <n v="2309.56"/>
    <n v="2309.56"/>
    <s v="High"/>
    <n v="0.14899999999999999"/>
    <n v="0.14899999999999999"/>
    <n v="31"/>
    <s v="OK"/>
    <d v="2025-06-09T00:00:00"/>
    <n v="19"/>
    <n v="60928.502359999999"/>
    <n v="41272.780000000006"/>
    <n v="19655.722359999992"/>
    <n v="0.32260307735553528"/>
    <s v="Q2-2025"/>
    <s v="Components"/>
    <s v="Components"/>
    <x v="1"/>
    <s v="Late"/>
    <n v="0.14899999999999999"/>
    <n v="1464.5180000000003"/>
    <n v="34.1"/>
    <n v="67021.352595999997"/>
    <n v="49940.063800000011"/>
    <n v="17081.288795999986"/>
  </r>
  <r>
    <s v="ORD-2025-752192"/>
    <d v="2025-05-16T00:00:00"/>
    <d v="2025-05-18T00:00:00"/>
    <x v="3"/>
    <x v="5"/>
    <x v="8"/>
    <s v="Enterprise"/>
    <s v="Retail"/>
    <s v="J. Njeri"/>
    <s v="Printers"/>
    <s v="PRN-6131"/>
    <n v="1144.3800000000001"/>
    <n v="2755.04"/>
    <n v="2755.04"/>
    <s v="High"/>
    <n v="0.15"/>
    <n v="0.15"/>
    <n v="17"/>
    <s v="OK"/>
    <d v="2025-05-18T00:00:00"/>
    <n v="2"/>
    <n v="39810.328000000001"/>
    <n v="19454.460000000003"/>
    <n v="20355.867999999999"/>
    <n v="0.51132128326096682"/>
    <s v="Q2-2025"/>
    <s v="Printers"/>
    <s v="Printers"/>
    <x v="1"/>
    <s v="On-time"/>
    <n v="0.15"/>
    <n v="1258.8180000000002"/>
    <n v="18.700000000000003"/>
    <n v="43791.360800000002"/>
    <n v="23539.896600000007"/>
    <n v="20251.464199999995"/>
  </r>
  <r>
    <s v="ORD-2025-254721"/>
    <d v="2025-05-15T00:00:00"/>
    <d v="2025-06-05T00:00:00"/>
    <x v="3"/>
    <x v="5"/>
    <x v="9"/>
    <s v="Enterprise"/>
    <s v="Direct"/>
    <s v="H. Kim"/>
    <s v="Phones"/>
    <s v="PHN-6480"/>
    <n v="1466.5"/>
    <n v="2778.74"/>
    <n v="2778.74"/>
    <s v="High"/>
    <n v="0.13500000000000001"/>
    <n v="0.13500000000000001"/>
    <n v="4"/>
    <s v="OK"/>
    <d v="2025-06-05T00:00:00"/>
    <n v="21"/>
    <n v="9614.4403999999995"/>
    <n v="5866"/>
    <n v="3748.4403999999995"/>
    <n v="0.38987608680792279"/>
    <s v="Q2-2025"/>
    <s v="Phones"/>
    <s v="Phones"/>
    <x v="1"/>
    <s v="Late"/>
    <n v="0.13500000000000001"/>
    <n v="1613.15"/>
    <n v="4.4000000000000004"/>
    <n v="10575.88444"/>
    <n v="7097.8600000000006"/>
    <n v="3478.0244399999992"/>
  </r>
  <r>
    <s v="ORD-2024-403664"/>
    <d v="2024-05-23T00:00:00"/>
    <d v="2024-06-06T00:00:00"/>
    <x v="0"/>
    <x v="0"/>
    <x v="0"/>
    <s v="Non-Profit"/>
    <s v="Online"/>
    <s v="I. Johnson"/>
    <s v="Networking"/>
    <s v="NET-1166"/>
    <n v="51.13"/>
    <n v="57.53"/>
    <n v="57.53"/>
    <s v="Low"/>
    <n v="4.4999999999999998E-2"/>
    <n v="4.4999999999999998E-2"/>
    <n v="16"/>
    <s v="OK"/>
    <d v="2024-06-06T00:00:00"/>
    <n v="14"/>
    <n v="879.05840000000001"/>
    <n v="818.08"/>
    <n v="60.978399999999965"/>
    <n v="6.9367859973808302E-2"/>
    <s v="Q2-2024"/>
    <s v="Networking"/>
    <s v="Networking"/>
    <x v="1"/>
    <s v="Late"/>
    <n v="4.4999999999999998E-2"/>
    <n v="56.243000000000009"/>
    <n v="17.600000000000001"/>
    <n v="966.96424000000013"/>
    <n v="989.87680000000023"/>
    <n v="-22.912560000000099"/>
  </r>
  <r>
    <s v="ORD-2024-973420"/>
    <d v="2024-05-12T00:00:00"/>
    <d v="2024-05-24T00:00:00"/>
    <x v="2"/>
    <x v="2"/>
    <x v="26"/>
    <s v="Education"/>
    <s v="Marketplace"/>
    <s v="K. Singh"/>
    <s v="Printers"/>
    <s v="PRN-5813"/>
    <n v="111.02"/>
    <n v="172.88"/>
    <n v="172.88"/>
    <s v="Low"/>
    <n v="0.19700000000000001"/>
    <n v="0.19700000000000001"/>
    <n v="29"/>
    <s v="OK"/>
    <d v="2024-05-24T00:00:00"/>
    <n v="12"/>
    <n v="4025.8565599999993"/>
    <n v="3219.58"/>
    <n v="806.27655999999934"/>
    <n v="0.20027453735212053"/>
    <s v="Q2-2024"/>
    <s v="Printers"/>
    <s v="Printers"/>
    <x v="1"/>
    <s v="Late"/>
    <n v="0.19700000000000001"/>
    <n v="122.122"/>
    <n v="31.900000000000002"/>
    <n v="4428.4422159999995"/>
    <n v="3895.6918000000001"/>
    <n v="532.7504159999994"/>
  </r>
  <r>
    <s v="ORD-2024-641220"/>
    <d v="2024-05-10T00:00:00"/>
    <d v="2024-05-16T00:00:00"/>
    <x v="2"/>
    <x v="2"/>
    <x v="37"/>
    <s v="Non-Profit"/>
    <s v="Direct"/>
    <s v="G. Dubois"/>
    <s v="Laptops"/>
    <s v="LAP-1066"/>
    <n v="210.76"/>
    <n v="221.58"/>
    <n v="221.58"/>
    <s v="Low"/>
    <n v="8.8999999999999996E-2"/>
    <n v="8.8999999999999996E-2"/>
    <n v="5"/>
    <s v="OK"/>
    <d v="2024-05-16T00:00:00"/>
    <n v="6"/>
    <n v="1009.2969000000002"/>
    <n v="1053.8"/>
    <n v="-44.50309999999979"/>
    <n v="-4.4093170205912434E-2"/>
    <s v="Q2-2024"/>
    <s v="Laptops"/>
    <s v="Laptops"/>
    <x v="1"/>
    <s v="On-time"/>
    <n v="8.8999999999999996E-2"/>
    <n v="231.83600000000001"/>
    <n v="5.5"/>
    <n v="1110.22659"/>
    <n v="1275.098"/>
    <n v="-164.87140999999997"/>
  </r>
  <r>
    <s v="ORD-2024-970848"/>
    <d v="2024-05-23T00:00:00"/>
    <d v="2024-06-03T00:00:00"/>
    <x v="1"/>
    <x v="6"/>
    <x v="38"/>
    <s v="Small Business"/>
    <s v="Distributor"/>
    <s v="F. Müller"/>
    <s v="Printers"/>
    <s v="PRN-3785"/>
    <n v="180.89"/>
    <n v="249.57"/>
    <n v="249.57"/>
    <s v="Low"/>
    <n v="2.1999999999999999E-2"/>
    <n v="2.1999999999999999E-2"/>
    <n v="8"/>
    <s v="OK"/>
    <d v="2024-06-03T00:00:00"/>
    <n v="11"/>
    <n v="1952.6356799999999"/>
    <n v="1447.12"/>
    <n v="505.51567999999997"/>
    <n v="0.25888888806948362"/>
    <s v="Q2-2024"/>
    <s v="Printers"/>
    <s v="Printers"/>
    <x v="1"/>
    <s v="Late"/>
    <n v="2.1999999999999999E-2"/>
    <n v="198.97900000000001"/>
    <n v="8.8000000000000007"/>
    <n v="2147.8992479999997"/>
    <n v="1751.0152000000003"/>
    <n v="396.88404799999944"/>
  </r>
  <r>
    <s v="ORD-2024-605518"/>
    <d v="2024-05-30T00:00:00"/>
    <d v="2024-06-13T00:00:00"/>
    <x v="0"/>
    <x v="9"/>
    <x v="32"/>
    <s v="Small Business"/>
    <s v="Retail"/>
    <s v="F. Müller"/>
    <s v="Phones"/>
    <s v="PHN-4356"/>
    <n v="157.78"/>
    <n v="361.1"/>
    <n v="361.1"/>
    <s v="Low"/>
    <n v="0.187"/>
    <n v="0.187"/>
    <n v="9"/>
    <s v="OK"/>
    <d v="2024-06-13T00:00:00"/>
    <n v="14"/>
    <n v="2642.1686999999997"/>
    <n v="1420.02"/>
    <n v="1222.1486999999997"/>
    <n v="0.46255513510549112"/>
    <s v="Q2-2024"/>
    <s v="Phones"/>
    <s v="Phones"/>
    <x v="1"/>
    <s v="Late"/>
    <n v="0.187"/>
    <n v="173.55800000000002"/>
    <n v="9.9"/>
    <n v="2906.3855699999999"/>
    <n v="1718.2242000000003"/>
    <n v="1188.1613699999996"/>
  </r>
  <r>
    <s v="ORD-2024-578646"/>
    <d v="2024-05-27T00:00:00"/>
    <d v="2024-06-17T00:00:00"/>
    <x v="3"/>
    <x v="4"/>
    <x v="6"/>
    <s v="Small Business"/>
    <s v="Online"/>
    <s v="H. Kim"/>
    <s v="Accessories"/>
    <s v="ACC-7240"/>
    <n v="465.02"/>
    <n v="651.55999999999995"/>
    <n v="651.55999999999995"/>
    <s v="Middle"/>
    <n v="4.2000000000000003E-2"/>
    <n v="4.2000000000000003E-2"/>
    <n v="19"/>
    <s v="OK"/>
    <d v="2024-06-17T00:00:00"/>
    <n v="21"/>
    <n v="11859.695119999998"/>
    <n v="8835.3799999999992"/>
    <n v="3024.3151199999993"/>
    <n v="0.25500783025187918"/>
    <s v="Q2-2024"/>
    <s v="Accessories"/>
    <s v="Accessories"/>
    <x v="1"/>
    <s v="Late"/>
    <n v="4.2000000000000003E-2"/>
    <n v="511.52200000000005"/>
    <n v="20.900000000000002"/>
    <n v="13045.664631999998"/>
    <n v="10690.809800000003"/>
    <n v="2354.8548319999954"/>
  </r>
  <r>
    <s v="ORD-2024-375848"/>
    <d v="2024-05-18T00:00:00"/>
    <d v="2024-05-21T00:00:00"/>
    <x v="2"/>
    <x v="10"/>
    <x v="33"/>
    <s v="Non-Profit"/>
    <s v="Marketplace"/>
    <s v="D. Smith"/>
    <s v="Printers"/>
    <s v="PRN-1725"/>
    <n v="663.66"/>
    <n v="824.26"/>
    <n v="824.26"/>
    <s v="Middle"/>
    <n v="0.23899999999999999"/>
    <n v="0.23899999999999999"/>
    <n v="11"/>
    <s v="OK"/>
    <d v="2024-05-21T00:00:00"/>
    <n v="3"/>
    <n v="6899.8804600000003"/>
    <n v="7300.2599999999993"/>
    <n v="-400.379539999999"/>
    <n v="-5.8027025587048933E-2"/>
    <s v="Q2-2024"/>
    <s v="Printers"/>
    <s v="Printers"/>
    <x v="0"/>
    <s v="On-time"/>
    <n v="0.2"/>
    <n v="730.02600000000007"/>
    <n v="12.100000000000001"/>
    <n v="7978.8368000000009"/>
    <n v="8833.3146000000015"/>
    <n v="-854.47780000000057"/>
  </r>
  <r>
    <s v="ORD-2024-389336"/>
    <d v="2024-05-20T00:00:00"/>
    <d v="2024-06-02T00:00:00"/>
    <x v="0"/>
    <x v="3"/>
    <x v="18"/>
    <s v="Enterprise"/>
    <s v="Marketplace"/>
    <s v="K. Singh"/>
    <s v="Components"/>
    <s v="CMP-5946"/>
    <n v="675.43"/>
    <n v="996.36"/>
    <n v="996.36"/>
    <s v="Middle"/>
    <n v="0.182"/>
    <n v="0.182"/>
    <n v="22"/>
    <s v="OK"/>
    <d v="2024-06-02T00:00:00"/>
    <n v="13"/>
    <n v="17930.494560000003"/>
    <n v="14859.46"/>
    <n v="3071.0345600000037"/>
    <n v="0.17127439233332575"/>
    <s v="Q2-2024"/>
    <s v="Components"/>
    <s v="Components"/>
    <x v="1"/>
    <s v="Late"/>
    <n v="0.182"/>
    <n v="742.97299999999996"/>
    <n v="24.200000000000003"/>
    <n v="19723.544016000003"/>
    <n v="17979.946599999999"/>
    <n v="1743.5974160000042"/>
  </r>
  <r>
    <s v="ORD-2024-347736"/>
    <d v="2024-05-22T00:00:00"/>
    <d v="2024-06-06T00:00:00"/>
    <x v="3"/>
    <x v="5"/>
    <x v="7"/>
    <s v="Corporate"/>
    <s v="Distributor"/>
    <s v="C. Otieno"/>
    <s v="Monitors"/>
    <s v="MON-6870"/>
    <n v="673.88"/>
    <n v="1228.01"/>
    <n v="1228.01"/>
    <s v="High"/>
    <n v="0.105"/>
    <n v="0.105"/>
    <n v="13"/>
    <s v="OK"/>
    <d v="2024-06-06T00:00:00"/>
    <n v="15"/>
    <n v="14287.896349999999"/>
    <n v="8760.44"/>
    <n v="5527.4563499999986"/>
    <n v="0.38686285332689996"/>
    <s v="Q2-2024"/>
    <s v="Monitors"/>
    <s v="Monitors"/>
    <x v="1"/>
    <s v="Late"/>
    <n v="0.105"/>
    <n v="741.26800000000003"/>
    <n v="14.3"/>
    <n v="15716.685985000002"/>
    <n v="10600.1324"/>
    <n v="5116.5535850000015"/>
  </r>
  <r>
    <s v="ORD-2024-503082"/>
    <d v="2024-05-19T00:00:00"/>
    <d v="2024-06-08T00:00:00"/>
    <x v="0"/>
    <x v="0"/>
    <x v="1"/>
    <s v="Small Business"/>
    <s v="Retail"/>
    <s v="E. Garcia"/>
    <s v="Monitors"/>
    <s v="MON-4271"/>
    <n v="1075.9000000000001"/>
    <n v="1242.1500000000001"/>
    <n v="1242.1500000000001"/>
    <s v="High"/>
    <n v="1.2E-2"/>
    <n v="1.2E-2"/>
    <n v="7"/>
    <s v="OK"/>
    <d v="2024-06-08T00:00:00"/>
    <n v="20"/>
    <n v="8590.7094000000016"/>
    <n v="7531.3000000000011"/>
    <n v="1059.4094000000005"/>
    <n v="0.12332036280961853"/>
    <s v="Q2-2024"/>
    <s v="Monitors"/>
    <s v="Monitors"/>
    <x v="1"/>
    <s v="Late"/>
    <n v="1.2E-2"/>
    <n v="1183.4900000000002"/>
    <n v="7.7000000000000011"/>
    <n v="9449.7803400000012"/>
    <n v="9112.8730000000032"/>
    <n v="336.90733999999793"/>
  </r>
  <r>
    <s v="ORD-2024-155337"/>
    <d v="2024-05-21T00:00:00"/>
    <d v="2024-05-27T00:00:00"/>
    <x v="1"/>
    <x v="6"/>
    <x v="38"/>
    <s v="Non-Profit"/>
    <s v="Online"/>
    <s v="M. Rossi"/>
    <s v="Components"/>
    <s v="CMP-8101"/>
    <n v="1157.51"/>
    <n v="1394.3"/>
    <n v="1394.3"/>
    <s v="High"/>
    <n v="0.27800000000000002"/>
    <n v="0.27800000000000002"/>
    <n v="12"/>
    <s v="OK"/>
    <d v="2024-05-27T00:00:00"/>
    <n v="6"/>
    <n v="12080.215199999999"/>
    <n v="13890.119999999999"/>
    <n v="-1809.9048000000003"/>
    <n v="-0.14982388724333326"/>
    <s v="Q2-2024"/>
    <s v="Components"/>
    <s v="Components"/>
    <x v="0"/>
    <s v="On-time"/>
    <n v="0.2"/>
    <n v="1273.2610000000002"/>
    <n v="13.200000000000001"/>
    <n v="14723.808000000003"/>
    <n v="16807.045200000004"/>
    <n v="-2083.2372000000014"/>
  </r>
  <r>
    <s v="ORD-2024-527858"/>
    <d v="2024-05-07T00:00:00"/>
    <d v="2024-05-12T00:00:00"/>
    <x v="1"/>
    <x v="8"/>
    <x v="28"/>
    <s v="Non-Profit"/>
    <s v="Distributor"/>
    <s v="L. Okafor"/>
    <s v="Laptops"/>
    <s v="LAP-9100"/>
    <n v="1163.99"/>
    <n v="1617.85"/>
    <n v="1617.85"/>
    <s v="High"/>
    <n v="0.127"/>
    <n v="0.127"/>
    <n v="14"/>
    <s v="OK"/>
    <d v="2024-05-12T00:00:00"/>
    <n v="5"/>
    <n v="19773.362699999998"/>
    <n v="16295.86"/>
    <n v="3477.5026999999973"/>
    <n v="0.17586804797749436"/>
    <s v="Q2-2024"/>
    <s v="Laptops"/>
    <s v="Laptops"/>
    <x v="1"/>
    <s v="On-time"/>
    <n v="0.127"/>
    <n v="1280.3890000000001"/>
    <n v="15.400000000000002"/>
    <n v="21750.698970000001"/>
    <n v="19717.990600000005"/>
    <n v="2032.7083699999966"/>
  </r>
  <r>
    <s v="ORD-2024-402240"/>
    <d v="2024-05-01T00:00:00"/>
    <d v="2024-05-26T00:00:00"/>
    <x v="2"/>
    <x v="11"/>
    <x v="36"/>
    <s v="Non-Profit"/>
    <s v="Retail"/>
    <s v="B. Chen"/>
    <s v="Networking"/>
    <s v="NET-4228"/>
    <n v="930.71"/>
    <n v="1625.42"/>
    <n v="1625.42"/>
    <s v="High"/>
    <n v="0.13800000000000001"/>
    <n v="0.13800000000000001"/>
    <n v="7"/>
    <s v="OK"/>
    <d v="2024-05-26T00:00:00"/>
    <n v="25"/>
    <n v="9807.7842799999999"/>
    <n v="6514.97"/>
    <n v="3292.8142799999996"/>
    <n v="0.33573477821231196"/>
    <s v="Q2-2024"/>
    <s v="Networking"/>
    <s v="Networking"/>
    <x v="1"/>
    <s v="Late"/>
    <n v="0.13800000000000001"/>
    <n v="1023.7810000000002"/>
    <n v="7.7000000000000011"/>
    <n v="10788.562708000001"/>
    <n v="7883.1137000000026"/>
    <n v="2905.4490079999987"/>
  </r>
  <r>
    <s v="ORD-2024-555229"/>
    <d v="2024-05-18T00:00:00"/>
    <d v="2024-05-22T00:00:00"/>
    <x v="1"/>
    <x v="1"/>
    <x v="2"/>
    <s v="Corporate"/>
    <s v="Direct"/>
    <s v="H. Kim"/>
    <s v="Accessories"/>
    <s v="ACC-7354"/>
    <n v="857.42"/>
    <n v="1658.92"/>
    <n v="1658.92"/>
    <s v="High"/>
    <n v="0.122"/>
    <n v="0.122"/>
    <n v="9"/>
    <s v="OK"/>
    <d v="2024-05-22T00:00:00"/>
    <n v="4"/>
    <n v="13108.78584"/>
    <n v="7716.78"/>
    <n v="5392.0058400000007"/>
    <n v="0.41132763215544305"/>
    <s v="Q2-2024"/>
    <s v="Accessories"/>
    <s v="Accessories"/>
    <x v="1"/>
    <s v="On-time"/>
    <n v="0.122"/>
    <n v="943.16200000000003"/>
    <n v="9.9"/>
    <n v="14419.664424000001"/>
    <n v="9337.3038000000015"/>
    <n v="5082.360623999999"/>
  </r>
  <r>
    <s v="ORD-2024-329104"/>
    <d v="2024-05-23T00:00:00"/>
    <d v="2024-06-14T00:00:00"/>
    <x v="2"/>
    <x v="10"/>
    <x v="33"/>
    <s v="Small Business"/>
    <s v="Online"/>
    <s v="N. Brown"/>
    <s v="Monitors"/>
    <s v="MON-2100"/>
    <n v="1481.74"/>
    <n v="1848.97"/>
    <n v="1848.97"/>
    <s v="High"/>
    <n v="0.254"/>
    <n v="0.254"/>
    <n v="9"/>
    <s v="OK"/>
    <d v="2024-06-14T00:00:00"/>
    <n v="22"/>
    <n v="12413.98458"/>
    <n v="13335.66"/>
    <n v="-921.67541999999958"/>
    <n v="-7.4244930309072407E-2"/>
    <s v="Q2-2024"/>
    <s v="Monitors"/>
    <s v="Monitors"/>
    <x v="0"/>
    <s v="Late"/>
    <n v="0.2"/>
    <n v="1629.9140000000002"/>
    <n v="9.9"/>
    <n v="14643.842400000001"/>
    <n v="16136.148600000002"/>
    <n v="-1492.3062000000009"/>
  </r>
  <r>
    <s v="ORD-2024-202166"/>
    <d v="2024-05-05T00:00:00"/>
    <d v="2024-05-18T00:00:00"/>
    <x v="2"/>
    <x v="10"/>
    <x v="33"/>
    <s v="Corporate"/>
    <s v="Marketplace"/>
    <s v="A. Patel"/>
    <s v="Components"/>
    <s v="CMP-3313"/>
    <n v="1264.04"/>
    <n v="1870.89"/>
    <n v="1870.89"/>
    <s v="High"/>
    <n v="0"/>
    <n v="0"/>
    <n v="13"/>
    <s v="OK"/>
    <d v="2024-05-18T00:00:00"/>
    <n v="13"/>
    <n v="24321.57"/>
    <n v="16432.52"/>
    <n v="7889.0499999999993"/>
    <n v="0.32436433996653996"/>
    <s v="Q2-2024"/>
    <s v="Components"/>
    <s v="Components"/>
    <x v="1"/>
    <s v="Late"/>
    <n v="0"/>
    <n v="1390.444"/>
    <n v="14.3"/>
    <n v="26753.727000000003"/>
    <n v="19883.349200000001"/>
    <n v="6870.377800000002"/>
  </r>
  <r>
    <s v="ORD-2024-638884"/>
    <d v="2024-05-28T00:00:00"/>
    <d v="2024-05-26T00:00:00"/>
    <x v="1"/>
    <x v="8"/>
    <x v="28"/>
    <s v="Enterprise"/>
    <s v="Online"/>
    <s v="F. Müller"/>
    <s v="Accessories"/>
    <s v="ACC-5177"/>
    <n v="1227.08"/>
    <n v="1896.62"/>
    <n v="1896.62"/>
    <s v="High"/>
    <n v="0"/>
    <n v="0"/>
    <n v="18"/>
    <s v="Correct"/>
    <d v="2024-06-04T00:00:00"/>
    <n v="7"/>
    <n v="34139.159999999996"/>
    <n v="22087.439999999999"/>
    <n v="12051.719999999998"/>
    <n v="0.353017473189147"/>
    <s v="Q2-2024"/>
    <s v="Accessories"/>
    <s v="Accessories"/>
    <x v="1"/>
    <s v="On-time"/>
    <n v="0"/>
    <n v="1349.788"/>
    <n v="19.8"/>
    <n v="37553.076000000001"/>
    <n v="26725.8024"/>
    <n v="10827.2736"/>
  </r>
  <r>
    <s v="ORD-2024-851993"/>
    <d v="2024-05-01T00:00:00"/>
    <d v="2024-05-16T00:00:00"/>
    <x v="3"/>
    <x v="4"/>
    <x v="23"/>
    <s v="Small Business"/>
    <s v="Retail"/>
    <s v="L. Okafor"/>
    <s v="Components"/>
    <s v="CMP-6811"/>
    <n v="901.19"/>
    <n v="2125.44"/>
    <n v="2125.44"/>
    <s v="High"/>
    <n v="7.0999999999999994E-2"/>
    <n v="7.0999999999999994E-2"/>
    <n v="12"/>
    <s v="OK"/>
    <d v="2024-05-16T00:00:00"/>
    <n v="15"/>
    <n v="23694.405119999999"/>
    <n v="10814.28"/>
    <n v="12880.125119999999"/>
    <n v="0.54359352154100415"/>
    <s v="Q2-2024"/>
    <s v="Components"/>
    <s v="Components"/>
    <x v="1"/>
    <s v="Late"/>
    <n v="7.0999999999999994E-2"/>
    <n v="991.3090000000002"/>
    <n v="13.200000000000001"/>
    <n v="26063.845632000004"/>
    <n v="13085.278800000004"/>
    <n v="12978.566832"/>
  </r>
  <r>
    <s v="ORD-2024-819979"/>
    <d v="2024-05-28T00:00:00"/>
    <d v="2024-06-18T00:00:00"/>
    <x v="2"/>
    <x v="11"/>
    <x v="34"/>
    <s v="Small Business"/>
    <s v="Online"/>
    <s v="E. Garcia"/>
    <s v="Phones"/>
    <s v="PHN-9399"/>
    <n v="986.85"/>
    <n v="2422.1"/>
    <n v="2422.1"/>
    <s v="High"/>
    <n v="7.5999999999999998E-2"/>
    <n v="7.5999999999999998E-2"/>
    <n v="10"/>
    <s v="OK"/>
    <d v="2024-06-18T00:00:00"/>
    <n v="21"/>
    <n v="22380.204000000002"/>
    <n v="9868.5"/>
    <n v="12511.704000000002"/>
    <n v="0.55905227673527913"/>
    <s v="Q2-2024"/>
    <s v="Phones"/>
    <s v="Phones"/>
    <x v="1"/>
    <s v="Late"/>
    <n v="7.5999999999999998E-2"/>
    <n v="1085.5350000000001"/>
    <n v="11"/>
    <n v="24618.224399999999"/>
    <n v="11940.885"/>
    <n v="12677.339399999999"/>
  </r>
  <r>
    <s v="ORD-2024-589570"/>
    <d v="2024-05-04T00:00:00"/>
    <d v="2024-05-29T00:00:00"/>
    <x v="1"/>
    <x v="8"/>
    <x v="28"/>
    <s v="Non-Profit"/>
    <s v="Marketplace"/>
    <s v="O. Wang"/>
    <s v="Monitors"/>
    <s v="MON-6892"/>
    <n v="1295.3399999999999"/>
    <n v="2530.81"/>
    <n v="2530.81"/>
    <s v="High"/>
    <n v="3.1E-2"/>
    <n v="3.1E-2"/>
    <n v="6"/>
    <s v="OK"/>
    <d v="2024-05-29T00:00:00"/>
    <n v="25"/>
    <n v="14714.12934"/>
    <n v="7772.0399999999991"/>
    <n v="6942.0893400000004"/>
    <n v="0.4717974933880798"/>
    <s v="Q2-2024"/>
    <s v="Monitors"/>
    <s v="Monitors"/>
    <x v="1"/>
    <s v="Late"/>
    <n v="3.1E-2"/>
    <n v="1424.874"/>
    <n v="6.6000000000000005"/>
    <n v="16185.542274000001"/>
    <n v="9404.1684000000005"/>
    <n v="6781.3738740000008"/>
  </r>
  <r>
    <s v="ORD-2024-500109"/>
    <d v="2024-05-18T00:00:00"/>
    <d v="2024-05-23T00:00:00"/>
    <x v="0"/>
    <x v="9"/>
    <x v="30"/>
    <s v="Enterprise"/>
    <s v="Retail"/>
    <s v="H. Kim"/>
    <s v="Laptops"/>
    <s v="LAP-4987"/>
    <n v="1274.5899999999999"/>
    <n v="2553.69"/>
    <n v="2553.69"/>
    <s v="High"/>
    <n v="0.01"/>
    <n v="0.01"/>
    <n v="8"/>
    <s v="OK"/>
    <d v="2024-05-23T00:00:00"/>
    <n v="5"/>
    <n v="20225.2248"/>
    <n v="10196.719999999999"/>
    <n v="10028.504800000001"/>
    <n v="0.49584145042481803"/>
    <s v="Q2-2024"/>
    <s v="Laptops"/>
    <s v="Laptops"/>
    <x v="1"/>
    <s v="On-time"/>
    <n v="0.01"/>
    <n v="1402.049"/>
    <n v="8.8000000000000007"/>
    <n v="22247.74728"/>
    <n v="12338.031200000001"/>
    <n v="9909.7160799999983"/>
  </r>
  <r>
    <s v="ORD-2024-690270"/>
    <d v="2024-05-17T00:00:00"/>
    <d v="2024-05-27T00:00:00"/>
    <x v="0"/>
    <x v="9"/>
    <x v="13"/>
    <s v="Non-Profit"/>
    <s v="Online"/>
    <s v="C. Otieno"/>
    <s v="Phones"/>
    <s v="PHN-7974"/>
    <n v="1484.23"/>
    <n v="3472.81"/>
    <n v="3472.81"/>
    <s v="High"/>
    <n v="0.25600000000000001"/>
    <n v="0.25600000000000001"/>
    <n v="12"/>
    <s v="OK"/>
    <d v="2024-05-27T00:00:00"/>
    <n v="10"/>
    <n v="31005.24768"/>
    <n v="17810.760000000002"/>
    <n v="13194.487679999998"/>
    <n v="0.42555659661803413"/>
    <s v="Q2-2024"/>
    <s v="Phones"/>
    <s v="Phones"/>
    <x v="0"/>
    <s v="Late"/>
    <n v="0.2"/>
    <n v="1632.6530000000002"/>
    <n v="13.200000000000001"/>
    <n v="36672.873600000006"/>
    <n v="21551.019600000003"/>
    <n v="15121.854000000003"/>
  </r>
  <r>
    <s v="ORD-2024-548345"/>
    <d v="2024-05-14T00:00:00"/>
    <d v="2024-05-28T00:00:00"/>
    <x v="2"/>
    <x v="2"/>
    <x v="37"/>
    <s v="Consumer"/>
    <s v="Retail"/>
    <s v="B. Chen"/>
    <s v="Networking"/>
    <s v="NET-2365"/>
    <n v="1421.14"/>
    <n v="3524"/>
    <n v="3524"/>
    <s v="High"/>
    <n v="0"/>
    <n v="0"/>
    <n v="31"/>
    <s v="OK"/>
    <d v="2024-05-28T00:00:00"/>
    <n v="14"/>
    <n v="109244"/>
    <n v="44055.340000000004"/>
    <n v="65188.659999999996"/>
    <n v="0.59672531214528945"/>
    <s v="Q2-2024"/>
    <s v="Networking"/>
    <s v="Networking"/>
    <x v="1"/>
    <s v="Late"/>
    <n v="0"/>
    <n v="1563.2540000000001"/>
    <n v="34.1"/>
    <n v="120168.40000000001"/>
    <n v="53306.961400000007"/>
    <n v="66861.438599999994"/>
  </r>
  <r>
    <s v="ORD-2023-251563"/>
    <d v="2023-05-11T00:00:00"/>
    <d v="2023-06-07T00:00:00"/>
    <x v="1"/>
    <x v="1"/>
    <x v="5"/>
    <s v="Corporate"/>
    <s v="Online"/>
    <s v="J. Njeri"/>
    <s v="Phones"/>
    <s v="PHN-8970"/>
    <n v="12.85"/>
    <n v="15.41"/>
    <n v="15.41"/>
    <s v="Low"/>
    <n v="0.13700000000000001"/>
    <n v="0.13700000000000001"/>
    <n v="39"/>
    <s v="OK"/>
    <d v="2023-06-07T00:00:00"/>
    <n v="27"/>
    <n v="518.65436999999997"/>
    <n v="501.15"/>
    <n v="17.504369999999994"/>
    <n v="3.3749585489851353E-2"/>
    <s v="Q2-2023"/>
    <s v="Phones"/>
    <s v="Phones"/>
    <x v="1"/>
    <s v="Late"/>
    <n v="0.13700000000000001"/>
    <n v="14.135000000000002"/>
    <n v="42.900000000000006"/>
    <n v="570.51980700000001"/>
    <n v="606.39150000000018"/>
    <n v="-35.871693000000164"/>
  </r>
  <r>
    <s v="ORD-2023-603650"/>
    <d v="2023-05-23T00:00:00"/>
    <d v="2023-06-10T00:00:00"/>
    <x v="3"/>
    <x v="7"/>
    <x v="20"/>
    <s v="Corporate"/>
    <s v="Distributor"/>
    <s v="E. Garcia"/>
    <s v="Components"/>
    <s v="CMP-6925"/>
    <n v="54.62"/>
    <n v="48.94"/>
    <n v="48.94"/>
    <s v="Low"/>
    <n v="0.14799999999999999"/>
    <n v="0.14799999999999999"/>
    <n v="16"/>
    <s v="OK"/>
    <d v="2023-06-10T00:00:00"/>
    <n v="18"/>
    <n v="667.15008"/>
    <n v="873.92"/>
    <n v="-206.76991999999996"/>
    <n v="-0.3099301434543783"/>
    <s v="Q2-2023"/>
    <s v="Components"/>
    <s v="Components"/>
    <x v="1"/>
    <s v="Late"/>
    <n v="0.14799999999999999"/>
    <n v="60.082000000000001"/>
    <n v="17.600000000000001"/>
    <n v="733.86508800000001"/>
    <n v="1057.4432000000002"/>
    <n v="-323.57811200000015"/>
  </r>
  <r>
    <s v="ORD-2023-704111"/>
    <d v="2023-05-17T00:00:00"/>
    <d v="2023-06-15T00:00:00"/>
    <x v="1"/>
    <x v="6"/>
    <x v="10"/>
    <s v="Enterprise"/>
    <s v="Retail"/>
    <s v="K. Singh"/>
    <s v="Accessories"/>
    <s v="ACC-5206"/>
    <n v="40.89"/>
    <n v="62.82"/>
    <n v="62.82"/>
    <s v="Low"/>
    <n v="0.129"/>
    <n v="0.129"/>
    <n v="17"/>
    <s v="OK"/>
    <d v="2023-06-15T00:00:00"/>
    <n v="29"/>
    <n v="930.17574000000002"/>
    <n v="695.13"/>
    <n v="235.04574000000002"/>
    <n v="0.25268960465470752"/>
    <s v="Q2-2023"/>
    <s v="Accessories"/>
    <s v="Accessories"/>
    <x v="1"/>
    <s v="Late"/>
    <n v="0.129"/>
    <n v="44.979000000000006"/>
    <n v="18.700000000000003"/>
    <n v="1023.1933140000001"/>
    <n v="841.10730000000024"/>
    <n v="182.08601399999986"/>
  </r>
  <r>
    <s v="ORD-2023-378676"/>
    <d v="2023-05-03T00:00:00"/>
    <d v="2023-05-16T00:00:00"/>
    <x v="0"/>
    <x v="9"/>
    <x v="21"/>
    <s v="Corporate"/>
    <s v="Marketplace"/>
    <s v="L. Okafor"/>
    <s v="Phones"/>
    <s v="PHN-5366"/>
    <n v="64.5"/>
    <n v="123.62"/>
    <n v="123.62"/>
    <s v="Low"/>
    <n v="0"/>
    <n v="0"/>
    <n v="3"/>
    <s v="OK"/>
    <d v="2023-05-16T00:00:00"/>
    <n v="13"/>
    <n v="370.86"/>
    <n v="193.5"/>
    <n v="177.36"/>
    <n v="0.47823976702798904"/>
    <s v="Q2-2023"/>
    <s v="Phones"/>
    <s v="Phones"/>
    <x v="1"/>
    <s v="Late"/>
    <n v="0"/>
    <n v="70.95"/>
    <n v="3.3000000000000003"/>
    <n v="407.94600000000003"/>
    <n v="234.13500000000002"/>
    <n v="173.81100000000001"/>
  </r>
  <r>
    <s v="ORD-2023-898009"/>
    <d v="2023-05-04T00:00:00"/>
    <d v="2023-05-16T00:00:00"/>
    <x v="1"/>
    <x v="8"/>
    <x v="28"/>
    <s v="Small Business"/>
    <s v="Marketplace"/>
    <s v="J. Njeri"/>
    <s v="Phones"/>
    <s v="PHN-1670"/>
    <n v="77.739999999999995"/>
    <n v="147.12"/>
    <n v="147.12"/>
    <s v="Low"/>
    <n v="0"/>
    <n v="0"/>
    <n v="15"/>
    <s v="OK"/>
    <d v="2023-05-16T00:00:00"/>
    <n v="12"/>
    <n v="2206.8000000000002"/>
    <n v="1166.0999999999999"/>
    <n v="1040.7000000000003"/>
    <n v="0.47158781946710177"/>
    <s v="Q2-2023"/>
    <s v="Phones"/>
    <s v="Phones"/>
    <x v="1"/>
    <s v="Late"/>
    <n v="0"/>
    <n v="85.513999999999996"/>
    <n v="16.5"/>
    <n v="2427.48"/>
    <n v="1410.981"/>
    <n v="1016.499"/>
  </r>
  <r>
    <s v="ORD-2023-125739"/>
    <d v="2023-05-01T00:00:00"/>
    <d v="2023-05-18T00:00:00"/>
    <x v="1"/>
    <x v="8"/>
    <x v="27"/>
    <s v="Corporate"/>
    <s v="Direct"/>
    <s v="F. Müller"/>
    <s v="Components"/>
    <s v="CMP-5633"/>
    <n v="327.97"/>
    <n v="299.94"/>
    <n v="299.94"/>
    <s v="Low"/>
    <n v="4.9000000000000002E-2"/>
    <n v="4.9000000000000002E-2"/>
    <n v="3"/>
    <s v="OK"/>
    <d v="2023-05-18T00:00:00"/>
    <n v="17"/>
    <n v="855.72881999999993"/>
    <n v="983.91000000000008"/>
    <n v="-128.18118000000015"/>
    <n v="-0.14979182306843442"/>
    <s v="Q2-2023"/>
    <s v="Components"/>
    <s v="Components"/>
    <x v="1"/>
    <s v="Late"/>
    <n v="4.9000000000000002E-2"/>
    <n v="360.76700000000005"/>
    <n v="3.3000000000000003"/>
    <n v="941.30170199999998"/>
    <n v="1190.5311000000004"/>
    <n v="-249.2293980000004"/>
  </r>
  <r>
    <s v="ORD-2023-177794"/>
    <d v="2023-05-04T00:00:00"/>
    <d v="2023-05-26T00:00:00"/>
    <x v="0"/>
    <x v="9"/>
    <x v="32"/>
    <s v="Enterprise"/>
    <s v="Online"/>
    <s v="J. Njeri"/>
    <s v="Networking"/>
    <s v="NET-5941"/>
    <n v="249.71"/>
    <n v="361.33"/>
    <n v="361.33"/>
    <s v="Low"/>
    <n v="9.4E-2"/>
    <n v="9.4E-2"/>
    <n v="12"/>
    <s v="OK"/>
    <d v="2023-05-26T00:00:00"/>
    <n v="22"/>
    <n v="3928.3797600000003"/>
    <n v="2996.52"/>
    <n v="931.85976000000028"/>
    <n v="0.23721223937881206"/>
    <s v="Q2-2023"/>
    <s v="Networking"/>
    <s v="Networking"/>
    <x v="1"/>
    <s v="Late"/>
    <n v="9.4E-2"/>
    <n v="274.68100000000004"/>
    <n v="13.200000000000001"/>
    <n v="4321.2177360000005"/>
    <n v="3625.7892000000006"/>
    <n v="695.42853599999989"/>
  </r>
  <r>
    <s v="ORD-2023-363031"/>
    <d v="2023-05-06T00:00:00"/>
    <d v="2023-05-14T00:00:00"/>
    <x v="3"/>
    <x v="5"/>
    <x v="9"/>
    <s v="Enterprise"/>
    <s v="Marketplace"/>
    <s v="B. Chen"/>
    <s v="Phones"/>
    <s v="PHN-6131"/>
    <n v="291.18"/>
    <n v="479.54"/>
    <n v="479.54"/>
    <s v="Low"/>
    <n v="0.14099999999999999"/>
    <n v="0.14099999999999999"/>
    <n v="22"/>
    <s v="OK"/>
    <d v="2023-05-14T00:00:00"/>
    <n v="8"/>
    <n v="9062.34692"/>
    <n v="6405.96"/>
    <n v="2656.3869199999999"/>
    <n v="0.29312350801066001"/>
    <s v="Q2-2023"/>
    <s v="Phones"/>
    <s v="Phones"/>
    <x v="1"/>
    <s v="Late"/>
    <n v="0.14099999999999999"/>
    <n v="320.29800000000006"/>
    <n v="24.200000000000003"/>
    <n v="9968.5816120000018"/>
    <n v="7751.2116000000024"/>
    <n v="2217.3700119999994"/>
  </r>
  <r>
    <s v="ORD-2023-880296"/>
    <d v="2023-05-02T00:00:00"/>
    <d v="2023-05-19T00:00:00"/>
    <x v="3"/>
    <x v="7"/>
    <x v="20"/>
    <s v="Non-Profit"/>
    <s v="Direct"/>
    <s v="J. Njeri"/>
    <s v="Monitors"/>
    <s v="MON-5086"/>
    <n v="714.28"/>
    <n v="757.59"/>
    <n v="757.59"/>
    <s v="Middle"/>
    <n v="0.13600000000000001"/>
    <n v="0.13600000000000001"/>
    <n v="12"/>
    <s v="OK"/>
    <d v="2023-05-19T00:00:00"/>
    <n v="17"/>
    <n v="7854.6931199999999"/>
    <n v="8571.36"/>
    <n v="-716.66688000000067"/>
    <n v="-9.1240595787910383E-2"/>
    <s v="Q2-2023"/>
    <s v="Monitors"/>
    <s v="Monitors"/>
    <x v="1"/>
    <s v="Late"/>
    <n v="0.13600000000000001"/>
    <n v="785.70800000000008"/>
    <n v="13.200000000000001"/>
    <n v="8640.162432000001"/>
    <n v="10371.345600000002"/>
    <n v="-1731.1831680000014"/>
  </r>
  <r>
    <s v="ORD-2023-913592"/>
    <d v="2023-05-10T00:00:00"/>
    <d v="2023-05-14T00:00:00"/>
    <x v="3"/>
    <x v="4"/>
    <x v="6"/>
    <s v="Non-Profit"/>
    <s v="Distributor"/>
    <s v="C. Otieno"/>
    <s v="Monitors"/>
    <s v="MON-2465"/>
    <n v="622.6"/>
    <n v="833.69"/>
    <n v="833.69"/>
    <s v="Middle"/>
    <n v="0.20899999999999999"/>
    <n v="0.20899999999999999"/>
    <n v="14"/>
    <s v="OK"/>
    <d v="2023-05-14T00:00:00"/>
    <n v="4"/>
    <n v="9232.2830599999998"/>
    <n v="8716.4"/>
    <n v="515.88306000000011"/>
    <n v="5.5878167582959715E-2"/>
    <s v="Q2-2023"/>
    <s v="Monitors"/>
    <s v="Monitors"/>
    <x v="0"/>
    <s v="On-time"/>
    <n v="0.2"/>
    <n v="684.86000000000013"/>
    <n v="15.400000000000002"/>
    <n v="10271.060800000003"/>
    <n v="10546.844000000003"/>
    <n v="-275.78319999999985"/>
  </r>
  <r>
    <s v="ORD-2023-676553"/>
    <d v="2023-05-20T00:00:00"/>
    <d v="2023-06-19T00:00:00"/>
    <x v="3"/>
    <x v="4"/>
    <x v="6"/>
    <s v="Non-Profit"/>
    <s v="Marketplace"/>
    <s v="H. Kim"/>
    <s v="Laptops"/>
    <s v="LAP-2806"/>
    <n v="1161.2"/>
    <n v="878.73"/>
    <n v="878.73"/>
    <s v="Middle"/>
    <n v="0.19"/>
    <n v="0.19"/>
    <n v="31"/>
    <s v="OK"/>
    <d v="2023-06-19T00:00:00"/>
    <n v="30"/>
    <n v="22064.910300000003"/>
    <n v="35997.200000000004"/>
    <n v="-13932.289700000001"/>
    <n v="-0.63142290227212028"/>
    <s v="Q2-2023"/>
    <s v="Laptops"/>
    <s v="Laptops"/>
    <x v="1"/>
    <s v="Late"/>
    <n v="0.19"/>
    <n v="1277.3200000000002"/>
    <n v="34.1"/>
    <n v="24271.401330000004"/>
    <n v="43556.612000000008"/>
    <n v="-19285.210670000004"/>
  </r>
  <r>
    <s v="ORD-2023-931633"/>
    <d v="2023-05-14T00:00:00"/>
    <d v="2023-05-22T00:00:00"/>
    <x v="1"/>
    <x v="1"/>
    <x v="5"/>
    <s v="Small Business"/>
    <s v="Distributor"/>
    <s v="F. Müller"/>
    <s v="Printers"/>
    <s v="PRN-9488"/>
    <n v="432.01"/>
    <n v="913.78"/>
    <n v="913.78"/>
    <s v="Middle"/>
    <n v="4.9000000000000002E-2"/>
    <n v="4.9000000000000002E-2"/>
    <n v="12"/>
    <s v="OK"/>
    <d v="2023-05-22T00:00:00"/>
    <n v="8"/>
    <n v="10428.057360000001"/>
    <n v="5184.12"/>
    <n v="5243.9373600000008"/>
    <n v="0.50286809699711899"/>
    <s v="Q2-2023"/>
    <s v="Printers"/>
    <s v="Printers"/>
    <x v="1"/>
    <s v="Late"/>
    <n v="4.9000000000000002E-2"/>
    <n v="475.21100000000001"/>
    <n v="13.200000000000001"/>
    <n v="11470.863096000001"/>
    <n v="6272.7852000000003"/>
    <n v="5198.0778960000007"/>
  </r>
  <r>
    <s v="ORD-2023-144816"/>
    <d v="2023-05-07T00:00:00"/>
    <d v="2023-05-29T00:00:00"/>
    <x v="1"/>
    <x v="6"/>
    <x v="10"/>
    <s v="Education"/>
    <s v="Distributor"/>
    <s v="K. Singh"/>
    <s v="Accessories"/>
    <s v="ACC-2364"/>
    <n v="653.86"/>
    <n v="931.84"/>
    <n v="931.84"/>
    <s v="Middle"/>
    <n v="0.121"/>
    <n v="0.121"/>
    <n v="12"/>
    <s v="OK"/>
    <d v="2023-05-29T00:00:00"/>
    <n v="22"/>
    <n v="9829.0483199999999"/>
    <n v="7846.32"/>
    <n v="1982.7283200000002"/>
    <n v="0.20172129136506273"/>
    <s v="Q2-2023"/>
    <s v="Accessories"/>
    <s v="Accessories"/>
    <x v="1"/>
    <s v="Late"/>
    <n v="0.121"/>
    <n v="719.24600000000009"/>
    <n v="13.200000000000001"/>
    <n v="10811.953152000002"/>
    <n v="9494.0472000000027"/>
    <n v="1317.9059519999992"/>
  </r>
  <r>
    <s v="ORD-2023-573656"/>
    <d v="2023-05-02T00:00:00"/>
    <d v="2023-05-16T00:00:00"/>
    <x v="3"/>
    <x v="4"/>
    <x v="23"/>
    <s v="Non-Profit"/>
    <s v="Retail"/>
    <s v="L. Okafor"/>
    <s v="Monitors"/>
    <s v="MON-4830"/>
    <n v="475.37"/>
    <n v="963.73"/>
    <n v="963.73"/>
    <s v="Middle"/>
    <n v="4.1000000000000002E-2"/>
    <n v="4.1000000000000002E-2"/>
    <n v="22"/>
    <s v="OK"/>
    <d v="2023-05-16T00:00:00"/>
    <n v="14"/>
    <n v="20332.775539999999"/>
    <n v="10458.14"/>
    <n v="9874.6355399999993"/>
    <n v="0.48565113604750881"/>
    <s v="Q2-2023"/>
    <s v="Monitors"/>
    <s v="Monitors"/>
    <x v="1"/>
    <s v="Late"/>
    <n v="4.1000000000000002E-2"/>
    <n v="522.90700000000004"/>
    <n v="24.200000000000003"/>
    <n v="22366.053094000003"/>
    <n v="12654.349400000003"/>
    <n v="9711.7036939999998"/>
  </r>
  <r>
    <s v="ORD-2023-588455"/>
    <d v="2023-05-23T00:00:00"/>
    <d v="2023-05-25T00:00:00"/>
    <x v="0"/>
    <x v="0"/>
    <x v="0"/>
    <s v="Enterprise"/>
    <s v="Retail"/>
    <s v="M. Rossi"/>
    <s v="Printers"/>
    <s v="PRN-1271"/>
    <n v="690.49"/>
    <n v="1290.29"/>
    <n v="1290.29"/>
    <s v="High"/>
    <n v="4.2000000000000003E-2"/>
    <n v="4.2000000000000003E-2"/>
    <n v="22"/>
    <s v="OK"/>
    <d v="2023-05-25T00:00:00"/>
    <n v="2"/>
    <n v="27194.152039999997"/>
    <n v="15190.78"/>
    <n v="12003.372039999997"/>
    <n v="0.44139534199647718"/>
    <s v="Q2-2023"/>
    <s v="Printers"/>
    <s v="Printers"/>
    <x v="1"/>
    <s v="On-time"/>
    <n v="4.2000000000000003E-2"/>
    <n v="759.5390000000001"/>
    <n v="24.200000000000003"/>
    <n v="29913.567244000002"/>
    <n v="18380.843800000006"/>
    <n v="11532.723443999996"/>
  </r>
  <r>
    <s v="ORD-2023-382272"/>
    <d v="2023-05-20T00:00:00"/>
    <d v="2023-05-18T00:00:00"/>
    <x v="1"/>
    <x v="6"/>
    <x v="10"/>
    <s v="Corporate"/>
    <s v="Distributor"/>
    <s v="A. Patel"/>
    <s v="Components"/>
    <s v="CMP-5208"/>
    <n v="917.88"/>
    <n v="1347.92"/>
    <n v="1347.92"/>
    <s v="High"/>
    <n v="0.34300000000000003"/>
    <n v="0.3"/>
    <n v="5"/>
    <s v="Correct"/>
    <d v="2023-05-27T00:00:00"/>
    <n v="7"/>
    <n v="4717.72"/>
    <n v="4589.3999999999996"/>
    <n v="128.32000000000062"/>
    <n v="2.7199579457873848E-2"/>
    <s v="Q2-2023"/>
    <s v="Components"/>
    <s v="Components"/>
    <x v="0"/>
    <s v="On-time"/>
    <n v="0.2"/>
    <n v="1009.6680000000001"/>
    <n v="5.5"/>
    <n v="5930.8480000000009"/>
    <n v="5553.1740000000009"/>
    <n v="377.67399999999998"/>
  </r>
  <r>
    <s v="ORD-2023-172095"/>
    <d v="2023-05-24T00:00:00"/>
    <d v="2023-06-21T00:00:00"/>
    <x v="0"/>
    <x v="9"/>
    <x v="13"/>
    <s v="Small Business"/>
    <s v="Marketplace"/>
    <s v="G. Dubois"/>
    <s v="Monitors"/>
    <s v="MON-6882"/>
    <n v="813.97"/>
    <n v="1568.83"/>
    <n v="1568.83"/>
    <s v="High"/>
    <n v="1.7000000000000001E-2"/>
    <n v="1.7000000000000001E-2"/>
    <n v="15"/>
    <s v="OK"/>
    <d v="2023-06-21T00:00:00"/>
    <n v="28"/>
    <n v="23132.398349999996"/>
    <n v="12209.550000000001"/>
    <n v="10922.848349999995"/>
    <n v="0.4721883215364911"/>
    <s v="Q2-2023"/>
    <s v="Monitors"/>
    <s v="Monitors"/>
    <x v="1"/>
    <s v="Late"/>
    <n v="1.7000000000000001E-2"/>
    <n v="895.36700000000008"/>
    <n v="16.5"/>
    <n v="25445.638185"/>
    <n v="14773.5555"/>
    <n v="10672.082684999999"/>
  </r>
  <r>
    <s v="ORD-2023-638181"/>
    <d v="2023-05-20T00:00:00"/>
    <d v="2023-06-07T00:00:00"/>
    <x v="1"/>
    <x v="8"/>
    <x v="27"/>
    <s v="Enterprise"/>
    <s v="Distributor"/>
    <s v="E. Garcia"/>
    <s v="Components"/>
    <s v="CMP-4630"/>
    <n v="1120.06"/>
    <n v="2068.21"/>
    <n v="2068.21"/>
    <s v="High"/>
    <n v="7.8E-2"/>
    <n v="7.8E-2"/>
    <n v="12"/>
    <s v="OK"/>
    <d v="2023-06-07T00:00:00"/>
    <n v="18"/>
    <n v="22882.675440000003"/>
    <n v="13440.72"/>
    <n v="9441.9554400000034"/>
    <n v="0.41262462795303284"/>
    <s v="Q2-2023"/>
    <s v="Components"/>
    <s v="Components"/>
    <x v="1"/>
    <s v="Late"/>
    <n v="7.8E-2"/>
    <n v="1232.066"/>
    <n v="13.200000000000001"/>
    <n v="25170.942984000005"/>
    <n v="16263.271200000001"/>
    <n v="8907.6717840000038"/>
  </r>
  <r>
    <s v="ORD-2023-184577"/>
    <d v="2023-05-17T00:00:00"/>
    <d v="2023-06-03T00:00:00"/>
    <x v="3"/>
    <x v="7"/>
    <x v="11"/>
    <s v="Non-Profit"/>
    <s v="Distributor"/>
    <s v="M. Rossi"/>
    <s v="Printers"/>
    <s v="PRN-1923"/>
    <n v="979.59"/>
    <n v="2210.94"/>
    <n v="2210.94"/>
    <s v="High"/>
    <n v="0.15"/>
    <n v="0.15"/>
    <n v="11"/>
    <s v="OK"/>
    <d v="2023-06-03T00:00:00"/>
    <n v="17"/>
    <n v="20672.289000000001"/>
    <n v="10775.49"/>
    <n v="9896.7990000000009"/>
    <n v="0.47874712858358359"/>
    <s v="Q2-2023"/>
    <s v="Printers"/>
    <s v="Printers"/>
    <x v="1"/>
    <s v="Late"/>
    <n v="0.15"/>
    <n v="1077.5490000000002"/>
    <n v="12.100000000000001"/>
    <n v="22739.517900000003"/>
    <n v="13038.342900000003"/>
    <n v="9701.1749999999993"/>
  </r>
  <r>
    <s v="ORD-2023-906481"/>
    <d v="2023-05-02T00:00:00"/>
    <d v="2023-05-18T00:00:00"/>
    <x v="3"/>
    <x v="4"/>
    <x v="6"/>
    <s v="Small Business"/>
    <s v="Marketplace"/>
    <s v="K. Singh"/>
    <s v="Monitors"/>
    <s v="MON-2266"/>
    <n v="1463.92"/>
    <n v="2252.2399999999998"/>
    <n v="2252.2399999999998"/>
    <s v="High"/>
    <n v="0.11799999999999999"/>
    <n v="0.11799999999999999"/>
    <n v="44"/>
    <s v="OK"/>
    <d v="2023-05-18T00:00:00"/>
    <n v="16"/>
    <n v="87404.929919999995"/>
    <n v="64412.480000000003"/>
    <n v="22992.449919999992"/>
    <n v="0.26305667130040061"/>
    <s v="Q2-2023"/>
    <s v="Monitors"/>
    <s v="Monitors"/>
    <x v="1"/>
    <s v="Late"/>
    <n v="0.11799999999999999"/>
    <n v="1610.3120000000001"/>
    <n v="48.400000000000006"/>
    <n v="96145.422911999995"/>
    <n v="77939.100800000015"/>
    <n v="18206.32211199998"/>
  </r>
  <r>
    <s v="ORD-2023-632893"/>
    <d v="2023-05-07T00:00:00"/>
    <d v="2023-05-05T00:00:00"/>
    <x v="1"/>
    <x v="8"/>
    <x v="27"/>
    <s v="Non-Profit"/>
    <s v="Marketplace"/>
    <s v="A. Patel"/>
    <s v="Components"/>
    <s v="CMP-9392"/>
    <n v="1269.6500000000001"/>
    <n v="2462.77"/>
    <n v="2462.77"/>
    <s v="High"/>
    <n v="0.107"/>
    <n v="0.107"/>
    <n v="8"/>
    <s v="Correct"/>
    <d v="2023-05-14T00:00:00"/>
    <n v="7"/>
    <n v="17594.028880000002"/>
    <n v="10157.200000000001"/>
    <n v="7436.8288800000009"/>
    <n v="0.42269050089225502"/>
    <s v="Q2-2023"/>
    <s v="Components"/>
    <s v="Components"/>
    <x v="1"/>
    <s v="On-time"/>
    <n v="0.107"/>
    <n v="1396.6150000000002"/>
    <n v="8.8000000000000007"/>
    <n v="19353.431768000002"/>
    <n v="12290.212000000003"/>
    <n v="7063.219767999999"/>
  </r>
  <r>
    <s v="ORD-2023-521280"/>
    <d v="2023-05-27T00:00:00"/>
    <d v="2023-06-19T00:00:00"/>
    <x v="2"/>
    <x v="11"/>
    <x v="36"/>
    <s v="Education"/>
    <s v="Retail"/>
    <s v="O. Wang"/>
    <s v="Accessories"/>
    <s v="ACC-1882"/>
    <n v="1471.58"/>
    <n v="2576.65"/>
    <n v="2576.65"/>
    <s v="High"/>
    <n v="4.0000000000000001E-3"/>
    <n v="4.0000000000000001E-3"/>
    <n v="7"/>
    <s v="OK"/>
    <d v="2023-06-19T00:00:00"/>
    <n v="23"/>
    <n v="17964.4038"/>
    <n v="10301.06"/>
    <n v="7663.3438000000006"/>
    <n v="0.4265849223451546"/>
    <s v="Q2-2023"/>
    <s v="Accessories"/>
    <s v="Accessories"/>
    <x v="1"/>
    <s v="Late"/>
    <n v="4.0000000000000001E-3"/>
    <n v="1618.7380000000001"/>
    <n v="7.7000000000000011"/>
    <n v="19760.84418"/>
    <n v="12464.282600000002"/>
    <n v="7296.5615799999978"/>
  </r>
  <r>
    <s v="ORD-2023-957692"/>
    <d v="2023-05-07T00:00:00"/>
    <d v="2023-05-20T00:00:00"/>
    <x v="3"/>
    <x v="4"/>
    <x v="19"/>
    <s v="Enterprise"/>
    <s v="Retail"/>
    <s v="D. Smith"/>
    <s v="Accessories"/>
    <s v="ACC-9283"/>
    <n v="1443.28"/>
    <n v="2580.5700000000002"/>
    <n v="2580.5700000000002"/>
    <s v="High"/>
    <n v="0"/>
    <n v="0"/>
    <n v="18"/>
    <s v="OK"/>
    <d v="2023-05-20T00:00:00"/>
    <n v="13"/>
    <n v="46450.26"/>
    <n v="25979.040000000001"/>
    <n v="20471.22"/>
    <n v="0.4407127107577008"/>
    <s v="Q2-2023"/>
    <s v="Accessories"/>
    <s v="Accessories"/>
    <x v="1"/>
    <s v="Late"/>
    <n v="0"/>
    <n v="1587.6080000000002"/>
    <n v="19.8"/>
    <n v="51095.286000000007"/>
    <n v="31434.638400000003"/>
    <n v="19660.647600000004"/>
  </r>
  <r>
    <s v="ORD-2023-867836"/>
    <d v="2023-05-11T00:00:00"/>
    <d v="2023-05-28T00:00:00"/>
    <x v="3"/>
    <x v="7"/>
    <x v="14"/>
    <s v="Enterprise"/>
    <s v="Marketplace"/>
    <s v="E. Garcia"/>
    <s v="Networking"/>
    <s v="NET-3255"/>
    <n v="1331.19"/>
    <n v="2903.09"/>
    <n v="2903.09"/>
    <s v="High"/>
    <n v="0.14299999999999999"/>
    <n v="0.14299999999999999"/>
    <n v="8"/>
    <s v="OK"/>
    <d v="2023-05-28T00:00:00"/>
    <n v="17"/>
    <n v="19903.585040000002"/>
    <n v="10649.52"/>
    <n v="9254.0650400000013"/>
    <n v="0.46494463290920784"/>
    <s v="Q2-2023"/>
    <s v="Networking"/>
    <s v="Networking"/>
    <x v="1"/>
    <s v="Late"/>
    <n v="0.14299999999999999"/>
    <n v="1464.3090000000002"/>
    <n v="8.8000000000000007"/>
    <n v="21893.943544000002"/>
    <n v="12885.919200000002"/>
    <n v="9008.0243439999995"/>
  </r>
  <r>
    <s v="ORD-2023-927385"/>
    <d v="2023-05-29T00:00:00"/>
    <d v="2023-06-20T00:00:00"/>
    <x v="2"/>
    <x v="2"/>
    <x v="3"/>
    <s v="Small Business"/>
    <s v="Direct"/>
    <s v="K. Singh"/>
    <s v="Components"/>
    <s v="CMP-8545"/>
    <n v="1295.3900000000001"/>
    <n v="2905.06"/>
    <n v="2905.06"/>
    <s v="High"/>
    <n v="0.14799999999999999"/>
    <n v="0.14799999999999999"/>
    <n v="8"/>
    <s v="OK"/>
    <d v="2023-06-20T00:00:00"/>
    <n v="22"/>
    <n v="19800.88896"/>
    <n v="10363.120000000001"/>
    <n v="9437.7689599999994"/>
    <n v="0.47663359857556614"/>
    <s v="Q2-2023"/>
    <s v="Components"/>
    <s v="Components"/>
    <x v="1"/>
    <s v="Late"/>
    <n v="0.14799999999999999"/>
    <n v="1424.9290000000003"/>
    <n v="8.8000000000000007"/>
    <n v="21780.977856000001"/>
    <n v="12539.375200000004"/>
    <n v="9241.6026559999973"/>
  </r>
  <r>
    <s v="ORD-2023-472050"/>
    <d v="2023-05-10T00:00:00"/>
    <d v="2023-05-27T00:00:00"/>
    <x v="3"/>
    <x v="4"/>
    <x v="19"/>
    <s v="Consumer"/>
    <s v="Retail"/>
    <s v="M. Rossi"/>
    <s v="Laptops"/>
    <s v="LAP-6499"/>
    <n v="1286.1600000000001"/>
    <n v="3101.11"/>
    <n v="3101.11"/>
    <s v="High"/>
    <n v="0.1"/>
    <n v="0.1"/>
    <n v="23"/>
    <s v="OK"/>
    <d v="2023-05-27T00:00:00"/>
    <n v="17"/>
    <n v="64192.976999999999"/>
    <n v="29581.68"/>
    <n v="34611.296999999999"/>
    <n v="0.53917575749758417"/>
    <s v="Q2-2023"/>
    <s v="Laptops"/>
    <s v="Laptops"/>
    <x v="1"/>
    <s v="Late"/>
    <n v="0.1"/>
    <n v="1414.7760000000003"/>
    <n v="25.3"/>
    <n v="70612.274699999994"/>
    <n v="35793.832800000011"/>
    <n v="34818.441899999983"/>
  </r>
  <r>
    <s v="ORD-2025-177994"/>
    <d v="2025-03-24T00:00:00"/>
    <d v="2025-04-04T00:00:00"/>
    <x v="3"/>
    <x v="4"/>
    <x v="19"/>
    <s v="Education"/>
    <s v="Marketplace"/>
    <s v="J. Njeri"/>
    <s v="Phones"/>
    <s v="PHN-4395"/>
    <n v="23.83"/>
    <n v="47.29"/>
    <n v="47.29"/>
    <s v="Low"/>
    <n v="6.4000000000000001E-2"/>
    <n v="6.4000000000000001E-2"/>
    <n v="19"/>
    <s v="OK"/>
    <d v="2025-04-04T00:00:00"/>
    <n v="11"/>
    <n v="841.00536"/>
    <n v="452.77"/>
    <n v="388.23536000000001"/>
    <n v="0.46163244429262618"/>
    <s v="Q1-2025"/>
    <s v="Phones"/>
    <s v="Phones"/>
    <x v="1"/>
    <s v="Late"/>
    <n v="6.4000000000000001E-2"/>
    <n v="26.213000000000001"/>
    <n v="20.900000000000002"/>
    <n v="925.10589600000003"/>
    <n v="547.85170000000005"/>
    <n v="377.25419599999998"/>
  </r>
  <r>
    <s v="ORD-2025-752845"/>
    <d v="2025-03-30T00:00:00"/>
    <d v="2025-04-07T00:00:00"/>
    <x v="0"/>
    <x v="0"/>
    <x v="17"/>
    <s v="Non-Profit"/>
    <s v="Direct"/>
    <s v="L. Okafor"/>
    <s v="Printers"/>
    <s v="PRN-8763"/>
    <n v="71.62"/>
    <n v="118.37"/>
    <n v="118.37"/>
    <s v="Low"/>
    <n v="0.156"/>
    <n v="0.156"/>
    <n v="11"/>
    <s v="OK"/>
    <d v="2025-04-07T00:00:00"/>
    <n v="8"/>
    <n v="1098.9470800000001"/>
    <n v="787.82"/>
    <n v="311.12708000000009"/>
    <n v="0.28311379652603474"/>
    <s v="Q1-2025"/>
    <s v="Printers"/>
    <s v="Printers"/>
    <x v="1"/>
    <s v="Late"/>
    <n v="0.156"/>
    <n v="78.782000000000011"/>
    <n v="12.100000000000001"/>
    <n v="1208.8417880000002"/>
    <n v="953.26220000000023"/>
    <n v="255.57958799999994"/>
  </r>
  <r>
    <s v="ORD-2025-926547"/>
    <d v="2025-03-11T00:00:00"/>
    <d v="2025-03-26T00:00:00"/>
    <x v="2"/>
    <x v="11"/>
    <x v="36"/>
    <s v="Small Business"/>
    <s v="Online"/>
    <s v="I. Johnson"/>
    <s v="Phones"/>
    <s v="PHN-3007"/>
    <n v="116.97"/>
    <n v="140.82"/>
    <n v="140.82"/>
    <s v="Low"/>
    <n v="0.122"/>
    <n v="0.122"/>
    <n v="5"/>
    <s v="OK"/>
    <d v="2025-03-26T00:00:00"/>
    <n v="15"/>
    <n v="618.19979999999987"/>
    <n v="584.85"/>
    <n v="33.349799999999846"/>
    <n v="5.3946636669891926E-2"/>
    <s v="Q1-2025"/>
    <s v="Phones"/>
    <s v="Phones"/>
    <x v="1"/>
    <s v="Late"/>
    <n v="0.122"/>
    <n v="128.667"/>
    <n v="5.5"/>
    <n v="680.01977999999997"/>
    <n v="707.66849999999999"/>
    <n v="-27.648720000000026"/>
  </r>
  <r>
    <s v="ORD-2025-222035"/>
    <d v="2025-03-14T00:00:00"/>
    <d v="2025-04-08T00:00:00"/>
    <x v="3"/>
    <x v="7"/>
    <x v="25"/>
    <s v="Corporate"/>
    <s v="Distributor"/>
    <s v="D. Smith"/>
    <s v="Printers"/>
    <s v="PRN-5815"/>
    <n v="80.59"/>
    <n v="157.82"/>
    <n v="157.82"/>
    <s v="Low"/>
    <n v="0.217"/>
    <n v="0.217"/>
    <n v="6"/>
    <s v="OK"/>
    <d v="2025-04-08T00:00:00"/>
    <n v="25"/>
    <n v="741.43835999999999"/>
    <n v="483.54"/>
    <n v="257.89835999999997"/>
    <n v="0.34783519967863541"/>
    <s v="Q1-2025"/>
    <s v="Printers"/>
    <s v="Printers"/>
    <x v="0"/>
    <s v="Late"/>
    <n v="0.2"/>
    <n v="88.649000000000015"/>
    <n v="6.6000000000000005"/>
    <n v="833.28960000000006"/>
    <n v="585.0834000000001"/>
    <n v="248.20619999999997"/>
  </r>
  <r>
    <s v="ORD-2025-168148"/>
    <d v="2025-03-29T00:00:00"/>
    <d v="2025-04-02T00:00:00"/>
    <x v="1"/>
    <x v="8"/>
    <x v="12"/>
    <s v="Non-Profit"/>
    <s v="Marketplace"/>
    <s v="G. Dubois"/>
    <s v="Phones"/>
    <s v="PHN-4556"/>
    <n v="259.93"/>
    <n v="255.94"/>
    <n v="255.94"/>
    <s v="Low"/>
    <n v="7.1999999999999995E-2"/>
    <n v="7.1999999999999995E-2"/>
    <n v="22"/>
    <s v="OK"/>
    <d v="2025-04-02T00:00:00"/>
    <n v="4"/>
    <n v="5225.2710400000005"/>
    <n v="5718.46"/>
    <n v="-493.1889599999995"/>
    <n v="-9.4385335463861311E-2"/>
    <s v="Q1-2025"/>
    <s v="Phones"/>
    <s v="Phones"/>
    <x v="1"/>
    <s v="On-time"/>
    <n v="7.1999999999999995E-2"/>
    <n v="285.92300000000006"/>
    <n v="24.200000000000003"/>
    <n v="5747.7981440000003"/>
    <n v="6919.3366000000024"/>
    <n v="-1171.538456000002"/>
  </r>
  <r>
    <s v="ORD-2025-473192"/>
    <d v="2025-03-30T00:00:00"/>
    <d v="2025-04-29T00:00:00"/>
    <x v="1"/>
    <x v="6"/>
    <x v="10"/>
    <s v="Consumer"/>
    <s v="Marketplace"/>
    <s v="J. Njeri"/>
    <s v="Monitors"/>
    <s v="MON-7106"/>
    <n v="194.6"/>
    <n v="314.87"/>
    <n v="314.87"/>
    <s v="Low"/>
    <n v="0.29299999999999998"/>
    <n v="0.29299999999999998"/>
    <n v="25"/>
    <s v="OK"/>
    <d v="2025-04-29T00:00:00"/>
    <n v="30"/>
    <n v="5565.3272500000003"/>
    <n v="4865"/>
    <n v="700.32725000000028"/>
    <n v="0.1258375686712763"/>
    <s v="Q1-2025"/>
    <s v="Monitors"/>
    <s v="Monitors"/>
    <x v="0"/>
    <s v="Late"/>
    <n v="0.2"/>
    <n v="214.06"/>
    <n v="27.500000000000004"/>
    <n v="6927.1400000000012"/>
    <n v="5886.6500000000005"/>
    <n v="1040.4900000000007"/>
  </r>
  <r>
    <s v="ORD-2025-501927"/>
    <d v="2025-03-03T00:00:00"/>
    <d v="2025-03-24T00:00:00"/>
    <x v="1"/>
    <x v="8"/>
    <x v="28"/>
    <s v="Enterprise"/>
    <s v="Direct"/>
    <s v="H. Kim"/>
    <s v="Accessories"/>
    <s v="ACC-4056"/>
    <n v="555.95000000000005"/>
    <n v="468.09"/>
    <n v="468.09"/>
    <s v="Low"/>
    <n v="0.14199999999999999"/>
    <n v="0.14199999999999999"/>
    <n v="11"/>
    <s v="OK"/>
    <d v="2025-03-24T00:00:00"/>
    <n v="21"/>
    <n v="4417.8334199999999"/>
    <n v="6115.4500000000007"/>
    <n v="-1697.6165800000008"/>
    <n v="-0.38426450674095375"/>
    <s v="Q1-2025"/>
    <s v="Accessories"/>
    <s v="Accessories"/>
    <x v="1"/>
    <s v="Late"/>
    <n v="0.14199999999999999"/>
    <n v="611.54500000000007"/>
    <n v="12.100000000000001"/>
    <n v="4859.6167619999997"/>
    <n v="7399.6945000000014"/>
    <n v="-2540.0777380000018"/>
  </r>
  <r>
    <s v="ORD-2025-512310"/>
    <d v="2025-03-08T00:00:00"/>
    <d v="2025-03-15T00:00:00"/>
    <x v="3"/>
    <x v="4"/>
    <x v="23"/>
    <s v="Corporate"/>
    <s v="Distributor"/>
    <s v="K. Singh"/>
    <s v="Laptops"/>
    <s v="LAP-8119"/>
    <n v="475.66"/>
    <n v="529.14"/>
    <n v="529.14"/>
    <s v="Low"/>
    <n v="0.19600000000000001"/>
    <n v="0.19600000000000001"/>
    <n v="11"/>
    <s v="OK"/>
    <d v="2025-03-15T00:00:00"/>
    <n v="7"/>
    <n v="4679.7141600000004"/>
    <n v="5232.26"/>
    <n v="-552.54583999999977"/>
    <n v="-0.11807256193613323"/>
    <s v="Q1-2025"/>
    <s v="Laptops"/>
    <s v="Laptops"/>
    <x v="1"/>
    <s v="On-time"/>
    <n v="0.19600000000000001"/>
    <n v="523.22600000000011"/>
    <n v="12.100000000000001"/>
    <n v="5147.6855760000008"/>
    <n v="6331.0346000000018"/>
    <n v="-1183.349024000001"/>
  </r>
  <r>
    <s v="ORD-2025-487261"/>
    <d v="2025-03-06T00:00:00"/>
    <d v="2025-03-31T00:00:00"/>
    <x v="0"/>
    <x v="0"/>
    <x v="1"/>
    <s v="Non-Profit"/>
    <s v="Online"/>
    <s v="J. Njeri"/>
    <s v="Components"/>
    <s v="CMP-3693"/>
    <n v="331.57"/>
    <n v="548.4"/>
    <n v="548.4"/>
    <s v="Low"/>
    <n v="9.4E-2"/>
    <n v="9.4E-2"/>
    <n v="10"/>
    <s v="OK"/>
    <d v="2025-03-31T00:00:00"/>
    <n v="25"/>
    <n v="4968.5039999999999"/>
    <n v="3315.7"/>
    <n v="1652.8040000000001"/>
    <n v="0.33265626836568918"/>
    <s v="Q1-2025"/>
    <s v="Components"/>
    <s v="Components"/>
    <x v="1"/>
    <s v="Late"/>
    <n v="9.4E-2"/>
    <n v="364.72700000000003"/>
    <n v="11"/>
    <n v="5465.3544000000002"/>
    <n v="4011.9970000000003"/>
    <n v="1453.3573999999999"/>
  </r>
  <r>
    <s v="ORD-2025-947929"/>
    <d v="2025-03-23T00:00:00"/>
    <d v="2025-04-02T00:00:00"/>
    <x v="2"/>
    <x v="11"/>
    <x v="36"/>
    <s v="Enterprise"/>
    <s v="Online"/>
    <s v="E. Garcia"/>
    <s v="Printers"/>
    <s v="PRN-3159"/>
    <n v="663.61"/>
    <n v="1002.11"/>
    <n v="1002.11"/>
    <s v="Middle"/>
    <n v="4.5999999999999999E-2"/>
    <n v="4.5999999999999999E-2"/>
    <n v="17"/>
    <s v="OK"/>
    <d v="2025-04-02T00:00:00"/>
    <n v="10"/>
    <n v="16252.219979999998"/>
    <n v="11281.37"/>
    <n v="4970.8499799999972"/>
    <n v="0.30585667595670812"/>
    <s v="Q1-2025"/>
    <s v="Printers"/>
    <s v="Printers"/>
    <x v="1"/>
    <s v="Late"/>
    <n v="4.5999999999999999E-2"/>
    <n v="729.97100000000012"/>
    <n v="18.700000000000003"/>
    <n v="17877.441978000003"/>
    <n v="13650.457700000004"/>
    <n v="4226.9842779999981"/>
  </r>
  <r>
    <s v="ORD-2025-125517"/>
    <d v="2025-03-21T00:00:00"/>
    <d v="2025-04-09T00:00:00"/>
    <x v="3"/>
    <x v="5"/>
    <x v="8"/>
    <s v="Small Business"/>
    <s v="Distributor"/>
    <s v="E. Garcia"/>
    <s v="Components"/>
    <s v="CMP-7055"/>
    <n v="1055.45"/>
    <n v="1210.04"/>
    <n v="1210.04"/>
    <s v="High"/>
    <n v="8.9999999999999993E-3"/>
    <n v="8.9999999999999993E-3"/>
    <n v="18"/>
    <s v="OK"/>
    <d v="2025-04-09T00:00:00"/>
    <n v="19"/>
    <n v="21584.693520000001"/>
    <n v="18998.100000000002"/>
    <n v="2586.5935199999985"/>
    <n v="0.1198346188053727"/>
    <s v="Q1-2025"/>
    <s v="Components"/>
    <s v="Components"/>
    <x v="1"/>
    <s v="Late"/>
    <n v="8.9999999999999993E-3"/>
    <n v="1160.9950000000001"/>
    <n v="19.8"/>
    <n v="23743.162872000001"/>
    <n v="22987.701000000005"/>
    <n v="755.46187199999622"/>
  </r>
  <r>
    <s v="ORD-2025-680118"/>
    <d v="2025-03-10T00:00:00"/>
    <d v="2025-03-27T00:00:00"/>
    <x v="0"/>
    <x v="0"/>
    <x v="0"/>
    <s v="Enterprise"/>
    <s v="Direct"/>
    <s v="F. Müller"/>
    <s v="Networking"/>
    <s v="NET-6269"/>
    <n v="996.73"/>
    <n v="1217.43"/>
    <n v="1217.43"/>
    <s v="High"/>
    <n v="7.0000000000000007E-2"/>
    <n v="7.0000000000000007E-2"/>
    <n v="9"/>
    <s v="OK"/>
    <d v="2025-03-27T00:00:00"/>
    <n v="17"/>
    <n v="10189.8891"/>
    <n v="8970.57"/>
    <n v="1219.3191000000006"/>
    <n v="0.11965970267527255"/>
    <s v="Q1-2025"/>
    <s v="Networking"/>
    <s v="Networking"/>
    <x v="1"/>
    <s v="Late"/>
    <n v="7.0000000000000007E-2"/>
    <n v="1096.403"/>
    <n v="9.9"/>
    <n v="11208.87801"/>
    <n v="10854.3897"/>
    <n v="354.48831000000064"/>
  </r>
  <r>
    <s v="ORD-2025-683247"/>
    <d v="2025-03-10T00:00:00"/>
    <d v="2025-04-04T00:00:00"/>
    <x v="3"/>
    <x v="5"/>
    <x v="9"/>
    <s v="Corporate"/>
    <s v="Direct"/>
    <s v="H. Kim"/>
    <s v="Printers"/>
    <s v="PRN-9867"/>
    <n v="783.72"/>
    <n v="1355.94"/>
    <n v="1355.94"/>
    <s v="High"/>
    <n v="0.187"/>
    <n v="0.187"/>
    <n v="4"/>
    <s v="OK"/>
    <d v="2025-04-04T00:00:00"/>
    <n v="25"/>
    <n v="4409.5168800000001"/>
    <n v="3134.88"/>
    <n v="1274.63688"/>
    <n v="0.28906497348525856"/>
    <s v="Q1-2025"/>
    <s v="Printers"/>
    <s v="Printers"/>
    <x v="1"/>
    <s v="Late"/>
    <n v="0.187"/>
    <n v="862.0920000000001"/>
    <n v="4.4000000000000004"/>
    <n v="4850.4685680000002"/>
    <n v="3793.2048000000009"/>
    <n v="1057.2637679999993"/>
  </r>
  <r>
    <s v="ORD-2025-330203"/>
    <d v="2025-03-25T00:00:00"/>
    <d v="2025-04-17T00:00:00"/>
    <x v="2"/>
    <x v="2"/>
    <x v="3"/>
    <s v="Consumer"/>
    <s v="Retail"/>
    <s v="H. Kim"/>
    <s v="Networking"/>
    <s v="NET-7166"/>
    <n v="1421.19"/>
    <n v="1808.26"/>
    <n v="1808.26"/>
    <s v="High"/>
    <n v="0.104"/>
    <n v="0.104"/>
    <n v="13"/>
    <s v="OK"/>
    <d v="2025-04-17T00:00:00"/>
    <n v="23"/>
    <n v="21062.61248"/>
    <n v="18475.47"/>
    <n v="2587.1424799999986"/>
    <n v="0.12283103449093123"/>
    <s v="Q1-2025"/>
    <s v="Networking"/>
    <s v="Networking"/>
    <x v="1"/>
    <s v="Late"/>
    <n v="0.104"/>
    <n v="1563.3090000000002"/>
    <n v="14.3"/>
    <n v="23168.873728000002"/>
    <n v="22355.318700000003"/>
    <n v="813.55502799999886"/>
  </r>
  <r>
    <s v="ORD-2025-532859"/>
    <d v="2025-03-11T00:00:00"/>
    <d v="2025-03-27T00:00:00"/>
    <x v="3"/>
    <x v="5"/>
    <x v="8"/>
    <s v="Enterprise"/>
    <s v="Distributor"/>
    <s v="B. Chen"/>
    <s v="Printers"/>
    <s v="PRN-5264"/>
    <n v="1317.58"/>
    <n v="1897.74"/>
    <n v="1897.74"/>
    <s v="High"/>
    <n v="8.1000000000000003E-2"/>
    <n v="8.1000000000000003E-2"/>
    <n v="6"/>
    <s v="OK"/>
    <d v="2025-03-27T00:00:00"/>
    <n v="16"/>
    <n v="10464.138360000001"/>
    <n v="7905.48"/>
    <n v="2558.6583600000013"/>
    <n v="0.24451687009230266"/>
    <s v="Q1-2025"/>
    <s v="Printers"/>
    <s v="Printers"/>
    <x v="1"/>
    <s v="Late"/>
    <n v="8.1000000000000003E-2"/>
    <n v="1449.338"/>
    <n v="6.6000000000000005"/>
    <n v="11510.552196000001"/>
    <n v="9565.6308000000008"/>
    <n v="1944.9213959999997"/>
  </r>
  <r>
    <s v="ORD-2025-331237"/>
    <d v="2025-03-24T00:00:00"/>
    <d v="2025-03-25T00:00:00"/>
    <x v="3"/>
    <x v="7"/>
    <x v="11"/>
    <s v="Non-Profit"/>
    <s v="Online"/>
    <s v="G. Dubois"/>
    <s v="Networking"/>
    <s v="NET-8329"/>
    <n v="1133.03"/>
    <n v="1921.51"/>
    <n v="1921.51"/>
    <s v="High"/>
    <n v="0.10100000000000001"/>
    <n v="0.10100000000000001"/>
    <n v="5"/>
    <s v="OK"/>
    <d v="2025-03-25T00:00:00"/>
    <n v="1"/>
    <n v="8637.1874499999994"/>
    <n v="5665.15"/>
    <n v="2972.0374499999998"/>
    <n v="0.3440978289755654"/>
    <s v="Q1-2025"/>
    <s v="Networking"/>
    <s v="Networking"/>
    <x v="1"/>
    <s v="On-time"/>
    <n v="0.10100000000000001"/>
    <n v="1246.3330000000001"/>
    <n v="5.5"/>
    <n v="9500.9061950000014"/>
    <n v="6854.8315000000002"/>
    <n v="2646.0746950000012"/>
  </r>
  <r>
    <s v="ORD-2025-662997"/>
    <d v="2025-03-31T00:00:00"/>
    <d v="2025-04-04T00:00:00"/>
    <x v="1"/>
    <x v="1"/>
    <x v="22"/>
    <s v="Corporate"/>
    <s v="Direct"/>
    <s v="C. Otieno"/>
    <s v="Laptops"/>
    <s v="LAP-7136"/>
    <n v="862.08"/>
    <n v="1952.83"/>
    <n v="1952.83"/>
    <s v="High"/>
    <n v="0"/>
    <n v="0"/>
    <n v="7"/>
    <s v="OK"/>
    <d v="2025-04-04T00:00:00"/>
    <n v="4"/>
    <n v="13669.81"/>
    <n v="6034.56"/>
    <n v="7635.2499999999991"/>
    <n v="0.5585483631447693"/>
    <s v="Q1-2025"/>
    <s v="Laptops"/>
    <s v="Laptops"/>
    <x v="1"/>
    <s v="On-time"/>
    <n v="0"/>
    <n v="948.28800000000012"/>
    <n v="7.7000000000000011"/>
    <n v="15036.791000000001"/>
    <n v="7301.8176000000021"/>
    <n v="7734.9733999999989"/>
  </r>
  <r>
    <s v="ORD-2025-944081"/>
    <d v="2025-03-25T00:00:00"/>
    <d v="2025-03-26T00:00:00"/>
    <x v="1"/>
    <x v="8"/>
    <x v="12"/>
    <s v="Education"/>
    <s v="Distributor"/>
    <s v="G. Dubois"/>
    <s v="Accessories"/>
    <s v="ACC-9533"/>
    <n v="1450.43"/>
    <n v="1994.67"/>
    <n v="1994.67"/>
    <s v="High"/>
    <n v="0.1"/>
    <n v="0.1"/>
    <n v="24"/>
    <s v="OK"/>
    <d v="2025-03-26T00:00:00"/>
    <n v="1"/>
    <n v="43084.872000000003"/>
    <n v="34810.32"/>
    <n v="8274.5520000000033"/>
    <n v="0.19205237513529116"/>
    <s v="Q1-2025"/>
    <s v="Accessories"/>
    <s v="Accessories"/>
    <x v="1"/>
    <s v="On-time"/>
    <n v="0.1"/>
    <n v="1595.4730000000002"/>
    <n v="26.400000000000002"/>
    <n v="47393.359200000006"/>
    <n v="42120.48720000001"/>
    <n v="5272.8719999999958"/>
  </r>
  <r>
    <s v="ORD-2025-624006"/>
    <d v="2025-03-15T00:00:00"/>
    <d v="2025-03-29T00:00:00"/>
    <x v="3"/>
    <x v="4"/>
    <x v="19"/>
    <s v="Enterprise"/>
    <s v="Direct"/>
    <s v="C. Otieno"/>
    <s v="Components"/>
    <s v="CMP-3259"/>
    <n v="935.83"/>
    <n v="2303.46"/>
    <n v="2303.46"/>
    <s v="High"/>
    <n v="0.105"/>
    <n v="0.105"/>
    <n v="9"/>
    <s v="OK"/>
    <d v="2025-03-29T00:00:00"/>
    <n v="14"/>
    <n v="18554.370299999999"/>
    <n v="8422.4700000000012"/>
    <n v="10131.900299999998"/>
    <n v="0.54606543559174292"/>
    <s v="Q1-2025"/>
    <s v="Components"/>
    <s v="Components"/>
    <x v="1"/>
    <s v="Late"/>
    <n v="0.105"/>
    <n v="1029.4130000000002"/>
    <n v="9.9"/>
    <n v="20409.80733"/>
    <n v="10191.188700000002"/>
    <n v="10218.618629999997"/>
  </r>
  <r>
    <s v="ORD-2025-685236"/>
    <d v="2025-03-14T00:00:00"/>
    <d v="2025-03-29T00:00:00"/>
    <x v="3"/>
    <x v="5"/>
    <x v="8"/>
    <s v="Non-Profit"/>
    <s v="Direct"/>
    <s v="H. Kim"/>
    <s v="Networking"/>
    <s v="NET-8430"/>
    <n v="1106.96"/>
    <n v="2726.62"/>
    <n v="2726.62"/>
    <s v="High"/>
    <n v="0.317"/>
    <n v="0.3"/>
    <n v="7"/>
    <s v="OK"/>
    <d v="2025-03-29T00:00:00"/>
    <n v="15"/>
    <n v="13360.438"/>
    <n v="7748.72"/>
    <n v="5611.7179999999998"/>
    <n v="0.42002500217432992"/>
    <s v="Q1-2025"/>
    <s v="Networking"/>
    <s v="Networking"/>
    <x v="0"/>
    <s v="Late"/>
    <n v="0.2"/>
    <n v="1217.6560000000002"/>
    <n v="7.7000000000000011"/>
    <n v="16795.979200000002"/>
    <n v="9375.9512000000032"/>
    <n v="7420.0279999999984"/>
  </r>
  <r>
    <s v="ORD-2024-207096"/>
    <d v="2024-03-26T00:00:00"/>
    <d v="2024-04-05T00:00:00"/>
    <x v="0"/>
    <x v="9"/>
    <x v="13"/>
    <s v="Consumer"/>
    <s v="Direct"/>
    <s v="J. Njeri"/>
    <s v="Monitors"/>
    <s v="MON-5444"/>
    <n v="5.66"/>
    <n v="4.22"/>
    <n v="4.22"/>
    <s v="Low"/>
    <n v="0.11899999999999999"/>
    <n v="0.11899999999999999"/>
    <n v="18"/>
    <s v="OK"/>
    <d v="2024-04-05T00:00:00"/>
    <n v="10"/>
    <n v="66.920760000000001"/>
    <n v="101.88"/>
    <n v="-34.959239999999994"/>
    <n v="-0.52239753403876454"/>
    <s v="Q1-2024"/>
    <s v="Monitors"/>
    <s v="Monitors"/>
    <x v="1"/>
    <s v="Late"/>
    <n v="0.11899999999999999"/>
    <n v="6.2260000000000009"/>
    <n v="19.8"/>
    <n v="73.612836000000001"/>
    <n v="123.27480000000003"/>
    <n v="-49.661964000000026"/>
  </r>
  <r>
    <s v="ORD-2024-516704"/>
    <d v="2024-03-01T00:00:00"/>
    <d v="2024-02-29T00:00:00"/>
    <x v="0"/>
    <x v="0"/>
    <x v="17"/>
    <s v="Non-Profit"/>
    <s v="Direct"/>
    <s v="I. Johnson"/>
    <s v="Phones"/>
    <s v="PHN-7852"/>
    <n v="5.34"/>
    <n v="12.69"/>
    <n v="12.69"/>
    <s v="Low"/>
    <n v="0.13200000000000001"/>
    <n v="0.13200000000000001"/>
    <n v="10"/>
    <s v="Correct"/>
    <d v="2024-03-08T00:00:00"/>
    <n v="7"/>
    <n v="110.14919999999999"/>
    <n v="53.4"/>
    <n v="56.749199999999995"/>
    <n v="0.51520301554618642"/>
    <s v="Q1-2024"/>
    <s v="Phones"/>
    <s v="Phones"/>
    <x v="1"/>
    <s v="On-time"/>
    <n v="0.13200000000000001"/>
    <n v="5.8740000000000006"/>
    <n v="11"/>
    <n v="121.16412"/>
    <n v="64.614000000000004"/>
    <n v="56.550119999999993"/>
  </r>
  <r>
    <s v="ORD-2024-853298"/>
    <d v="2024-03-06T00:00:00"/>
    <d v="2024-03-26T00:00:00"/>
    <x v="1"/>
    <x v="8"/>
    <x v="27"/>
    <s v="Consumer"/>
    <s v="Marketplace"/>
    <s v="I. Johnson"/>
    <s v="Phones"/>
    <s v="PHN-4741"/>
    <n v="65.64"/>
    <n v="151.88"/>
    <n v="151.88"/>
    <s v="Low"/>
    <n v="0.16700000000000001"/>
    <n v="0.16700000000000001"/>
    <n v="23"/>
    <s v="OK"/>
    <d v="2024-03-26T00:00:00"/>
    <n v="20"/>
    <n v="2909.8689199999999"/>
    <n v="1509.72"/>
    <n v="1400.1489199999999"/>
    <n v="0.48117250587356353"/>
    <s v="Q1-2024"/>
    <s v="Phones"/>
    <s v="Phones"/>
    <x v="1"/>
    <s v="Late"/>
    <n v="0.16700000000000001"/>
    <n v="72.204000000000008"/>
    <n v="25.3"/>
    <n v="3200.8558119999998"/>
    <n v="1826.7612000000001"/>
    <n v="1374.0946119999996"/>
  </r>
  <r>
    <s v="ORD-2024-897622"/>
    <d v="2024-03-30T00:00:00"/>
    <d v="2024-04-24T00:00:00"/>
    <x v="0"/>
    <x v="9"/>
    <x v="13"/>
    <s v="Non-Profit"/>
    <s v="Online"/>
    <s v="G. Dubois"/>
    <s v="Laptops"/>
    <s v="LAP-2846"/>
    <n v="160.82"/>
    <n v="258.52"/>
    <n v="258.52"/>
    <s v="Low"/>
    <n v="0.13"/>
    <n v="0.13"/>
    <n v="17"/>
    <s v="OK"/>
    <d v="2024-04-24T00:00:00"/>
    <n v="25"/>
    <n v="3823.5108"/>
    <n v="2733.94"/>
    <n v="1089.5708"/>
    <n v="0.28496605789631874"/>
    <s v="Q1-2024"/>
    <s v="Laptops"/>
    <s v="Laptops"/>
    <x v="1"/>
    <s v="Late"/>
    <n v="0.13"/>
    <n v="176.90200000000002"/>
    <n v="18.700000000000003"/>
    <n v="4205.8618800000004"/>
    <n v="3308.0674000000008"/>
    <n v="897.79447999999957"/>
  </r>
  <r>
    <s v="ORD-2024-961501"/>
    <d v="2024-03-02T00:00:00"/>
    <d v="2024-03-23T00:00:00"/>
    <x v="0"/>
    <x v="9"/>
    <x v="30"/>
    <s v="Small Business"/>
    <s v="Online"/>
    <s v="F. Müller"/>
    <s v="Components"/>
    <s v="CMP-3223"/>
    <n v="225.01"/>
    <n v="333.48"/>
    <n v="333.48"/>
    <s v="Low"/>
    <n v="0.11899999999999999"/>
    <n v="0.11899999999999999"/>
    <n v="12"/>
    <s v="OK"/>
    <d v="2024-03-23T00:00:00"/>
    <n v="21"/>
    <n v="3525.5505600000001"/>
    <n v="2700.12"/>
    <n v="825.43056000000024"/>
    <n v="0.23412813004729685"/>
    <s v="Q1-2024"/>
    <s v="Components"/>
    <s v="Components"/>
    <x v="1"/>
    <s v="Late"/>
    <n v="0.11899999999999999"/>
    <n v="247.51100000000002"/>
    <n v="13.200000000000001"/>
    <n v="3878.1056160000007"/>
    <n v="3267.1452000000004"/>
    <n v="610.96041600000035"/>
  </r>
  <r>
    <s v="ORD-2024-792137"/>
    <d v="2024-03-02T00:00:00"/>
    <d v="2024-03-16T00:00:00"/>
    <x v="0"/>
    <x v="3"/>
    <x v="18"/>
    <s v="Non-Profit"/>
    <s v="Direct"/>
    <s v="O. Wang"/>
    <s v="Printers"/>
    <s v="PRN-7976"/>
    <n v="248.24"/>
    <n v="464.05"/>
    <n v="464.05"/>
    <s v="Low"/>
    <n v="0.16900000000000001"/>
    <n v="0.16900000000000001"/>
    <n v="11"/>
    <s v="OK"/>
    <d v="2024-03-16T00:00:00"/>
    <n v="14"/>
    <n v="4241.88105"/>
    <n v="2730.6400000000003"/>
    <n v="1511.2410499999996"/>
    <n v="0.3562667203975462"/>
    <s v="Q1-2024"/>
    <s v="Printers"/>
    <s v="Printers"/>
    <x v="1"/>
    <s v="Late"/>
    <n v="0.16900000000000001"/>
    <n v="273.06400000000002"/>
    <n v="12.100000000000001"/>
    <n v="4666.069155000001"/>
    <n v="3304.0744000000004"/>
    <n v="1361.9947550000006"/>
  </r>
  <r>
    <s v="ORD-2024-446030"/>
    <d v="2024-03-23T00:00:00"/>
    <d v="2024-03-26T00:00:00"/>
    <x v="3"/>
    <x v="4"/>
    <x v="23"/>
    <s v="Education"/>
    <s v="Direct"/>
    <s v="G. Dubois"/>
    <s v="Phones"/>
    <s v="PHN-4346"/>
    <n v="382.21"/>
    <n v="571.89"/>
    <n v="571.89"/>
    <s v="Low"/>
    <n v="0.14799999999999999"/>
    <n v="0.14799999999999999"/>
    <n v="26"/>
    <s v="OK"/>
    <d v="2024-03-26T00:00:00"/>
    <n v="3"/>
    <n v="12668.50728"/>
    <n v="9937.4599999999991"/>
    <n v="2731.0472800000007"/>
    <n v="0.2155776698578809"/>
    <s v="Q1-2024"/>
    <s v="Phones"/>
    <s v="Phones"/>
    <x v="1"/>
    <s v="On-time"/>
    <n v="0.14799999999999999"/>
    <n v="420.43099999999998"/>
    <n v="28.6"/>
    <n v="13935.358007999999"/>
    <n v="12024.3266"/>
    <n v="1911.0314079999989"/>
  </r>
  <r>
    <s v="ORD-2024-275203"/>
    <d v="2024-03-11T00:00:00"/>
    <d v="2024-04-06T00:00:00"/>
    <x v="1"/>
    <x v="1"/>
    <x v="16"/>
    <s v="Corporate"/>
    <s v="Retail"/>
    <s v="C. Otieno"/>
    <s v="Components"/>
    <s v="CMP-8270"/>
    <n v="279.24"/>
    <n v="608.9"/>
    <n v="608.9"/>
    <s v="Low"/>
    <n v="0.112"/>
    <n v="0.112"/>
    <n v="9"/>
    <s v="OK"/>
    <d v="2024-04-06T00:00:00"/>
    <n v="26"/>
    <n v="4866.3287999999993"/>
    <n v="2513.16"/>
    <n v="2353.1687999999995"/>
    <n v="0.48356140670149533"/>
    <s v="Q1-2024"/>
    <s v="Components"/>
    <s v="Components"/>
    <x v="1"/>
    <s v="Late"/>
    <n v="0.112"/>
    <n v="307.16400000000004"/>
    <n v="9.9"/>
    <n v="5352.9616799999994"/>
    <n v="3040.9236000000005"/>
    <n v="2312.0380799999989"/>
  </r>
  <r>
    <s v="ORD-2024-834983"/>
    <d v="2024-03-16T00:00:00"/>
    <d v="2024-04-13T00:00:00"/>
    <x v="2"/>
    <x v="10"/>
    <x v="29"/>
    <s v="Small Business"/>
    <s v="Online"/>
    <s v="K. Singh"/>
    <s v="Printers"/>
    <s v="PRN-8758"/>
    <n v="287.61"/>
    <n v="628.54"/>
    <n v="628.54"/>
    <s v="Middle"/>
    <n v="0.13500000000000001"/>
    <n v="0.13500000000000001"/>
    <n v="21"/>
    <s v="OK"/>
    <d v="2024-04-13T00:00:00"/>
    <n v="28"/>
    <n v="11417.429099999999"/>
    <n v="6039.81"/>
    <n v="5377.619099999999"/>
    <n v="0.47100087531964613"/>
    <s v="Q1-2024"/>
    <s v="Printers"/>
    <s v="Printers"/>
    <x v="1"/>
    <s v="Late"/>
    <n v="0.13500000000000001"/>
    <n v="316.37100000000004"/>
    <n v="23.1"/>
    <n v="12559.17201"/>
    <n v="7308.1701000000012"/>
    <n v="5251.001909999999"/>
  </r>
  <r>
    <s v="ORD-2024-220234"/>
    <d v="2024-03-15T00:00:00"/>
    <d v="2024-04-09T00:00:00"/>
    <x v="0"/>
    <x v="3"/>
    <x v="18"/>
    <s v="Consumer"/>
    <s v="Online"/>
    <s v="F. Müller"/>
    <s v="Monitors"/>
    <s v="MON-4361"/>
    <n v="648.64"/>
    <n v="815.19"/>
    <n v="815.19"/>
    <s v="Middle"/>
    <n v="0.22500000000000001"/>
    <n v="0.22500000000000001"/>
    <n v="28"/>
    <s v="OK"/>
    <d v="2024-04-09T00:00:00"/>
    <n v="25"/>
    <n v="17689.623"/>
    <n v="18161.919999999998"/>
    <n v="-472.29699999999866"/>
    <n v="-2.6699099240272032E-2"/>
    <s v="Q1-2024"/>
    <s v="Monitors"/>
    <s v="Monitors"/>
    <x v="0"/>
    <s v="Late"/>
    <n v="0.2"/>
    <n v="713.50400000000002"/>
    <n v="30.800000000000004"/>
    <n v="20086.281600000006"/>
    <n v="21975.923200000005"/>
    <n v="-1889.641599999999"/>
  </r>
  <r>
    <s v="ORD-2024-692673"/>
    <d v="2024-03-07T00:00:00"/>
    <d v="2024-03-25T00:00:00"/>
    <x v="2"/>
    <x v="11"/>
    <x v="35"/>
    <s v="Corporate"/>
    <s v="Online"/>
    <s v="B. Chen"/>
    <s v="Components"/>
    <s v="CMP-7617"/>
    <n v="712.84"/>
    <n v="927.51"/>
    <n v="927.51"/>
    <s v="Middle"/>
    <n v="0.24299999999999999"/>
    <n v="0.24299999999999999"/>
    <n v="27"/>
    <s v="OK"/>
    <d v="2024-03-25T00:00:00"/>
    <n v="18"/>
    <n v="18957.37689"/>
    <n v="19246.68"/>
    <n v="-289.30311000000074"/>
    <n v="-1.5260714163076427E-2"/>
    <s v="Q1-2024"/>
    <s v="Components"/>
    <s v="Components"/>
    <x v="0"/>
    <s v="Late"/>
    <n v="0.2"/>
    <n v="784.12400000000014"/>
    <n v="29.700000000000003"/>
    <n v="22037.637600000002"/>
    <n v="23288.482800000005"/>
    <n v="-1250.8452000000034"/>
  </r>
  <r>
    <s v="ORD-2024-356812"/>
    <d v="2024-03-07T00:00:00"/>
    <d v="2024-04-03T00:00:00"/>
    <x v="2"/>
    <x v="11"/>
    <x v="34"/>
    <s v="Corporate"/>
    <s v="Direct"/>
    <s v="M. Rossi"/>
    <s v="Printers"/>
    <s v="PRN-6911"/>
    <n v="738.16"/>
    <n v="956.49"/>
    <n v="956.49"/>
    <s v="Middle"/>
    <n v="0.152"/>
    <n v="0.152"/>
    <n v="5"/>
    <s v="OK"/>
    <d v="2024-04-03T00:00:00"/>
    <n v="27"/>
    <n v="4055.5175999999997"/>
    <n v="3690.7999999999997"/>
    <n v="364.71759999999995"/>
    <n v="8.9931208780847108E-2"/>
    <s v="Q1-2024"/>
    <s v="Printers"/>
    <s v="Printers"/>
    <x v="1"/>
    <s v="Late"/>
    <n v="0.152"/>
    <n v="811.976"/>
    <n v="5.5"/>
    <n v="4461.0693599999995"/>
    <n v="4465.8680000000004"/>
    <n v="-4.7986400000008871"/>
  </r>
  <r>
    <s v="ORD-2024-419248"/>
    <d v="2024-03-04T00:00:00"/>
    <d v="2024-03-16T00:00:00"/>
    <x v="1"/>
    <x v="6"/>
    <x v="38"/>
    <s v="Enterprise"/>
    <s v="Distributor"/>
    <s v="M. Rossi"/>
    <s v="Monitors"/>
    <s v="MON-8422"/>
    <n v="441.08"/>
    <n v="1054.29"/>
    <n v="1054.29"/>
    <s v="Middle"/>
    <n v="0.23699999999999999"/>
    <n v="0.23699999999999999"/>
    <n v="6"/>
    <s v="OK"/>
    <d v="2024-03-16T00:00:00"/>
    <n v="12"/>
    <n v="4826.5396199999996"/>
    <n v="2646.48"/>
    <n v="2180.0596199999995"/>
    <n v="0.45168169985932899"/>
    <s v="Q1-2024"/>
    <s v="Monitors"/>
    <s v="Monitors"/>
    <x v="0"/>
    <s v="Late"/>
    <n v="0.2"/>
    <n v="485.18800000000005"/>
    <n v="6.6000000000000005"/>
    <n v="5566.6512000000002"/>
    <n v="3202.2408000000005"/>
    <n v="2364.4103999999998"/>
  </r>
  <r>
    <s v="ORD-2024-343877"/>
    <d v="2024-03-09T00:00:00"/>
    <d v="2024-03-26T00:00:00"/>
    <x v="3"/>
    <x v="7"/>
    <x v="14"/>
    <s v="Enterprise"/>
    <s v="Online"/>
    <s v="K. Singh"/>
    <s v="Monitors"/>
    <s v="MON-5749"/>
    <n v="1029.67"/>
    <n v="1118.43"/>
    <n v="1118.43"/>
    <s v="Middle"/>
    <n v="0.27200000000000002"/>
    <n v="0.27200000000000002"/>
    <n v="9"/>
    <s v="OK"/>
    <d v="2024-03-26T00:00:00"/>
    <n v="17"/>
    <n v="7327.9533600000004"/>
    <n v="9267.0300000000007"/>
    <n v="-1939.0766400000002"/>
    <n v="-0.26461367106736061"/>
    <s v="Q1-2024"/>
    <s v="Monitors"/>
    <s v="Monitors"/>
    <x v="0"/>
    <s v="Late"/>
    <n v="0.2"/>
    <n v="1132.6370000000002"/>
    <n v="9.9"/>
    <n v="8857.9656000000014"/>
    <n v="11213.106300000001"/>
    <n v="-2355.1406999999999"/>
  </r>
  <r>
    <s v="ORD-2024-868223"/>
    <d v="2024-03-03T00:00:00"/>
    <d v="2024-03-19T00:00:00"/>
    <x v="3"/>
    <x v="7"/>
    <x v="11"/>
    <s v="Consumer"/>
    <s v="Distributor"/>
    <s v="G. Dubois"/>
    <s v="Phones"/>
    <s v="PHN-4915"/>
    <n v="988.83"/>
    <n v="1206.04"/>
    <n v="1206.04"/>
    <s v="Middle"/>
    <n v="6.3E-2"/>
    <n v="6.3E-2"/>
    <n v="34"/>
    <s v="OK"/>
    <d v="2024-03-19T00:00:00"/>
    <n v="16"/>
    <n v="38422.022320000004"/>
    <n v="33620.22"/>
    <n v="4801.8023200000025"/>
    <n v="0.12497526236406606"/>
    <s v="Q1-2024"/>
    <s v="Phones"/>
    <s v="Phones"/>
    <x v="1"/>
    <s v="Late"/>
    <n v="6.3E-2"/>
    <n v="1087.7130000000002"/>
    <n v="37.400000000000006"/>
    <n v="42264.224552000007"/>
    <n v="40680.46620000001"/>
    <n v="1583.7583519999971"/>
  </r>
  <r>
    <s v="ORD-2024-287210"/>
    <d v="2024-03-18T00:00:00"/>
    <d v="2024-03-21T00:00:00"/>
    <x v="2"/>
    <x v="11"/>
    <x v="35"/>
    <s v="Small Business"/>
    <s v="Online"/>
    <s v="M. Rossi"/>
    <s v="Accessories"/>
    <s v="ACC-2761"/>
    <n v="910.63"/>
    <n v="1269.4000000000001"/>
    <n v="1269.4000000000001"/>
    <s v="High"/>
    <n v="6.8000000000000005E-2"/>
    <n v="6.8000000000000005E-2"/>
    <n v="9"/>
    <s v="OK"/>
    <d v="2024-03-21T00:00:00"/>
    <n v="3"/>
    <n v="10647.727199999999"/>
    <n v="8195.67"/>
    <n v="2452.0571999999993"/>
    <n v="0.23028925834989455"/>
    <s v="Q1-2024"/>
    <s v="Accessories"/>
    <s v="Accessories"/>
    <x v="1"/>
    <s v="On-time"/>
    <n v="6.8000000000000005E-2"/>
    <n v="1001.6930000000001"/>
    <n v="9.9"/>
    <n v="11712.49992"/>
    <n v="9916.7607000000007"/>
    <n v="1795.7392199999995"/>
  </r>
  <r>
    <s v="ORD-2024-745822"/>
    <d v="2024-03-31T00:00:00"/>
    <d v="2024-04-17T00:00:00"/>
    <x v="2"/>
    <x v="11"/>
    <x v="34"/>
    <s v="Education"/>
    <s v="Direct"/>
    <s v="H. Kim"/>
    <s v="Monitors"/>
    <s v="MON-8651"/>
    <n v="1025.51"/>
    <n v="1436.54"/>
    <n v="1436.54"/>
    <s v="High"/>
    <n v="0.13900000000000001"/>
    <n v="0.13900000000000001"/>
    <n v="28"/>
    <s v="OK"/>
    <d v="2024-04-17T00:00:00"/>
    <n v="17"/>
    <n v="34632.106319999999"/>
    <n v="28714.28"/>
    <n v="5917.8263200000001"/>
    <n v="0.17087688127656453"/>
    <s v="Q1-2024"/>
    <s v="Monitors"/>
    <s v="Monitors"/>
    <x v="1"/>
    <s v="Late"/>
    <n v="0.13900000000000001"/>
    <n v="1128.0610000000001"/>
    <n v="30.800000000000004"/>
    <n v="38095.316952000008"/>
    <n v="34744.278800000007"/>
    <n v="3351.038152000001"/>
  </r>
  <r>
    <s v="ORD-2024-687073"/>
    <d v="2024-03-11T00:00:00"/>
    <d v="2024-03-29T00:00:00"/>
    <x v="0"/>
    <x v="9"/>
    <x v="21"/>
    <s v="Corporate"/>
    <s v="Retail"/>
    <s v="M. Rossi"/>
    <s v="Monitors"/>
    <s v="MON-7099"/>
    <n v="710.98"/>
    <n v="1481.45"/>
    <n v="1481.45"/>
    <s v="High"/>
    <n v="0.21099999999999999"/>
    <n v="0.21099999999999999"/>
    <n v="9"/>
    <s v="OK"/>
    <d v="2024-03-29T00:00:00"/>
    <n v="18"/>
    <n v="10519.776450000001"/>
    <n v="6398.82"/>
    <n v="4120.9564500000015"/>
    <n v="0.39173422264120461"/>
    <s v="Q1-2024"/>
    <s v="Monitors"/>
    <s v="Monitors"/>
    <x v="0"/>
    <s v="Late"/>
    <n v="0.2"/>
    <n v="782.07800000000009"/>
    <n v="9.9"/>
    <n v="11733.084000000003"/>
    <n v="7742.5722000000014"/>
    <n v="3990.5118000000011"/>
  </r>
  <r>
    <s v="ORD-2024-251426"/>
    <d v="2024-03-09T00:00:00"/>
    <d v="2024-03-26T00:00:00"/>
    <x v="0"/>
    <x v="9"/>
    <x v="32"/>
    <s v="Education"/>
    <s v="Direct"/>
    <s v="I. Johnson"/>
    <s v="Phones"/>
    <s v="PHN-3398"/>
    <n v="1137.4100000000001"/>
    <n v="1680.93"/>
    <n v="1680.93"/>
    <s v="High"/>
    <n v="0.254"/>
    <n v="0.254"/>
    <n v="9"/>
    <s v="OK"/>
    <d v="2024-03-26T00:00:00"/>
    <n v="17"/>
    <n v="11285.764020000001"/>
    <n v="10236.69"/>
    <n v="1049.07402"/>
    <n v="9.2955516183121464E-2"/>
    <s v="Q1-2024"/>
    <s v="Phones"/>
    <s v="Phones"/>
    <x v="0"/>
    <s v="Late"/>
    <n v="0.2"/>
    <n v="1251.1510000000003"/>
    <n v="9.9"/>
    <n v="13312.965600000003"/>
    <n v="12386.394900000003"/>
    <n v="926.57070000000022"/>
  </r>
  <r>
    <s v="ORD-2024-243988"/>
    <d v="2024-03-13T00:00:00"/>
    <d v="2024-04-06T00:00:00"/>
    <x v="1"/>
    <x v="8"/>
    <x v="28"/>
    <s v="Consumer"/>
    <s v="Distributor"/>
    <s v="L. Okafor"/>
    <s v="Components"/>
    <s v="CMP-9001"/>
    <n v="1232.78"/>
    <n v="1731.75"/>
    <n v="1731.75"/>
    <s v="High"/>
    <n v="9.2999999999999999E-2"/>
    <n v="9.2999999999999999E-2"/>
    <n v="16"/>
    <s v="OK"/>
    <d v="2024-04-06T00:00:00"/>
    <n v="24"/>
    <n v="25131.155999999999"/>
    <n v="19724.48"/>
    <n v="5406.6759999999995"/>
    <n v="0.21513837246484005"/>
    <s v="Q1-2024"/>
    <s v="Components"/>
    <s v="Components"/>
    <x v="1"/>
    <s v="Late"/>
    <n v="9.2999999999999999E-2"/>
    <n v="1356.058"/>
    <n v="17.600000000000001"/>
    <n v="27644.271600000004"/>
    <n v="23866.620800000001"/>
    <n v="3777.6508000000031"/>
  </r>
  <r>
    <s v="ORD-2024-907733"/>
    <d v="2024-03-09T00:00:00"/>
    <d v="2024-03-22T00:00:00"/>
    <x v="2"/>
    <x v="2"/>
    <x v="26"/>
    <s v="Consumer"/>
    <s v="Online"/>
    <s v="E. Garcia"/>
    <s v="Laptops"/>
    <s v="LAP-8633"/>
    <n v="985.45"/>
    <n v="1802.44"/>
    <n v="1802.44"/>
    <s v="High"/>
    <n v="8.9999999999999993E-3"/>
    <n v="8.9999999999999993E-3"/>
    <n v="19"/>
    <s v="OK"/>
    <d v="2024-03-22T00:00:00"/>
    <n v="13"/>
    <n v="33938.142760000002"/>
    <n v="18723.55"/>
    <n v="15214.592760000003"/>
    <n v="0.44830363486867486"/>
    <s v="Q1-2024"/>
    <s v="Laptops"/>
    <s v="Laptops"/>
    <x v="1"/>
    <s v="Late"/>
    <n v="8.9999999999999993E-3"/>
    <n v="1083.9950000000001"/>
    <n v="20.900000000000002"/>
    <n v="37331.957036000007"/>
    <n v="22655.495500000005"/>
    <n v="14676.461536000003"/>
  </r>
  <r>
    <s v="ORD-2024-906395"/>
    <d v="2024-03-10T00:00:00"/>
    <d v="2024-04-09T00:00:00"/>
    <x v="2"/>
    <x v="10"/>
    <x v="24"/>
    <s v="Corporate"/>
    <s v="Direct"/>
    <s v="I. Johnson"/>
    <s v="Components"/>
    <s v="CMP-8002"/>
    <n v="1176.56"/>
    <n v="1911.89"/>
    <n v="1911.89"/>
    <s v="High"/>
    <n v="0.11899999999999999"/>
    <n v="0.11899999999999999"/>
    <n v="20"/>
    <s v="OK"/>
    <d v="2024-04-09T00:00:00"/>
    <n v="30"/>
    <n v="33687.501800000005"/>
    <n v="23531.199999999997"/>
    <n v="10156.301800000008"/>
    <n v="0.30148575160892477"/>
    <s v="Q1-2024"/>
    <s v="Components"/>
    <s v="Components"/>
    <x v="1"/>
    <s v="Late"/>
    <n v="0.11899999999999999"/>
    <n v="1294.2160000000001"/>
    <n v="22"/>
    <n v="37056.251980000001"/>
    <n v="28472.752000000004"/>
    <n v="8583.4999799999969"/>
  </r>
  <r>
    <s v="ORD-2024-948800"/>
    <d v="2024-03-27T00:00:00"/>
    <d v="2024-04-11T00:00:00"/>
    <x v="0"/>
    <x v="9"/>
    <x v="32"/>
    <s v="Small Business"/>
    <s v="Direct"/>
    <s v="O. Wang"/>
    <s v="Networking"/>
    <s v="NET-5523"/>
    <n v="1338.35"/>
    <n v="2247.14"/>
    <n v="2247.14"/>
    <s v="High"/>
    <n v="0.115"/>
    <n v="0.115"/>
    <n v="40"/>
    <s v="OK"/>
    <d v="2024-04-11T00:00:00"/>
    <n v="15"/>
    <n v="79548.755999999994"/>
    <n v="53534"/>
    <n v="26014.755999999994"/>
    <n v="0.32702907384246205"/>
    <s v="Q1-2024"/>
    <s v="Networking"/>
    <s v="Networking"/>
    <x v="1"/>
    <s v="Late"/>
    <n v="0.115"/>
    <n v="1472.1849999999999"/>
    <n v="44"/>
    <n v="87503.631599999993"/>
    <n v="64776.14"/>
    <n v="22727.491599999994"/>
  </r>
  <r>
    <s v="ORD-2023-864121"/>
    <d v="2023-03-27T00:00:00"/>
    <d v="2023-04-22T00:00:00"/>
    <x v="3"/>
    <x v="4"/>
    <x v="6"/>
    <s v="Non-Profit"/>
    <s v="Marketplace"/>
    <s v="J. Njeri"/>
    <s v="Printers"/>
    <s v="PRN-4506"/>
    <n v="178.53"/>
    <n v="199.37"/>
    <n v="199.37"/>
    <s v="Low"/>
    <n v="0.10100000000000001"/>
    <n v="0.10100000000000001"/>
    <n v="37"/>
    <s v="OK"/>
    <d v="2023-04-22T00:00:00"/>
    <n v="26"/>
    <n v="6631.6443100000006"/>
    <n v="6605.61"/>
    <n v="26.034310000000914"/>
    <n v="3.9257699573457538E-3"/>
    <s v="Q1-2023"/>
    <s v="Printers"/>
    <s v="Printers"/>
    <x v="1"/>
    <s v="Late"/>
    <n v="0.10100000000000001"/>
    <n v="196.38300000000001"/>
    <n v="40.700000000000003"/>
    <n v="7294.8087410000007"/>
    <n v="7992.7881000000007"/>
    <n v="-697.97935899999993"/>
  </r>
  <r>
    <s v="ORD-2023-240507"/>
    <d v="2023-03-25T00:00:00"/>
    <d v="2023-03-26T00:00:00"/>
    <x v="3"/>
    <x v="5"/>
    <x v="9"/>
    <s v="Small Business"/>
    <s v="Distributor"/>
    <s v="I. Johnson"/>
    <s v="Monitors"/>
    <s v="MON-9227"/>
    <n v="135.12"/>
    <n v="301.7"/>
    <n v="301.7"/>
    <s v="Low"/>
    <n v="0.14000000000000001"/>
    <n v="0.14000000000000001"/>
    <n v="47"/>
    <s v="OK"/>
    <d v="2023-03-26T00:00:00"/>
    <n v="1"/>
    <n v="12194.714"/>
    <n v="6350.64"/>
    <n v="5844.0739999999996"/>
    <n v="0.47923009920527859"/>
    <s v="Q1-2023"/>
    <s v="Monitors"/>
    <s v="Monitors"/>
    <x v="1"/>
    <s v="On-time"/>
    <n v="0.14000000000000001"/>
    <n v="148.63200000000001"/>
    <n v="51.7"/>
    <n v="13414.185399999998"/>
    <n v="7684.2744000000002"/>
    <n v="5729.9109999999982"/>
  </r>
  <r>
    <s v="ORD-2023-799597"/>
    <d v="2023-03-14T00:00:00"/>
    <d v="2023-03-18T00:00:00"/>
    <x v="2"/>
    <x v="11"/>
    <x v="34"/>
    <s v="Enterprise"/>
    <s v="Direct"/>
    <s v="A. Patel"/>
    <s v="Components"/>
    <s v="CMP-8675"/>
    <n v="472.33"/>
    <n v="360.34"/>
    <n v="360.34"/>
    <s v="Low"/>
    <n v="0.16500000000000001"/>
    <n v="0.16500000000000001"/>
    <n v="14"/>
    <s v="OK"/>
    <d v="2023-03-18T00:00:00"/>
    <n v="4"/>
    <n v="4212.3745999999992"/>
    <n v="6612.62"/>
    <n v="-2400.2454000000007"/>
    <n v="-0.56980815523861561"/>
    <s v="Q1-2023"/>
    <s v="Components"/>
    <s v="Components"/>
    <x v="1"/>
    <s v="On-time"/>
    <n v="0.16500000000000001"/>
    <n v="519.56299999999999"/>
    <n v="15.400000000000002"/>
    <n v="4633.6120600000004"/>
    <n v="8001.2702000000008"/>
    <n v="-3367.6581400000005"/>
  </r>
  <r>
    <s v="ORD-2023-419187"/>
    <d v="2023-03-31T00:00:00"/>
    <d v="2023-04-05T00:00:00"/>
    <x v="1"/>
    <x v="1"/>
    <x v="22"/>
    <s v="Education"/>
    <s v="Marketplace"/>
    <s v="B. Chen"/>
    <s v="Laptops"/>
    <s v="LAP-7819"/>
    <n v="533.26"/>
    <n v="385.72"/>
    <n v="385.72"/>
    <s v="Low"/>
    <n v="0"/>
    <n v="0"/>
    <n v="15"/>
    <s v="OK"/>
    <d v="2023-04-05T00:00:00"/>
    <n v="5"/>
    <n v="5785.8"/>
    <n v="7998.9"/>
    <n v="-2213.0999999999995"/>
    <n v="-0.38250544436378708"/>
    <s v="Q1-2023"/>
    <s v="Laptops"/>
    <s v="Laptops"/>
    <x v="1"/>
    <s v="On-time"/>
    <n v="0"/>
    <n v="586.58600000000001"/>
    <n v="16.5"/>
    <n v="6364.38"/>
    <n v="9678.6689999999999"/>
    <n v="-3314.2889999999998"/>
  </r>
  <r>
    <s v="ORD-2023-613287"/>
    <d v="2023-03-31T00:00:00"/>
    <d v="2023-04-12T00:00:00"/>
    <x v="1"/>
    <x v="1"/>
    <x v="5"/>
    <s v="Small Business"/>
    <s v="Online"/>
    <s v="C. Otieno"/>
    <s v="Phones"/>
    <s v="PHN-8014"/>
    <n v="304.22000000000003"/>
    <n v="393.31"/>
    <n v="393.31"/>
    <s v="Low"/>
    <n v="0.26500000000000001"/>
    <n v="0.26500000000000001"/>
    <n v="15"/>
    <s v="OK"/>
    <d v="2023-04-12T00:00:00"/>
    <n v="12"/>
    <n v="4336.2427499999994"/>
    <n v="4563.3"/>
    <n v="-227.05725000000075"/>
    <n v="-5.2362670424759034E-2"/>
    <s v="Q1-2023"/>
    <s v="Phones"/>
    <s v="Phones"/>
    <x v="0"/>
    <s v="Late"/>
    <n v="0.2"/>
    <n v="334.64200000000005"/>
    <n v="16.5"/>
    <n v="5191.692"/>
    <n v="5521.5930000000008"/>
    <n v="-329.90100000000075"/>
  </r>
  <r>
    <s v="ORD-2023-276806"/>
    <d v="2023-03-04T00:00:00"/>
    <d v="2023-03-24T00:00:00"/>
    <x v="0"/>
    <x v="3"/>
    <x v="39"/>
    <s v="Consumer"/>
    <s v="Distributor"/>
    <s v="I. Johnson"/>
    <s v="Laptops"/>
    <s v="LAP-6160"/>
    <n v="481.71"/>
    <n v="912.45"/>
    <n v="912.45"/>
    <s v="Middle"/>
    <n v="0.20300000000000001"/>
    <n v="0.20300000000000001"/>
    <n v="24"/>
    <s v="OK"/>
    <d v="2023-03-24T00:00:00"/>
    <n v="20"/>
    <n v="17453.3436"/>
    <n v="11561.039999999999"/>
    <n v="5892.3036000000011"/>
    <n v="0.33760313983619739"/>
    <s v="Q1-2023"/>
    <s v="Laptops"/>
    <s v="Laptops"/>
    <x v="0"/>
    <s v="Late"/>
    <n v="0.2"/>
    <n v="529.88099999999997"/>
    <n v="26.400000000000002"/>
    <n v="19270.944000000003"/>
    <n v="13988.858400000001"/>
    <n v="5282.0856000000022"/>
  </r>
  <r>
    <s v="ORD-2023-949710"/>
    <d v="2023-03-07T00:00:00"/>
    <d v="2023-04-01T00:00:00"/>
    <x v="1"/>
    <x v="1"/>
    <x v="2"/>
    <s v="Consumer"/>
    <s v="Marketplace"/>
    <s v="D. Smith"/>
    <s v="Printers"/>
    <s v="PRN-7049"/>
    <n v="1024.0999999999999"/>
    <n v="918.19"/>
    <n v="918.19"/>
    <s v="Middle"/>
    <n v="0.189"/>
    <n v="0.189"/>
    <n v="10"/>
    <s v="OK"/>
    <d v="2023-04-01T00:00:00"/>
    <n v="25"/>
    <n v="7446.5209000000004"/>
    <n v="10241"/>
    <n v="-2794.4790999999996"/>
    <n v="-0.37527311579827827"/>
    <s v="Q1-2023"/>
    <s v="Printers"/>
    <s v="Printers"/>
    <x v="1"/>
    <s v="Late"/>
    <n v="0.189"/>
    <n v="1126.51"/>
    <n v="11"/>
    <n v="8191.1729899999991"/>
    <n v="12391.61"/>
    <n v="-4200.4370100000015"/>
  </r>
  <r>
    <s v="ORD-2023-933238"/>
    <d v="2023-03-17T00:00:00"/>
    <d v="2023-04-06T00:00:00"/>
    <x v="2"/>
    <x v="11"/>
    <x v="35"/>
    <s v="Consumer"/>
    <s v="Retail"/>
    <s v="O. Wang"/>
    <s v="Phones"/>
    <s v="PHN-8483"/>
    <n v="692.18"/>
    <n v="1159.3499999999999"/>
    <n v="1159.3499999999999"/>
    <s v="Middle"/>
    <n v="0.112"/>
    <n v="0.112"/>
    <n v="2"/>
    <s v="OK"/>
    <d v="2023-04-06T00:00:00"/>
    <n v="20"/>
    <n v="2059.0056"/>
    <n v="1384.36"/>
    <n v="674.64560000000006"/>
    <n v="0.32765602968734037"/>
    <s v="Q1-2023"/>
    <s v="Phones"/>
    <s v="Phones"/>
    <x v="1"/>
    <s v="Late"/>
    <n v="0.112"/>
    <n v="761.39800000000002"/>
    <n v="2.2000000000000002"/>
    <n v="2264.90616"/>
    <n v="1675.0756000000001"/>
    <n v="589.83055999999988"/>
  </r>
  <r>
    <s v="ORD-2023-835010"/>
    <d v="2023-03-23T00:00:00"/>
    <d v="2023-04-15T00:00:00"/>
    <x v="1"/>
    <x v="1"/>
    <x v="5"/>
    <s v="Small Business"/>
    <s v="Retail"/>
    <s v="C. Otieno"/>
    <s v="Accessories"/>
    <s v="ACC-2988"/>
    <n v="875.36"/>
    <n v="1178.6199999999999"/>
    <n v="1178.6199999999999"/>
    <s v="Middle"/>
    <n v="0.151"/>
    <n v="0.151"/>
    <n v="53"/>
    <s v="OK"/>
    <d v="2023-04-15T00:00:00"/>
    <n v="23"/>
    <n v="53034.364139999991"/>
    <n v="46394.080000000002"/>
    <n v="6640.2841399999888"/>
    <n v="0.12520719815685888"/>
    <s v="Q1-2023"/>
    <s v="Accessories"/>
    <s v="Accessories"/>
    <x v="1"/>
    <s v="Late"/>
    <n v="0.151"/>
    <n v="962.89600000000007"/>
    <n v="58.300000000000004"/>
    <n v="58337.800554000001"/>
    <n v="56136.836800000012"/>
    <n v="2200.9637539999894"/>
  </r>
  <r>
    <s v="ORD-2023-548874"/>
    <d v="2023-03-19T00:00:00"/>
    <d v="2023-04-09T00:00:00"/>
    <x v="2"/>
    <x v="2"/>
    <x v="26"/>
    <s v="Consumer"/>
    <s v="Retail"/>
    <s v="L. Okafor"/>
    <s v="Accessories"/>
    <s v="ACC-9150"/>
    <n v="1082.17"/>
    <n v="1234.0999999999999"/>
    <n v="1234.0999999999999"/>
    <s v="High"/>
    <n v="0.189"/>
    <n v="0.189"/>
    <n v="16"/>
    <s v="OK"/>
    <d v="2023-04-09T00:00:00"/>
    <n v="21"/>
    <n v="16013.681599999998"/>
    <n v="17314.72"/>
    <n v="-1301.0384000000031"/>
    <n v="-8.124542703534228E-2"/>
    <s v="Q1-2023"/>
    <s v="Accessories"/>
    <s v="Accessories"/>
    <x v="1"/>
    <s v="Late"/>
    <n v="0.189"/>
    <n v="1190.3870000000002"/>
    <n v="17.600000000000001"/>
    <n v="17615.049759999998"/>
    <n v="20950.811200000004"/>
    <n v="-3335.7614400000057"/>
  </r>
  <r>
    <s v="ORD-2023-946143"/>
    <d v="2023-03-14T00:00:00"/>
    <d v="2023-03-30T00:00:00"/>
    <x v="1"/>
    <x v="6"/>
    <x v="15"/>
    <s v="Consumer"/>
    <s v="Distributor"/>
    <s v="K. Singh"/>
    <s v="Components"/>
    <s v="CMP-8230"/>
    <n v="1309.77"/>
    <n v="1589.07"/>
    <n v="1589.07"/>
    <s v="High"/>
    <n v="0.10199999999999999"/>
    <n v="0.10199999999999999"/>
    <n v="10"/>
    <s v="OK"/>
    <d v="2023-03-30T00:00:00"/>
    <n v="16"/>
    <n v="14269.848599999999"/>
    <n v="13097.7"/>
    <n v="1172.1485999999986"/>
    <n v="8.2141628328137886E-2"/>
    <s v="Q1-2023"/>
    <s v="Components"/>
    <s v="Components"/>
    <x v="1"/>
    <s v="Late"/>
    <n v="0.10199999999999999"/>
    <n v="1440.7470000000001"/>
    <n v="11"/>
    <n v="15696.833460000002"/>
    <n v="15848.217000000001"/>
    <n v="-151.3835399999989"/>
  </r>
  <r>
    <s v="ORD-2023-281890"/>
    <d v="2023-03-13T00:00:00"/>
    <d v="2023-04-04T00:00:00"/>
    <x v="1"/>
    <x v="6"/>
    <x v="10"/>
    <s v="Small Business"/>
    <s v="Retail"/>
    <s v="A. Patel"/>
    <s v="Components"/>
    <s v="CMP-2574"/>
    <n v="1113.7"/>
    <n v="1620.6"/>
    <n v="1620.6"/>
    <s v="High"/>
    <n v="0.13900000000000001"/>
    <n v="0.13900000000000001"/>
    <n v="11"/>
    <s v="OK"/>
    <d v="2023-04-04T00:00:00"/>
    <n v="22"/>
    <n v="15348.702599999999"/>
    <n v="12250.7"/>
    <n v="3098.002599999998"/>
    <n v="0.20184133348182787"/>
    <s v="Q1-2023"/>
    <s v="Components"/>
    <s v="Components"/>
    <x v="1"/>
    <s v="Late"/>
    <n v="0.13900000000000001"/>
    <n v="1225.0700000000002"/>
    <n v="12.100000000000001"/>
    <n v="16883.57286"/>
    <n v="14823.347000000003"/>
    <n v="2060.2258599999968"/>
  </r>
  <r>
    <s v="ORD-2023-139236"/>
    <d v="2023-03-03T00:00:00"/>
    <d v="2023-03-20T00:00:00"/>
    <x v="3"/>
    <x v="5"/>
    <x v="7"/>
    <s v="Small Business"/>
    <s v="Online"/>
    <s v="D. Smith"/>
    <s v="Networking"/>
    <s v="NET-7349"/>
    <n v="1171.17"/>
    <n v="2030.64"/>
    <n v="2030.64"/>
    <s v="High"/>
    <n v="0.157"/>
    <n v="0.157"/>
    <n v="11"/>
    <s v="OK"/>
    <d v="2023-03-20T00:00:00"/>
    <n v="17"/>
    <n v="18830.12472"/>
    <n v="12882.87"/>
    <n v="5947.254719999999"/>
    <n v="0.31583724528830415"/>
    <s v="Q1-2023"/>
    <s v="Networking"/>
    <s v="Networking"/>
    <x v="1"/>
    <s v="Late"/>
    <n v="0.157"/>
    <n v="1288.2870000000003"/>
    <n v="12.100000000000001"/>
    <n v="20713.137192000002"/>
    <n v="15588.272700000005"/>
    <n v="5124.864491999997"/>
  </r>
  <r>
    <s v="ORD-2023-854471"/>
    <d v="2023-03-06T00:00:00"/>
    <d v="2023-04-04T00:00:00"/>
    <x v="3"/>
    <x v="7"/>
    <x v="11"/>
    <s v="Small Business"/>
    <s v="Direct"/>
    <s v="C. Otieno"/>
    <s v="Monitors"/>
    <s v="MON-2073"/>
    <n v="1126.29"/>
    <n v="2050.87"/>
    <n v="2050.87"/>
    <s v="High"/>
    <n v="6.4000000000000001E-2"/>
    <n v="6.4000000000000001E-2"/>
    <n v="7"/>
    <s v="OK"/>
    <d v="2023-04-04T00:00:00"/>
    <n v="29"/>
    <n v="13437.300239999999"/>
    <n v="7884.03"/>
    <n v="5553.2702399999989"/>
    <n v="0.41327276616690373"/>
    <s v="Q1-2023"/>
    <s v="Monitors"/>
    <s v="Monitors"/>
    <x v="1"/>
    <s v="Late"/>
    <n v="6.4000000000000001E-2"/>
    <n v="1238.9190000000001"/>
    <n v="7.7000000000000011"/>
    <n v="14781.030263999999"/>
    <n v="9539.6763000000028"/>
    <n v="5241.3539639999963"/>
  </r>
  <r>
    <s v="ORD-2023-869884"/>
    <d v="2023-03-02T00:00:00"/>
    <d v="2023-03-05T00:00:00"/>
    <x v="0"/>
    <x v="0"/>
    <x v="1"/>
    <s v="Enterprise"/>
    <s v="Direct"/>
    <s v="G. Dubois"/>
    <s v="Monitors"/>
    <s v="MON-2828"/>
    <n v="1473.58"/>
    <n v="3436.52"/>
    <n v="3436.52"/>
    <s v="High"/>
    <n v="0.108"/>
    <n v="0.108"/>
    <n v="8"/>
    <s v="OK"/>
    <d v="2023-03-05T00:00:00"/>
    <n v="3"/>
    <n v="24523.006720000001"/>
    <n v="11788.64"/>
    <n v="12734.366720000002"/>
    <n v="0.51928243813652564"/>
    <s v="Q1-2023"/>
    <s v="Monitors"/>
    <s v="Monitors"/>
    <x v="1"/>
    <s v="On-time"/>
    <n v="0.108"/>
    <n v="1620.9380000000001"/>
    <n v="8.8000000000000007"/>
    <n v="26975.307392000002"/>
    <n v="14264.254400000002"/>
    <n v="12711.052992000001"/>
  </r>
  <r>
    <s v="ORD-2025-639542"/>
    <d v="2025-06-09T00:00:00"/>
    <d v="2025-06-18T00:00:00"/>
    <x v="2"/>
    <x v="10"/>
    <x v="33"/>
    <s v="Small Business"/>
    <s v="Marketplace"/>
    <s v="H. Kim"/>
    <s v="Accessories"/>
    <s v="ACC-1770"/>
    <n v="1225.5"/>
    <n v="-5.27"/>
    <n v="5.27"/>
    <s v="Low"/>
    <n v="7.4999999999999997E-2"/>
    <n v="7.4999999999999997E-2"/>
    <n v="56"/>
    <s v="OK"/>
    <d v="2025-06-18T00:00:00"/>
    <n v="9"/>
    <n v="272.98599999999999"/>
    <n v="68628"/>
    <n v="-68355.013999999996"/>
    <n v="-250.39750756449047"/>
    <s v="Q2-2025"/>
    <s v="Accessories"/>
    <s v="Accessories"/>
    <x v="1"/>
    <s v="Late"/>
    <n v="7.4999999999999997E-2"/>
    <n v="1348.0500000000002"/>
    <n v="61.600000000000009"/>
    <n v="300.28460000000001"/>
    <n v="83039.880000000019"/>
    <n v="-82739.59540000002"/>
  </r>
  <r>
    <s v="ORD-2025-698069"/>
    <d v="2025-06-03T00:00:00"/>
    <d v="2025-06-10T00:00:00"/>
    <x v="0"/>
    <x v="3"/>
    <x v="4"/>
    <s v="Consumer"/>
    <s v="Distributor"/>
    <s v="O. Wang"/>
    <s v="Printers"/>
    <s v="PRN-6429"/>
    <n v="75.180000000000007"/>
    <n v="53.45"/>
    <n v="53.45"/>
    <s v="Low"/>
    <n v="0.157"/>
    <n v="0.157"/>
    <n v="17"/>
    <s v="OK"/>
    <d v="2025-06-10T00:00:00"/>
    <n v="7"/>
    <n v="765.99195000000009"/>
    <n v="1278.0600000000002"/>
    <n v="-512.06805000000008"/>
    <n v="-0.66850317421743144"/>
    <s v="Q2-2025"/>
    <s v="Printers"/>
    <s v="Printers"/>
    <x v="1"/>
    <s v="On-time"/>
    <n v="0.157"/>
    <n v="82.698000000000008"/>
    <n v="18.700000000000003"/>
    <n v="842.5911450000001"/>
    <n v="1546.4526000000003"/>
    <n v="-703.86145500000021"/>
  </r>
  <r>
    <s v="ORD-2025-908258"/>
    <d v="2025-06-21T00:00:00"/>
    <d v="2025-06-27T00:00:00"/>
    <x v="1"/>
    <x v="6"/>
    <x v="10"/>
    <s v="Enterprise"/>
    <s v="Distributor"/>
    <s v="N. Brown"/>
    <s v="Phones"/>
    <s v="PHN-3819"/>
    <n v="93.91"/>
    <n v="99.04"/>
    <n v="99.04"/>
    <s v="Low"/>
    <n v="5.7000000000000002E-2"/>
    <n v="5.7000000000000002E-2"/>
    <n v="6"/>
    <s v="OK"/>
    <d v="2025-06-27T00:00:00"/>
    <n v="6"/>
    <n v="560.36831999999993"/>
    <n v="563.46"/>
    <n v="-3.0916800000001103"/>
    <n v="-5.5172283829323376E-3"/>
    <s v="Q2-2025"/>
    <s v="Phones"/>
    <s v="Phones"/>
    <x v="1"/>
    <s v="On-time"/>
    <n v="5.7000000000000002E-2"/>
    <n v="103.301"/>
    <n v="6.6000000000000005"/>
    <n v="616.40515200000004"/>
    <n v="681.78660000000002"/>
    <n v="-65.381447999999978"/>
  </r>
  <r>
    <s v="ORD-2025-306903"/>
    <d v="2025-06-24T00:00:00"/>
    <d v="2025-07-23T00:00:00"/>
    <x v="0"/>
    <x v="3"/>
    <x v="18"/>
    <s v="Non-Profit"/>
    <s v="Marketplace"/>
    <s v="I. Johnson"/>
    <s v="Printers"/>
    <s v="PRN-3775"/>
    <n v="255.4"/>
    <n v="322.70999999999998"/>
    <n v="322.70999999999998"/>
    <s v="Low"/>
    <n v="0.115"/>
    <n v="0.115"/>
    <n v="16"/>
    <s v="OK"/>
    <d v="2025-07-23T00:00:00"/>
    <n v="29"/>
    <n v="4569.5735999999997"/>
    <n v="4086.4"/>
    <n v="483.17359999999962"/>
    <n v="0.10573713048412212"/>
    <s v="Q2-2025"/>
    <s v="Printers"/>
    <s v="Printers"/>
    <x v="1"/>
    <s v="Late"/>
    <n v="0.115"/>
    <n v="280.94000000000005"/>
    <n v="17.600000000000001"/>
    <n v="5026.5309600000001"/>
    <n v="4944.5440000000017"/>
    <n v="81.986959999998362"/>
  </r>
  <r>
    <s v="ORD-2025-591006"/>
    <d v="2025-06-25T00:00:00"/>
    <d v="2025-07-10T00:00:00"/>
    <x v="2"/>
    <x v="2"/>
    <x v="37"/>
    <s v="Non-Profit"/>
    <s v="Marketplace"/>
    <s v="D. Smith"/>
    <s v="Phones"/>
    <s v="PHN-5383"/>
    <n v="546.83000000000004"/>
    <n v="400.84"/>
    <n v="400.84"/>
    <s v="Low"/>
    <n v="7.8E-2"/>
    <n v="7.8E-2"/>
    <n v="13"/>
    <s v="OK"/>
    <d v="2025-07-10T00:00:00"/>
    <n v="15"/>
    <n v="4804.4682400000002"/>
    <n v="7108.7900000000009"/>
    <n v="-2304.3217600000007"/>
    <n v="-0.47962056254533608"/>
    <s v="Q2-2025"/>
    <s v="Phones"/>
    <s v="Phones"/>
    <x v="1"/>
    <s v="Late"/>
    <n v="7.8E-2"/>
    <n v="601.51300000000015"/>
    <n v="14.3"/>
    <n v="5284.9150639999998"/>
    <n v="8601.6359000000029"/>
    <n v="-3316.7208360000031"/>
  </r>
  <r>
    <s v="ORD-2025-184754"/>
    <d v="2025-06-27T00:00:00"/>
    <d v="2025-07-05T00:00:00"/>
    <x v="2"/>
    <x v="11"/>
    <x v="35"/>
    <s v="Small Business"/>
    <s v="Direct"/>
    <s v="G. Dubois"/>
    <s v="Monitors"/>
    <s v="MON-7626"/>
    <n v="314.93"/>
    <n v="687.95"/>
    <n v="687.95"/>
    <s v="Middle"/>
    <n v="0.20499999999999999"/>
    <n v="0.20499999999999999"/>
    <n v="8"/>
    <s v="OK"/>
    <d v="2025-07-05T00:00:00"/>
    <n v="8"/>
    <n v="4375.3620000000001"/>
    <n v="2519.44"/>
    <n v="1855.922"/>
    <n v="0.424175645352316"/>
    <s v="Q2-2025"/>
    <s v="Monitors"/>
    <s v="Monitors"/>
    <x v="0"/>
    <s v="Late"/>
    <n v="0.2"/>
    <n v="346.42300000000006"/>
    <n v="8.8000000000000007"/>
    <n v="4843.1680000000006"/>
    <n v="3048.5224000000007"/>
    <n v="1794.6455999999998"/>
  </r>
  <r>
    <s v="ORD-2025-856556"/>
    <d v="2025-06-15T00:00:00"/>
    <d v="2025-07-12T00:00:00"/>
    <x v="2"/>
    <x v="10"/>
    <x v="33"/>
    <s v="Consumer"/>
    <s v="Direct"/>
    <s v="C. Otieno"/>
    <s v="Accessories"/>
    <s v="ACC-7906"/>
    <n v="318.83"/>
    <n v="699.5"/>
    <n v="699.5"/>
    <s v="Middle"/>
    <n v="0.08"/>
    <n v="0.08"/>
    <n v="13"/>
    <s v="OK"/>
    <d v="2025-07-12T00:00:00"/>
    <n v="27"/>
    <n v="8366.02"/>
    <n v="4144.79"/>
    <n v="4221.2300000000005"/>
    <n v="0.50456848059172699"/>
    <s v="Q2-2025"/>
    <s v="Accessories"/>
    <s v="Accessories"/>
    <x v="1"/>
    <s v="Late"/>
    <n v="0.08"/>
    <n v="350.71300000000002"/>
    <n v="14.3"/>
    <n v="9202.6220000000012"/>
    <n v="5015.1959000000006"/>
    <n v="4187.4261000000006"/>
  </r>
  <r>
    <s v="ORD-2025-417942"/>
    <d v="2025-06-09T00:00:00"/>
    <d v="2025-06-24T00:00:00"/>
    <x v="3"/>
    <x v="5"/>
    <x v="7"/>
    <s v="Corporate"/>
    <s v="Direct"/>
    <s v="B. Chen"/>
    <s v="Phones"/>
    <s v="PHN-5675"/>
    <n v="400.39"/>
    <n v="712.75"/>
    <n v="712.75"/>
    <s v="Middle"/>
    <n v="0.115"/>
    <n v="0.115"/>
    <n v="19"/>
    <s v="OK"/>
    <d v="2025-06-24T00:00:00"/>
    <n v="15"/>
    <n v="11984.891250000001"/>
    <n v="7607.41"/>
    <n v="4377.4812500000007"/>
    <n v="0.36524997671547504"/>
    <s v="Q2-2025"/>
    <s v="Phones"/>
    <s v="Phones"/>
    <x v="1"/>
    <s v="Late"/>
    <n v="0.115"/>
    <n v="440.42900000000003"/>
    <n v="20.900000000000002"/>
    <n v="13183.380375000002"/>
    <n v="9204.9661000000015"/>
    <n v="3978.414275000001"/>
  </r>
  <r>
    <s v="ORD-2025-231184"/>
    <d v="2025-06-01T00:00:00"/>
    <d v="2025-06-06T00:00:00"/>
    <x v="2"/>
    <x v="10"/>
    <x v="29"/>
    <s v="Consumer"/>
    <s v="Distributor"/>
    <s v="G. Dubois"/>
    <s v="Components"/>
    <s v="CMP-4093"/>
    <n v="379.45"/>
    <n v="742.23"/>
    <n v="742.23"/>
    <s v="Middle"/>
    <n v="0.09"/>
    <n v="0.09"/>
    <n v="13"/>
    <s v="OK"/>
    <d v="2025-06-06T00:00:00"/>
    <n v="5"/>
    <n v="8780.5809000000008"/>
    <n v="4932.8499999999995"/>
    <n v="3847.7309000000014"/>
    <n v="0.43820915083192286"/>
    <s v="Q2-2025"/>
    <s v="Components"/>
    <s v="Components"/>
    <x v="1"/>
    <s v="On-time"/>
    <n v="0.09"/>
    <n v="417.39500000000004"/>
    <n v="14.3"/>
    <n v="9658.6389900000013"/>
    <n v="5968.7485000000006"/>
    <n v="3689.8904900000007"/>
  </r>
  <r>
    <s v="ORD-2025-411385"/>
    <d v="2025-06-05T00:00:00"/>
    <d v="2025-06-14T00:00:00"/>
    <x v="3"/>
    <x v="4"/>
    <x v="6"/>
    <s v="Non-Profit"/>
    <s v="Retail"/>
    <s v="A. Patel"/>
    <s v="Accessories"/>
    <s v="ACC-2902"/>
    <n v="618.69000000000005"/>
    <n v="796.15"/>
    <n v="796.15"/>
    <s v="Middle"/>
    <n v="0.09"/>
    <n v="0.09"/>
    <n v="11"/>
    <s v="OK"/>
    <d v="2025-06-14T00:00:00"/>
    <n v="9"/>
    <n v="7969.4615000000003"/>
    <n v="6805.59"/>
    <n v="1163.8715000000002"/>
    <n v="0.14604142325049191"/>
    <s v="Q2-2025"/>
    <s v="Accessories"/>
    <s v="Accessories"/>
    <x v="1"/>
    <s v="Late"/>
    <n v="0.09"/>
    <n v="680.55900000000008"/>
    <n v="12.100000000000001"/>
    <n v="8766.407650000001"/>
    <n v="8234.7639000000017"/>
    <n v="531.64374999999927"/>
  </r>
  <r>
    <s v="ORD-2025-678328"/>
    <d v="2025-06-24T00:00:00"/>
    <d v="2025-07-14T00:00:00"/>
    <x v="2"/>
    <x v="11"/>
    <x v="36"/>
    <s v="Corporate"/>
    <s v="Direct"/>
    <s v="O. Wang"/>
    <s v="Accessories"/>
    <s v="ACC-8094"/>
    <n v="385.08"/>
    <n v="893.19"/>
    <n v="893.19"/>
    <s v="Middle"/>
    <n v="0.151"/>
    <n v="0.151"/>
    <n v="8"/>
    <s v="OK"/>
    <d v="2025-07-14T00:00:00"/>
    <n v="20"/>
    <n v="6066.54648"/>
    <n v="3080.64"/>
    <n v="2985.9064800000001"/>
    <n v="0.49219213762621666"/>
    <s v="Q2-2025"/>
    <s v="Accessories"/>
    <s v="Accessories"/>
    <x v="1"/>
    <s v="Late"/>
    <n v="0.151"/>
    <n v="423.58800000000002"/>
    <n v="8.8000000000000007"/>
    <n v="6673.2011280000006"/>
    <n v="3727.5744000000004"/>
    <n v="2945.6267280000002"/>
  </r>
  <r>
    <s v="ORD-2025-526752"/>
    <d v="2025-06-09T00:00:00"/>
    <d v="2025-06-25T00:00:00"/>
    <x v="3"/>
    <x v="4"/>
    <x v="31"/>
    <s v="Enterprise"/>
    <s v="Distributor"/>
    <s v="M. Rossi"/>
    <s v="Phones"/>
    <s v="PHN-3482"/>
    <n v="527.33000000000004"/>
    <n v="911.72"/>
    <n v="911.72"/>
    <s v="Middle"/>
    <n v="0.14399999999999999"/>
    <n v="0.14399999999999999"/>
    <n v="25"/>
    <s v="OK"/>
    <d v="2025-06-25T00:00:00"/>
    <n v="16"/>
    <n v="19510.808000000001"/>
    <n v="13183.250000000002"/>
    <n v="6327.5579999999991"/>
    <n v="0.32431040272652978"/>
    <s v="Q2-2025"/>
    <s v="Phones"/>
    <s v="Phones"/>
    <x v="1"/>
    <s v="Late"/>
    <n v="0.14399999999999999"/>
    <n v="580.0630000000001"/>
    <n v="27.500000000000004"/>
    <n v="21461.888800000001"/>
    <n v="15951.732500000006"/>
    <n v="5510.1562999999951"/>
  </r>
  <r>
    <s v="ORD-2025-278048"/>
    <d v="2025-06-22T00:00:00"/>
    <d v="2025-07-08T00:00:00"/>
    <x v="2"/>
    <x v="2"/>
    <x v="3"/>
    <s v="Education"/>
    <s v="Direct"/>
    <s v="A. Patel"/>
    <s v="Phones"/>
    <s v="PHN-5316"/>
    <n v="892.73"/>
    <n v="979.84"/>
    <n v="979.84"/>
    <s v="Middle"/>
    <n v="0.17399999999999999"/>
    <n v="0.17399999999999999"/>
    <n v="10"/>
    <s v="OK"/>
    <d v="2025-07-08T00:00:00"/>
    <n v="16"/>
    <n v="8093.4784"/>
    <n v="8927.2999999999993"/>
    <n v="-833.82159999999931"/>
    <n v="-0.10302388649112838"/>
    <s v="Q2-2025"/>
    <s v="Phones"/>
    <s v="Phones"/>
    <x v="1"/>
    <s v="Late"/>
    <n v="0.17399999999999999"/>
    <n v="982.00300000000004"/>
    <n v="11"/>
    <n v="8902.8262400000003"/>
    <n v="10802.033000000001"/>
    <n v="-1899.2067600000009"/>
  </r>
  <r>
    <s v="ORD-2025-580047"/>
    <d v="2025-06-14T00:00:00"/>
    <d v="2025-06-29T00:00:00"/>
    <x v="1"/>
    <x v="8"/>
    <x v="27"/>
    <s v="Consumer"/>
    <s v="Marketplace"/>
    <s v="M. Rossi"/>
    <s v="Accessories"/>
    <s v="ACC-3961"/>
    <n v="730.99"/>
    <n v="1242.8399999999999"/>
    <n v="1242.8399999999999"/>
    <s v="High"/>
    <n v="0.12"/>
    <n v="0.12"/>
    <n v="10"/>
    <s v="OK"/>
    <d v="2025-06-29T00:00:00"/>
    <n v="15"/>
    <n v="10936.992"/>
    <n v="7309.9"/>
    <n v="3627.0920000000006"/>
    <n v="0.33163524303574515"/>
    <s v="Q2-2025"/>
    <s v="Accessories"/>
    <s v="Accessories"/>
    <x v="1"/>
    <s v="Late"/>
    <n v="0.12"/>
    <n v="804.08900000000006"/>
    <n v="11"/>
    <n v="12030.691199999999"/>
    <n v="8844.9790000000012"/>
    <n v="3185.7121999999981"/>
  </r>
  <r>
    <s v="ORD-2025-485946"/>
    <d v="2025-06-15T00:00:00"/>
    <d v="2025-06-30T00:00:00"/>
    <x v="1"/>
    <x v="6"/>
    <x v="38"/>
    <s v="Small Business"/>
    <s v="Direct"/>
    <s v="C. Otieno"/>
    <s v="Monitors"/>
    <s v="MON-5891"/>
    <n v="1487.59"/>
    <n v="1480.83"/>
    <n v="1480.83"/>
    <s v="High"/>
    <n v="8.9999999999999993E-3"/>
    <n v="8.9999999999999993E-3"/>
    <n v="11"/>
    <s v="OK"/>
    <d v="2025-06-30T00:00:00"/>
    <n v="15"/>
    <n v="16142.527829999999"/>
    <n v="16363.49"/>
    <n v="-220.9621700000007"/>
    <n v="-1.3688201273492908E-2"/>
    <s v="Q2-2025"/>
    <s v="Monitors"/>
    <s v="Monitors"/>
    <x v="1"/>
    <s v="Late"/>
    <n v="8.9999999999999993E-3"/>
    <n v="1636.3489999999999"/>
    <n v="12.100000000000001"/>
    <n v="17756.780613000003"/>
    <n v="19799.822900000003"/>
    <n v="-2043.0422870000002"/>
  </r>
  <r>
    <s v="ORD-2025-718992"/>
    <d v="2025-06-24T00:00:00"/>
    <d v="2025-07-10T00:00:00"/>
    <x v="3"/>
    <x v="7"/>
    <x v="20"/>
    <s v="Enterprise"/>
    <s v="Direct"/>
    <s v="N. Brown"/>
    <s v="Components"/>
    <s v="CMP-8390"/>
    <n v="757.19"/>
    <n v="1735.41"/>
    <n v="1735.41"/>
    <s v="High"/>
    <n v="0.13600000000000001"/>
    <n v="0.13600000000000001"/>
    <n v="8"/>
    <s v="OK"/>
    <d v="2025-07-10T00:00:00"/>
    <n v="16"/>
    <n v="11995.153920000001"/>
    <n v="6057.52"/>
    <n v="5937.6339200000002"/>
    <n v="0.4950027285685718"/>
    <s v="Q2-2025"/>
    <s v="Components"/>
    <s v="Components"/>
    <x v="1"/>
    <s v="Late"/>
    <n v="0.13600000000000001"/>
    <n v="832.90900000000011"/>
    <n v="8.8000000000000007"/>
    <n v="13194.669312000002"/>
    <n v="7329.5992000000015"/>
    <n v="5865.0701120000003"/>
  </r>
  <r>
    <s v="ORD-2025-184082"/>
    <d v="2025-06-19T00:00:00"/>
    <d v="2025-07-12T00:00:00"/>
    <x v="2"/>
    <x v="2"/>
    <x v="25"/>
    <s v="Non-Profit"/>
    <s v="Direct"/>
    <s v="Unassigned"/>
    <s v="Networking"/>
    <s v="NET-6370"/>
    <n v="801.24"/>
    <n v="1959.09"/>
    <n v="1959.09"/>
    <s v="High"/>
    <n v="0.123"/>
    <n v="0.123"/>
    <n v="23"/>
    <s v="OK"/>
    <d v="2025-07-12T00:00:00"/>
    <n v="23"/>
    <n v="39516.804389999998"/>
    <n v="18428.52"/>
    <n v="21088.284389999997"/>
    <n v="0.53365358650651762"/>
    <s v="Q2-2025"/>
    <s v="Networking"/>
    <s v="Networking"/>
    <x v="1"/>
    <s v="Late"/>
    <n v="0.123"/>
    <n v="881.36400000000003"/>
    <n v="25.3"/>
    <n v="43468.484829000001"/>
    <n v="22298.5092"/>
    <n v="21169.975629"/>
  </r>
  <r>
    <s v="ORD-2025-929414"/>
    <d v="2025-06-26T00:00:00"/>
    <d v="2025-07-11T00:00:00"/>
    <x v="1"/>
    <x v="8"/>
    <x v="27"/>
    <s v="Small Business"/>
    <s v="Online"/>
    <s v="A. Patel"/>
    <s v="Laptops"/>
    <s v="LAP-7523"/>
    <n v="1170.1500000000001"/>
    <n v="2115.19"/>
    <n v="2115.19"/>
    <s v="High"/>
    <n v="9.1999999999999998E-2"/>
    <n v="9.1999999999999998E-2"/>
    <n v="23"/>
    <s v="OK"/>
    <d v="2025-07-11T00:00:00"/>
    <n v="15"/>
    <n v="44173.627960000005"/>
    <n v="26913.45"/>
    <n v="17260.177960000005"/>
    <n v="0.39073489674946776"/>
    <s v="Q2-2025"/>
    <s v="Laptops"/>
    <s v="Laptops"/>
    <x v="1"/>
    <s v="Late"/>
    <n v="9.1999999999999998E-2"/>
    <n v="1287.1650000000002"/>
    <n v="25.3"/>
    <n v="48590.990755999999"/>
    <n v="32565.274500000007"/>
    <n v="16025.716255999992"/>
  </r>
  <r>
    <s v="ORD-2025-795385"/>
    <d v="2025-06-01T00:00:00"/>
    <d v="2025-06-05T00:00:00"/>
    <x v="2"/>
    <x v="11"/>
    <x v="35"/>
    <s v="Enterprise"/>
    <s v="Direct"/>
    <s v="M. Rossi"/>
    <s v="Components"/>
    <s v="CMP-4159"/>
    <n v="1171.42"/>
    <n v="2187.8000000000002"/>
    <n v="2187.8000000000002"/>
    <s v="High"/>
    <n v="0.23"/>
    <n v="0.23"/>
    <n v="15"/>
    <s v="OK"/>
    <d v="2025-06-05T00:00:00"/>
    <n v="4"/>
    <n v="25269.09"/>
    <n v="17571.300000000003"/>
    <n v="7697.7899999999972"/>
    <n v="0.30463265594447592"/>
    <s v="Q2-2025"/>
    <s v="Components"/>
    <s v="Components"/>
    <x v="0"/>
    <s v="On-time"/>
    <n v="0.2"/>
    <n v="1288.5620000000001"/>
    <n v="16.5"/>
    <n v="28878.960000000006"/>
    <n v="21261.273000000001"/>
    <n v="7617.6870000000054"/>
  </r>
  <r>
    <s v="ORD-2025-188059"/>
    <d v="2025-06-27T00:00:00"/>
    <d v="2025-07-11T00:00:00"/>
    <x v="3"/>
    <x v="7"/>
    <x v="20"/>
    <s v="Small Business"/>
    <s v="Marketplace"/>
    <s v="L. Okafor"/>
    <s v="Networking"/>
    <s v="NET-3535"/>
    <n v="1227.7"/>
    <n v="2197.23"/>
    <n v="2197.23"/>
    <s v="High"/>
    <n v="9.9000000000000005E-2"/>
    <n v="9.9000000000000005E-2"/>
    <n v="22"/>
    <s v="OK"/>
    <d v="2025-07-11T00:00:00"/>
    <n v="14"/>
    <n v="43553.493060000001"/>
    <n v="27009.4"/>
    <n v="16544.093059999999"/>
    <n v="0.37985685871873898"/>
    <s v="Q2-2025"/>
    <s v="Networking"/>
    <s v="Networking"/>
    <x v="1"/>
    <s v="Late"/>
    <n v="9.9000000000000005E-2"/>
    <n v="1350.4700000000003"/>
    <n v="24.200000000000003"/>
    <n v="47908.842366000012"/>
    <n v="32681.374000000011"/>
    <n v="15227.468366000001"/>
  </r>
  <r>
    <s v="ORD-2025-480172"/>
    <d v="2025-06-17T00:00:00"/>
    <d v="2025-07-05T00:00:00"/>
    <x v="3"/>
    <x v="4"/>
    <x v="6"/>
    <s v="Consumer"/>
    <s v="Marketplace"/>
    <s v="L. Okafor"/>
    <s v="Laptops"/>
    <s v="LAP-1990"/>
    <n v="982.93"/>
    <n v="2299.3000000000002"/>
    <n v="2299.3000000000002"/>
    <s v="High"/>
    <n v="0.113"/>
    <n v="0.113"/>
    <n v="6"/>
    <s v="OK"/>
    <d v="2025-07-05T00:00:00"/>
    <n v="18"/>
    <n v="12236.874600000001"/>
    <n v="5897.58"/>
    <n v="6339.2946000000011"/>
    <n v="0.51804850562087157"/>
    <s v="Q2-2025"/>
    <s v="Laptops"/>
    <s v="Laptops"/>
    <x v="1"/>
    <s v="Late"/>
    <n v="0.113"/>
    <n v="1081.223"/>
    <n v="6.6000000000000005"/>
    <n v="13460.562060000002"/>
    <n v="7136.0718000000006"/>
    <n v="6324.4902600000014"/>
  </r>
  <r>
    <s v="ORD-2025-312803"/>
    <d v="2025-06-24T00:00:00"/>
    <d v="2025-07-14T00:00:00"/>
    <x v="1"/>
    <x v="6"/>
    <x v="38"/>
    <s v="Enterprise"/>
    <s v="Marketplace"/>
    <s v="J. Njeri"/>
    <s v="Laptops"/>
    <s v="LAP-1308"/>
    <n v="1151.06"/>
    <n v="2821.36"/>
    <n v="2821.36"/>
    <s v="High"/>
    <n v="0.248"/>
    <n v="0.248"/>
    <n v="20"/>
    <s v="OK"/>
    <d v="2025-07-14T00:00:00"/>
    <n v="20"/>
    <n v="42433.254400000005"/>
    <n v="23021.199999999997"/>
    <n v="19412.054400000008"/>
    <n v="0.45747267501594235"/>
    <s v="Q2-2025"/>
    <s v="Laptops"/>
    <s v="Laptops"/>
    <x v="0"/>
    <s v="Late"/>
    <n v="0.2"/>
    <n v="1266.1659999999999"/>
    <n v="22"/>
    <n v="49655.936000000009"/>
    <n v="27855.651999999998"/>
    <n v="21800.284000000011"/>
  </r>
  <r>
    <s v="ORD-2025-398335"/>
    <d v="2025-06-01T00:00:00"/>
    <d v="2025-06-27T00:00:00"/>
    <x v="2"/>
    <x v="11"/>
    <x v="35"/>
    <s v="Consumer"/>
    <s v="Distributor"/>
    <s v="E. Garcia"/>
    <s v="Laptops"/>
    <s v="LAP-1619"/>
    <n v="1362.31"/>
    <n v="3294.57"/>
    <n v="3294.57"/>
    <s v="High"/>
    <n v="0.113"/>
    <n v="0.113"/>
    <n v="7"/>
    <s v="OK"/>
    <d v="2025-06-27T00:00:00"/>
    <n v="26"/>
    <n v="20455.985130000001"/>
    <n v="9536.17"/>
    <n v="10919.815130000001"/>
    <n v="0.5338200561157721"/>
    <s v="Q2-2025"/>
    <s v="Laptops"/>
    <s v="Laptops"/>
    <x v="1"/>
    <s v="Late"/>
    <n v="0.113"/>
    <n v="1498.5410000000002"/>
    <n v="7.7000000000000011"/>
    <n v="22501.583643000005"/>
    <n v="11538.765700000004"/>
    <n v="10962.817943000002"/>
  </r>
  <r>
    <s v="ORD-2025-262434"/>
    <d v="2025-06-19T00:00:00"/>
    <d v="2025-06-21T00:00:00"/>
    <x v="1"/>
    <x v="6"/>
    <x v="38"/>
    <s v="Small Business"/>
    <s v="Unspecified"/>
    <s v="H. Kim"/>
    <s v="Phones"/>
    <s v="PHN-7379"/>
    <n v="1466.27"/>
    <n v="3589.89"/>
    <n v="3589.89"/>
    <s v="High"/>
    <n v="9.7000000000000003E-2"/>
    <n v="9.7000000000000003E-2"/>
    <n v="9"/>
    <s v="OK"/>
    <d v="2025-06-21T00:00:00"/>
    <n v="2"/>
    <n v="29175.036029999999"/>
    <n v="13196.43"/>
    <n v="15978.606029999999"/>
    <n v="0.54768076425234147"/>
    <s v="Q2-2025"/>
    <s v="Phones"/>
    <s v="Phones"/>
    <x v="1"/>
    <s v="On-time"/>
    <n v="9.7000000000000003E-2"/>
    <n v="1612.8970000000002"/>
    <n v="9.9"/>
    <n v="32092.539633"/>
    <n v="15967.680300000002"/>
    <n v="16124.859332999999"/>
  </r>
  <r>
    <s v="ORD-2024-919471"/>
    <d v="2024-06-29T00:00:00"/>
    <d v="2024-07-26T00:00:00"/>
    <x v="1"/>
    <x v="6"/>
    <x v="10"/>
    <s v="Enterprise"/>
    <s v="Distributor"/>
    <s v="B. Chen"/>
    <s v="Networking"/>
    <s v="NET-4241"/>
    <n v="5.36"/>
    <n v="4.37"/>
    <n v="4.37"/>
    <s v="Low"/>
    <n v="0.11799999999999999"/>
    <n v="0.11799999999999999"/>
    <n v="9"/>
    <s v="OK"/>
    <d v="2024-07-26T00:00:00"/>
    <n v="27"/>
    <n v="34.689059999999998"/>
    <n v="48.24"/>
    <n v="-13.550940000000004"/>
    <n v="-0.39064016148030545"/>
    <s v="Q2-2024"/>
    <s v="Networking"/>
    <s v="Networking"/>
    <x v="1"/>
    <s v="Late"/>
    <n v="0.11799999999999999"/>
    <n v="5.8960000000000008"/>
    <n v="9.9"/>
    <n v="38.157966000000002"/>
    <n v="58.370400000000011"/>
    <n v="-20.212434000000009"/>
  </r>
  <r>
    <s v="ORD-2024-166150"/>
    <d v="2024-06-02T00:00:00"/>
    <d v="2024-06-08T00:00:00"/>
    <x v="1"/>
    <x v="1"/>
    <x v="16"/>
    <s v="Consumer"/>
    <s v="Marketplace"/>
    <s v="A. Patel"/>
    <s v="Accessories"/>
    <s v="ACC-9820"/>
    <n v="292.94"/>
    <n v="356.55"/>
    <n v="356.55"/>
    <s v="Low"/>
    <n v="0.22900000000000001"/>
    <n v="0.22900000000000001"/>
    <n v="2"/>
    <s v="OK"/>
    <d v="2024-06-08T00:00:00"/>
    <n v="6"/>
    <n v="549.80010000000004"/>
    <n v="585.88"/>
    <n v="-36.079899999999952"/>
    <n v="-6.5623669402751925E-2"/>
    <s v="Q2-2024"/>
    <s v="Accessories"/>
    <s v="Accessories"/>
    <x v="0"/>
    <s v="On-time"/>
    <n v="0.2"/>
    <n v="322.23400000000004"/>
    <n v="2.2000000000000002"/>
    <n v="627.52800000000013"/>
    <n v="708.91480000000013"/>
    <n v="-81.386799999999994"/>
  </r>
  <r>
    <s v="ORD-2024-878493"/>
    <d v="2024-06-19T00:00:00"/>
    <d v="2024-06-20T00:00:00"/>
    <x v="1"/>
    <x v="1"/>
    <x v="16"/>
    <s v="Small Business"/>
    <s v="Direct"/>
    <s v="J. Njeri"/>
    <s v="Laptops"/>
    <s v="LAP-4607"/>
    <n v="231.63"/>
    <n v="537.39"/>
    <n v="537.39"/>
    <s v="Low"/>
    <n v="0.08"/>
    <n v="0.08"/>
    <n v="12"/>
    <s v="OK"/>
    <d v="2024-06-20T00:00:00"/>
    <n v="1"/>
    <n v="5932.7856000000002"/>
    <n v="2779.56"/>
    <n v="3153.2256000000002"/>
    <n v="0.53149158129024587"/>
    <s v="Q2-2024"/>
    <s v="Laptops"/>
    <s v="Laptops"/>
    <x v="1"/>
    <s v="On-time"/>
    <n v="0.08"/>
    <n v="254.79300000000001"/>
    <n v="13.200000000000001"/>
    <n v="6526.0641600000008"/>
    <n v="3363.2676000000001"/>
    <n v="3162.7965600000007"/>
  </r>
  <r>
    <s v="ORD-2024-787018"/>
    <d v="2024-06-23T00:00:00"/>
    <d v="2024-06-28T00:00:00"/>
    <x v="1"/>
    <x v="8"/>
    <x v="27"/>
    <s v="Non-Profit"/>
    <s v="Direct"/>
    <s v="M. Rossi"/>
    <s v="Accessories"/>
    <s v="ACC-7671"/>
    <n v="242.31"/>
    <n v="587.95000000000005"/>
    <n v="587.95000000000005"/>
    <s v="Low"/>
    <n v="0.22900000000000001"/>
    <n v="0.22900000000000001"/>
    <n v="6"/>
    <s v="OK"/>
    <d v="2024-06-28T00:00:00"/>
    <n v="5"/>
    <n v="2719.8567000000003"/>
    <n v="1453.8600000000001"/>
    <n v="1265.9967000000001"/>
    <n v="0.46546448568411714"/>
    <s v="Q2-2024"/>
    <s v="Accessories"/>
    <s v="Accessories"/>
    <x v="0"/>
    <s v="On-time"/>
    <n v="0.2"/>
    <n v="266.541"/>
    <n v="6.6000000000000005"/>
    <n v="3104.3760000000007"/>
    <n v="1759.1706000000001"/>
    <n v="1345.2054000000005"/>
  </r>
  <r>
    <s v="ORD-2024-427031"/>
    <d v="2024-06-08T00:00:00"/>
    <d v="2024-06-24T00:00:00"/>
    <x v="1"/>
    <x v="6"/>
    <x v="10"/>
    <s v="Education"/>
    <s v="Distributor"/>
    <s v="H. Kim"/>
    <s v="Monitors"/>
    <s v="MON-1389"/>
    <n v="597.85"/>
    <n v="741.92"/>
    <n v="741.92"/>
    <s v="Middle"/>
    <n v="3.1E-2"/>
    <n v="3.1E-2"/>
    <n v="7"/>
    <s v="OK"/>
    <d v="2024-06-24T00:00:00"/>
    <n v="16"/>
    <n v="5032.4433599999993"/>
    <n v="4184.95"/>
    <n v="847.49335999999948"/>
    <n v="0.16840594108544515"/>
    <s v="Q2-2024"/>
    <s v="Monitors"/>
    <s v="Monitors"/>
    <x v="1"/>
    <s v="Late"/>
    <n v="3.1E-2"/>
    <n v="657.6350000000001"/>
    <n v="7.7000000000000011"/>
    <n v="5535.687696"/>
    <n v="5063.7895000000017"/>
    <n v="471.89819599999828"/>
  </r>
  <r>
    <s v="ORD-2024-909942"/>
    <d v="2024-06-09T00:00:00"/>
    <d v="2024-07-07T00:00:00"/>
    <x v="3"/>
    <x v="7"/>
    <x v="14"/>
    <s v="Corporate"/>
    <s v="Online"/>
    <s v="J. Njeri"/>
    <s v="Components"/>
    <s v="CMP-6392"/>
    <n v="550.22"/>
    <n v="1025.05"/>
    <n v="1025.05"/>
    <s v="Middle"/>
    <n v="0"/>
    <n v="0"/>
    <n v="27"/>
    <s v="OK"/>
    <d v="2024-07-07T00:00:00"/>
    <n v="28"/>
    <n v="27676.35"/>
    <n v="14855.94"/>
    <n v="12820.409999999998"/>
    <n v="0.46322618408858102"/>
    <s v="Q2-2024"/>
    <s v="Components"/>
    <s v="Components"/>
    <x v="1"/>
    <s v="Late"/>
    <n v="0"/>
    <n v="605.24200000000008"/>
    <n v="29.700000000000003"/>
    <n v="30443.985000000001"/>
    <n v="17975.687400000003"/>
    <n v="12468.297599999998"/>
  </r>
  <r>
    <s v="ORD-2024-566589"/>
    <d v="2024-06-11T00:00:00"/>
    <d v="2024-07-09T00:00:00"/>
    <x v="1"/>
    <x v="8"/>
    <x v="27"/>
    <s v="Corporate"/>
    <s v="Marketplace"/>
    <s v="I. Johnson"/>
    <s v="Phones"/>
    <s v="PHN-2436"/>
    <n v="895.54"/>
    <n v="1045"/>
    <n v="1045"/>
    <s v="Middle"/>
    <n v="0.216"/>
    <n v="0.216"/>
    <n v="15"/>
    <s v="OK"/>
    <d v="2024-07-09T00:00:00"/>
    <n v="28"/>
    <n v="12289.2"/>
    <n v="13433.099999999999"/>
    <n v="-1143.8999999999978"/>
    <n v="-9.3081730299775234E-2"/>
    <s v="Q2-2024"/>
    <s v="Phones"/>
    <s v="Phones"/>
    <x v="0"/>
    <s v="Late"/>
    <n v="0.2"/>
    <n v="985.09400000000005"/>
    <n v="16.5"/>
    <n v="13794"/>
    <n v="16254.051000000001"/>
    <n v="-2460.0510000000013"/>
  </r>
  <r>
    <s v="ORD-2024-389102"/>
    <d v="2024-06-15T00:00:00"/>
    <d v="2024-07-06T00:00:00"/>
    <x v="0"/>
    <x v="3"/>
    <x v="4"/>
    <s v="Enterprise"/>
    <s v="Distributor"/>
    <s v="L. Okafor"/>
    <s v="Printers"/>
    <s v="PRN-4453"/>
    <n v="817.23"/>
    <n v="1467.17"/>
    <n v="1467.17"/>
    <s v="High"/>
    <n v="0.245"/>
    <n v="0.245"/>
    <n v="9"/>
    <s v="OK"/>
    <d v="2024-07-06T00:00:00"/>
    <n v="21"/>
    <n v="9969.4201499999999"/>
    <n v="7355.07"/>
    <n v="2614.3501500000002"/>
    <n v="0.26223693160328893"/>
    <s v="Q2-2024"/>
    <s v="Printers"/>
    <s v="Printers"/>
    <x v="0"/>
    <s v="Late"/>
    <n v="0.2"/>
    <n v="898.95300000000009"/>
    <n v="9.9"/>
    <n v="11619.986400000002"/>
    <n v="8899.6347000000005"/>
    <n v="2720.3517000000011"/>
  </r>
  <r>
    <s v="ORD-2024-134084"/>
    <d v="2024-06-04T00:00:00"/>
    <d v="2024-06-16T00:00:00"/>
    <x v="3"/>
    <x v="7"/>
    <x v="20"/>
    <s v="Corporate"/>
    <s v="Retail"/>
    <s v="J. Njeri"/>
    <s v="Printers"/>
    <s v="PRN-4097"/>
    <n v="918.42"/>
    <n v="1511.71"/>
    <n v="1511.71"/>
    <s v="High"/>
    <n v="0.02"/>
    <n v="0.02"/>
    <n v="8"/>
    <s v="OK"/>
    <d v="2024-06-16T00:00:00"/>
    <n v="12"/>
    <n v="11851.806399999999"/>
    <n v="7347.36"/>
    <n v="4504.4463999999998"/>
    <n v="0.38006412254590999"/>
    <s v="Q2-2024"/>
    <s v="Printers"/>
    <s v="Printers"/>
    <x v="1"/>
    <s v="Late"/>
    <n v="0.02"/>
    <n v="1010.2620000000001"/>
    <n v="8.8000000000000007"/>
    <n v="13036.98704"/>
    <n v="8890.3056000000015"/>
    <n v="4146.6814399999985"/>
  </r>
  <r>
    <s v="ORD-2024-713332"/>
    <d v="2024-06-05T00:00:00"/>
    <d v="2024-06-23T00:00:00"/>
    <x v="1"/>
    <x v="1"/>
    <x v="2"/>
    <s v="Consumer"/>
    <s v="Distributor"/>
    <s v="D. Smith"/>
    <s v="Laptops"/>
    <s v="LAP-1739"/>
    <n v="1208.74"/>
    <n v="1594.78"/>
    <n v="1594.78"/>
    <s v="High"/>
    <n v="5.8999999999999997E-2"/>
    <n v="5.8999999999999997E-2"/>
    <n v="39"/>
    <s v="OK"/>
    <d v="2024-06-23T00:00:00"/>
    <n v="18"/>
    <n v="58526.83122"/>
    <n v="47140.86"/>
    <n v="11385.971219999999"/>
    <n v="0.1945427589817838"/>
    <s v="Q2-2024"/>
    <s v="Laptops"/>
    <s v="Laptops"/>
    <x v="1"/>
    <s v="Late"/>
    <n v="5.8999999999999997E-2"/>
    <n v="1329.614"/>
    <n v="42.900000000000006"/>
    <n v="64379.514342000009"/>
    <n v="57040.440600000009"/>
    <n v="7339.0737420000005"/>
  </r>
  <r>
    <s v="ORD-2024-704056"/>
    <d v="2024-06-23T00:00:00"/>
    <d v="2024-06-25T00:00:00"/>
    <x v="2"/>
    <x v="2"/>
    <x v="37"/>
    <s v="Small Business"/>
    <s v="Marketplace"/>
    <s v="L. Okafor"/>
    <s v="Accessories"/>
    <s v="ACC-7838"/>
    <n v="951.44"/>
    <n v="1646.43"/>
    <n v="1646.43"/>
    <s v="High"/>
    <n v="0.11"/>
    <n v="0.11"/>
    <n v="24"/>
    <s v="OK"/>
    <d v="2024-06-25T00:00:00"/>
    <n v="2"/>
    <n v="35167.7448"/>
    <n v="22834.560000000001"/>
    <n v="12333.184799999999"/>
    <n v="0.35069592520473475"/>
    <s v="Q2-2024"/>
    <s v="Accessories"/>
    <s v="Accessories"/>
    <x v="1"/>
    <s v="On-time"/>
    <n v="0.11"/>
    <n v="1046.5840000000001"/>
    <n v="26.400000000000002"/>
    <n v="38684.519280000008"/>
    <n v="27629.817600000002"/>
    <n v="11054.701680000006"/>
  </r>
  <r>
    <s v="ORD-2024-442776"/>
    <d v="2024-06-30T00:00:00"/>
    <d v="2024-07-21T00:00:00"/>
    <x v="1"/>
    <x v="1"/>
    <x v="16"/>
    <s v="Small Business"/>
    <s v="Retail"/>
    <s v="K. Singh"/>
    <s v="Laptops"/>
    <s v="LAP-6577"/>
    <n v="753.43"/>
    <n v="1787.2"/>
    <n v="1787.2"/>
    <s v="High"/>
    <n v="7.2999999999999995E-2"/>
    <n v="7.2999999999999995E-2"/>
    <n v="9"/>
    <s v="OK"/>
    <d v="2024-07-21T00:00:00"/>
    <n v="21"/>
    <n v="14910.609600000002"/>
    <n v="6780.87"/>
    <n v="8129.7396000000017"/>
    <n v="0.54523187301476939"/>
    <s v="Q2-2024"/>
    <s v="Laptops"/>
    <s v="Laptops"/>
    <x v="1"/>
    <s v="Late"/>
    <n v="7.2999999999999995E-2"/>
    <n v="828.77300000000002"/>
    <n v="9.9"/>
    <n v="16401.670560000002"/>
    <n v="8204.8527000000013"/>
    <n v="8196.817860000001"/>
  </r>
  <r>
    <s v="ORD-2024-223618"/>
    <d v="2024-06-10T00:00:00"/>
    <d v="2024-06-11T00:00:00"/>
    <x v="2"/>
    <x v="2"/>
    <x v="37"/>
    <s v="Small Business"/>
    <s v="Marketplace"/>
    <s v="M. Rossi"/>
    <s v="Laptops"/>
    <s v="LAP-9230"/>
    <n v="1187.1300000000001"/>
    <n v="1795.17"/>
    <n v="1795.17"/>
    <s v="High"/>
    <n v="1.2E-2"/>
    <n v="1.2E-2"/>
    <n v="17"/>
    <s v="OK"/>
    <d v="2024-06-11T00:00:00"/>
    <n v="1"/>
    <n v="30151.675319999998"/>
    <n v="20181.210000000003"/>
    <n v="9970.4653199999957"/>
    <n v="0.33067699271046663"/>
    <s v="Q2-2024"/>
    <s v="Laptops"/>
    <s v="Laptops"/>
    <x v="1"/>
    <s v="On-time"/>
    <n v="1.2E-2"/>
    <n v="1305.8430000000003"/>
    <n v="18.700000000000003"/>
    <n v="33166.842852000002"/>
    <n v="24419.264100000008"/>
    <n v="8747.578751999994"/>
  </r>
  <r>
    <s v="ORD-2024-584090"/>
    <d v="2024-06-07T00:00:00"/>
    <d v="2024-06-26T00:00:00"/>
    <x v="2"/>
    <x v="11"/>
    <x v="36"/>
    <s v="Non-Profit"/>
    <s v="Marketplace"/>
    <s v="M. Rossi"/>
    <s v="Components"/>
    <s v="CMP-2040"/>
    <n v="1064.32"/>
    <n v="1848.39"/>
    <n v="1848.39"/>
    <s v="High"/>
    <n v="7.2999999999999995E-2"/>
    <n v="7.2999999999999995E-2"/>
    <n v="38"/>
    <s v="OK"/>
    <d v="2024-06-26T00:00:00"/>
    <n v="19"/>
    <n v="65111.38614000001"/>
    <n v="40444.159999999996"/>
    <n v="24667.226140000013"/>
    <n v="0.3788465827921631"/>
    <s v="Q2-2024"/>
    <s v="Components"/>
    <s v="Components"/>
    <x v="1"/>
    <s v="Late"/>
    <n v="7.2999999999999995E-2"/>
    <n v="1170.752"/>
    <n v="41.800000000000004"/>
    <n v="71622.524754000027"/>
    <n v="48937.433600000004"/>
    <n v="22685.091154000023"/>
  </r>
  <r>
    <s v="ORD-2024-451005"/>
    <d v="2024-06-30T00:00:00"/>
    <d v="2024-06-28T00:00:00"/>
    <x v="0"/>
    <x v="0"/>
    <x v="0"/>
    <s v="Small Business"/>
    <s v="Direct"/>
    <s v="L. Okafor"/>
    <s v="Accessories"/>
    <s v="ACC-9162"/>
    <n v="1112.98"/>
    <n v="2095.73"/>
    <n v="2095.73"/>
    <s v="High"/>
    <n v="7.1999999999999995E-2"/>
    <n v="7.1999999999999995E-2"/>
    <n v="17"/>
    <s v="Correct"/>
    <d v="2024-07-07T00:00:00"/>
    <n v="7"/>
    <n v="33062.236480000007"/>
    <n v="18920.66"/>
    <n v="14141.576480000007"/>
    <n v="0.42772594916724777"/>
    <s v="Q2-2024"/>
    <s v="Accessories"/>
    <s v="Accessories"/>
    <x v="1"/>
    <s v="On-time"/>
    <n v="7.1999999999999995E-2"/>
    <n v="1224.278"/>
    <n v="18.700000000000003"/>
    <n v="36368.460128000006"/>
    <n v="22893.998600000003"/>
    <n v="13474.461528000003"/>
  </r>
  <r>
    <s v="ORD-2024-626925"/>
    <d v="2024-06-07T00:00:00"/>
    <d v="2024-06-09T00:00:00"/>
    <x v="3"/>
    <x v="7"/>
    <x v="20"/>
    <s v="Corporate"/>
    <s v="Retail"/>
    <s v="O. Wang"/>
    <s v="Monitors"/>
    <s v="MON-8688"/>
    <n v="1370.28"/>
    <n v="2209.66"/>
    <n v="2209.66"/>
    <s v="High"/>
    <n v="0.13300000000000001"/>
    <n v="0.13300000000000001"/>
    <n v="16"/>
    <s v="OK"/>
    <d v="2024-06-09T00:00:00"/>
    <n v="2"/>
    <n v="30652.403519999996"/>
    <n v="21924.48"/>
    <n v="8727.9235199999966"/>
    <n v="0.28473863442079589"/>
    <s v="Q2-2024"/>
    <s v="Monitors"/>
    <s v="Monitors"/>
    <x v="1"/>
    <s v="On-time"/>
    <n v="0.13300000000000001"/>
    <n v="1507.308"/>
    <n v="17.600000000000001"/>
    <n v="33717.643872000001"/>
    <n v="26528.620800000001"/>
    <n v="7189.023072"/>
  </r>
  <r>
    <s v="ORD-2024-886939"/>
    <d v="2024-06-03T00:00:00"/>
    <d v="2024-06-24T00:00:00"/>
    <x v="0"/>
    <x v="3"/>
    <x v="4"/>
    <s v="Small Business"/>
    <s v="Direct"/>
    <s v="G. Dubois"/>
    <s v="Monitors"/>
    <s v="MON-5386"/>
    <n v="1205.5"/>
    <n v="2210.17"/>
    <n v="2210.17"/>
    <s v="High"/>
    <n v="0.104"/>
    <n v="0.104"/>
    <n v="23"/>
    <s v="OK"/>
    <d v="2024-06-24T00:00:00"/>
    <n v="21"/>
    <n v="45547.183360000003"/>
    <n v="27726.5"/>
    <n v="17820.683360000003"/>
    <n v="0.39125763758314652"/>
    <s v="Q2-2024"/>
    <s v="Monitors"/>
    <s v="Monitors"/>
    <x v="1"/>
    <s v="Late"/>
    <n v="0.104"/>
    <n v="1326.0500000000002"/>
    <n v="25.3"/>
    <n v="50101.901696000008"/>
    <n v="33549.065000000002"/>
    <n v="16552.836696000006"/>
  </r>
  <r>
    <s v="ORD-2024-580808"/>
    <d v="2024-06-16T00:00:00"/>
    <d v="2024-07-03T00:00:00"/>
    <x v="1"/>
    <x v="6"/>
    <x v="38"/>
    <s v="Enterprise"/>
    <s v="Marketplace"/>
    <s v="F. Müller"/>
    <s v="Phones"/>
    <s v="PHN-6832"/>
    <n v="1173.83"/>
    <n v="2328.9"/>
    <n v="2328.9"/>
    <s v="High"/>
    <n v="0.12"/>
    <n v="0.12"/>
    <n v="17"/>
    <s v="OK"/>
    <d v="2024-07-03T00:00:00"/>
    <n v="17"/>
    <n v="34840.344000000005"/>
    <n v="19955.11"/>
    <n v="14885.234000000004"/>
    <n v="0.42724130393201637"/>
    <s v="Q2-2024"/>
    <s v="Phones"/>
    <s v="Phones"/>
    <x v="1"/>
    <s v="Late"/>
    <n v="0.12"/>
    <n v="1291.213"/>
    <n v="18.700000000000003"/>
    <n v="38324.378400000009"/>
    <n v="24145.683100000002"/>
    <n v="14178.695300000007"/>
  </r>
  <r>
    <s v="ORD-2024-215294"/>
    <d v="2024-06-30T00:00:00"/>
    <d v="2024-07-14T00:00:00"/>
    <x v="0"/>
    <x v="0"/>
    <x v="1"/>
    <s v="Education"/>
    <s v="Retail"/>
    <s v="C. Otieno"/>
    <s v="Accessories"/>
    <s v="ACC-8683"/>
    <n v="1491.85"/>
    <n v="2583.02"/>
    <n v="2583.02"/>
    <s v="High"/>
    <n v="0.16800000000000001"/>
    <n v="0.16800000000000001"/>
    <n v="4"/>
    <s v="OK"/>
    <d v="2024-07-14T00:00:00"/>
    <n v="14"/>
    <n v="8596.2905599999995"/>
    <n v="5967.4"/>
    <n v="2628.8905599999998"/>
    <n v="0.30581685689321325"/>
    <s v="Q2-2024"/>
    <s v="Accessories"/>
    <s v="Accessories"/>
    <x v="1"/>
    <s v="Late"/>
    <n v="0.16800000000000001"/>
    <n v="1641.0350000000001"/>
    <n v="4.4000000000000004"/>
    <n v="9455.9196159999992"/>
    <n v="7220.554000000001"/>
    <n v="2235.3656159999982"/>
  </r>
  <r>
    <s v="ORD-2024-819778"/>
    <d v="2024-06-02T00:00:00"/>
    <d v="2024-06-15T00:00:00"/>
    <x v="1"/>
    <x v="1"/>
    <x v="5"/>
    <s v="Education"/>
    <s v="Online"/>
    <s v="O. Wang"/>
    <s v="Phones"/>
    <s v="PHN-6866"/>
    <n v="1295.18"/>
    <n v="3024.03"/>
    <n v="3024.03"/>
    <s v="High"/>
    <n v="0.192"/>
    <n v="0.192"/>
    <n v="8"/>
    <s v="OK"/>
    <d v="2024-06-15T00:00:00"/>
    <n v="13"/>
    <n v="19547.329920000004"/>
    <n v="10361.44"/>
    <n v="9185.8899200000033"/>
    <n v="0.46993067378483178"/>
    <s v="Q2-2024"/>
    <s v="Phones"/>
    <s v="Phones"/>
    <x v="1"/>
    <s v="Late"/>
    <n v="0.192"/>
    <n v="1424.6980000000001"/>
    <n v="8.8000000000000007"/>
    <n v="21502.062912000005"/>
    <n v="12537.342400000001"/>
    <n v="8964.7205120000035"/>
  </r>
  <r>
    <s v="ORD-2024-572312"/>
    <d v="2024-06-16T00:00:00"/>
    <d v="2024-06-21T00:00:00"/>
    <x v="3"/>
    <x v="5"/>
    <x v="8"/>
    <s v="Small Business"/>
    <s v="Distributor"/>
    <s v="F. Müller"/>
    <s v="Phones"/>
    <s v="PHN-9677"/>
    <n v="1367.13"/>
    <n v="3062.01"/>
    <n v="3062.01"/>
    <s v="High"/>
    <n v="0.10299999999999999"/>
    <n v="0.10299999999999999"/>
    <n v="25"/>
    <s v="OK"/>
    <d v="2024-06-21T00:00:00"/>
    <n v="5"/>
    <n v="68665.574250000005"/>
    <n v="34178.25"/>
    <n v="34487.324250000005"/>
    <n v="0.50225057645971705"/>
    <s v="Q2-2024"/>
    <s v="Phones"/>
    <s v="Phones"/>
    <x v="1"/>
    <s v="On-time"/>
    <n v="0.10299999999999999"/>
    <n v="1503.8430000000003"/>
    <n v="27.500000000000004"/>
    <n v="75532.131675000026"/>
    <n v="41355.682500000017"/>
    <n v="34176.449175000009"/>
  </r>
  <r>
    <s v="ORD-2024-465898"/>
    <d v="2024-06-06T00:00:00"/>
    <d v="2024-06-24T00:00:00"/>
    <x v="3"/>
    <x v="4"/>
    <x v="23"/>
    <s v="Small Business"/>
    <s v="Direct"/>
    <s v="H. Kim"/>
    <s v="Networking"/>
    <s v="NET-6578"/>
    <n v="1253.25"/>
    <n v="3087.13"/>
    <n v="3087.13"/>
    <s v="High"/>
    <n v="7.1999999999999995E-2"/>
    <n v="7.1999999999999995E-2"/>
    <n v="11"/>
    <s v="OK"/>
    <d v="2024-06-24T00:00:00"/>
    <n v="18"/>
    <n v="31513.423040000001"/>
    <n v="13785.75"/>
    <n v="17727.673040000001"/>
    <n v="0.562543555408064"/>
    <s v="Q2-2024"/>
    <s v="Networking"/>
    <s v="Networking"/>
    <x v="1"/>
    <s v="Late"/>
    <n v="7.1999999999999995E-2"/>
    <n v="1378.575"/>
    <n v="12.100000000000001"/>
    <n v="34664.765344000007"/>
    <n v="16680.757500000003"/>
    <n v="17984.007844000003"/>
  </r>
  <r>
    <s v="ORD-2024-341535"/>
    <d v="2024-06-25T00:00:00"/>
    <d v="2024-06-30T00:00:00"/>
    <x v="1"/>
    <x v="1"/>
    <x v="16"/>
    <s v="Education"/>
    <s v="Direct"/>
    <s v="M. Rossi"/>
    <s v="Networking"/>
    <s v="NET-5987"/>
    <n v="1323.55"/>
    <n v="3230.35"/>
    <n v="3230.35"/>
    <s v="High"/>
    <n v="2.1999999999999999E-2"/>
    <n v="2.1999999999999999E-2"/>
    <n v="26"/>
    <s v="OK"/>
    <d v="2024-06-30T00:00:00"/>
    <n v="5"/>
    <n v="82141.339799999987"/>
    <n v="34412.299999999996"/>
    <n v="47729.039799999991"/>
    <n v="0.58105991351263542"/>
    <s v="Q2-2024"/>
    <s v="Networking"/>
    <s v="Networking"/>
    <x v="1"/>
    <s v="On-time"/>
    <n v="2.1999999999999999E-2"/>
    <n v="1455.905"/>
    <n v="28.6"/>
    <n v="90355.47378"/>
    <n v="41638.883000000002"/>
    <n v="48716.590779999999"/>
  </r>
  <r>
    <s v="ORD-2023-258768"/>
    <d v="2023-06-29T00:00:00"/>
    <d v="2023-07-02T00:00:00"/>
    <x v="3"/>
    <x v="5"/>
    <x v="7"/>
    <s v="Education"/>
    <s v="Marketplace"/>
    <s v="F. Müller"/>
    <s v="Monitors"/>
    <s v="MON-2990"/>
    <n v="55.65"/>
    <n v="83.57"/>
    <n v="83.57"/>
    <s v="Low"/>
    <n v="6.6000000000000003E-2"/>
    <n v="6.6000000000000003E-2"/>
    <n v="8"/>
    <s v="OK"/>
    <d v="2023-07-02T00:00:00"/>
    <n v="3"/>
    <n v="624.43503999999996"/>
    <n v="445.2"/>
    <n v="179.23503999999997"/>
    <n v="0.2870355257449998"/>
    <s v="Q2-2023"/>
    <s v="Monitors"/>
    <s v="Monitors"/>
    <x v="1"/>
    <s v="On-time"/>
    <n v="6.6000000000000003E-2"/>
    <n v="61.215000000000003"/>
    <n v="8.8000000000000007"/>
    <n v="686.87854400000003"/>
    <n v="538.69200000000012"/>
    <n v="148.18654399999991"/>
  </r>
  <r>
    <s v="ORD-2023-651638"/>
    <d v="2023-06-17T00:00:00"/>
    <d v="2023-06-24T00:00:00"/>
    <x v="0"/>
    <x v="9"/>
    <x v="32"/>
    <s v="Corporate"/>
    <s v="Retail"/>
    <s v="I. Johnson"/>
    <s v="Printers"/>
    <s v="PRN-6536"/>
    <n v="313.99"/>
    <n v="454.42"/>
    <n v="454.42"/>
    <s v="Low"/>
    <n v="0.129"/>
    <n v="0.129"/>
    <n v="9"/>
    <s v="OK"/>
    <d v="2023-06-24T00:00:00"/>
    <n v="7"/>
    <n v="3562.1983800000003"/>
    <n v="2825.91"/>
    <n v="736.28838000000042"/>
    <n v="0.20669493988147858"/>
    <s v="Q2-2023"/>
    <s v="Printers"/>
    <s v="Printers"/>
    <x v="1"/>
    <s v="On-time"/>
    <n v="0.129"/>
    <n v="345.38900000000001"/>
    <n v="9.9"/>
    <n v="3918.4182180000007"/>
    <n v="3419.3511000000003"/>
    <n v="499.06711800000039"/>
  </r>
  <r>
    <s v="ORD-2023-769774"/>
    <d v="2023-06-13T00:00:00"/>
    <d v="2023-06-24T00:00:00"/>
    <x v="0"/>
    <x v="3"/>
    <x v="4"/>
    <s v="Corporate"/>
    <s v="Online"/>
    <s v="C. Otieno"/>
    <s v="Printers"/>
    <s v="PRN-8008"/>
    <n v="247.07"/>
    <n v="495.19"/>
    <n v="495.19"/>
    <s v="Low"/>
    <n v="2.8000000000000001E-2"/>
    <n v="2.8000000000000001E-2"/>
    <n v="4"/>
    <s v="OK"/>
    <d v="2023-06-24T00:00:00"/>
    <n v="11"/>
    <n v="1925.29872"/>
    <n v="988.28"/>
    <n v="937.01872000000003"/>
    <n v="0.48668744764968214"/>
    <s v="Q2-2023"/>
    <s v="Printers"/>
    <s v="Printers"/>
    <x v="1"/>
    <s v="Late"/>
    <n v="2.8000000000000001E-2"/>
    <n v="271.77699999999999"/>
    <n v="4.4000000000000004"/>
    <n v="2117.8285920000003"/>
    <n v="1195.8188"/>
    <n v="922.00979200000029"/>
  </r>
  <r>
    <s v="ORD-2023-602648"/>
    <d v="2023-06-20T00:00:00"/>
    <d v="2023-07-08T00:00:00"/>
    <x v="0"/>
    <x v="9"/>
    <x v="13"/>
    <s v="Non-Profit"/>
    <s v="Direct"/>
    <s v="F. Müller"/>
    <s v="Monitors"/>
    <s v="MON-4326"/>
    <n v="337"/>
    <n v="511.03"/>
    <n v="511.03"/>
    <s v="Low"/>
    <n v="0.108"/>
    <n v="0.108"/>
    <n v="7"/>
    <s v="OK"/>
    <d v="2023-07-08T00:00:00"/>
    <n v="18"/>
    <n v="3190.8713200000002"/>
    <n v="2359"/>
    <n v="831.8713200000002"/>
    <n v="0.26070349963219458"/>
    <s v="Q2-2023"/>
    <s v="Monitors"/>
    <s v="Monitors"/>
    <x v="1"/>
    <s v="Late"/>
    <n v="0.108"/>
    <n v="370.70000000000005"/>
    <n v="7.7000000000000011"/>
    <n v="3509.9584520000003"/>
    <n v="2854.3900000000008"/>
    <n v="655.56845199999952"/>
  </r>
  <r>
    <s v="ORD-2023-128295"/>
    <d v="2023-06-23T00:00:00"/>
    <d v="2023-07-03T00:00:00"/>
    <x v="1"/>
    <x v="8"/>
    <x v="28"/>
    <s v="Consumer"/>
    <s v="Online"/>
    <s v="J. Njeri"/>
    <s v="Printers"/>
    <s v="PRN-2542"/>
    <n v="337.75"/>
    <n v="548.89"/>
    <n v="548.89"/>
    <s v="Low"/>
    <n v="0"/>
    <n v="0"/>
    <n v="13"/>
    <s v="OK"/>
    <d v="2023-07-03T00:00:00"/>
    <n v="10"/>
    <n v="7135.57"/>
    <n v="4390.75"/>
    <n v="2744.8199999999997"/>
    <n v="0.38466723751571352"/>
    <s v="Q2-2023"/>
    <s v="Printers"/>
    <s v="Printers"/>
    <x v="1"/>
    <s v="Late"/>
    <n v="0"/>
    <n v="371.52500000000003"/>
    <n v="14.3"/>
    <n v="7849.1270000000004"/>
    <n v="5312.8075000000008"/>
    <n v="2536.3194999999996"/>
  </r>
  <r>
    <s v="ORD-2023-427304"/>
    <d v="2023-06-09T00:00:00"/>
    <d v="2023-06-19T00:00:00"/>
    <x v="3"/>
    <x v="7"/>
    <x v="11"/>
    <s v="Enterprise"/>
    <s v="Retail"/>
    <s v="F. Müller"/>
    <s v="Monitors"/>
    <s v="MON-9194"/>
    <n v="339.61"/>
    <n v="621.02"/>
    <n v="621.02"/>
    <s v="Middle"/>
    <n v="7.0999999999999994E-2"/>
    <n v="7.0999999999999994E-2"/>
    <n v="10"/>
    <s v="OK"/>
    <d v="2023-06-19T00:00:00"/>
    <n v="10"/>
    <n v="5769.2758000000003"/>
    <n v="3396.1000000000004"/>
    <n v="2373.1758"/>
    <n v="0.41134726129750981"/>
    <s v="Q2-2023"/>
    <s v="Monitors"/>
    <s v="Monitors"/>
    <x v="1"/>
    <s v="Late"/>
    <n v="7.0999999999999994E-2"/>
    <n v="373.57100000000003"/>
    <n v="11"/>
    <n v="6346.2033799999999"/>
    <n v="4109.2809999999999"/>
    <n v="2236.92238"/>
  </r>
  <r>
    <s v="ORD-2023-290279"/>
    <d v="2023-06-14T00:00:00"/>
    <d v="2023-06-16T00:00:00"/>
    <x v="2"/>
    <x v="2"/>
    <x v="26"/>
    <s v="Non-Profit"/>
    <s v="Direct"/>
    <s v="K. Singh"/>
    <s v="Components"/>
    <s v="CMP-5820"/>
    <n v="357.36"/>
    <n v="703.62"/>
    <n v="703.62"/>
    <s v="Middle"/>
    <n v="0.25700000000000001"/>
    <n v="0.25700000000000001"/>
    <n v="20"/>
    <s v="OK"/>
    <d v="2023-06-16T00:00:00"/>
    <n v="2"/>
    <n v="10455.7932"/>
    <n v="7147.2000000000007"/>
    <n v="3308.5931999999993"/>
    <n v="0.31643636563125593"/>
    <s v="Q2-2023"/>
    <s v="Components"/>
    <s v="Components"/>
    <x v="0"/>
    <s v="On-time"/>
    <n v="0.2"/>
    <n v="393.09600000000006"/>
    <n v="22"/>
    <n v="12383.712"/>
    <n v="8648.112000000001"/>
    <n v="3735.5999999999985"/>
  </r>
  <r>
    <s v="ORD-2023-610470"/>
    <d v="2023-06-24T00:00:00"/>
    <d v="2023-07-21T00:00:00"/>
    <x v="3"/>
    <x v="5"/>
    <x v="7"/>
    <s v="Consumer"/>
    <s v="Marketplace"/>
    <s v="J. Njeri"/>
    <s v="Phones"/>
    <s v="PHN-6818"/>
    <n v="554.76"/>
    <n v="728.69"/>
    <n v="728.69"/>
    <s v="Middle"/>
    <n v="0.22"/>
    <n v="0.22"/>
    <n v="7"/>
    <s v="OK"/>
    <d v="2023-07-21T00:00:00"/>
    <n v="27"/>
    <n v="3978.6474000000003"/>
    <n v="3883.3199999999997"/>
    <n v="95.32740000000058"/>
    <n v="2.395975074343119E-2"/>
    <s v="Q2-2023"/>
    <s v="Phones"/>
    <s v="Phones"/>
    <x v="0"/>
    <s v="Late"/>
    <n v="0.2"/>
    <n v="610.23599999999999"/>
    <n v="7.7000000000000011"/>
    <n v="4488.7304000000013"/>
    <n v="4698.8172000000004"/>
    <n v="-210.08679999999913"/>
  </r>
  <r>
    <s v="ORD-2023-386663"/>
    <d v="2023-06-05T00:00:00"/>
    <d v="2023-06-28T00:00:00"/>
    <x v="2"/>
    <x v="2"/>
    <x v="37"/>
    <s v="Corporate"/>
    <s v="Direct"/>
    <s v="K. Singh"/>
    <s v="Printers"/>
    <s v="PRN-3690"/>
    <n v="605.82000000000005"/>
    <n v="771.12"/>
    <n v="771.12"/>
    <s v="Middle"/>
    <n v="0.13200000000000001"/>
    <n v="0.13200000000000001"/>
    <n v="19"/>
    <s v="OK"/>
    <d v="2023-06-28T00:00:00"/>
    <n v="23"/>
    <n v="12717.311040000001"/>
    <n v="11510.580000000002"/>
    <n v="1206.7310399999988"/>
    <n v="9.4888851597986767E-2"/>
    <s v="Q2-2023"/>
    <s v="Printers"/>
    <s v="Printers"/>
    <x v="1"/>
    <s v="Late"/>
    <n v="0.13200000000000001"/>
    <n v="666.40200000000016"/>
    <n v="20.900000000000002"/>
    <n v="13989.042144000001"/>
    <n v="13927.801800000005"/>
    <n v="61.240343999996185"/>
  </r>
  <r>
    <s v="ORD-2023-890605"/>
    <d v="2023-06-24T00:00:00"/>
    <d v="2023-06-22T00:00:00"/>
    <x v="0"/>
    <x v="3"/>
    <x v="4"/>
    <s v="Non-Profit"/>
    <s v="Retail"/>
    <s v="M. Rossi"/>
    <s v="Accessories"/>
    <s v="ACC-2903"/>
    <n v="471.42"/>
    <n v="824.81"/>
    <n v="824.81"/>
    <s v="Middle"/>
    <n v="8.7999999999999995E-2"/>
    <n v="8.7999999999999995E-2"/>
    <n v="15"/>
    <s v="Correct"/>
    <d v="2023-07-01T00:00:00"/>
    <n v="7"/>
    <n v="11283.400799999999"/>
    <n v="7071.3"/>
    <n v="4212.1007999999993"/>
    <n v="0.37330064531608231"/>
    <s v="Q2-2023"/>
    <s v="Accessories"/>
    <s v="Accessories"/>
    <x v="1"/>
    <s v="On-time"/>
    <n v="8.7999999999999995E-2"/>
    <n v="518.56200000000001"/>
    <n v="16.5"/>
    <n v="12411.740879999999"/>
    <n v="8556.273000000001"/>
    <n v="3855.4678799999983"/>
  </r>
  <r>
    <s v="ORD-2023-399631"/>
    <d v="2023-06-22T00:00:00"/>
    <d v="2023-07-21T00:00:00"/>
    <x v="2"/>
    <x v="10"/>
    <x v="24"/>
    <s v="Corporate"/>
    <s v="Retail"/>
    <s v="J. Njeri"/>
    <s v="Accessories"/>
    <s v="ACC-3385"/>
    <n v="734.34"/>
    <n v="887.9"/>
    <n v="887.9"/>
    <s v="Middle"/>
    <n v="2.5000000000000001E-2"/>
    <n v="2.5000000000000001E-2"/>
    <n v="12"/>
    <s v="OK"/>
    <d v="2023-07-21T00:00:00"/>
    <n v="29"/>
    <n v="10388.429999999998"/>
    <n v="8812.08"/>
    <n v="1576.3499999999985"/>
    <n v="0.15174092716608753"/>
    <s v="Q2-2023"/>
    <s v="Accessories"/>
    <s v="Accessories"/>
    <x v="1"/>
    <s v="Late"/>
    <n v="2.5000000000000001E-2"/>
    <n v="807.77400000000011"/>
    <n v="13.200000000000001"/>
    <n v="11427.273000000001"/>
    <n v="10662.616800000002"/>
    <n v="764.65619999999944"/>
  </r>
  <r>
    <s v="ORD-2023-868460"/>
    <d v="2023-06-01T00:00:00"/>
    <d v="2023-06-01T00:00:00"/>
    <x v="3"/>
    <x v="4"/>
    <x v="23"/>
    <s v="Corporate"/>
    <s v="Retail"/>
    <s v="E. Garcia"/>
    <s v="Accessories"/>
    <s v="ACC-4587"/>
    <n v="669.37"/>
    <n v="997.2"/>
    <n v="997.2"/>
    <s v="Middle"/>
    <n v="8.2000000000000003E-2"/>
    <n v="8.2000000000000003E-2"/>
    <n v="5"/>
    <s v="OK"/>
    <d v="2023-06-01T00:00:00"/>
    <n v="0"/>
    <n v="4577.1480000000001"/>
    <n v="3346.85"/>
    <n v="1230.2980000000002"/>
    <n v="0.26879139586484863"/>
    <s v="Q2-2023"/>
    <s v="Accessories"/>
    <s v="Accessories"/>
    <x v="1"/>
    <s v="On-time"/>
    <n v="8.2000000000000003E-2"/>
    <n v="736.30700000000002"/>
    <n v="5.5"/>
    <n v="5034.8628000000008"/>
    <n v="4049.6885000000002"/>
    <n v="985.17430000000058"/>
  </r>
  <r>
    <s v="ORD-2023-349264"/>
    <d v="2023-06-01T00:00:00"/>
    <d v="2023-06-08T00:00:00"/>
    <x v="2"/>
    <x v="11"/>
    <x v="34"/>
    <s v="Consumer"/>
    <s v="Online"/>
    <s v="A. Patel"/>
    <s v="Phones"/>
    <s v="PHN-1924"/>
    <n v="804.17"/>
    <n v="1072.29"/>
    <n v="1072.29"/>
    <s v="Middle"/>
    <n v="3.2000000000000001E-2"/>
    <n v="3.2000000000000001E-2"/>
    <n v="5"/>
    <s v="OK"/>
    <d v="2023-06-08T00:00:00"/>
    <n v="7"/>
    <n v="5189.8836000000001"/>
    <n v="4020.85"/>
    <n v="1169.0336000000002"/>
    <n v="0.2252523736755869"/>
    <s v="Q2-2023"/>
    <s v="Phones"/>
    <s v="Phones"/>
    <x v="1"/>
    <s v="On-time"/>
    <n v="3.2000000000000001E-2"/>
    <n v="884.58699999999999"/>
    <n v="5.5"/>
    <n v="5708.8719599999995"/>
    <n v="4865.2285000000002"/>
    <n v="843.64345999999932"/>
  </r>
  <r>
    <s v="ORD-2023-173313"/>
    <d v="2023-06-15T00:00:00"/>
    <d v="2023-07-12T00:00:00"/>
    <x v="2"/>
    <x v="2"/>
    <x v="26"/>
    <s v="Consumer"/>
    <s v="Direct"/>
    <s v="I. Johnson"/>
    <s v="Accessories"/>
    <s v="ACC-3833"/>
    <n v="751.28"/>
    <n v="1111.8800000000001"/>
    <n v="1111.8800000000001"/>
    <s v="Middle"/>
    <n v="0.13500000000000001"/>
    <n v="0.13500000000000001"/>
    <n v="7"/>
    <s v="OK"/>
    <d v="2023-07-12T00:00:00"/>
    <n v="27"/>
    <n v="6732.4334000000008"/>
    <n v="5258.96"/>
    <n v="1473.4734000000008"/>
    <n v="0.21886193482433863"/>
    <s v="Q2-2023"/>
    <s v="Accessories"/>
    <s v="Accessories"/>
    <x v="1"/>
    <s v="Late"/>
    <n v="0.13500000000000001"/>
    <n v="826.40800000000002"/>
    <n v="7.7000000000000011"/>
    <n v="7405.6767400000017"/>
    <n v="6363.3416000000007"/>
    <n v="1042.335140000001"/>
  </r>
  <r>
    <s v="ORD-2023-594955"/>
    <d v="2023-06-20T00:00:00"/>
    <d v="2023-07-08T00:00:00"/>
    <x v="0"/>
    <x v="9"/>
    <x v="21"/>
    <s v="Consumer"/>
    <s v="Marketplace"/>
    <s v="O. Wang"/>
    <s v="Networking"/>
    <s v="NET-3828"/>
    <n v="1145.53"/>
    <n v="1278.3"/>
    <n v="1278.3"/>
    <s v="High"/>
    <n v="0.09"/>
    <n v="0.09"/>
    <n v="41"/>
    <s v="OK"/>
    <d v="2023-07-08T00:00:00"/>
    <n v="18"/>
    <n v="47693.373"/>
    <n v="46966.729999999996"/>
    <n v="726.64300000000367"/>
    <n v="1.5235722581416158E-2"/>
    <s v="Q2-2023"/>
    <s v="Networking"/>
    <s v="Networking"/>
    <x v="1"/>
    <s v="Late"/>
    <n v="0.09"/>
    <n v="1260.0830000000001"/>
    <n v="45.1"/>
    <n v="52462.710300000006"/>
    <n v="56829.743300000009"/>
    <n v="-4367.0330000000031"/>
  </r>
  <r>
    <s v="ORD-2023-374486"/>
    <d v="2023-06-24T00:00:00"/>
    <d v="2023-06-23T00:00:00"/>
    <x v="0"/>
    <x v="0"/>
    <x v="0"/>
    <s v="Non-Profit"/>
    <s v="Retail"/>
    <s v="E. Garcia"/>
    <s v="Printers"/>
    <s v="PRN-6490"/>
    <n v="804.01"/>
    <n v="1405.07"/>
    <n v="1405.07"/>
    <s v="High"/>
    <n v="9.6000000000000002E-2"/>
    <n v="9.6000000000000002E-2"/>
    <n v="8"/>
    <s v="Correct"/>
    <d v="2023-07-01T00:00:00"/>
    <n v="7"/>
    <n v="10161.46624"/>
    <n v="6432.08"/>
    <n v="3729.3862399999998"/>
    <n v="0.36701260939287439"/>
    <s v="Q2-2023"/>
    <s v="Printers"/>
    <s v="Printers"/>
    <x v="1"/>
    <s v="On-time"/>
    <n v="9.6000000000000002E-2"/>
    <n v="884.41100000000006"/>
    <n v="8.8000000000000007"/>
    <n v="11177.612864000001"/>
    <n v="7782.8168000000014"/>
    <n v="3394.7960639999992"/>
  </r>
  <r>
    <s v="ORD-2023-536542"/>
    <d v="2023-06-10T00:00:00"/>
    <d v="2023-06-18T00:00:00"/>
    <x v="1"/>
    <x v="1"/>
    <x v="22"/>
    <s v="Enterprise"/>
    <s v="Direct"/>
    <s v="H. Kim"/>
    <s v="Phones"/>
    <s v="PHN-2337"/>
    <n v="894.23"/>
    <n v="1421.55"/>
    <n v="1421.55"/>
    <s v="High"/>
    <n v="0.109"/>
    <n v="0.109"/>
    <n v="3"/>
    <s v="OK"/>
    <d v="2023-06-18T00:00:00"/>
    <n v="8"/>
    <n v="3799.8031499999997"/>
    <n v="2682.69"/>
    <n v="1117.1131499999997"/>
    <n v="0.29399237431549574"/>
    <s v="Q2-2023"/>
    <s v="Phones"/>
    <s v="Phones"/>
    <x v="1"/>
    <s v="Late"/>
    <n v="0.109"/>
    <n v="983.65300000000013"/>
    <n v="3.3000000000000003"/>
    <n v="4179.7834649999995"/>
    <n v="3246.0549000000005"/>
    <n v="933.72856499999898"/>
  </r>
  <r>
    <s v="ORD-2023-921939"/>
    <d v="2023-06-23T00:00:00"/>
    <d v="2023-07-18T00:00:00"/>
    <x v="0"/>
    <x v="3"/>
    <x v="18"/>
    <s v="Enterprise"/>
    <s v="Online"/>
    <s v="N. Brown"/>
    <s v="Phones"/>
    <s v="PHN-4677"/>
    <n v="807.02"/>
    <n v="1435.54"/>
    <n v="1435.54"/>
    <s v="High"/>
    <n v="0"/>
    <n v="0"/>
    <n v="23"/>
    <s v="OK"/>
    <d v="2023-07-18T00:00:00"/>
    <n v="25"/>
    <n v="33017.42"/>
    <n v="18561.46"/>
    <n v="14455.96"/>
    <n v="0.43782827368098415"/>
    <s v="Q2-2023"/>
    <s v="Phones"/>
    <s v="Phones"/>
    <x v="1"/>
    <s v="Late"/>
    <n v="0"/>
    <n v="887.72200000000009"/>
    <n v="25.3"/>
    <n v="36319.161999999997"/>
    <n v="22459.366600000001"/>
    <n v="13859.795399999995"/>
  </r>
  <r>
    <s v="ORD-2023-244375"/>
    <d v="2023-06-03T00:00:00"/>
    <d v="2023-07-01T00:00:00"/>
    <x v="0"/>
    <x v="0"/>
    <x v="1"/>
    <s v="Small Business"/>
    <s v="Marketplace"/>
    <s v="A. Patel"/>
    <s v="Components"/>
    <s v="CMP-1223"/>
    <n v="860.4"/>
    <n v="2066.6"/>
    <n v="2066.6"/>
    <s v="High"/>
    <n v="0.01"/>
    <n v="0.01"/>
    <n v="3"/>
    <s v="OK"/>
    <d v="2023-07-01T00:00:00"/>
    <n v="28"/>
    <n v="6137.8019999999988"/>
    <n v="2581.1999999999998"/>
    <n v="3556.601999999999"/>
    <n v="0.57945857491004105"/>
    <s v="Q2-2023"/>
    <s v="Components"/>
    <s v="Components"/>
    <x v="1"/>
    <s v="Late"/>
    <n v="0.01"/>
    <n v="946.44"/>
    <n v="3.3000000000000003"/>
    <n v="6751.5822000000007"/>
    <n v="3123.2520000000004"/>
    <n v="3628.3302000000003"/>
  </r>
  <r>
    <s v="ORD-2023-715175"/>
    <d v="2023-06-15T00:00:00"/>
    <d v="2023-06-23T00:00:00"/>
    <x v="0"/>
    <x v="9"/>
    <x v="32"/>
    <s v="Consumer"/>
    <s v="Distributor"/>
    <s v="O. Wang"/>
    <s v="Monitors"/>
    <s v="MON-5424"/>
    <n v="1097.0899999999999"/>
    <n v="2182.31"/>
    <n v="2182.31"/>
    <s v="High"/>
    <n v="0.112"/>
    <n v="0.112"/>
    <n v="9"/>
    <s v="OK"/>
    <d v="2023-06-23T00:00:00"/>
    <n v="8"/>
    <n v="17441.021520000002"/>
    <n v="9873.81"/>
    <n v="7567.2115200000026"/>
    <n v="0.43387432962699546"/>
    <s v="Q2-2023"/>
    <s v="Monitors"/>
    <s v="Monitors"/>
    <x v="1"/>
    <s v="Late"/>
    <n v="0.112"/>
    <n v="1206.799"/>
    <n v="9.9"/>
    <n v="19185.123671999998"/>
    <n v="11947.310100000001"/>
    <n v="7237.8135719999973"/>
  </r>
  <r>
    <s v="ORD-2023-434071"/>
    <d v="2023-06-20T00:00:00"/>
    <d v="2023-07-04T00:00:00"/>
    <x v="0"/>
    <x v="0"/>
    <x v="1"/>
    <s v="Non-Profit"/>
    <s v="Direct"/>
    <s v="C. Otieno"/>
    <s v="Networking"/>
    <s v="NET-1228"/>
    <n v="1292.8599999999999"/>
    <n v="2981.01"/>
    <n v="2981.01"/>
    <s v="High"/>
    <n v="0.14199999999999999"/>
    <n v="0.14199999999999999"/>
    <n v="12"/>
    <s v="OK"/>
    <d v="2023-07-04T00:00:00"/>
    <n v="14"/>
    <n v="30692.47896"/>
    <n v="15514.32"/>
    <n v="15178.158960000001"/>
    <n v="0.49452372288927687"/>
    <s v="Q2-2023"/>
    <s v="Networking"/>
    <s v="Networking"/>
    <x v="1"/>
    <s v="Late"/>
    <n v="0.14199999999999999"/>
    <n v="1422.146"/>
    <n v="13.200000000000001"/>
    <n v="33761.726856000008"/>
    <n v="18772.3272"/>
    <n v="14989.399656000009"/>
  </r>
  <r>
    <s v="ORD-2025-956101"/>
    <d v="2025-07-09T00:00:00"/>
    <d v="2025-07-18T00:00:00"/>
    <x v="0"/>
    <x v="3"/>
    <x v="18"/>
    <s v="Education"/>
    <s v="Distributor"/>
    <s v="I. Johnson"/>
    <s v="Laptops"/>
    <s v="LAP-2218"/>
    <n v="57.96"/>
    <n v="88.51"/>
    <n v="88.51"/>
    <s v="Low"/>
    <n v="4.2999999999999997E-2"/>
    <n v="4.2999999999999997E-2"/>
    <n v="7"/>
    <s v="OK"/>
    <d v="2025-07-18T00:00:00"/>
    <n v="9"/>
    <n v="592.92849000000001"/>
    <n v="405.72"/>
    <n v="187.20848999999998"/>
    <n v="0.3157353595877978"/>
    <s v="Q3-2025"/>
    <s v="Laptops"/>
    <s v="Laptops"/>
    <x v="1"/>
    <s v="Late"/>
    <n v="4.2999999999999997E-2"/>
    <n v="63.756000000000007"/>
    <n v="7.7000000000000011"/>
    <n v="652.22133900000017"/>
    <n v="490.92120000000011"/>
    <n v="161.30013900000006"/>
  </r>
  <r>
    <s v="ORD-2025-586799"/>
    <d v="2025-07-14T00:00:00"/>
    <d v="2025-08-04T00:00:00"/>
    <x v="0"/>
    <x v="3"/>
    <x v="39"/>
    <s v="Consumer"/>
    <s v="Online"/>
    <s v="H. Kim"/>
    <s v="Monitors"/>
    <s v="MON-7868"/>
    <n v="90.3"/>
    <n v="131.76"/>
    <n v="131.76"/>
    <s v="Low"/>
    <n v="0.10199999999999999"/>
    <n v="0.10199999999999999"/>
    <n v="15"/>
    <s v="OK"/>
    <d v="2025-08-04T00:00:00"/>
    <n v="21"/>
    <n v="1774.8072"/>
    <n v="1354.5"/>
    <n v="420.30719999999997"/>
    <n v="0.23681851189244668"/>
    <s v="Q3-2025"/>
    <s v="Monitors"/>
    <s v="Monitors"/>
    <x v="1"/>
    <s v="Late"/>
    <n v="0.10199999999999999"/>
    <n v="99.33"/>
    <n v="16.5"/>
    <n v="1952.28792"/>
    <n v="1638.9449999999999"/>
    <n v="313.34292000000005"/>
  </r>
  <r>
    <s v="ORD-2025-541501"/>
    <d v="2025-07-22T00:00:00"/>
    <d v="2025-08-18T00:00:00"/>
    <x v="3"/>
    <x v="7"/>
    <x v="14"/>
    <s v="Non-Profit"/>
    <s v="Marketplace"/>
    <s v="M. Rossi"/>
    <s v="Networking"/>
    <s v="NET-1804"/>
    <n v="547.32000000000005"/>
    <n v="419.17"/>
    <n v="419.17"/>
    <s v="Low"/>
    <n v="9.1999999999999998E-2"/>
    <n v="9.1999999999999998E-2"/>
    <n v="14"/>
    <s v="OK"/>
    <d v="2025-08-18T00:00:00"/>
    <n v="27"/>
    <n v="5328.4890400000004"/>
    <n v="7662.4800000000005"/>
    <n v="-2333.9909600000001"/>
    <n v="-0.43802116181137907"/>
    <s v="Q3-2025"/>
    <s v="Networking"/>
    <s v="Networking"/>
    <x v="1"/>
    <s v="Late"/>
    <n v="9.1999999999999998E-2"/>
    <n v="602.05200000000013"/>
    <n v="15.400000000000002"/>
    <n v="5861.3379440000008"/>
    <n v="9271.6008000000038"/>
    <n v="-3410.262856000003"/>
  </r>
  <r>
    <s v="ORD-2025-155182"/>
    <d v="2025-07-11T00:00:00"/>
    <d v="2025-08-03T00:00:00"/>
    <x v="1"/>
    <x v="1"/>
    <x v="22"/>
    <s v="Small Business"/>
    <s v="Retail"/>
    <s v="C. Otieno"/>
    <s v="Phones"/>
    <s v="PHN-7636"/>
    <n v="389.93"/>
    <n v="486.13"/>
    <n v="486.13"/>
    <s v="Low"/>
    <n v="0.13200000000000001"/>
    <n v="0.13200000000000001"/>
    <n v="17"/>
    <s v="OK"/>
    <d v="2025-08-03T00:00:00"/>
    <n v="23"/>
    <n v="7173.3342799999991"/>
    <n v="6628.81"/>
    <n v="544.52427999999873"/>
    <n v="7.5909508569562828E-2"/>
    <s v="Q3-2025"/>
    <s v="Phones"/>
    <s v="Phones"/>
    <x v="1"/>
    <s v="Late"/>
    <n v="0.13200000000000001"/>
    <n v="428.92300000000006"/>
    <n v="18.700000000000003"/>
    <n v="7890.6677080000009"/>
    <n v="8020.8601000000026"/>
    <n v="-130.19239200000175"/>
  </r>
  <r>
    <s v="ORD-2025-496178"/>
    <d v="2025-07-27T00:00:00"/>
    <d v="2025-08-15T00:00:00"/>
    <x v="3"/>
    <x v="5"/>
    <x v="8"/>
    <s v="Small Business"/>
    <s v="Marketplace"/>
    <s v="J. Njeri"/>
    <s v="Components"/>
    <s v="CMP-5658"/>
    <n v="275.43"/>
    <n v="608.36"/>
    <n v="608.36"/>
    <s v="Low"/>
    <n v="0.25700000000000001"/>
    <n v="0.25700000000000001"/>
    <n v="4"/>
    <s v="OK"/>
    <d v="2025-08-15T00:00:00"/>
    <n v="19"/>
    <n v="1808.04592"/>
    <n v="1101.72"/>
    <n v="706.32592"/>
    <n v="0.39065706915231446"/>
    <s v="Q3-2025"/>
    <s v="Components"/>
    <s v="Components"/>
    <x v="0"/>
    <s v="Late"/>
    <n v="0.2"/>
    <n v="302.97300000000001"/>
    <n v="4.4000000000000004"/>
    <n v="2141.4272000000001"/>
    <n v="1333.0812000000001"/>
    <n v="808.346"/>
  </r>
  <r>
    <s v="ORD-2025-703623"/>
    <d v="2025-07-23T00:00:00"/>
    <d v="2025-08-19T00:00:00"/>
    <x v="3"/>
    <x v="5"/>
    <x v="7"/>
    <s v="Consumer"/>
    <s v="Marketplace"/>
    <s v="B. Chen"/>
    <s v="Accessories"/>
    <s v="ACC-1596"/>
    <n v="896.09"/>
    <n v="744.27"/>
    <n v="744.27"/>
    <s v="Middle"/>
    <n v="8.3000000000000004E-2"/>
    <n v="8.3000000000000004E-2"/>
    <n v="11"/>
    <s v="OK"/>
    <d v="2025-08-19T00:00:00"/>
    <n v="27"/>
    <n v="7507.4514899999995"/>
    <n v="9856.99"/>
    <n v="-2349.5385100000003"/>
    <n v="-0.31296086469950679"/>
    <s v="Q3-2025"/>
    <s v="Accessories"/>
    <s v="Accessories"/>
    <x v="1"/>
    <s v="Late"/>
    <n v="8.3000000000000004E-2"/>
    <n v="985.69900000000007"/>
    <n v="12.100000000000001"/>
    <n v="8258.1966390000016"/>
    <n v="11926.957900000003"/>
    <n v="-3668.7612610000015"/>
  </r>
  <r>
    <s v="ORD-2025-649633"/>
    <d v="2025-07-19T00:00:00"/>
    <d v="2025-07-31T00:00:00"/>
    <x v="1"/>
    <x v="1"/>
    <x v="2"/>
    <s v="Small Business"/>
    <s v="Marketplace"/>
    <s v="O. Wang"/>
    <s v="Accessories"/>
    <s v="ACC-1028"/>
    <n v="619.64"/>
    <n v="861.16"/>
    <n v="861.16"/>
    <s v="Middle"/>
    <n v="0.113"/>
    <n v="0.113"/>
    <n v="14"/>
    <s v="OK"/>
    <d v="2025-07-31T00:00:00"/>
    <n v="12"/>
    <n v="10693.88488"/>
    <n v="8674.9599999999991"/>
    <n v="2018.9248800000005"/>
    <n v="0.18879246435276761"/>
    <s v="Q3-2025"/>
    <s v="Accessories"/>
    <s v="Accessories"/>
    <x v="1"/>
    <s v="Late"/>
    <n v="0.113"/>
    <n v="681.60400000000004"/>
    <n v="15.400000000000002"/>
    <n v="11763.273368000002"/>
    <n v="10496.701600000002"/>
    <n v="1266.5717679999998"/>
  </r>
  <r>
    <s v="ORD-2025-150713"/>
    <d v="2025-07-11T00:00:00"/>
    <d v="2025-07-16T00:00:00"/>
    <x v="2"/>
    <x v="2"/>
    <x v="3"/>
    <s v="Enterprise"/>
    <s v="Online"/>
    <s v="K. Singh"/>
    <s v="Printers"/>
    <s v="PRN-5753"/>
    <n v="930.03"/>
    <n v="1086.68"/>
    <n v="1086.68"/>
    <s v="Middle"/>
    <n v="0.109"/>
    <n v="0.109"/>
    <n v="26"/>
    <s v="OK"/>
    <d v="2025-07-16T00:00:00"/>
    <n v="5"/>
    <n v="25174.028880000002"/>
    <n v="24180.78"/>
    <n v="993.24888000000283"/>
    <n v="3.9455300728168656E-2"/>
    <s v="Q3-2025"/>
    <s v="Printers"/>
    <s v="Printers"/>
    <x v="1"/>
    <s v="On-time"/>
    <n v="0.109"/>
    <n v="1023.033"/>
    <n v="28.6"/>
    <n v="27691.431768000002"/>
    <n v="29258.7438"/>
    <n v="-1567.312031999998"/>
  </r>
  <r>
    <s v="ORD-2025-779659"/>
    <d v="2025-07-03T00:00:00"/>
    <d v="2025-07-23T00:00:00"/>
    <x v="3"/>
    <x v="7"/>
    <x v="11"/>
    <s v="Small Business"/>
    <s v="Online"/>
    <s v="M. Rossi"/>
    <s v="Components"/>
    <s v="CMP-1220"/>
    <n v="647.36"/>
    <n v="1383.6"/>
    <n v="1383.6"/>
    <s v="High"/>
    <n v="7.3999999999999996E-2"/>
    <n v="7.3999999999999996E-2"/>
    <n v="12"/>
    <s v="OK"/>
    <d v="2025-07-23T00:00:00"/>
    <n v="20"/>
    <n v="15374.563199999999"/>
    <n v="7768.32"/>
    <n v="7606.243199999999"/>
    <n v="0.49472906000997802"/>
    <s v="Q3-2025"/>
    <s v="Components"/>
    <s v="Components"/>
    <x v="1"/>
    <s v="Late"/>
    <n v="7.3999999999999996E-2"/>
    <n v="712.09600000000012"/>
    <n v="13.200000000000001"/>
    <n v="16912.019520000002"/>
    <n v="9399.6672000000017"/>
    <n v="7512.35232"/>
  </r>
  <r>
    <s v="ORD-2025-789245"/>
    <d v="2025-07-23T00:00:00"/>
    <d v="2025-08-17T00:00:00"/>
    <x v="2"/>
    <x v="2"/>
    <x v="37"/>
    <s v="Education"/>
    <s v="Online"/>
    <s v="I. Johnson"/>
    <s v="Printers"/>
    <s v="PRN-5876"/>
    <n v="1142.06"/>
    <n v="1455"/>
    <n v="1455"/>
    <s v="High"/>
    <n v="7.8E-2"/>
    <n v="7.8E-2"/>
    <n v="28"/>
    <s v="OK"/>
    <d v="2025-08-17T00:00:00"/>
    <n v="25"/>
    <n v="37562.28"/>
    <n v="31977.68"/>
    <n v="5584.5999999999985"/>
    <n v="0.1486757459877302"/>
    <s v="Q3-2025"/>
    <s v="Printers"/>
    <s v="Printers"/>
    <x v="1"/>
    <s v="Late"/>
    <n v="7.8E-2"/>
    <n v="1256.2660000000001"/>
    <n v="30.800000000000004"/>
    <n v="41318.508000000009"/>
    <n v="38692.992800000007"/>
    <n v="2625.5152000000016"/>
  </r>
  <r>
    <s v="ORD-2025-629393"/>
    <d v="2025-07-21T00:00:00"/>
    <d v="2025-08-07T00:00:00"/>
    <x v="1"/>
    <x v="8"/>
    <x v="12"/>
    <s v="Enterprise"/>
    <s v="Direct"/>
    <s v="M. Rossi"/>
    <s v="Accessories"/>
    <s v="ACC-8999"/>
    <n v="1204.95"/>
    <n v="2065.73"/>
    <n v="2065.73"/>
    <s v="High"/>
    <n v="0.13600000000000001"/>
    <n v="0.13600000000000001"/>
    <n v="10"/>
    <s v="OK"/>
    <d v="2025-08-07T00:00:00"/>
    <n v="17"/>
    <n v="17847.907199999998"/>
    <n v="12049.5"/>
    <n v="5798.4071999999978"/>
    <n v="0.32487882949100039"/>
    <s v="Q3-2025"/>
    <s v="Accessories"/>
    <s v="Accessories"/>
    <x v="1"/>
    <s v="Late"/>
    <n v="0.13600000000000001"/>
    <n v="1325.4450000000002"/>
    <n v="11"/>
    <n v="19632.697919999999"/>
    <n v="14579.895000000002"/>
    <n v="5052.8029199999964"/>
  </r>
  <r>
    <s v="ORD-2025-843974"/>
    <d v="2025-07-20T00:00:00"/>
    <d v="2025-08-05T00:00:00"/>
    <x v="0"/>
    <x v="0"/>
    <x v="1"/>
    <s v="Enterprise"/>
    <s v="Marketplace"/>
    <s v="G. Dubois"/>
    <s v="Accessories"/>
    <s v="ACC-8098"/>
    <n v="1068.17"/>
    <n v="2375.37"/>
    <n v="2375.37"/>
    <s v="High"/>
    <n v="0.109"/>
    <n v="0.109"/>
    <n v="18"/>
    <s v="OK"/>
    <d v="2025-08-05T00:00:00"/>
    <n v="16"/>
    <n v="38096.18406"/>
    <n v="19227.060000000001"/>
    <n v="18869.124059999998"/>
    <n v="0.49530220744108822"/>
    <s v="Q3-2025"/>
    <s v="Accessories"/>
    <s v="Accessories"/>
    <x v="1"/>
    <s v="Late"/>
    <n v="0.109"/>
    <n v="1174.9870000000001"/>
    <n v="19.8"/>
    <n v="41905.802466000001"/>
    <n v="23264.742600000001"/>
    <n v="18641.059866"/>
  </r>
  <r>
    <s v="ORD-2025-474710"/>
    <d v="2025-07-24T00:00:00"/>
    <d v="2025-08-06T00:00:00"/>
    <x v="1"/>
    <x v="6"/>
    <x v="38"/>
    <s v="Education"/>
    <s v="Marketplace"/>
    <s v="D. Smith"/>
    <s v="Networking"/>
    <s v="NET-7966"/>
    <n v="1463.9"/>
    <n v="2633.02"/>
    <n v="2633.02"/>
    <s v="High"/>
    <n v="8.4000000000000005E-2"/>
    <n v="8.4000000000000005E-2"/>
    <n v="4"/>
    <s v="OK"/>
    <d v="2025-08-06T00:00:00"/>
    <n v="13"/>
    <n v="9647.3852800000004"/>
    <n v="5855.6"/>
    <n v="3791.7852800000001"/>
    <n v="0.39303761277791527"/>
    <s v="Q3-2025"/>
    <s v="Networking"/>
    <s v="Networking"/>
    <x v="1"/>
    <s v="Late"/>
    <n v="8.4000000000000005E-2"/>
    <n v="1610.2900000000002"/>
    <n v="4.4000000000000004"/>
    <n v="10612.123808"/>
    <n v="7085.2760000000017"/>
    <n v="3526.8478079999986"/>
  </r>
  <r>
    <s v="ORD-2025-132174"/>
    <d v="2025-07-17T00:00:00"/>
    <d v="2025-07-23T00:00:00"/>
    <x v="0"/>
    <x v="3"/>
    <x v="18"/>
    <s v="Consumer"/>
    <s v="Online"/>
    <s v="H. Kim"/>
    <s v="Components"/>
    <s v="CMP-8851"/>
    <n v="1364.89"/>
    <n v="2757.54"/>
    <n v="2757.54"/>
    <s v="High"/>
    <n v="0.17199999999999999"/>
    <n v="0.17199999999999999"/>
    <n v="61"/>
    <s v="OK"/>
    <d v="2025-07-23T00:00:00"/>
    <n v="6"/>
    <n v="139277.83032000001"/>
    <n v="83258.290000000008"/>
    <n v="56019.54032"/>
    <n v="0.4022143379983118"/>
    <s v="Q3-2025"/>
    <s v="Components"/>
    <s v="Components"/>
    <x v="1"/>
    <s v="On-time"/>
    <n v="0.17199999999999999"/>
    <n v="1501.3790000000001"/>
    <n v="67.100000000000009"/>
    <n v="153205.61335200001"/>
    <n v="100742.53090000003"/>
    <n v="52463.082451999988"/>
  </r>
  <r>
    <s v="ORD-2025-650841"/>
    <d v="2025-07-03T00:00:00"/>
    <d v="2025-07-06T00:00:00"/>
    <x v="1"/>
    <x v="8"/>
    <x v="12"/>
    <s v="Consumer"/>
    <s v="Online"/>
    <s v="Unassigned"/>
    <s v="Laptops"/>
    <s v="LAP-8910"/>
    <n v="1313.3"/>
    <n v="2884.34"/>
    <n v="2884.34"/>
    <s v="High"/>
    <n v="0.157"/>
    <n v="0.157"/>
    <n v="42"/>
    <s v="OK"/>
    <d v="2025-07-06T00:00:00"/>
    <n v="3"/>
    <n v="102122.94203999999"/>
    <n v="55158.6"/>
    <n v="46964.342039999996"/>
    <n v="0.45988042551305253"/>
    <s v="Q3-2025"/>
    <s v="Laptops"/>
    <s v="Laptops"/>
    <x v="1"/>
    <s v="On-time"/>
    <n v="0.157"/>
    <n v="1444.63"/>
    <n v="46.2"/>
    <n v="112335.236244"/>
    <n v="66741.906000000003"/>
    <n v="45593.330243999997"/>
  </r>
  <r>
    <s v="ORD-2025-678688"/>
    <d v="2025-07-16T00:00:00"/>
    <d v="2025-07-17T00:00:00"/>
    <x v="1"/>
    <x v="6"/>
    <x v="10"/>
    <s v="Small Business"/>
    <s v="Distributor"/>
    <s v="B. Chen"/>
    <s v="Networking"/>
    <s v="NET-1612"/>
    <n v="1198.9000000000001"/>
    <n v="2941.2"/>
    <n v="2941.2"/>
    <s v="High"/>
    <n v="5.0999999999999997E-2"/>
    <n v="5.0999999999999997E-2"/>
    <n v="24"/>
    <s v="OK"/>
    <d v="2025-07-17T00:00:00"/>
    <n v="1"/>
    <n v="66988.771199999988"/>
    <n v="28773.600000000002"/>
    <n v="38215.171199999982"/>
    <n v="0.57047129713583977"/>
    <s v="Q3-2025"/>
    <s v="Networking"/>
    <s v="Networking"/>
    <x v="1"/>
    <s v="On-time"/>
    <n v="5.0999999999999997E-2"/>
    <n v="1318.7900000000002"/>
    <n v="26.400000000000002"/>
    <n v="73687.648320000008"/>
    <n v="34816.056000000011"/>
    <n v="38871.592319999996"/>
  </r>
  <r>
    <s v="ORD-2024-892908"/>
    <d v="2024-07-13T00:00:00"/>
    <d v="2024-07-12T00:00:00"/>
    <x v="3"/>
    <x v="5"/>
    <x v="7"/>
    <s v="Small Business"/>
    <s v="Marketplace"/>
    <s v="F. Müller"/>
    <s v="Networking"/>
    <s v="NET-9575"/>
    <n v="105.13"/>
    <n v="244.13"/>
    <n v="244.13"/>
    <s v="Low"/>
    <n v="7.0999999999999994E-2"/>
    <n v="7.0999999999999994E-2"/>
    <n v="14"/>
    <s v="Correct"/>
    <d v="2024-07-20T00:00:00"/>
    <n v="7"/>
    <n v="3175.1547799999998"/>
    <n v="1471.82"/>
    <n v="1703.3347799999999"/>
    <n v="0.53645724319618837"/>
    <s v="Q3-2024"/>
    <s v="Networking"/>
    <s v="Networking"/>
    <x v="1"/>
    <s v="On-time"/>
    <n v="7.0999999999999994E-2"/>
    <n v="115.643"/>
    <n v="15.400000000000002"/>
    <n v="3492.6702580000006"/>
    <n v="1780.9022000000002"/>
    <n v="1711.7680580000003"/>
  </r>
  <r>
    <s v="ORD-2024-855073"/>
    <d v="2024-07-19T00:00:00"/>
    <d v="2024-07-19T00:00:00"/>
    <x v="1"/>
    <x v="1"/>
    <x v="16"/>
    <s v="Small Business"/>
    <s v="Retail"/>
    <s v="A. Patel"/>
    <s v="Phones"/>
    <s v="PHN-6854"/>
    <n v="857.24"/>
    <n v="758.23"/>
    <n v="758.23"/>
    <s v="Middle"/>
    <n v="0.125"/>
    <n v="0.125"/>
    <n v="6"/>
    <s v="OK"/>
    <d v="2024-07-19T00:00:00"/>
    <n v="0"/>
    <n v="3980.7075"/>
    <n v="5143.4400000000005"/>
    <n v="-1162.7325000000005"/>
    <n v="-0.29209192084572921"/>
    <s v="Q3-2024"/>
    <s v="Phones"/>
    <s v="Phones"/>
    <x v="1"/>
    <s v="On-time"/>
    <n v="0.125"/>
    <n v="942.96400000000006"/>
    <n v="6.6000000000000005"/>
    <n v="4378.7782500000003"/>
    <n v="6223.5624000000007"/>
    <n v="-1844.7841500000004"/>
  </r>
  <r>
    <s v="ORD-2024-398783"/>
    <d v="2024-07-18T00:00:00"/>
    <d v="2024-08-07T00:00:00"/>
    <x v="2"/>
    <x v="10"/>
    <x v="33"/>
    <s v="Corporate"/>
    <s v="Retail"/>
    <s v="F. Müller"/>
    <s v="Monitors"/>
    <s v="MON-7622"/>
    <n v="941.35"/>
    <n v="899.83"/>
    <n v="899.83"/>
    <s v="Middle"/>
    <n v="5.8000000000000003E-2"/>
    <n v="5.8000000000000003E-2"/>
    <n v="18"/>
    <s v="OK"/>
    <d v="2024-08-07T00:00:00"/>
    <n v="20"/>
    <n v="15257.51748"/>
    <n v="16944.3"/>
    <n v="-1686.7825199999988"/>
    <n v="-0.11055419220139073"/>
    <s v="Q3-2024"/>
    <s v="Monitors"/>
    <s v="Monitors"/>
    <x v="1"/>
    <s v="Late"/>
    <n v="5.8000000000000003E-2"/>
    <n v="1035.4850000000001"/>
    <n v="19.8"/>
    <n v="16783.269228000001"/>
    <n v="20502.603000000003"/>
    <n v="-3719.3337720000018"/>
  </r>
  <r>
    <s v="ORD-2024-468615"/>
    <d v="2024-07-09T00:00:00"/>
    <d v="2024-07-12T00:00:00"/>
    <x v="3"/>
    <x v="7"/>
    <x v="20"/>
    <s v="Small Business"/>
    <s v="Retail"/>
    <s v="D. Smith"/>
    <s v="Accessories"/>
    <s v="ACC-3721"/>
    <n v="748.39"/>
    <n v="979.42"/>
    <n v="979.42"/>
    <s v="Middle"/>
    <n v="0"/>
    <n v="0"/>
    <n v="23"/>
    <s v="OK"/>
    <d v="2024-07-12T00:00:00"/>
    <n v="3"/>
    <n v="22526.66"/>
    <n v="17212.97"/>
    <n v="5313.6899999999987"/>
    <n v="0.23588450307324738"/>
    <s v="Q3-2024"/>
    <s v="Accessories"/>
    <s v="Accessories"/>
    <x v="1"/>
    <s v="On-time"/>
    <n v="0"/>
    <n v="823.22900000000004"/>
    <n v="25.3"/>
    <n v="24779.326000000001"/>
    <n v="20827.693700000003"/>
    <n v="3951.6322999999975"/>
  </r>
  <r>
    <s v="ORD-2024-202877"/>
    <d v="2024-07-13T00:00:00"/>
    <d v="2024-08-03T00:00:00"/>
    <x v="0"/>
    <x v="0"/>
    <x v="0"/>
    <s v="Corporate"/>
    <s v="Marketplace"/>
    <s v="M. Rossi"/>
    <s v="Monitors"/>
    <s v="MON-6287"/>
    <n v="702.98"/>
    <n v="1104.8"/>
    <n v="1104.8"/>
    <s v="Middle"/>
    <n v="0.17499999999999999"/>
    <n v="0.17499999999999999"/>
    <n v="12"/>
    <s v="OK"/>
    <d v="2024-08-03T00:00:00"/>
    <n v="21"/>
    <n v="10937.519999999999"/>
    <n v="8435.76"/>
    <n v="2501.7599999999984"/>
    <n v="0.22873192460448061"/>
    <s v="Q3-2024"/>
    <s v="Monitors"/>
    <s v="Monitors"/>
    <x v="1"/>
    <s v="Late"/>
    <n v="0.17499999999999999"/>
    <n v="773.27800000000013"/>
    <n v="13.200000000000001"/>
    <n v="12031.271999999999"/>
    <n v="10207.269600000003"/>
    <n v="1824.0023999999958"/>
  </r>
  <r>
    <s v="ORD-2024-678110"/>
    <d v="2024-07-24T00:00:00"/>
    <d v="2024-08-08T00:00:00"/>
    <x v="2"/>
    <x v="10"/>
    <x v="33"/>
    <s v="Enterprise"/>
    <s v="Marketplace"/>
    <s v="H. Kim"/>
    <s v="Laptops"/>
    <s v="LAP-9901"/>
    <n v="501.5"/>
    <n v="1201.47"/>
    <n v="1201.47"/>
    <s v="Middle"/>
    <n v="0.126"/>
    <n v="0.126"/>
    <n v="5"/>
    <s v="OK"/>
    <d v="2024-08-08T00:00:00"/>
    <n v="15"/>
    <n v="5250.4239000000007"/>
    <n v="2507.5"/>
    <n v="2742.9239000000007"/>
    <n v="0.52241951359394057"/>
    <s v="Q3-2024"/>
    <s v="Laptops"/>
    <s v="Laptops"/>
    <x v="1"/>
    <s v="Late"/>
    <n v="0.126"/>
    <n v="551.65000000000009"/>
    <n v="5.5"/>
    <n v="5775.4662900000003"/>
    <n v="3034.0750000000007"/>
    <n v="2741.3912899999996"/>
  </r>
  <r>
    <s v="ORD-2024-605629"/>
    <d v="2024-07-15T00:00:00"/>
    <d v="2024-07-15T00:00:00"/>
    <x v="3"/>
    <x v="5"/>
    <x v="8"/>
    <s v="Small Business"/>
    <s v="Marketplace"/>
    <s v="G. Dubois"/>
    <s v="Accessories"/>
    <s v="ACC-2735"/>
    <n v="801.77"/>
    <n v="1218.92"/>
    <n v="1218.92"/>
    <s v="Middle"/>
    <n v="0.254"/>
    <n v="0.254"/>
    <n v="16"/>
    <s v="OK"/>
    <d v="2024-07-15T00:00:00"/>
    <n v="0"/>
    <n v="14549.029120000001"/>
    <n v="12828.32"/>
    <n v="1720.7091200000013"/>
    <n v="0.11826968698788344"/>
    <s v="Q3-2024"/>
    <s v="Accessories"/>
    <s v="Accessories"/>
    <x v="0"/>
    <s v="On-time"/>
    <n v="0.2"/>
    <n v="881.947"/>
    <n v="17.600000000000001"/>
    <n v="17162.393600000003"/>
    <n v="15522.267200000002"/>
    <n v="1640.126400000001"/>
  </r>
  <r>
    <s v="ORD-2024-571797"/>
    <d v="2024-07-11T00:00:00"/>
    <d v="2024-07-31T00:00:00"/>
    <x v="3"/>
    <x v="7"/>
    <x v="14"/>
    <s v="Consumer"/>
    <s v="Online"/>
    <s v="G. Dubois"/>
    <s v="Phones"/>
    <s v="PHN-7815"/>
    <n v="647.26"/>
    <n v="1374.72"/>
    <n v="1374.72"/>
    <s v="High"/>
    <n v="6.6000000000000003E-2"/>
    <n v="6.6000000000000003E-2"/>
    <n v="22"/>
    <s v="OK"/>
    <d v="2024-07-31T00:00:00"/>
    <n v="20"/>
    <n v="28247.74656"/>
    <n v="14239.72"/>
    <n v="14008.02656"/>
    <n v="0.49589890401508901"/>
    <s v="Q3-2024"/>
    <s v="Phones"/>
    <s v="Phones"/>
    <x v="1"/>
    <s v="Late"/>
    <n v="6.6000000000000003E-2"/>
    <n v="711.9860000000001"/>
    <n v="24.200000000000003"/>
    <n v="31072.521216000001"/>
    <n v="17230.061200000004"/>
    <n v="13842.460015999997"/>
  </r>
  <r>
    <s v="ORD-2024-947056"/>
    <d v="2024-07-31T00:00:00"/>
    <d v="2024-08-15T00:00:00"/>
    <x v="3"/>
    <x v="5"/>
    <x v="8"/>
    <s v="Corporate"/>
    <s v="Marketplace"/>
    <s v="F. Müller"/>
    <s v="Monitors"/>
    <s v="MON-1564"/>
    <n v="1252.52"/>
    <n v="1417.24"/>
    <n v="1417.24"/>
    <s v="High"/>
    <n v="0.192"/>
    <n v="0.192"/>
    <n v="5"/>
    <s v="OK"/>
    <d v="2024-08-15T00:00:00"/>
    <n v="15"/>
    <n v="5725.6496000000006"/>
    <n v="6262.6"/>
    <n v="-536.95039999999972"/>
    <n v="-9.3779821943696953E-2"/>
    <s v="Q3-2024"/>
    <s v="Monitors"/>
    <s v="Monitors"/>
    <x v="1"/>
    <s v="Late"/>
    <n v="0.192"/>
    <n v="1377.7720000000002"/>
    <n v="5.5"/>
    <n v="6298.2145600000003"/>
    <n v="7577.746000000001"/>
    <n v="-1279.5314400000007"/>
  </r>
  <r>
    <s v="ORD-2024-892879"/>
    <d v="2024-07-09T00:00:00"/>
    <d v="2024-08-08T00:00:00"/>
    <x v="2"/>
    <x v="10"/>
    <x v="33"/>
    <s v="Corporate"/>
    <s v="Direct"/>
    <s v="J. Njeri"/>
    <s v="Components"/>
    <s v="CMP-5825"/>
    <n v="1062.3800000000001"/>
    <n v="1503.96"/>
    <n v="1503.96"/>
    <s v="High"/>
    <n v="0.18"/>
    <n v="0.18"/>
    <n v="6"/>
    <s v="OK"/>
    <d v="2024-08-08T00:00:00"/>
    <n v="30"/>
    <n v="7399.4832000000006"/>
    <n v="6374.2800000000007"/>
    <n v="1025.2031999999999"/>
    <n v="0.13855064905073369"/>
    <s v="Q3-2024"/>
    <s v="Components"/>
    <s v="Components"/>
    <x v="1"/>
    <s v="Late"/>
    <n v="0.18"/>
    <n v="1168.6180000000002"/>
    <n v="6.6000000000000005"/>
    <n v="8139.431520000001"/>
    <n v="7712.8788000000013"/>
    <n v="426.55271999999968"/>
  </r>
  <r>
    <s v="ORD-2024-817997"/>
    <d v="2024-07-28T00:00:00"/>
    <d v="2024-08-23T00:00:00"/>
    <x v="3"/>
    <x v="4"/>
    <x v="31"/>
    <s v="Corporate"/>
    <s v="Retail"/>
    <s v="J. Njeri"/>
    <s v="Networking"/>
    <s v="NET-4675"/>
    <n v="1339.24"/>
    <n v="1558.89"/>
    <n v="1558.89"/>
    <s v="High"/>
    <n v="0.192"/>
    <n v="0.192"/>
    <n v="24"/>
    <s v="OK"/>
    <d v="2024-08-23T00:00:00"/>
    <n v="26"/>
    <n v="30229.994880000002"/>
    <n v="32141.760000000002"/>
    <n v="-1911.76512"/>
    <n v="-6.3240669659021781E-2"/>
    <s v="Q3-2024"/>
    <s v="Networking"/>
    <s v="Networking"/>
    <x v="1"/>
    <s v="Late"/>
    <n v="0.192"/>
    <n v="1473.1640000000002"/>
    <n v="26.400000000000002"/>
    <n v="33252.994368000007"/>
    <n v="38891.529600000009"/>
    <n v="-5638.535232000002"/>
  </r>
  <r>
    <s v="ORD-2024-301260"/>
    <d v="2024-07-29T00:00:00"/>
    <d v="2024-07-31T00:00:00"/>
    <x v="0"/>
    <x v="9"/>
    <x v="21"/>
    <s v="Education"/>
    <s v="Marketplace"/>
    <s v="I. Johnson"/>
    <s v="Printers"/>
    <s v="PRN-2829"/>
    <n v="798.97"/>
    <n v="1814.06"/>
    <n v="1814.06"/>
    <s v="High"/>
    <n v="0.122"/>
    <n v="0.122"/>
    <n v="16"/>
    <s v="OK"/>
    <d v="2024-07-31T00:00:00"/>
    <n v="2"/>
    <n v="25483.91488"/>
    <n v="12783.52"/>
    <n v="12700.39488"/>
    <n v="0.49836906691159061"/>
    <s v="Q3-2024"/>
    <s v="Printers"/>
    <s v="Printers"/>
    <x v="1"/>
    <s v="On-time"/>
    <n v="0.122"/>
    <n v="878.86700000000008"/>
    <n v="17.600000000000001"/>
    <n v="28032.306368000001"/>
    <n v="15468.059200000003"/>
    <n v="12564.247167999998"/>
  </r>
  <r>
    <s v="ORD-2024-901115"/>
    <d v="2024-07-25T00:00:00"/>
    <d v="2024-08-02T00:00:00"/>
    <x v="0"/>
    <x v="3"/>
    <x v="39"/>
    <s v="Consumer"/>
    <s v="Direct"/>
    <s v="J. Njeri"/>
    <s v="Accessories"/>
    <s v="ACC-6626"/>
    <n v="986.81"/>
    <n v="2050.31"/>
    <n v="2050.31"/>
    <s v="High"/>
    <n v="0.10299999999999999"/>
    <n v="0.10299999999999999"/>
    <n v="43"/>
    <s v="OK"/>
    <d v="2024-08-02T00:00:00"/>
    <n v="8"/>
    <n v="79082.507010000001"/>
    <n v="42432.829999999994"/>
    <n v="36649.677010000007"/>
    <n v="0.46343595310358138"/>
    <s v="Q3-2024"/>
    <s v="Accessories"/>
    <s v="Accessories"/>
    <x v="1"/>
    <s v="Late"/>
    <n v="0.10299999999999999"/>
    <n v="1085.491"/>
    <n v="47.300000000000004"/>
    <n v="86990.757710999998"/>
    <n v="51343.724300000002"/>
    <n v="35647.033410999997"/>
  </r>
  <r>
    <s v="ORD-2024-798002"/>
    <d v="2024-07-25T00:00:00"/>
    <d v="2024-07-24T00:00:00"/>
    <x v="1"/>
    <x v="1"/>
    <x v="5"/>
    <s v="Non-Profit"/>
    <s v="Direct"/>
    <s v="J. Njeri"/>
    <s v="Laptops"/>
    <s v="LAP-9815"/>
    <n v="1494.4"/>
    <n v="3661.07"/>
    <n v="3661.07"/>
    <s v="High"/>
    <n v="7.1999999999999995E-2"/>
    <n v="7.1999999999999995E-2"/>
    <n v="7"/>
    <s v="Correct"/>
    <d v="2024-08-01T00:00:00"/>
    <n v="7"/>
    <n v="23782.310720000001"/>
    <n v="10460.800000000001"/>
    <n v="13321.51072"/>
    <n v="0.56014366630897339"/>
    <s v="Q3-2024"/>
    <s v="Laptops"/>
    <s v="Laptops"/>
    <x v="1"/>
    <s v="On-time"/>
    <n v="7.1999999999999995E-2"/>
    <n v="1643.8400000000001"/>
    <n v="7.7000000000000011"/>
    <n v="26160.541792000007"/>
    <n v="12657.568000000003"/>
    <n v="13502.973792000004"/>
  </r>
  <r>
    <s v="ORD-2023-920483"/>
    <d v="2023-07-02T00:00:00"/>
    <d v="2023-08-01T00:00:00"/>
    <x v="2"/>
    <x v="2"/>
    <x v="37"/>
    <s v="Small Business"/>
    <s v="Retail"/>
    <s v="B. Chen"/>
    <s v="Components"/>
    <s v="CMP-7256"/>
    <n v="137.46"/>
    <n v="188.3"/>
    <n v="188.3"/>
    <s v="Low"/>
    <n v="3.7999999999999999E-2"/>
    <n v="3.7999999999999999E-2"/>
    <n v="37"/>
    <s v="OK"/>
    <d v="2023-08-01T00:00:00"/>
    <n v="30"/>
    <n v="6702.3501999999999"/>
    <n v="5086.0200000000004"/>
    <n v="1616.3301999999994"/>
    <n v="0.24115872071262398"/>
    <s v="Q3-2023"/>
    <s v="Components"/>
    <s v="Components"/>
    <x v="1"/>
    <s v="Late"/>
    <n v="3.7999999999999999E-2"/>
    <n v="151.20600000000002"/>
    <n v="40.700000000000003"/>
    <n v="7372.5852200000008"/>
    <n v="6154.0842000000011"/>
    <n v="1218.5010199999997"/>
  </r>
  <r>
    <s v="ORD-2023-539967"/>
    <d v="2023-07-09T00:00:00"/>
    <d v="2023-07-19T00:00:00"/>
    <x v="3"/>
    <x v="5"/>
    <x v="8"/>
    <s v="Enterprise"/>
    <s v="Distributor"/>
    <s v="N. Brown"/>
    <s v="Components"/>
    <s v="CMP-6649"/>
    <n v="141.26"/>
    <n v="206.88"/>
    <n v="206.88"/>
    <s v="Low"/>
    <n v="0.107"/>
    <n v="0.107"/>
    <n v="9"/>
    <s v="OK"/>
    <d v="2023-07-19T00:00:00"/>
    <n v="10"/>
    <n v="1662.6945600000001"/>
    <n v="1271.3399999999999"/>
    <n v="391.35456000000022"/>
    <n v="0.23537369365062469"/>
    <s v="Q3-2023"/>
    <s v="Components"/>
    <s v="Components"/>
    <x v="1"/>
    <s v="Late"/>
    <n v="0.107"/>
    <n v="155.386"/>
    <n v="9.9"/>
    <n v="1828.9640160000001"/>
    <n v="1538.3214"/>
    <n v="290.64261600000009"/>
  </r>
  <r>
    <s v="ORD-2023-660608"/>
    <d v="2023-07-25T00:00:00"/>
    <d v="2023-08-10T00:00:00"/>
    <x v="1"/>
    <x v="8"/>
    <x v="27"/>
    <s v="Corporate"/>
    <s v="Distributor"/>
    <s v="I. Johnson"/>
    <s v="Accessories"/>
    <s v="ACC-8178"/>
    <n v="506.83"/>
    <n v="441.74"/>
    <n v="441.74"/>
    <s v="Low"/>
    <n v="0.24"/>
    <n v="0.24"/>
    <n v="9"/>
    <s v="OK"/>
    <d v="2023-08-10T00:00:00"/>
    <n v="16"/>
    <n v="3021.5016000000001"/>
    <n v="4561.47"/>
    <n v="-1539.9684000000002"/>
    <n v="-0.50966989393618067"/>
    <s v="Q3-2023"/>
    <s v="Accessories"/>
    <s v="Accessories"/>
    <x v="0"/>
    <s v="Late"/>
    <n v="0.2"/>
    <n v="557.51300000000003"/>
    <n v="9.9"/>
    <n v="3498.5808000000006"/>
    <n v="5519.3787000000002"/>
    <n v="-2020.7978999999996"/>
  </r>
  <r>
    <s v="ORD-2023-215819"/>
    <d v="2023-07-01T00:00:00"/>
    <d v="2023-07-11T00:00:00"/>
    <x v="2"/>
    <x v="10"/>
    <x v="29"/>
    <s v="Corporate"/>
    <s v="Direct"/>
    <s v="F. Müller"/>
    <s v="Networking"/>
    <s v="NET-6533"/>
    <n v="479.5"/>
    <n v="656.66"/>
    <n v="656.66"/>
    <s v="Middle"/>
    <n v="0.14899999999999999"/>
    <n v="0.14899999999999999"/>
    <n v="14"/>
    <s v="OK"/>
    <d v="2023-07-11T00:00:00"/>
    <n v="10"/>
    <n v="7823.4472399999995"/>
    <n v="6713"/>
    <n v="1110.4472399999995"/>
    <n v="0.14193835606412289"/>
    <s v="Q3-2023"/>
    <s v="Networking"/>
    <s v="Networking"/>
    <x v="1"/>
    <s v="Late"/>
    <n v="0.14899999999999999"/>
    <n v="527.45000000000005"/>
    <n v="15.400000000000002"/>
    <n v="8605.791964"/>
    <n v="8122.7300000000014"/>
    <n v="483.06196399999862"/>
  </r>
  <r>
    <s v="ORD-2023-369150"/>
    <d v="2023-07-18T00:00:00"/>
    <d v="2023-08-10T00:00:00"/>
    <x v="1"/>
    <x v="6"/>
    <x v="38"/>
    <s v="Small Business"/>
    <s v="Retail"/>
    <s v="L. Okafor"/>
    <s v="Components"/>
    <s v="CMP-8659"/>
    <n v="1271.56"/>
    <n v="995.47"/>
    <n v="995.47"/>
    <s v="Middle"/>
    <n v="0.192"/>
    <n v="0.192"/>
    <n v="13"/>
    <s v="OK"/>
    <d v="2023-08-10T00:00:00"/>
    <n v="23"/>
    <n v="10456.416880000001"/>
    <n v="16530.28"/>
    <n v="-6073.8631199999982"/>
    <n v="-0.58087423155607754"/>
    <s v="Q3-2023"/>
    <s v="Components"/>
    <s v="Components"/>
    <x v="1"/>
    <s v="Late"/>
    <n v="0.192"/>
    <n v="1398.7160000000001"/>
    <n v="14.3"/>
    <n v="11502.058568000002"/>
    <n v="20001.638800000004"/>
    <n v="-8499.5802320000021"/>
  </r>
  <r>
    <s v="ORD-2023-309373"/>
    <d v="2023-07-05T00:00:00"/>
    <d v="2023-07-14T00:00:00"/>
    <x v="0"/>
    <x v="0"/>
    <x v="1"/>
    <s v="Enterprise"/>
    <s v="Direct"/>
    <s v="B. Chen"/>
    <s v="Networking"/>
    <s v="NET-2394"/>
    <n v="578.85"/>
    <n v="998.76"/>
    <n v="998.76"/>
    <s v="Middle"/>
    <n v="8.2000000000000003E-2"/>
    <n v="8.2000000000000003E-2"/>
    <n v="28"/>
    <s v="OK"/>
    <d v="2023-07-14T00:00:00"/>
    <n v="9"/>
    <n v="25672.127039999999"/>
    <n v="16207.800000000001"/>
    <n v="9464.3270399999983"/>
    <n v="0.36866158480960831"/>
    <s v="Q3-2023"/>
    <s v="Networking"/>
    <s v="Networking"/>
    <x v="1"/>
    <s v="Late"/>
    <n v="8.2000000000000003E-2"/>
    <n v="636.73500000000013"/>
    <n v="30.800000000000004"/>
    <n v="28239.339744000004"/>
    <n v="19611.438000000006"/>
    <n v="8627.9017439999989"/>
  </r>
  <r>
    <s v="ORD-2023-453699"/>
    <d v="2023-07-01T00:00:00"/>
    <d v="2023-07-08T00:00:00"/>
    <x v="2"/>
    <x v="11"/>
    <x v="34"/>
    <s v="Small Business"/>
    <s v="Distributor"/>
    <s v="N. Brown"/>
    <s v="Laptops"/>
    <s v="LAP-4666"/>
    <n v="460.21"/>
    <n v="1139.1500000000001"/>
    <n v="1139.1500000000001"/>
    <s v="Middle"/>
    <n v="0.115"/>
    <n v="0.115"/>
    <n v="14"/>
    <s v="OK"/>
    <d v="2023-07-08T00:00:00"/>
    <n v="7"/>
    <n v="14114.068500000001"/>
    <n v="6442.94"/>
    <n v="7671.1285000000016"/>
    <n v="0.54350937151821255"/>
    <s v="Q3-2023"/>
    <s v="Laptops"/>
    <s v="Laptops"/>
    <x v="1"/>
    <s v="On-time"/>
    <n v="0.115"/>
    <n v="506.23099999999999"/>
    <n v="15.400000000000002"/>
    <n v="15525.475350000002"/>
    <n v="7795.9574000000011"/>
    <n v="7729.5179500000013"/>
  </r>
  <r>
    <s v="ORD-2023-497686"/>
    <d v="2023-07-03T00:00:00"/>
    <d v="2023-07-23T00:00:00"/>
    <x v="1"/>
    <x v="6"/>
    <x v="38"/>
    <s v="Small Business"/>
    <s v="Distributor"/>
    <s v="F. Müller"/>
    <s v="Laptops"/>
    <s v="LAP-6342"/>
    <n v="1001.96"/>
    <n v="1254.95"/>
    <n v="1254.95"/>
    <s v="High"/>
    <n v="4.4999999999999998E-2"/>
    <n v="4.4999999999999998E-2"/>
    <n v="18"/>
    <s v="OK"/>
    <d v="2023-07-23T00:00:00"/>
    <n v="20"/>
    <n v="21572.590500000002"/>
    <n v="18035.28"/>
    <n v="3537.3105000000032"/>
    <n v="0.16397244920585699"/>
    <s v="Q3-2023"/>
    <s v="Laptops"/>
    <s v="Laptops"/>
    <x v="1"/>
    <s v="Late"/>
    <n v="4.4999999999999998E-2"/>
    <n v="1102.1560000000002"/>
    <n v="19.8"/>
    <n v="23729.849550000003"/>
    <n v="21822.688800000004"/>
    <n v="1907.1607499999991"/>
  </r>
  <r>
    <s v="ORD-2023-825084"/>
    <d v="2023-07-14T00:00:00"/>
    <d v="2023-07-21T00:00:00"/>
    <x v="1"/>
    <x v="6"/>
    <x v="10"/>
    <s v="Enterprise"/>
    <s v="Marketplace"/>
    <s v="Unassigned"/>
    <s v="Monitors"/>
    <s v="MON-1018"/>
    <n v="620.74"/>
    <n v="1330.07"/>
    <n v="1330.07"/>
    <s v="High"/>
    <n v="0.29899999999999999"/>
    <n v="0.29899999999999999"/>
    <n v="28"/>
    <s v="OK"/>
    <d v="2023-07-21T00:00:00"/>
    <n v="7"/>
    <n v="26106.613960000002"/>
    <n v="17380.72"/>
    <n v="8725.8939600000012"/>
    <n v="0.33424073965967516"/>
    <s v="Q3-2023"/>
    <s v="Monitors"/>
    <s v="Monitors"/>
    <x v="0"/>
    <s v="On-time"/>
    <n v="0.2"/>
    <n v="682.81400000000008"/>
    <n v="30.800000000000004"/>
    <n v="32772.924800000001"/>
    <n v="21030.671200000004"/>
    <n v="11742.253599999996"/>
  </r>
  <r>
    <s v="ORD-2023-621393"/>
    <d v="2023-07-07T00:00:00"/>
    <d v="2023-07-13T00:00:00"/>
    <x v="1"/>
    <x v="6"/>
    <x v="15"/>
    <s v="Small Business"/>
    <s v="Marketplace"/>
    <s v="B. Chen"/>
    <s v="Accessories"/>
    <s v="ACC-9445"/>
    <n v="612.59"/>
    <n v="1424.74"/>
    <n v="1424.74"/>
    <s v="High"/>
    <n v="4.3999999999999997E-2"/>
    <n v="4.3999999999999997E-2"/>
    <n v="15"/>
    <s v="OK"/>
    <d v="2023-07-13T00:00:00"/>
    <n v="6"/>
    <n v="20430.771599999996"/>
    <n v="9188.85"/>
    <n v="11241.921599999996"/>
    <n v="0.55024459281802152"/>
    <s v="Q3-2023"/>
    <s v="Accessories"/>
    <s v="Accessories"/>
    <x v="1"/>
    <s v="On-time"/>
    <n v="4.3999999999999997E-2"/>
    <n v="673.84900000000005"/>
    <n v="16.5"/>
    <n v="22473.848759999997"/>
    <n v="11118.5085"/>
    <n v="11355.340259999997"/>
  </r>
  <r>
    <s v="ORD-2023-479747"/>
    <d v="2023-07-14T00:00:00"/>
    <d v="2023-07-14T00:00:00"/>
    <x v="1"/>
    <x v="8"/>
    <x v="12"/>
    <s v="Education"/>
    <s v="Retail"/>
    <s v="I. Johnson"/>
    <s v="Accessories"/>
    <s v="ACC-5334"/>
    <n v="956.38"/>
    <n v="1454.22"/>
    <n v="1454.22"/>
    <s v="High"/>
    <n v="3.9E-2"/>
    <n v="3.9E-2"/>
    <n v="19"/>
    <s v="OK"/>
    <d v="2023-07-14T00:00:00"/>
    <n v="0"/>
    <n v="26552.60298"/>
    <n v="18171.22"/>
    <n v="8381.3829799999985"/>
    <n v="0.31565202802576603"/>
    <s v="Q3-2023"/>
    <s v="Accessories"/>
    <s v="Accessories"/>
    <x v="1"/>
    <s v="On-time"/>
    <n v="3.9E-2"/>
    <n v="1052.018"/>
    <n v="20.900000000000002"/>
    <n v="29207.863278000004"/>
    <n v="21987.176200000002"/>
    <n v="7220.6870780000027"/>
  </r>
  <r>
    <s v="ORD-2023-261081"/>
    <d v="2023-07-24T00:00:00"/>
    <d v="2023-08-19T00:00:00"/>
    <x v="1"/>
    <x v="1"/>
    <x v="2"/>
    <s v="Enterprise"/>
    <s v="Distributor"/>
    <s v="M. Rossi"/>
    <s v="Accessories"/>
    <s v="ACC-1238"/>
    <n v="661.45"/>
    <n v="1634.86"/>
    <n v="1634.86"/>
    <s v="High"/>
    <n v="0.56499999999999995"/>
    <n v="0.3"/>
    <n v="24"/>
    <s v="OK"/>
    <d v="2023-08-19T00:00:00"/>
    <n v="26"/>
    <n v="27465.647999999997"/>
    <n v="15874.800000000001"/>
    <n v="11590.847999999996"/>
    <n v="0.42201254454291404"/>
    <s v="Q3-2023"/>
    <s v="Accessories"/>
    <s v="Accessories"/>
    <x v="0"/>
    <s v="Late"/>
    <n v="0.2"/>
    <n v="727.59500000000014"/>
    <n v="26.400000000000002"/>
    <n v="34528.243200000004"/>
    <n v="19208.508000000005"/>
    <n v="15319.735199999999"/>
  </r>
  <r>
    <s v="ORD-2023-912395"/>
    <d v="2023-07-26T00:00:00"/>
    <d v="2023-08-25T00:00:00"/>
    <x v="0"/>
    <x v="9"/>
    <x v="21"/>
    <s v="Consumer"/>
    <s v="Retail"/>
    <s v="M. Rossi"/>
    <s v="Accessories"/>
    <s v="ACC-7078"/>
    <n v="1261.48"/>
    <n v="1643.18"/>
    <n v="1643.18"/>
    <s v="High"/>
    <n v="0.151"/>
    <n v="0.151"/>
    <n v="23"/>
    <s v="OK"/>
    <d v="2023-08-25T00:00:00"/>
    <n v="30"/>
    <n v="32086.37586"/>
    <n v="29014.04"/>
    <n v="3072.3358599999992"/>
    <n v="9.5752037357079045E-2"/>
    <s v="Q3-2023"/>
    <s v="Accessories"/>
    <s v="Accessories"/>
    <x v="1"/>
    <s v="Late"/>
    <n v="0.151"/>
    <n v="1387.6280000000002"/>
    <n v="25.3"/>
    <n v="35295.013446000004"/>
    <n v="35106.988400000002"/>
    <n v="188.02504600000248"/>
  </r>
  <r>
    <s v="ORD-2023-369160"/>
    <d v="2023-07-24T00:00:00"/>
    <d v="2023-08-13T00:00:00"/>
    <x v="0"/>
    <x v="3"/>
    <x v="39"/>
    <s v="Education"/>
    <s v="Direct"/>
    <s v="C. Otieno"/>
    <s v="Monitors"/>
    <s v="MON-3307"/>
    <n v="1082.3800000000001"/>
    <n v="1766.55"/>
    <n v="1766.55"/>
    <s v="High"/>
    <n v="0.16400000000000001"/>
    <n v="0.16400000000000001"/>
    <n v="20"/>
    <s v="OK"/>
    <d v="2023-08-13T00:00:00"/>
    <n v="20"/>
    <n v="29536.716"/>
    <n v="21647.600000000002"/>
    <n v="7889.1159999999982"/>
    <n v="0.26709523157550752"/>
    <s v="Q3-2023"/>
    <s v="Monitors"/>
    <s v="Monitors"/>
    <x v="1"/>
    <s v="Late"/>
    <n v="0.16400000000000001"/>
    <n v="1190.6180000000002"/>
    <n v="22"/>
    <n v="32490.387599999998"/>
    <n v="26193.596000000005"/>
    <n v="6296.7915999999932"/>
  </r>
  <r>
    <s v="ORD-2023-159821"/>
    <d v="2023-07-01T00:00:00"/>
    <d v="2023-07-08T00:00:00"/>
    <x v="1"/>
    <x v="8"/>
    <x v="27"/>
    <s v="Corporate"/>
    <s v="Retail"/>
    <s v="A. Patel"/>
    <s v="Laptops"/>
    <s v="LAP-3904"/>
    <n v="834.26"/>
    <n v="1780.56"/>
    <n v="1780.56"/>
    <s v="High"/>
    <n v="1.4E-2"/>
    <n v="1.4E-2"/>
    <n v="47"/>
    <s v="OK"/>
    <d v="2023-07-08T00:00:00"/>
    <n v="7"/>
    <n v="82514.711519999997"/>
    <n v="39210.22"/>
    <n v="43304.491519999996"/>
    <n v="0.5248093427497933"/>
    <s v="Q3-2023"/>
    <s v="Laptops"/>
    <s v="Laptops"/>
    <x v="1"/>
    <s v="On-time"/>
    <n v="1.4E-2"/>
    <n v="917.68600000000004"/>
    <n v="51.7"/>
    <n v="90766.18267200001"/>
    <n v="47444.366200000004"/>
    <n v="43321.816472000006"/>
  </r>
  <r>
    <s v="ORD-2023-292714"/>
    <d v="2023-07-10T00:00:00"/>
    <d v="2023-08-01T00:00:00"/>
    <x v="2"/>
    <x v="10"/>
    <x v="33"/>
    <s v="Consumer"/>
    <s v="Marketplace"/>
    <s v="B. Chen"/>
    <s v="Printers"/>
    <s v="PRN-1504"/>
    <n v="1303.56"/>
    <n v="1791.37"/>
    <n v="1791.37"/>
    <s v="High"/>
    <n v="0.126"/>
    <n v="0.126"/>
    <n v="22"/>
    <s v="OK"/>
    <d v="2023-08-01T00:00:00"/>
    <n v="22"/>
    <n v="34444.462359999998"/>
    <n v="28678.32"/>
    <n v="5766.142359999998"/>
    <n v="0.16740404596055358"/>
    <s v="Q3-2023"/>
    <s v="Printers"/>
    <s v="Printers"/>
    <x v="1"/>
    <s v="Late"/>
    <n v="0.126"/>
    <n v="1433.9160000000002"/>
    <n v="24.200000000000003"/>
    <n v="37888.908596000001"/>
    <n v="34700.767200000009"/>
    <n v="3188.1413959999918"/>
  </r>
  <r>
    <s v="ORD-2023-594700"/>
    <d v="2023-07-18T00:00:00"/>
    <d v="2023-07-22T00:00:00"/>
    <x v="0"/>
    <x v="0"/>
    <x v="17"/>
    <s v="Consumer"/>
    <s v="Direct"/>
    <s v="F. Müller"/>
    <s v="Networking"/>
    <s v="NET-1699"/>
    <n v="1269.55"/>
    <n v="2071.1"/>
    <n v="2071.1"/>
    <s v="High"/>
    <n v="0.129"/>
    <n v="0.129"/>
    <n v="22"/>
    <s v="OK"/>
    <d v="2023-07-22T00:00:00"/>
    <n v="4"/>
    <n v="39686.4182"/>
    <n v="27930.1"/>
    <n v="11756.318200000002"/>
    <n v="0.29623026549672354"/>
    <s v="Q3-2023"/>
    <s v="Networking"/>
    <s v="Networking"/>
    <x v="1"/>
    <s v="On-time"/>
    <n v="0.129"/>
    <n v="1396.5050000000001"/>
    <n v="24.200000000000003"/>
    <n v="43655.060020000004"/>
    <n v="33795.421000000009"/>
    <n v="9859.6390199999951"/>
  </r>
  <r>
    <s v="ORD-2023-109927"/>
    <d v="2023-07-22T00:00:00"/>
    <d v="2023-07-21T00:00:00"/>
    <x v="3"/>
    <x v="4"/>
    <x v="6"/>
    <s v="Small Business"/>
    <s v="Distributor"/>
    <s v="E. Garcia"/>
    <s v="Printers"/>
    <s v="PRN-2301"/>
    <n v="946.99"/>
    <n v="2132.19"/>
    <n v="2132.19"/>
    <s v="High"/>
    <n v="0.16500000000000001"/>
    <n v="0.16500000000000001"/>
    <n v="7"/>
    <s v="Correct"/>
    <d v="2023-07-29T00:00:00"/>
    <n v="7"/>
    <n v="12462.65055"/>
    <n v="6628.93"/>
    <n v="5833.72055"/>
    <n v="0.46809629513362228"/>
    <s v="Q3-2023"/>
    <s v="Printers"/>
    <s v="Printers"/>
    <x v="1"/>
    <s v="On-time"/>
    <n v="0.16500000000000001"/>
    <n v="1041.6890000000001"/>
    <n v="7.7000000000000011"/>
    <n v="13708.915605"/>
    <n v="8021.0053000000016"/>
    <n v="5687.9103049999985"/>
  </r>
  <r>
    <s v="ORD-2023-825836"/>
    <d v="2023-07-19T00:00:00"/>
    <d v="2023-07-31T00:00:00"/>
    <x v="0"/>
    <x v="0"/>
    <x v="0"/>
    <s v="Corporate"/>
    <s v="Retail"/>
    <s v="C. Otieno"/>
    <s v="Monitors"/>
    <s v="MON-7869"/>
    <n v="1334.64"/>
    <n v="2273.42"/>
    <n v="2273.42"/>
    <s v="High"/>
    <n v="0.11799999999999999"/>
    <n v="0.11799999999999999"/>
    <n v="14"/>
    <s v="OK"/>
    <d v="2023-07-31T00:00:00"/>
    <n v="12"/>
    <n v="28072.190160000002"/>
    <n v="18684.960000000003"/>
    <n v="9387.2301599999992"/>
    <n v="0.33439607335575267"/>
    <s v="Q3-2023"/>
    <s v="Monitors"/>
    <s v="Monitors"/>
    <x v="1"/>
    <s v="Late"/>
    <n v="0.11799999999999999"/>
    <n v="1468.1040000000003"/>
    <n v="15.400000000000002"/>
    <n v="30879.409176000005"/>
    <n v="22608.801600000006"/>
    <n v="8270.6075759999985"/>
  </r>
  <r>
    <s v="ORD-2023-569862"/>
    <d v="2023-07-16T00:00:00"/>
    <d v="2023-08-13T00:00:00"/>
    <x v="2"/>
    <x v="2"/>
    <x v="26"/>
    <s v="Non-Profit"/>
    <s v="Online"/>
    <s v="J. Njeri"/>
    <s v="Laptops"/>
    <s v="LAP-1178"/>
    <n v="1039.03"/>
    <n v="2545.81"/>
    <n v="2545.81"/>
    <s v="High"/>
    <n v="0.216"/>
    <n v="0.216"/>
    <n v="21"/>
    <s v="OK"/>
    <d v="2023-08-13T00:00:00"/>
    <n v="28"/>
    <n v="41914.215840000004"/>
    <n v="21819.63"/>
    <n v="20094.585840000003"/>
    <n v="0.47942172929364774"/>
    <s v="Q3-2023"/>
    <s v="Laptops"/>
    <s v="Laptops"/>
    <x v="0"/>
    <s v="Late"/>
    <n v="0.2"/>
    <n v="1142.933"/>
    <n v="23.1"/>
    <n v="47046.568800000008"/>
    <n v="26401.7523"/>
    <n v="20644.816500000008"/>
  </r>
  <r>
    <s v="ORD-2023-290237"/>
    <d v="2023-07-30T00:00:00"/>
    <d v="2023-08-07T00:00:00"/>
    <x v="3"/>
    <x v="5"/>
    <x v="7"/>
    <s v="Education"/>
    <s v="Marketplace"/>
    <s v="A. Patel"/>
    <s v="Networking"/>
    <s v="NET-1645"/>
    <n v="1352.44"/>
    <n v="2698.01"/>
    <n v="2698.01"/>
    <s v="High"/>
    <n v="0.13100000000000001"/>
    <n v="0.13100000000000001"/>
    <n v="13"/>
    <s v="OK"/>
    <d v="2023-08-07T00:00:00"/>
    <n v="8"/>
    <n v="30479.418970000002"/>
    <n v="17581.72"/>
    <n v="12897.698970000001"/>
    <n v="0.42316091992090887"/>
    <s v="Q3-2023"/>
    <s v="Networking"/>
    <s v="Networking"/>
    <x v="1"/>
    <s v="Late"/>
    <n v="0.13100000000000001"/>
    <n v="1487.6840000000002"/>
    <n v="14.3"/>
    <n v="33527.360867000003"/>
    <n v="21273.881200000003"/>
    <n v="12253.479667"/>
  </r>
  <r>
    <s v="ORD-2023-451931"/>
    <d v="2023-07-30T00:00:00"/>
    <d v="2023-08-19T00:00:00"/>
    <x v="2"/>
    <x v="10"/>
    <x v="29"/>
    <s v="Enterprise"/>
    <s v="Marketplace"/>
    <s v="G. Dubois"/>
    <s v="Networking"/>
    <s v="NET-5423"/>
    <n v="1418.51"/>
    <n v="2789.61"/>
    <n v="2789.61"/>
    <s v="High"/>
    <n v="0.17100000000000001"/>
    <n v="0.17100000000000001"/>
    <n v="8"/>
    <s v="OK"/>
    <d v="2023-08-19T00:00:00"/>
    <n v="20"/>
    <n v="18500.693520000001"/>
    <n v="11348.08"/>
    <n v="7152.6135200000008"/>
    <n v="0.38661326464695689"/>
    <s v="Q3-2023"/>
    <s v="Networking"/>
    <s v="Networking"/>
    <x v="1"/>
    <s v="Late"/>
    <n v="0.17100000000000001"/>
    <n v="1560.3610000000001"/>
    <n v="8.8000000000000007"/>
    <n v="20350.762872000003"/>
    <n v="13731.176800000003"/>
    <n v="6619.5860720000001"/>
  </r>
  <r>
    <s v="ORD-2023-286720"/>
    <d v="2023-07-08T00:00:00"/>
    <d v="2023-07-09T00:00:00"/>
    <x v="1"/>
    <x v="1"/>
    <x v="2"/>
    <s v="Consumer"/>
    <s v="Online"/>
    <s v="D. Smith"/>
    <s v="Laptops"/>
    <s v="LAP-1989"/>
    <n v="1258.72"/>
    <n v="2797.41"/>
    <n v="2797.41"/>
    <s v="High"/>
    <n v="0"/>
    <n v="0"/>
    <n v="7"/>
    <s v="OK"/>
    <d v="2023-07-09T00:00:00"/>
    <n v="1"/>
    <n v="19581.87"/>
    <n v="8811.0400000000009"/>
    <n v="10770.829999999998"/>
    <n v="0.55004093071805704"/>
    <s v="Q3-2023"/>
    <s v="Laptops"/>
    <s v="Laptops"/>
    <x v="1"/>
    <s v="On-time"/>
    <n v="0"/>
    <n v="1384.5920000000001"/>
    <n v="7.7000000000000011"/>
    <n v="21540.057000000001"/>
    <n v="10661.358400000003"/>
    <n v="10878.698599999998"/>
  </r>
  <r>
    <s v="ORD-2025-649239"/>
    <d v="2025-01-17T00:00:00"/>
    <d v="2025-01-24T00:00:00"/>
    <x v="0"/>
    <x v="9"/>
    <x v="13"/>
    <s v="Enterprise"/>
    <s v="Online"/>
    <s v="G. Dubois"/>
    <s v="Accessories"/>
    <s v="ACC-4511"/>
    <n v="142.09"/>
    <n v="218.5"/>
    <n v="218.5"/>
    <s v="Low"/>
    <n v="0.11899999999999999"/>
    <n v="0.11899999999999999"/>
    <n v="11"/>
    <s v="OK"/>
    <d v="2025-01-24T00:00:00"/>
    <n v="7"/>
    <n v="2117.4834999999998"/>
    <n v="1562.99"/>
    <n v="554.49349999999981"/>
    <n v="0.26186437816398561"/>
    <s v="Q1-2025"/>
    <s v="Accessories"/>
    <s v="Accessories"/>
    <x v="1"/>
    <s v="On-time"/>
    <n v="0.11899999999999999"/>
    <n v="156.29900000000001"/>
    <n v="12.100000000000001"/>
    <n v="2329.2318500000001"/>
    <n v="1891.2179000000003"/>
    <n v="438.0139499999998"/>
  </r>
  <r>
    <s v="ORD-2025-415018"/>
    <d v="2025-01-22T00:00:00"/>
    <d v="2025-02-04T00:00:00"/>
    <x v="3"/>
    <x v="5"/>
    <x v="8"/>
    <s v="Small Business"/>
    <s v="Distributor"/>
    <s v="L. Okafor"/>
    <s v="Printers"/>
    <s v="PRN-2991"/>
    <n v="122.29"/>
    <n v="224.95"/>
    <n v="224.95"/>
    <s v="Low"/>
    <n v="0.153"/>
    <n v="0.153"/>
    <n v="28"/>
    <s v="OK"/>
    <d v="2025-02-04T00:00:00"/>
    <n v="13"/>
    <n v="5334.9141999999993"/>
    <n v="3424.1200000000003"/>
    <n v="1910.7941999999989"/>
    <n v="0.3581677471026618"/>
    <s v="Q1-2025"/>
    <s v="Printers"/>
    <s v="Printers"/>
    <x v="1"/>
    <s v="Late"/>
    <n v="0.153"/>
    <n v="134.51900000000001"/>
    <n v="30.800000000000004"/>
    <n v="5868.4056200000005"/>
    <n v="4143.1852000000008"/>
    <n v="1725.2204199999996"/>
  </r>
  <r>
    <s v="ORD-2025-653781"/>
    <d v="2025-01-11T00:00:00"/>
    <d v="2025-01-23T00:00:00"/>
    <x v="0"/>
    <x v="9"/>
    <x v="13"/>
    <s v="Consumer"/>
    <s v="Distributor"/>
    <s v="H. Kim"/>
    <s v="Phones"/>
    <s v="PHN-6307"/>
    <n v="100.69"/>
    <n v="226.14"/>
    <n v="226.14"/>
    <s v="Low"/>
    <n v="6.5000000000000002E-2"/>
    <n v="6.5000000000000002E-2"/>
    <n v="12"/>
    <s v="OK"/>
    <d v="2025-01-23T00:00:00"/>
    <n v="12"/>
    <n v="2537.2908000000002"/>
    <n v="1208.28"/>
    <n v="1329.0108000000002"/>
    <n v="0.52379128162999689"/>
    <s v="Q1-2025"/>
    <s v="Phones"/>
    <s v="Phones"/>
    <x v="1"/>
    <s v="Late"/>
    <n v="6.5000000000000002E-2"/>
    <n v="110.759"/>
    <n v="13.200000000000001"/>
    <n v="2791.0198800000003"/>
    <n v="1462.0188000000001"/>
    <n v="1329.0010800000002"/>
  </r>
  <r>
    <s v="ORD-2025-578007"/>
    <d v="2025-01-21T00:00:00"/>
    <d v="2025-02-16T00:00:00"/>
    <x v="2"/>
    <x v="10"/>
    <x v="24"/>
    <s v="Corporate"/>
    <s v="Distributor"/>
    <s v="O. Wang"/>
    <s v="Laptops"/>
    <s v="LAP-3779"/>
    <n v="204.11"/>
    <n v="236.87"/>
    <n v="236.87"/>
    <s v="Low"/>
    <n v="0.182"/>
    <n v="0.182"/>
    <n v="13"/>
    <s v="OK"/>
    <d v="2025-02-16T00:00:00"/>
    <n v="26"/>
    <n v="2518.8755800000004"/>
    <n v="2653.4300000000003"/>
    <n v="-134.55441999999994"/>
    <n v="-5.3418446337075494E-2"/>
    <s v="Q1-2025"/>
    <s v="Laptops"/>
    <s v="Laptops"/>
    <x v="1"/>
    <s v="Late"/>
    <n v="0.182"/>
    <n v="224.52100000000004"/>
    <n v="14.3"/>
    <n v="2770.7631380000007"/>
    <n v="3210.6503000000007"/>
    <n v="-439.88716199999999"/>
  </r>
  <r>
    <s v="ORD-2025-354346"/>
    <d v="2025-01-09T00:00:00"/>
    <d v="2025-01-15T00:00:00"/>
    <x v="3"/>
    <x v="7"/>
    <x v="11"/>
    <s v="Education"/>
    <s v="Online"/>
    <s v="C. Otieno"/>
    <s v="Phones"/>
    <s v="PHN-2875"/>
    <n v="304.77999999999997"/>
    <n v="537.27"/>
    <n v="537.27"/>
    <s v="Low"/>
    <n v="0.187"/>
    <n v="0.187"/>
    <n v="8"/>
    <s v="OK"/>
    <d v="2025-01-15T00:00:00"/>
    <n v="6"/>
    <n v="3494.4040799999998"/>
    <n v="2438.2399999999998"/>
    <n v="1056.16408"/>
    <n v="0.3022444044307549"/>
    <s v="Q1-2025"/>
    <s v="Phones"/>
    <s v="Phones"/>
    <x v="1"/>
    <s v="On-time"/>
    <n v="0.187"/>
    <n v="335.25799999999998"/>
    <n v="8.8000000000000007"/>
    <n v="3843.8444880000002"/>
    <n v="2950.2703999999999"/>
    <n v="893.5740880000003"/>
  </r>
  <r>
    <s v="ORD-2025-192876"/>
    <d v="2025-01-31T00:00:00"/>
    <d v="2025-02-17T00:00:00"/>
    <x v="2"/>
    <x v="2"/>
    <x v="3"/>
    <s v="Enterprise"/>
    <s v="Retail"/>
    <s v="H. Kim"/>
    <s v="Components"/>
    <s v="CMP-5820"/>
    <n v="378.26"/>
    <n v="541.55999999999995"/>
    <n v="541.55999999999995"/>
    <s v="Low"/>
    <n v="0.16300000000000001"/>
    <n v="0.16300000000000001"/>
    <n v="25"/>
    <s v="OK"/>
    <d v="2025-02-17T00:00:00"/>
    <n v="17"/>
    <n v="11332.142999999998"/>
    <n v="9456.5"/>
    <n v="1875.6429999999982"/>
    <n v="0.16551529573885526"/>
    <s v="Q1-2025"/>
    <s v="Components"/>
    <s v="Components"/>
    <x v="1"/>
    <s v="Late"/>
    <n v="0.16300000000000001"/>
    <n v="416.08600000000001"/>
    <n v="27.500000000000004"/>
    <n v="12465.3573"/>
    <n v="11442.365000000002"/>
    <n v="1022.9922999999981"/>
  </r>
  <r>
    <s v="ORD-2025-939953"/>
    <d v="2025-01-22T00:00:00"/>
    <d v="2025-01-22T00:00:00"/>
    <x v="2"/>
    <x v="10"/>
    <x v="24"/>
    <s v="Small Business"/>
    <s v="Online"/>
    <s v="B. Chen"/>
    <s v="Accessories"/>
    <s v="ACC-5422"/>
    <n v="591.72"/>
    <n v="577.24"/>
    <n v="577.24"/>
    <s v="Low"/>
    <n v="0"/>
    <n v="0"/>
    <n v="22"/>
    <s v="OK"/>
    <d v="2025-01-22T00:00:00"/>
    <n v="0"/>
    <n v="12699.28"/>
    <n v="13017.84"/>
    <n v="-318.55999999999949"/>
    <n v="-2.5084886702238195E-2"/>
    <s v="Q1-2025"/>
    <s v="Accessories"/>
    <s v="Accessories"/>
    <x v="1"/>
    <s v="On-time"/>
    <n v="0"/>
    <n v="650.89200000000005"/>
    <n v="24.200000000000003"/>
    <n v="13969.208000000002"/>
    <n v="15751.586400000004"/>
    <n v="-1782.3784000000014"/>
  </r>
  <r>
    <s v="ORD-2025-515515"/>
    <d v="2025-01-03T00:00:00"/>
    <d v="2025-01-23T00:00:00"/>
    <x v="3"/>
    <x v="5"/>
    <x v="9"/>
    <s v="Corporate"/>
    <s v="Distributor"/>
    <s v="F. Müller"/>
    <s v="Phones"/>
    <s v="PHN-7019"/>
    <n v="908.6"/>
    <n v="691.37"/>
    <n v="691.37"/>
    <s v="Middle"/>
    <n v="0.25"/>
    <n v="0.25"/>
    <n v="20"/>
    <s v="OK"/>
    <d v="2025-01-23T00:00:00"/>
    <n v="20"/>
    <n v="10370.549999999999"/>
    <n v="18172"/>
    <n v="-7801.4500000000007"/>
    <n v="-0.75226964818645115"/>
    <s v="Q1-2025"/>
    <s v="Phones"/>
    <s v="Phones"/>
    <x v="0"/>
    <s v="Late"/>
    <n v="0.2"/>
    <n v="999.46000000000015"/>
    <n v="22"/>
    <n v="12168.112000000001"/>
    <n v="21988.120000000003"/>
    <n v="-9820.0080000000016"/>
  </r>
  <r>
    <s v="ORD-2025-909340"/>
    <d v="2025-01-20T00:00:00"/>
    <d v="2025-02-03T00:00:00"/>
    <x v="0"/>
    <x v="0"/>
    <x v="1"/>
    <s v="Enterprise"/>
    <s v="Marketplace"/>
    <s v="F. Müller"/>
    <s v="Components"/>
    <s v="CMP-8658"/>
    <n v="974.11"/>
    <n v="880.99"/>
    <n v="880.99"/>
    <s v="Middle"/>
    <n v="0.111"/>
    <n v="0.111"/>
    <n v="10"/>
    <s v="OK"/>
    <d v="2025-02-03T00:00:00"/>
    <n v="14"/>
    <n v="7832.0010999999995"/>
    <n v="9741.1"/>
    <n v="-1909.0989000000009"/>
    <n v="-0.2437562093805121"/>
    <s v="Q1-2025"/>
    <s v="Components"/>
    <s v="Components"/>
    <x v="1"/>
    <s v="Late"/>
    <n v="0.111"/>
    <n v="1071.5210000000002"/>
    <n v="11"/>
    <n v="8615.2012099999993"/>
    <n v="11786.731000000002"/>
    <n v="-3171.5297900000023"/>
  </r>
  <r>
    <s v="ORD-2025-542939"/>
    <d v="2025-01-13T00:00:00"/>
    <d v="2025-02-08T00:00:00"/>
    <x v="2"/>
    <x v="10"/>
    <x v="29"/>
    <s v="Non-Profit"/>
    <s v="Unspecified"/>
    <s v="E. Garcia"/>
    <s v="Monitors"/>
    <s v="MON-1593"/>
    <n v="594.74"/>
    <n v="1020.69"/>
    <n v="1020.69"/>
    <s v="Middle"/>
    <n v="0.21099999999999999"/>
    <n v="0.21099999999999999"/>
    <n v="6"/>
    <s v="OK"/>
    <d v="2025-02-08T00:00:00"/>
    <n v="26"/>
    <n v="4831.9464600000001"/>
    <n v="3568.44"/>
    <n v="1263.5064600000001"/>
    <n v="0.26149016146176424"/>
    <s v="Q1-2025"/>
    <s v="Monitors"/>
    <s v="Monitors"/>
    <x v="0"/>
    <s v="Late"/>
    <n v="0.2"/>
    <n v="654.21400000000006"/>
    <n v="6.6000000000000005"/>
    <n v="5389.2432000000008"/>
    <n v="4317.8124000000007"/>
    <n v="1071.4308000000001"/>
  </r>
  <r>
    <s v="ORD-2025-636162"/>
    <d v="2025-01-07T00:00:00"/>
    <d v="2025-01-20T00:00:00"/>
    <x v="1"/>
    <x v="6"/>
    <x v="15"/>
    <s v="Corporate"/>
    <s v="Direct"/>
    <s v="K. Singh"/>
    <s v="Networking"/>
    <s v="NET-7901"/>
    <n v="432.13"/>
    <n v="1034.6600000000001"/>
    <n v="1034.6600000000001"/>
    <s v="Middle"/>
    <n v="9.1999999999999998E-2"/>
    <n v="9.1999999999999998E-2"/>
    <n v="7"/>
    <s v="OK"/>
    <d v="2025-01-20T00:00:00"/>
    <n v="13"/>
    <n v="6576.298960000001"/>
    <n v="3024.91"/>
    <n v="3551.3889600000011"/>
    <n v="0.54002851476204794"/>
    <s v="Q1-2025"/>
    <s v="Networking"/>
    <s v="Networking"/>
    <x v="1"/>
    <s v="Late"/>
    <n v="9.1999999999999998E-2"/>
    <n v="475.34300000000002"/>
    <n v="7.7000000000000011"/>
    <n v="7233.9288560000014"/>
    <n v="3660.1411000000007"/>
    <n v="3573.7877560000006"/>
  </r>
  <r>
    <s v="ORD-2025-149156"/>
    <d v="2025-01-10T00:00:00"/>
    <d v="2025-02-06T00:00:00"/>
    <x v="0"/>
    <x v="0"/>
    <x v="1"/>
    <s v="Non-Profit"/>
    <s v="Retail"/>
    <s v="B. Chen"/>
    <s v="Laptops"/>
    <s v="LAP-7353"/>
    <n v="725.62"/>
    <n v="1559.19"/>
    <n v="1559.19"/>
    <s v="High"/>
    <n v="0.19"/>
    <n v="0.19"/>
    <n v="12"/>
    <s v="OK"/>
    <d v="2025-02-06T00:00:00"/>
    <n v="27"/>
    <n v="15155.326800000001"/>
    <n v="8707.44"/>
    <n v="6447.8868000000002"/>
    <n v="0.42545349797405885"/>
    <s v="Q1-2025"/>
    <s v="Laptops"/>
    <s v="Laptops"/>
    <x v="1"/>
    <s v="Late"/>
    <n v="0.19"/>
    <n v="798.18200000000002"/>
    <n v="13.200000000000001"/>
    <n v="16670.859480000003"/>
    <n v="10536.002400000001"/>
    <n v="6134.8570800000016"/>
  </r>
  <r>
    <s v="ORD-2025-146850"/>
    <d v="2025-01-21T00:00:00"/>
    <d v="2025-02-14T00:00:00"/>
    <x v="1"/>
    <x v="1"/>
    <x v="2"/>
    <s v="Small Business"/>
    <s v="Retail"/>
    <s v="J. Njeri"/>
    <s v="Accessories"/>
    <s v="ACC-1659"/>
    <n v="1030.44"/>
    <n v="2562.84"/>
    <n v="2562.84"/>
    <s v="High"/>
    <n v="0.14799999999999999"/>
    <n v="0.14799999999999999"/>
    <n v="13"/>
    <s v="OK"/>
    <d v="2025-02-14T00:00:00"/>
    <n v="24"/>
    <n v="28386.015839999996"/>
    <n v="13395.720000000001"/>
    <n v="14990.295839999995"/>
    <n v="0.52808734852027039"/>
    <s v="Q1-2025"/>
    <s v="Accessories"/>
    <s v="Accessories"/>
    <x v="1"/>
    <s v="Late"/>
    <n v="0.14799999999999999"/>
    <n v="1133.4840000000002"/>
    <n v="14.3"/>
    <n v="31224.617424"/>
    <n v="16208.821200000002"/>
    <n v="15015.796223999998"/>
  </r>
  <r>
    <s v="ORD-2025-564184"/>
    <d v="2025-01-29T00:00:00"/>
    <d v="2025-02-06T00:00:00"/>
    <x v="1"/>
    <x v="1"/>
    <x v="16"/>
    <s v="Education"/>
    <s v="Retail"/>
    <s v="B. Chen"/>
    <s v="Phones"/>
    <s v="PHN-1671"/>
    <n v="1445.27"/>
    <n v="2691.45"/>
    <n v="2691.45"/>
    <s v="High"/>
    <n v="0"/>
    <n v="0"/>
    <n v="9"/>
    <s v="OK"/>
    <d v="2025-02-06T00:00:00"/>
    <n v="8"/>
    <n v="24223.05"/>
    <n v="13007.43"/>
    <n v="11215.619999999999"/>
    <n v="0.46301436028906351"/>
    <s v="Q1-2025"/>
    <s v="Phones"/>
    <s v="Phones"/>
    <x v="1"/>
    <s v="Late"/>
    <n v="0"/>
    <n v="1589.797"/>
    <n v="9.9"/>
    <n v="26645.355"/>
    <n v="15738.990300000001"/>
    <n v="10906.364699999998"/>
  </r>
  <r>
    <s v="ORD-2025-137394"/>
    <d v="2025-01-04T00:00:00"/>
    <d v="2025-01-05T00:00:00"/>
    <x v="3"/>
    <x v="4"/>
    <x v="6"/>
    <s v="Education"/>
    <s v="Retail"/>
    <s v="I. Johnson"/>
    <s v="Components"/>
    <s v="CMP-1156"/>
    <n v="1428.33"/>
    <n v="3028.05"/>
    <n v="3028.05"/>
    <s v="High"/>
    <n v="0"/>
    <n v="0"/>
    <n v="11"/>
    <s v="OK"/>
    <d v="2025-01-05T00:00:00"/>
    <n v="1"/>
    <n v="33308.550000000003"/>
    <n v="15711.63"/>
    <n v="17596.920000000006"/>
    <n v="0.52830039134096207"/>
    <s v="Q1-2025"/>
    <s v="Components"/>
    <s v="Components"/>
    <x v="1"/>
    <s v="On-time"/>
    <n v="0"/>
    <n v="1571.163"/>
    <n v="12.100000000000001"/>
    <n v="36639.405000000006"/>
    <n v="19011.072300000003"/>
    <n v="17628.332700000003"/>
  </r>
  <r>
    <s v="ORD-2025-328504"/>
    <d v="2025-01-27T00:00:00"/>
    <d v="2025-02-15T00:00:00"/>
    <x v="3"/>
    <x v="7"/>
    <x v="14"/>
    <s v="Non-Profit"/>
    <s v="Direct"/>
    <s v="L. Okafor"/>
    <s v="Phones"/>
    <s v="PHN-8368"/>
    <n v="1253.22"/>
    <n v="3104.71"/>
    <n v="3104.71"/>
    <s v="High"/>
    <n v="0"/>
    <n v="0"/>
    <n v="17"/>
    <s v="OK"/>
    <d v="2025-02-15T00:00:00"/>
    <n v="19"/>
    <n v="52780.07"/>
    <n v="21304.74"/>
    <n v="31475.329999999998"/>
    <n v="0.59634877331538205"/>
    <s v="Q1-2025"/>
    <s v="Phones"/>
    <s v="Phones"/>
    <x v="1"/>
    <s v="Late"/>
    <n v="0"/>
    <n v="1378.5420000000001"/>
    <n v="18.700000000000003"/>
    <n v="58058.077000000012"/>
    <n v="25778.735400000005"/>
    <n v="32279.341600000007"/>
  </r>
  <r>
    <s v="ORD-2024-838925"/>
    <d v="2024-01-28T00:00:00"/>
    <d v="2024-01-27T00:00:00"/>
    <x v="1"/>
    <x v="6"/>
    <x v="15"/>
    <s v="Enterprise"/>
    <s v="Direct"/>
    <s v="O. Wang"/>
    <s v="Components"/>
    <s v="CMP-1470"/>
    <n v="109.75"/>
    <n v="124.25"/>
    <n v="124.25"/>
    <s v="Low"/>
    <n v="0.12"/>
    <n v="0.12"/>
    <n v="19"/>
    <s v="Correct"/>
    <d v="2024-02-04T00:00:00"/>
    <n v="7"/>
    <n v="2077.46"/>
    <n v="2085.25"/>
    <n v="-7.7899999999999636"/>
    <n v="-3.7497713554051405E-3"/>
    <s v="Q1-2024"/>
    <s v="Components"/>
    <s v="Components"/>
    <x v="1"/>
    <s v="On-time"/>
    <n v="0.12"/>
    <n v="120.72500000000001"/>
    <n v="20.900000000000002"/>
    <n v="2285.2060000000001"/>
    <n v="2523.1525000000006"/>
    <n v="-237.94650000000047"/>
  </r>
  <r>
    <s v="ORD-2024-851883"/>
    <d v="2024-01-13T00:00:00"/>
    <d v="2024-01-22T00:00:00"/>
    <x v="3"/>
    <x v="4"/>
    <x v="19"/>
    <s v="Enterprise"/>
    <s v="Marketplace"/>
    <s v="J. Njeri"/>
    <s v="Components"/>
    <s v="CMP-8141"/>
    <n v="313.60000000000002"/>
    <n v="334.28"/>
    <n v="334.28"/>
    <s v="Low"/>
    <n v="0.14000000000000001"/>
    <n v="0.14000000000000001"/>
    <n v="22"/>
    <s v="OK"/>
    <d v="2024-01-22T00:00:00"/>
    <n v="9"/>
    <n v="6324.5775999999996"/>
    <n v="6899.2000000000007"/>
    <n v="-574.62240000000111"/>
    <n v="-9.0855458868905517E-2"/>
    <s v="Q1-2024"/>
    <s v="Components"/>
    <s v="Components"/>
    <x v="1"/>
    <s v="Late"/>
    <n v="0.14000000000000001"/>
    <n v="344.96000000000004"/>
    <n v="24.200000000000003"/>
    <n v="6957.0353599999999"/>
    <n v="8348.0320000000011"/>
    <n v="-1390.9966400000012"/>
  </r>
  <r>
    <s v="ORD-2024-719055"/>
    <d v="2024-01-02T00:00:00"/>
    <d v="2024-01-01T00:00:00"/>
    <x v="0"/>
    <x v="9"/>
    <x v="30"/>
    <s v="Education"/>
    <s v="Marketplace"/>
    <s v="B. Chen"/>
    <s v="Networking"/>
    <s v="NET-4554"/>
    <n v="404.77"/>
    <n v="433.88"/>
    <n v="433.88"/>
    <s v="Low"/>
    <n v="0.215"/>
    <n v="0.215"/>
    <n v="22"/>
    <s v="Correct"/>
    <d v="2024-01-09T00:00:00"/>
    <n v="7"/>
    <n v="7493.1076000000012"/>
    <n v="8904.9399999999987"/>
    <n v="-1411.8323999999975"/>
    <n v="-0.18841747314558746"/>
    <s v="Q1-2024"/>
    <s v="Networking"/>
    <s v="Networking"/>
    <x v="0"/>
    <s v="On-time"/>
    <n v="0.2"/>
    <n v="445.24700000000001"/>
    <n v="24.200000000000003"/>
    <n v="8399.9168000000009"/>
    <n v="10774.977400000002"/>
    <n v="-2375.0606000000007"/>
  </r>
  <r>
    <s v="ORD-2024-872291"/>
    <d v="2024-01-08T00:00:00"/>
    <d v="2024-01-12T00:00:00"/>
    <x v="3"/>
    <x v="4"/>
    <x v="23"/>
    <s v="Corporate"/>
    <s v="Direct"/>
    <s v="E. Garcia"/>
    <s v="Printers"/>
    <s v="PRN-6585"/>
    <n v="802.32"/>
    <n v="602.34"/>
    <n v="602.34"/>
    <s v="Middle"/>
    <n v="0.12"/>
    <n v="0.12"/>
    <n v="25"/>
    <s v="OK"/>
    <d v="2024-01-12T00:00:00"/>
    <n v="4"/>
    <n v="13251.48"/>
    <n v="20058"/>
    <n v="-6806.52"/>
    <n v="-0.51364224977134632"/>
    <s v="Q1-2024"/>
    <s v="Printers"/>
    <s v="Printers"/>
    <x v="1"/>
    <s v="On-time"/>
    <n v="0.12"/>
    <n v="882.55200000000013"/>
    <n v="27.500000000000004"/>
    <n v="14576.628000000002"/>
    <n v="24270.180000000008"/>
    <n v="-9693.5520000000051"/>
  </r>
  <r>
    <s v="ORD-2024-153053"/>
    <d v="2024-01-12T00:00:00"/>
    <d v="2024-01-29T00:00:00"/>
    <x v="3"/>
    <x v="4"/>
    <x v="31"/>
    <s v="Small Business"/>
    <s v="Direct"/>
    <s v="B. Chen"/>
    <s v="Components"/>
    <s v="CMP-5138"/>
    <n v="310.02"/>
    <n v="619.51"/>
    <n v="619.51"/>
    <s v="Middle"/>
    <n v="4.2000000000000003E-2"/>
    <n v="4.2000000000000003E-2"/>
    <n v="4"/>
    <s v="OK"/>
    <d v="2024-01-29T00:00:00"/>
    <n v="17"/>
    <n v="2373.9623200000001"/>
    <n v="1240.08"/>
    <n v="1133.8823200000002"/>
    <n v="0.47763282106347843"/>
    <s v="Q1-2024"/>
    <s v="Components"/>
    <s v="Components"/>
    <x v="1"/>
    <s v="Late"/>
    <n v="4.2000000000000003E-2"/>
    <n v="341.02199999999999"/>
    <n v="4.4000000000000004"/>
    <n v="2611.3585520000001"/>
    <n v="1500.4968000000001"/>
    <n v="1110.861752"/>
  </r>
  <r>
    <s v="ORD-2024-999607"/>
    <d v="2024-01-12T00:00:00"/>
    <d v="2024-01-29T00:00:00"/>
    <x v="0"/>
    <x v="9"/>
    <x v="30"/>
    <s v="Education"/>
    <s v="Distributor"/>
    <s v="A. Patel"/>
    <s v="Printers"/>
    <s v="PRN-8604"/>
    <n v="493.76"/>
    <n v="625.04"/>
    <n v="625.04"/>
    <s v="Middle"/>
    <n v="0.25800000000000001"/>
    <n v="0.25800000000000001"/>
    <n v="10"/>
    <s v="OK"/>
    <d v="2024-01-29T00:00:00"/>
    <n v="17"/>
    <n v="4637.7968000000001"/>
    <n v="4937.6000000000004"/>
    <n v="-299.80320000000029"/>
    <n v="-6.464345311549663E-2"/>
    <s v="Q1-2024"/>
    <s v="Printers"/>
    <s v="Printers"/>
    <x v="0"/>
    <s v="Late"/>
    <n v="0.2"/>
    <n v="543.13600000000008"/>
    <n v="11"/>
    <n v="5500.3519999999999"/>
    <n v="5974.496000000001"/>
    <n v="-474.14400000000114"/>
  </r>
  <r>
    <s v="ORD-2024-210687"/>
    <d v="2024-01-28T00:00:00"/>
    <d v="2024-02-09T00:00:00"/>
    <x v="2"/>
    <x v="11"/>
    <x v="36"/>
    <s v="Corporate"/>
    <s v="Online"/>
    <s v="G. Dubois"/>
    <s v="Accessories"/>
    <s v="ACC-7938"/>
    <n v="644.16999999999996"/>
    <n v="700.12"/>
    <n v="700.12"/>
    <s v="Middle"/>
    <n v="6.0000000000000001E-3"/>
    <n v="6.0000000000000001E-3"/>
    <n v="23"/>
    <s v="OK"/>
    <d v="2024-02-09T00:00:00"/>
    <n v="12"/>
    <n v="16006.14344"/>
    <n v="14815.91"/>
    <n v="1190.23344"/>
    <n v="7.436103796405813E-2"/>
    <s v="Q1-2024"/>
    <s v="Accessories"/>
    <s v="Accessories"/>
    <x v="1"/>
    <s v="Late"/>
    <n v="6.0000000000000001E-3"/>
    <n v="708.58699999999999"/>
    <n v="25.3"/>
    <n v="17606.757784000001"/>
    <n v="17927.251100000001"/>
    <n v="-320.49331600000005"/>
  </r>
  <r>
    <s v="ORD-2024-355095"/>
    <d v="2024-01-02T00:00:00"/>
    <d v="2024-01-02T00:00:00"/>
    <x v="0"/>
    <x v="3"/>
    <x v="18"/>
    <s v="Education"/>
    <s v="Direct"/>
    <s v="A. Patel"/>
    <s v="Laptops"/>
    <s v="LAP-3581"/>
    <n v="444.41"/>
    <n v="754.24"/>
    <n v="754.24"/>
    <s v="Middle"/>
    <n v="0.20699999999999999"/>
    <n v="0.20699999999999999"/>
    <n v="32"/>
    <s v="OK"/>
    <d v="2024-01-02T00:00:00"/>
    <n v="0"/>
    <n v="19139.594240000002"/>
    <n v="14221.12"/>
    <n v="4918.4742400000014"/>
    <n v="0.25697902360546598"/>
    <s v="Q1-2024"/>
    <s v="Laptops"/>
    <s v="Laptops"/>
    <x v="0"/>
    <s v="On-time"/>
    <n v="0.2"/>
    <n v="488.85100000000006"/>
    <n v="35.200000000000003"/>
    <n v="21239.398400000005"/>
    <n v="17207.555200000003"/>
    <n v="4031.843200000003"/>
  </r>
  <r>
    <s v="ORD-2024-749242"/>
    <d v="2024-01-16T00:00:00"/>
    <d v="2024-02-11T00:00:00"/>
    <x v="2"/>
    <x v="11"/>
    <x v="34"/>
    <s v="Non-Profit"/>
    <s v="Distributor"/>
    <s v="E. Garcia"/>
    <s v="Monitors"/>
    <s v="MON-4195"/>
    <n v="504.93"/>
    <n v="819.06"/>
    <n v="819.06"/>
    <s v="Middle"/>
    <n v="0.22600000000000001"/>
    <n v="0.22600000000000001"/>
    <n v="15"/>
    <s v="OK"/>
    <d v="2024-02-11T00:00:00"/>
    <n v="26"/>
    <n v="9509.2865999999995"/>
    <n v="7573.95"/>
    <n v="1935.3365999999996"/>
    <n v="0.20352069312959814"/>
    <s v="Q1-2024"/>
    <s v="Monitors"/>
    <s v="Monitors"/>
    <x v="0"/>
    <s v="Late"/>
    <n v="0.2"/>
    <n v="555.423"/>
    <n v="16.5"/>
    <n v="10811.592000000001"/>
    <n v="9164.4794999999995"/>
    <n v="1647.1125000000011"/>
  </r>
  <r>
    <s v="ORD-2024-885858"/>
    <d v="2024-01-10T00:00:00"/>
    <d v="2024-01-23T00:00:00"/>
    <x v="2"/>
    <x v="10"/>
    <x v="33"/>
    <s v="Corporate"/>
    <s v="Direct"/>
    <s v="A. Patel"/>
    <s v="Printers"/>
    <s v="PRN-6776"/>
    <n v="720"/>
    <n v="907.59"/>
    <n v="907.59"/>
    <s v="Middle"/>
    <n v="0.154"/>
    <n v="0.154"/>
    <n v="10"/>
    <s v="OK"/>
    <d v="2024-01-23T00:00:00"/>
    <n v="13"/>
    <n v="7678.2113999999992"/>
    <n v="7200"/>
    <n v="478.21139999999923"/>
    <n v="6.2281614179052078E-2"/>
    <s v="Q1-2024"/>
    <s v="Printers"/>
    <s v="Printers"/>
    <x v="1"/>
    <s v="Late"/>
    <n v="0.154"/>
    <n v="792.00000000000011"/>
    <n v="11"/>
    <n v="8446.0325400000002"/>
    <n v="8712.0000000000018"/>
    <n v="-265.96746000000167"/>
  </r>
  <r>
    <s v="ORD-2024-532184"/>
    <d v="2024-01-25T00:00:00"/>
    <d v="2024-02-08T00:00:00"/>
    <x v="3"/>
    <x v="5"/>
    <x v="9"/>
    <s v="Consumer"/>
    <s v="Marketplace"/>
    <s v="I. Johnson"/>
    <s v="Networking"/>
    <s v="NET-9569"/>
    <n v="937.16"/>
    <n v="1069.77"/>
    <n v="1069.77"/>
    <s v="Middle"/>
    <n v="3.7999999999999999E-2"/>
    <n v="3.7999999999999999E-2"/>
    <n v="9"/>
    <s v="OK"/>
    <d v="2024-02-08T00:00:00"/>
    <n v="14"/>
    <n v="9262.0686600000008"/>
    <n v="8434.44"/>
    <n v="827.62866000000031"/>
    <n v="8.9356783066645962E-2"/>
    <s v="Q1-2024"/>
    <s v="Networking"/>
    <s v="Networking"/>
    <x v="1"/>
    <s v="Late"/>
    <n v="3.7999999999999999E-2"/>
    <n v="1030.876"/>
    <n v="9.9"/>
    <n v="10188.275525999999"/>
    <n v="10205.672399999999"/>
    <n v="-17.396874000000025"/>
  </r>
  <r>
    <s v="ORD-2024-604471"/>
    <d v="2024-01-21T00:00:00"/>
    <d v="2024-01-25T00:00:00"/>
    <x v="3"/>
    <x v="4"/>
    <x v="6"/>
    <s v="Consumer"/>
    <s v="Direct"/>
    <s v="C. Otieno"/>
    <s v="Monitors"/>
    <s v="MON-8973"/>
    <n v="523.70000000000005"/>
    <n v="1109.92"/>
    <n v="1109.92"/>
    <s v="Middle"/>
    <n v="0.03"/>
    <n v="0.03"/>
    <n v="11"/>
    <s v="OK"/>
    <d v="2024-01-25T00:00:00"/>
    <n v="4"/>
    <n v="11842.8464"/>
    <n v="5760.7000000000007"/>
    <n v="6082.1463999999996"/>
    <n v="0.51357133197302973"/>
    <s v="Q1-2024"/>
    <s v="Monitors"/>
    <s v="Monitors"/>
    <x v="1"/>
    <s v="On-time"/>
    <n v="0.03"/>
    <n v="576.07000000000005"/>
    <n v="12.100000000000001"/>
    <n v="13027.131040000002"/>
    <n v="6970.447000000001"/>
    <n v="6056.684040000001"/>
  </r>
  <r>
    <s v="ORD-2024-207669"/>
    <d v="2024-01-24T00:00:00"/>
    <d v="2024-02-04T00:00:00"/>
    <x v="2"/>
    <x v="2"/>
    <x v="26"/>
    <s v="Consumer"/>
    <s v="Retail"/>
    <s v="B. Chen"/>
    <s v="Laptops"/>
    <s v="LAP-5689"/>
    <n v="525.34"/>
    <n v="1233.79"/>
    <n v="1233.79"/>
    <s v="High"/>
    <n v="0.14299999999999999"/>
    <n v="0.14299999999999999"/>
    <n v="4"/>
    <s v="OK"/>
    <d v="2024-02-04T00:00:00"/>
    <n v="11"/>
    <n v="4229.4321199999995"/>
    <n v="2101.36"/>
    <n v="2128.0721199999994"/>
    <n v="0.50315788494082736"/>
    <s v="Q1-2024"/>
    <s v="Laptops"/>
    <s v="Laptops"/>
    <x v="1"/>
    <s v="Late"/>
    <n v="0.14299999999999999"/>
    <n v="577.87400000000014"/>
    <n v="4.4000000000000004"/>
    <n v="4652.3753320000005"/>
    <n v="2542.6456000000007"/>
    <n v="2109.7297319999998"/>
  </r>
  <r>
    <s v="ORD-2024-921935"/>
    <d v="2024-01-01T00:00:00"/>
    <d v="2024-01-27T00:00:00"/>
    <x v="2"/>
    <x v="2"/>
    <x v="26"/>
    <s v="Education"/>
    <s v="Distributor"/>
    <s v="D. Smith"/>
    <s v="Accessories"/>
    <s v="ACC-3103"/>
    <n v="657.45"/>
    <n v="1325.96"/>
    <n v="1325.96"/>
    <s v="High"/>
    <n v="0.16700000000000001"/>
    <n v="0.16700000000000001"/>
    <n v="21"/>
    <s v="OK"/>
    <d v="2024-01-27T00:00:00"/>
    <n v="26"/>
    <n v="23195.01828"/>
    <n v="13806.45"/>
    <n v="9388.5682799999995"/>
    <n v="0.40476658249048808"/>
    <s v="Q1-2024"/>
    <s v="Accessories"/>
    <s v="Accessories"/>
    <x v="1"/>
    <s v="Late"/>
    <n v="0.16700000000000001"/>
    <n v="723.19500000000016"/>
    <n v="23.1"/>
    <n v="25514.520108000001"/>
    <n v="16705.804500000006"/>
    <n v="8808.715607999995"/>
  </r>
  <r>
    <s v="ORD-2024-892173"/>
    <d v="2024-01-18T00:00:00"/>
    <d v="2024-02-03T00:00:00"/>
    <x v="1"/>
    <x v="6"/>
    <x v="15"/>
    <s v="Non-Profit"/>
    <s v="Distributor"/>
    <s v="L. Okafor"/>
    <s v="Printers"/>
    <s v="PRN-6660"/>
    <n v="666.23"/>
    <n v="1382.91"/>
    <n v="1382.91"/>
    <s v="High"/>
    <n v="0.17599999999999999"/>
    <n v="0.17599999999999999"/>
    <n v="13"/>
    <s v="OK"/>
    <d v="2024-02-03T00:00:00"/>
    <n v="16"/>
    <n v="14813.731920000002"/>
    <n v="8660.99"/>
    <n v="6152.7419200000022"/>
    <n v="0.41534043907553048"/>
    <s v="Q1-2024"/>
    <s v="Printers"/>
    <s v="Printers"/>
    <x v="1"/>
    <s v="Late"/>
    <n v="0.17599999999999999"/>
    <n v="732.85300000000007"/>
    <n v="14.3"/>
    <n v="16295.105112000003"/>
    <n v="10479.797900000001"/>
    <n v="5815.3072120000015"/>
  </r>
  <r>
    <s v="ORD-2024-281211"/>
    <d v="2024-01-11T00:00:00"/>
    <d v="2024-02-02T00:00:00"/>
    <x v="3"/>
    <x v="5"/>
    <x v="7"/>
    <s v="Small Business"/>
    <s v="Online"/>
    <s v="Unassigned"/>
    <s v="Printers"/>
    <s v="PRN-7816"/>
    <n v="1237.68"/>
    <n v="1432.8"/>
    <n v="1432.8"/>
    <s v="High"/>
    <n v="6.8000000000000005E-2"/>
    <n v="6.8000000000000005E-2"/>
    <n v="13"/>
    <s v="OK"/>
    <d v="2024-02-02T00:00:00"/>
    <n v="22"/>
    <n v="17359.804799999998"/>
    <n v="16089.84"/>
    <n v="1269.9647999999979"/>
    <n v="7.315547695559331E-2"/>
    <s v="Q1-2024"/>
    <s v="Printers"/>
    <s v="Printers"/>
    <x v="1"/>
    <s v="Late"/>
    <n v="6.8000000000000005E-2"/>
    <n v="1361.4480000000001"/>
    <n v="14.3"/>
    <n v="19095.78528"/>
    <n v="19468.706400000003"/>
    <n v="-372.9211200000027"/>
  </r>
  <r>
    <s v="ORD-2024-890180"/>
    <d v="2024-01-20T00:00:00"/>
    <d v="2024-02-13T00:00:00"/>
    <x v="2"/>
    <x v="10"/>
    <x v="33"/>
    <s v="Corporate"/>
    <s v="Retail"/>
    <s v="H. Kim"/>
    <s v="Printers"/>
    <s v="PRN-8392"/>
    <n v="643.53"/>
    <n v="1439.01"/>
    <n v="1439.01"/>
    <s v="High"/>
    <n v="0"/>
    <n v="0"/>
    <n v="15"/>
    <s v="OK"/>
    <d v="2024-02-13T00:00:00"/>
    <n v="24"/>
    <n v="21585.15"/>
    <n v="9652.9499999999989"/>
    <n v="11932.200000000003"/>
    <n v="0.55279671440782208"/>
    <s v="Q1-2024"/>
    <s v="Printers"/>
    <s v="Printers"/>
    <x v="1"/>
    <s v="Late"/>
    <n v="0"/>
    <n v="707.88300000000004"/>
    <n v="16.5"/>
    <n v="23743.665000000001"/>
    <n v="11680.069500000001"/>
    <n v="12063.595499999999"/>
  </r>
  <r>
    <s v="ORD-2024-366010"/>
    <d v="2024-01-13T00:00:00"/>
    <d v="2024-02-05T00:00:00"/>
    <x v="2"/>
    <x v="11"/>
    <x v="34"/>
    <s v="Education"/>
    <s v="Direct"/>
    <s v="B. Chen"/>
    <s v="Laptops"/>
    <s v="LAP-9931"/>
    <n v="1017.93"/>
    <n v="1529.14"/>
    <n v="1529.14"/>
    <s v="High"/>
    <n v="0.155"/>
    <n v="0.155"/>
    <n v="12"/>
    <s v="OK"/>
    <d v="2024-02-05T00:00:00"/>
    <n v="23"/>
    <n v="15505.479600000001"/>
    <n v="12215.16"/>
    <n v="3290.3196000000007"/>
    <n v="0.21220366508366503"/>
    <s v="Q1-2024"/>
    <s v="Laptops"/>
    <s v="Laptops"/>
    <x v="1"/>
    <s v="Late"/>
    <n v="0.155"/>
    <n v="1119.723"/>
    <n v="13.200000000000001"/>
    <n v="17056.027560000002"/>
    <n v="14780.3436"/>
    <n v="2275.6839600000021"/>
  </r>
  <r>
    <s v="ORD-2024-277241"/>
    <d v="2024-01-28T00:00:00"/>
    <d v="2024-01-30T00:00:00"/>
    <x v="1"/>
    <x v="6"/>
    <x v="15"/>
    <s v="Consumer"/>
    <s v="Direct"/>
    <s v="F. Müller"/>
    <s v="Accessories"/>
    <s v="ACC-6223"/>
    <n v="798.45"/>
    <n v="1592.02"/>
    <n v="1592.02"/>
    <s v="High"/>
    <n v="6.6000000000000003E-2"/>
    <n v="6.6000000000000003E-2"/>
    <n v="18"/>
    <s v="OK"/>
    <d v="2024-01-30T00:00:00"/>
    <n v="2"/>
    <n v="26765.040239999998"/>
    <n v="14372.1"/>
    <n v="12392.940239999998"/>
    <n v="0.46302714768494585"/>
    <s v="Q1-2024"/>
    <s v="Accessories"/>
    <s v="Accessories"/>
    <x v="1"/>
    <s v="On-time"/>
    <n v="6.6000000000000003E-2"/>
    <n v="878.29500000000007"/>
    <n v="19.8"/>
    <n v="29441.544263999996"/>
    <n v="17390.241000000002"/>
    <n v="12051.303263999995"/>
  </r>
  <r>
    <s v="ORD-2024-499009"/>
    <d v="2024-01-25T00:00:00"/>
    <d v="2024-01-27T00:00:00"/>
    <x v="0"/>
    <x v="0"/>
    <x v="17"/>
    <s v="Non-Profit"/>
    <s v="Marketplace"/>
    <s v="N. Brown"/>
    <s v="Laptops"/>
    <s v="LAP-7056"/>
    <n v="1410.97"/>
    <n v="1650.75"/>
    <n v="1650.75"/>
    <s v="High"/>
    <n v="0.13500000000000001"/>
    <n v="0.13500000000000001"/>
    <n v="6"/>
    <s v="OK"/>
    <d v="2024-01-27T00:00:00"/>
    <n v="2"/>
    <n v="8567.3924999999999"/>
    <n v="8465.82"/>
    <n v="101.57250000000022"/>
    <n v="1.1855707556295596E-2"/>
    <s v="Q1-2024"/>
    <s v="Laptops"/>
    <s v="Laptops"/>
    <x v="1"/>
    <s v="On-time"/>
    <n v="0.13500000000000001"/>
    <n v="1552.0670000000002"/>
    <n v="6.6000000000000005"/>
    <n v="9424.1317500000005"/>
    <n v="10243.642200000002"/>
    <n v="-819.51045000000158"/>
  </r>
  <r>
    <s v="ORD-2024-296582"/>
    <d v="2024-01-11T00:00:00"/>
    <d v="2024-02-02T00:00:00"/>
    <x v="1"/>
    <x v="6"/>
    <x v="10"/>
    <s v="Consumer"/>
    <s v="Online"/>
    <s v="K. Singh"/>
    <s v="Networking"/>
    <s v="NET-1412"/>
    <n v="1206.2"/>
    <n v="1759.79"/>
    <n v="1759.79"/>
    <s v="High"/>
    <n v="0"/>
    <n v="0"/>
    <n v="6"/>
    <s v="OK"/>
    <d v="2024-02-02T00:00:00"/>
    <n v="22"/>
    <n v="10558.74"/>
    <n v="7237.2000000000007"/>
    <n v="3321.5399999999991"/>
    <n v="0.31457730751964713"/>
    <s v="Q1-2024"/>
    <s v="Networking"/>
    <s v="Networking"/>
    <x v="1"/>
    <s v="Late"/>
    <n v="0"/>
    <n v="1326.8200000000002"/>
    <n v="6.6000000000000005"/>
    <n v="11614.614000000001"/>
    <n v="8757.0120000000024"/>
    <n v="2857.601999999999"/>
  </r>
  <r>
    <s v="ORD-2024-206311"/>
    <d v="2024-01-13T00:00:00"/>
    <d v="2024-01-15T00:00:00"/>
    <x v="0"/>
    <x v="9"/>
    <x v="32"/>
    <s v="Non-Profit"/>
    <s v="Direct"/>
    <s v="E. Garcia"/>
    <s v="Components"/>
    <s v="CMP-2410"/>
    <n v="1061.3699999999999"/>
    <n v="1938.33"/>
    <n v="1938.33"/>
    <s v="High"/>
    <n v="0.17"/>
    <n v="0.17"/>
    <n v="4"/>
    <s v="OK"/>
    <d v="2024-01-15T00:00:00"/>
    <n v="2"/>
    <n v="6435.2555999999995"/>
    <n v="4245.4799999999996"/>
    <n v="2189.7755999999999"/>
    <n v="0.34027795259600879"/>
    <s v="Q1-2024"/>
    <s v="Components"/>
    <s v="Components"/>
    <x v="1"/>
    <s v="On-time"/>
    <n v="0.17"/>
    <n v="1167.5070000000001"/>
    <n v="4.4000000000000004"/>
    <n v="7078.7811599999995"/>
    <n v="5137.0308000000005"/>
    <n v="1941.7503599999991"/>
  </r>
  <r>
    <s v="ORD-2024-105586"/>
    <d v="2024-01-02T00:00:00"/>
    <d v="2024-01-15T00:00:00"/>
    <x v="3"/>
    <x v="5"/>
    <x v="7"/>
    <s v="Small Business"/>
    <s v="Marketplace"/>
    <s v="G. Dubois"/>
    <s v="Networking"/>
    <s v="NET-1893"/>
    <n v="1219.06"/>
    <n v="2738.69"/>
    <n v="2738.69"/>
    <s v="High"/>
    <n v="7.5999999999999998E-2"/>
    <n v="7.5999999999999998E-2"/>
    <n v="16"/>
    <s v="OK"/>
    <d v="2024-01-15T00:00:00"/>
    <n v="13"/>
    <n v="40488.792960000006"/>
    <n v="19504.96"/>
    <n v="20983.832960000007"/>
    <n v="0.51826274447673737"/>
    <s v="Q1-2024"/>
    <s v="Networking"/>
    <s v="Networking"/>
    <x v="1"/>
    <s v="Late"/>
    <n v="7.5999999999999998E-2"/>
    <n v="1340.9660000000001"/>
    <n v="17.600000000000001"/>
    <n v="44537.672256000005"/>
    <n v="23601.001600000003"/>
    <n v="20936.670656000002"/>
  </r>
  <r>
    <s v="ORD-2023-112666"/>
    <d v="2023-01-15T00:00:00"/>
    <d v="2023-01-13T00:00:00"/>
    <x v="1"/>
    <x v="8"/>
    <x v="28"/>
    <s v="Education"/>
    <s v="Online"/>
    <s v="O. Wang"/>
    <s v="Printers"/>
    <s v="PRN-6276"/>
    <n v="28.38"/>
    <n v="47.22"/>
    <n v="47.22"/>
    <s v="Low"/>
    <n v="0.19400000000000001"/>
    <n v="0.19400000000000001"/>
    <n v="18"/>
    <s v="Correct"/>
    <d v="2023-01-22T00:00:00"/>
    <n v="7"/>
    <n v="685.06776000000002"/>
    <n v="510.84"/>
    <n v="174.22776000000005"/>
    <n v="0.25432193743871417"/>
    <s v="Q1-2023"/>
    <s v="Printers"/>
    <s v="Printers"/>
    <x v="1"/>
    <s v="On-time"/>
    <n v="0.19400000000000001"/>
    <n v="31.218"/>
    <n v="19.8"/>
    <n v="753.57453600000008"/>
    <n v="618.1164"/>
    <n v="135.45813600000008"/>
  </r>
  <r>
    <s v="ORD-2023-856322"/>
    <d v="2023-01-29T00:00:00"/>
    <d v="2023-02-06T00:00:00"/>
    <x v="0"/>
    <x v="0"/>
    <x v="1"/>
    <s v="Corporate"/>
    <s v="Marketplace"/>
    <s v="D. Smith"/>
    <s v="Monitors"/>
    <s v="MON-7207"/>
    <n v="41.84"/>
    <n v="86.2"/>
    <n v="86.2"/>
    <s v="Low"/>
    <n v="0.22600000000000001"/>
    <n v="0.22600000000000001"/>
    <n v="27"/>
    <s v="OK"/>
    <d v="2023-02-06T00:00:00"/>
    <n v="8"/>
    <n v="1801.4076000000002"/>
    <n v="1129.68"/>
    <n v="671.72760000000017"/>
    <n v="0.37289039970742882"/>
    <s v="Q1-2023"/>
    <s v="Monitors"/>
    <s v="Monitors"/>
    <x v="0"/>
    <s v="Late"/>
    <n v="0.2"/>
    <n v="46.024000000000008"/>
    <n v="29.700000000000003"/>
    <n v="2048.1120000000005"/>
    <n v="1366.9128000000003"/>
    <n v="681.19920000000025"/>
  </r>
  <r>
    <s v="ORD-2023-613317"/>
    <d v="2023-01-22T00:00:00"/>
    <d v="2023-01-21T00:00:00"/>
    <x v="2"/>
    <x v="11"/>
    <x v="35"/>
    <s v="Corporate"/>
    <s v="Direct"/>
    <s v="F. Müller"/>
    <s v="Monitors"/>
    <s v="MON-2537"/>
    <n v="150.86000000000001"/>
    <n v="346.96"/>
    <n v="346.96"/>
    <s v="Low"/>
    <n v="0.19600000000000001"/>
    <n v="0.19600000000000001"/>
    <n v="8"/>
    <s v="Correct"/>
    <d v="2023-01-29T00:00:00"/>
    <n v="7"/>
    <n v="2231.6467200000002"/>
    <n v="1206.8800000000001"/>
    <n v="1024.7667200000001"/>
    <n v="0.45919755614365343"/>
    <s v="Q1-2023"/>
    <s v="Monitors"/>
    <s v="Monitors"/>
    <x v="1"/>
    <s v="On-time"/>
    <n v="0.19600000000000001"/>
    <n v="165.94600000000003"/>
    <n v="8.8000000000000007"/>
    <n v="2454.8113920000001"/>
    <n v="1460.3248000000003"/>
    <n v="994.48659199999975"/>
  </r>
  <r>
    <s v="ORD-2023-811823"/>
    <d v="2023-01-26T00:00:00"/>
    <d v="2023-02-15T00:00:00"/>
    <x v="2"/>
    <x v="11"/>
    <x v="36"/>
    <s v="Small Business"/>
    <s v="Online"/>
    <s v="O. Wang"/>
    <s v="Networking"/>
    <s v="NET-8787"/>
    <n v="492.62"/>
    <n v="366.7"/>
    <n v="366.7"/>
    <s v="Low"/>
    <n v="8.8999999999999996E-2"/>
    <n v="8.8999999999999996E-2"/>
    <n v="10"/>
    <s v="OK"/>
    <d v="2023-02-15T00:00:00"/>
    <n v="20"/>
    <n v="3340.6370000000002"/>
    <n v="4926.2"/>
    <n v="-1585.5629999999996"/>
    <n v="-0.47462894052840809"/>
    <s v="Q1-2023"/>
    <s v="Networking"/>
    <s v="Networking"/>
    <x v="1"/>
    <s v="Late"/>
    <n v="8.8999999999999996E-2"/>
    <n v="541.88200000000006"/>
    <n v="11"/>
    <n v="3674.7006999999999"/>
    <n v="5960.7020000000011"/>
    <n v="-2286.0013000000013"/>
  </r>
  <r>
    <s v="ORD-2023-723587"/>
    <d v="2023-01-02T00:00:00"/>
    <d v="2023-01-05T00:00:00"/>
    <x v="0"/>
    <x v="3"/>
    <x v="4"/>
    <s v="Corporate"/>
    <s v="Distributor"/>
    <s v="B. Chen"/>
    <s v="Laptops"/>
    <s v="LAP-8555"/>
    <n v="315.87"/>
    <n v="591.67999999999995"/>
    <n v="591.67999999999995"/>
    <s v="Middle"/>
    <n v="0"/>
    <n v="0"/>
    <n v="7"/>
    <s v="OK"/>
    <d v="2023-01-05T00:00:00"/>
    <n v="3"/>
    <n v="4141.7599999999993"/>
    <n v="2211.09"/>
    <n v="1930.6699999999992"/>
    <n v="0.46614724175229844"/>
    <s v="Q1-2023"/>
    <s v="Laptops"/>
    <s v="Laptops"/>
    <x v="1"/>
    <s v="On-time"/>
    <n v="0"/>
    <n v="347.45700000000005"/>
    <n v="7.7000000000000011"/>
    <n v="4555.9360000000006"/>
    <n v="2675.4189000000006"/>
    <n v="1880.5171"/>
  </r>
  <r>
    <s v="ORD-2023-430904"/>
    <d v="2023-01-27T00:00:00"/>
    <d v="2023-01-31T00:00:00"/>
    <x v="2"/>
    <x v="2"/>
    <x v="26"/>
    <s v="Enterprise"/>
    <s v="Online"/>
    <s v="N. Brown"/>
    <s v="Laptops"/>
    <s v="LAP-9782"/>
    <n v="941.2"/>
    <n v="668.02"/>
    <n v="668.02"/>
    <s v="Middle"/>
    <n v="0.22"/>
    <n v="0.22"/>
    <n v="16"/>
    <s v="OK"/>
    <d v="2023-01-31T00:00:00"/>
    <n v="4"/>
    <n v="8336.8896000000004"/>
    <n v="15059.2"/>
    <n v="-6722.3104000000003"/>
    <n v="-0.80633314371825193"/>
    <s v="Q1-2023"/>
    <s v="Laptops"/>
    <s v="Laptops"/>
    <x v="0"/>
    <s v="On-time"/>
    <n v="0.2"/>
    <n v="1035.3200000000002"/>
    <n v="17.600000000000001"/>
    <n v="9405.7216000000008"/>
    <n v="18221.632000000005"/>
    <n v="-8815.9104000000043"/>
  </r>
  <r>
    <s v="ORD-2023-689428"/>
    <d v="2023-01-07T00:00:00"/>
    <d v="2023-01-30T00:00:00"/>
    <x v="1"/>
    <x v="6"/>
    <x v="15"/>
    <s v="Consumer"/>
    <s v="Online"/>
    <s v="A. Patel"/>
    <s v="Printers"/>
    <s v="PRN-4787"/>
    <n v="299.02"/>
    <n v="724.7"/>
    <n v="724.7"/>
    <s v="Middle"/>
    <n v="0.14000000000000001"/>
    <n v="0.14000000000000001"/>
    <n v="5"/>
    <s v="OK"/>
    <d v="2023-01-30T00:00:00"/>
    <n v="23"/>
    <n v="3116.21"/>
    <n v="1495.1"/>
    <n v="1621.1100000000001"/>
    <n v="0.52021847051386139"/>
    <s v="Q1-2023"/>
    <s v="Printers"/>
    <s v="Printers"/>
    <x v="1"/>
    <s v="Late"/>
    <n v="0.14000000000000001"/>
    <n v="328.92200000000003"/>
    <n v="5.5"/>
    <n v="3427.8310000000001"/>
    <n v="1809.0710000000001"/>
    <n v="1618.76"/>
  </r>
  <r>
    <s v="ORD-2023-884192"/>
    <d v="2023-01-10T00:00:00"/>
    <d v="2023-01-29T00:00:00"/>
    <x v="2"/>
    <x v="10"/>
    <x v="24"/>
    <s v="Non-Profit"/>
    <s v="Direct"/>
    <s v="D. Smith"/>
    <s v="Laptops"/>
    <s v="LAP-4551"/>
    <n v="401.66"/>
    <n v="772.09"/>
    <n v="772.09"/>
    <s v="Middle"/>
    <n v="8.8999999999999996E-2"/>
    <n v="8.8999999999999996E-2"/>
    <n v="14"/>
    <s v="OK"/>
    <d v="2023-01-29T00:00:00"/>
    <n v="19"/>
    <n v="9847.2358600000007"/>
    <n v="5623.2400000000007"/>
    <n v="4223.99586"/>
    <n v="0.42895244107619046"/>
    <s v="Q1-2023"/>
    <s v="Laptops"/>
    <s v="Laptops"/>
    <x v="1"/>
    <s v="Late"/>
    <n v="8.8999999999999996E-2"/>
    <n v="441.82600000000008"/>
    <n v="15.400000000000002"/>
    <n v="10831.959446000003"/>
    <n v="6804.1204000000025"/>
    <n v="4027.8390460000001"/>
  </r>
  <r>
    <s v="ORD-2023-382017"/>
    <d v="2023-01-13T00:00:00"/>
    <d v="2023-01-19T00:00:00"/>
    <x v="0"/>
    <x v="9"/>
    <x v="30"/>
    <s v="Corporate"/>
    <s v="Direct"/>
    <s v="H. Kim"/>
    <s v="Phones"/>
    <s v="PHN-3159"/>
    <n v="833.57"/>
    <n v="881.57"/>
    <n v="881.57"/>
    <s v="Middle"/>
    <n v="5.7000000000000002E-2"/>
    <n v="5.7000000000000002E-2"/>
    <n v="18"/>
    <s v="OK"/>
    <d v="2023-01-19T00:00:00"/>
    <n v="6"/>
    <n v="14963.769179999999"/>
    <n v="15004.26"/>
    <n v="-40.490820000000895"/>
    <n v="-2.7059238560107821E-3"/>
    <s v="Q1-2023"/>
    <s v="Phones"/>
    <s v="Phones"/>
    <x v="1"/>
    <s v="On-time"/>
    <n v="5.7000000000000002E-2"/>
    <n v="916.92700000000013"/>
    <n v="19.8"/>
    <n v="16460.146098000001"/>
    <n v="18155.154600000002"/>
    <n v="-1695.0085020000006"/>
  </r>
  <r>
    <s v="ORD-2023-521818"/>
    <d v="2023-01-22T00:00:00"/>
    <d v="2023-01-30T00:00:00"/>
    <x v="0"/>
    <x v="9"/>
    <x v="32"/>
    <s v="Small Business"/>
    <s v="Online"/>
    <s v="A. Patel"/>
    <s v="Networking"/>
    <s v="NET-4155"/>
    <n v="413.52"/>
    <n v="1004.34"/>
    <n v="1004.34"/>
    <s v="Middle"/>
    <n v="0.111"/>
    <n v="0.111"/>
    <n v="18"/>
    <s v="OK"/>
    <d v="2023-01-30T00:00:00"/>
    <n v="8"/>
    <n v="16071.44868"/>
    <n v="7443.36"/>
    <n v="8628.0886800000007"/>
    <n v="0.53685817948304593"/>
    <s v="Q1-2023"/>
    <s v="Networking"/>
    <s v="Networking"/>
    <x v="1"/>
    <s v="Late"/>
    <n v="0.111"/>
    <n v="454.87200000000001"/>
    <n v="19.8"/>
    <n v="17678.593548000001"/>
    <n v="9006.4656000000014"/>
    <n v="8672.1279479999994"/>
  </r>
  <r>
    <s v="ORD-2023-700699"/>
    <d v="2023-01-12T00:00:00"/>
    <d v="2023-01-26T00:00:00"/>
    <x v="3"/>
    <x v="7"/>
    <x v="14"/>
    <s v="Non-Profit"/>
    <s v="Retail"/>
    <s v="M. Rossi"/>
    <s v="Printers"/>
    <s v="PRN-1641"/>
    <n v="1083.0899999999999"/>
    <n v="1425.87"/>
    <n v="1425.87"/>
    <s v="High"/>
    <n v="0"/>
    <n v="0"/>
    <n v="8"/>
    <s v="OK"/>
    <d v="2023-01-26T00:00:00"/>
    <n v="14"/>
    <n v="11406.96"/>
    <n v="8664.7199999999993"/>
    <n v="2742.24"/>
    <n v="0.24040059752992909"/>
    <s v="Q1-2023"/>
    <s v="Printers"/>
    <s v="Printers"/>
    <x v="1"/>
    <s v="Late"/>
    <n v="0"/>
    <n v="1191.3990000000001"/>
    <n v="8.8000000000000007"/>
    <n v="12547.656000000001"/>
    <n v="10484.311200000002"/>
    <n v="2063.3447999999989"/>
  </r>
  <r>
    <s v="ORD-2023-575584"/>
    <d v="2023-01-30T00:00:00"/>
    <d v="2023-02-21T00:00:00"/>
    <x v="2"/>
    <x v="11"/>
    <x v="35"/>
    <s v="Small Business"/>
    <s v="Marketplace"/>
    <s v="G. Dubois"/>
    <s v="Networking"/>
    <s v="NET-3460"/>
    <n v="1142.8800000000001"/>
    <n v="1465.29"/>
    <n v="1465.29"/>
    <s v="High"/>
    <n v="0.186"/>
    <n v="0.186"/>
    <n v="7"/>
    <s v="OK"/>
    <d v="2023-02-21T00:00:00"/>
    <n v="22"/>
    <n v="8349.2224200000001"/>
    <n v="8000.1600000000008"/>
    <n v="349.06241999999929"/>
    <n v="4.1807775915017401E-2"/>
    <s v="Q1-2023"/>
    <s v="Networking"/>
    <s v="Networking"/>
    <x v="1"/>
    <s v="Late"/>
    <n v="0.186"/>
    <n v="1257.1680000000001"/>
    <n v="7.7000000000000011"/>
    <n v="9184.1446620000024"/>
    <n v="9680.1936000000023"/>
    <n v="-496.04893799999991"/>
  </r>
  <r>
    <s v="ORD-2023-586275"/>
    <d v="2023-01-20T00:00:00"/>
    <d v="2023-02-03T00:00:00"/>
    <x v="1"/>
    <x v="1"/>
    <x v="16"/>
    <s v="Corporate"/>
    <s v="Retail"/>
    <s v="M. Rossi"/>
    <s v="Networking"/>
    <s v="NET-6036"/>
    <n v="884.36"/>
    <n v="1545.34"/>
    <n v="1545.34"/>
    <s v="High"/>
    <n v="0.24299999999999999"/>
    <n v="0.24299999999999999"/>
    <n v="41"/>
    <s v="OK"/>
    <d v="2023-02-03T00:00:00"/>
    <n v="14"/>
    <n v="47962.717579999997"/>
    <n v="36258.76"/>
    <n v="11703.957579999995"/>
    <n v="0.24402198562827965"/>
    <s v="Q1-2023"/>
    <s v="Networking"/>
    <s v="Networking"/>
    <x v="0"/>
    <s v="Late"/>
    <n v="0.2"/>
    <n v="972.79600000000005"/>
    <n v="45.1"/>
    <n v="55755.867200000008"/>
    <n v="43873.099600000001"/>
    <n v="11882.767600000006"/>
  </r>
  <r>
    <s v="ORD-2023-780206"/>
    <d v="2023-01-19T00:00:00"/>
    <d v="2023-02-03T00:00:00"/>
    <x v="2"/>
    <x v="2"/>
    <x v="3"/>
    <s v="Enterprise"/>
    <s v="Distributor"/>
    <s v="G. Dubois"/>
    <s v="Accessories"/>
    <s v="ACC-3645"/>
    <n v="873.06"/>
    <n v="2101.5500000000002"/>
    <n v="2101.5500000000002"/>
    <s v="High"/>
    <n v="6.6000000000000003E-2"/>
    <n v="6.6000000000000003E-2"/>
    <n v="10"/>
    <s v="OK"/>
    <d v="2023-02-03T00:00:00"/>
    <n v="15"/>
    <n v="19628.476999999999"/>
    <n v="8730.5999999999985"/>
    <n v="10897.877"/>
    <n v="0.55520746719167269"/>
    <s v="Q1-2023"/>
    <s v="Accessories"/>
    <s v="Accessories"/>
    <x v="1"/>
    <s v="Late"/>
    <n v="6.6000000000000003E-2"/>
    <n v="960.36599999999999"/>
    <n v="11"/>
    <n v="21591.324700000001"/>
    <n v="10564.026"/>
    <n v="11027.298700000001"/>
  </r>
  <r>
    <s v="ORD-2025-728935"/>
    <d v="2025-02-28T00:00:00"/>
    <d v="2025-03-10T00:00:00"/>
    <x v="3"/>
    <x v="5"/>
    <x v="9"/>
    <s v="Education"/>
    <s v="Distributor"/>
    <s v="N. Brown"/>
    <s v="Laptops"/>
    <s v="LAP-3017"/>
    <n v="51.86"/>
    <n v="45.98"/>
    <n v="45.98"/>
    <s v="Low"/>
    <n v="0.17299999999999999"/>
    <n v="0.17299999999999999"/>
    <n v="7"/>
    <s v="OK"/>
    <d v="2025-03-10T00:00:00"/>
    <n v="10"/>
    <n v="266.17821999999995"/>
    <n v="363.02"/>
    <n v="-96.841780000000028"/>
    <n v="-0.3638230806412337"/>
    <s v="Q1-2025"/>
    <s v="Laptops"/>
    <s v="Laptops"/>
    <x v="1"/>
    <s v="Late"/>
    <n v="0.17299999999999999"/>
    <n v="57.046000000000006"/>
    <n v="7.7000000000000011"/>
    <n v="292.796042"/>
    <n v="439.25420000000008"/>
    <n v="-146.45815800000008"/>
  </r>
  <r>
    <s v="ORD-2025-460466"/>
    <d v="2025-02-07T00:00:00"/>
    <d v="2025-02-16T00:00:00"/>
    <x v="1"/>
    <x v="8"/>
    <x v="12"/>
    <s v="Small Business"/>
    <s v="Distributor"/>
    <s v="C. Otieno"/>
    <s v="Printers"/>
    <s v="PRN-1882"/>
    <n v="90.68"/>
    <n v="118.17"/>
    <n v="118.17"/>
    <s v="Low"/>
    <n v="0.13500000000000001"/>
    <n v="0.13500000000000001"/>
    <n v="21"/>
    <s v="OK"/>
    <d v="2025-02-16T00:00:00"/>
    <n v="9"/>
    <n v="2146.5580500000001"/>
    <n v="1904.2800000000002"/>
    <n v="242.27804999999989"/>
    <n v="0.11286815653552899"/>
    <s v="Q1-2025"/>
    <s v="Printers"/>
    <s v="Printers"/>
    <x v="1"/>
    <s v="Late"/>
    <n v="0.13500000000000001"/>
    <n v="99.748000000000019"/>
    <n v="23.1"/>
    <n v="2361.2138550000004"/>
    <n v="2304.1788000000006"/>
    <n v="57.035054999999829"/>
  </r>
  <r>
    <s v="ORD-2025-484073"/>
    <d v="2025-02-19T00:00:00"/>
    <d v="2025-03-09T00:00:00"/>
    <x v="3"/>
    <x v="4"/>
    <x v="6"/>
    <s v="Small Business"/>
    <s v="Direct"/>
    <s v="O. Wang"/>
    <s v="Monitors"/>
    <s v="MON-1436"/>
    <n v="325.87"/>
    <n v="538.79"/>
    <n v="538.79"/>
    <s v="Low"/>
    <n v="0.17399999999999999"/>
    <n v="0.17399999999999999"/>
    <n v="16"/>
    <s v="OK"/>
    <d v="2025-03-09T00:00:00"/>
    <n v="18"/>
    <n v="7120.6486400000003"/>
    <n v="5213.92"/>
    <n v="1906.7286400000003"/>
    <n v="0.26777457172778013"/>
    <s v="Q1-2025"/>
    <s v="Monitors"/>
    <s v="Monitors"/>
    <x v="1"/>
    <s v="Late"/>
    <n v="0.17399999999999999"/>
    <n v="358.45700000000005"/>
    <n v="17.600000000000001"/>
    <n v="7832.7135040000003"/>
    <n v="6308.8432000000012"/>
    <n v="1523.8703039999991"/>
  </r>
  <r>
    <s v="ORD-2025-659650"/>
    <d v="2025-02-04T00:00:00"/>
    <d v="2025-02-08T00:00:00"/>
    <x v="2"/>
    <x v="2"/>
    <x v="26"/>
    <s v="Enterprise"/>
    <s v="Marketplace"/>
    <s v="L. Okafor"/>
    <s v="Networking"/>
    <s v="NET-2502"/>
    <n v="586.21"/>
    <n v="727.22"/>
    <n v="727.22"/>
    <s v="Middle"/>
    <n v="6.8000000000000005E-2"/>
    <n v="6.8000000000000005E-2"/>
    <n v="15"/>
    <s v="OK"/>
    <d v="2025-02-08T00:00:00"/>
    <n v="4"/>
    <n v="10166.535600000001"/>
    <n v="8793.1500000000015"/>
    <n v="1373.3855999999996"/>
    <n v="0.13508884973559721"/>
    <s v="Q1-2025"/>
    <s v="Networking"/>
    <s v="Networking"/>
    <x v="1"/>
    <s v="On-time"/>
    <n v="6.8000000000000005E-2"/>
    <n v="644.83100000000013"/>
    <n v="16.5"/>
    <n v="11183.18916"/>
    <n v="10639.711500000001"/>
    <n v="543.47765999999865"/>
  </r>
  <r>
    <s v="ORD-2025-337268"/>
    <d v="2025-02-16T00:00:00"/>
    <d v="2025-03-17T00:00:00"/>
    <x v="2"/>
    <x v="11"/>
    <x v="35"/>
    <s v="Consumer"/>
    <s v="Retail"/>
    <s v="L. Okafor"/>
    <s v="Accessories"/>
    <s v="ACC-5150"/>
    <n v="730.42"/>
    <n v="956.7"/>
    <n v="956.7"/>
    <s v="Middle"/>
    <n v="4.2000000000000003E-2"/>
    <n v="4.2000000000000003E-2"/>
    <n v="22"/>
    <s v="OK"/>
    <d v="2025-03-17T00:00:00"/>
    <n v="29"/>
    <n v="20163.409200000002"/>
    <n v="16069.24"/>
    <n v="4094.1692000000021"/>
    <n v="0.20304945256975698"/>
    <s v="Q1-2025"/>
    <s v="Accessories"/>
    <s v="Accessories"/>
    <x v="1"/>
    <s v="Late"/>
    <n v="4.2000000000000003E-2"/>
    <n v="803.46199999999999"/>
    <n v="24.200000000000003"/>
    <n v="22179.750120000001"/>
    <n v="19443.780400000003"/>
    <n v="2735.9697199999973"/>
  </r>
  <r>
    <s v="ORD-2025-650719"/>
    <d v="2025-02-12T00:00:00"/>
    <d v="2025-02-28T00:00:00"/>
    <x v="0"/>
    <x v="0"/>
    <x v="17"/>
    <s v="Non-Profit"/>
    <s v="Direct"/>
    <s v="B. Chen"/>
    <s v="Monitors"/>
    <s v="MON-5179"/>
    <n v="414.95"/>
    <n v="1027.73"/>
    <n v="1027.73"/>
    <s v="Middle"/>
    <n v="6.3E-2"/>
    <n v="6.3E-2"/>
    <n v="8"/>
    <s v="OK"/>
    <d v="2025-02-28T00:00:00"/>
    <n v="16"/>
    <n v="7703.8640800000003"/>
    <n v="3319.6"/>
    <n v="4384.2640800000008"/>
    <n v="0.56909935513815568"/>
    <s v="Q1-2025"/>
    <s v="Monitors"/>
    <s v="Monitors"/>
    <x v="1"/>
    <s v="Late"/>
    <n v="6.3E-2"/>
    <n v="456.44500000000005"/>
    <n v="8.8000000000000007"/>
    <n v="8474.2504880000015"/>
    <n v="4016.7160000000008"/>
    <n v="4457.5344880000011"/>
  </r>
  <r>
    <s v="ORD-2025-881624"/>
    <d v="2025-02-21T00:00:00"/>
    <d v="2025-03-21T00:00:00"/>
    <x v="1"/>
    <x v="8"/>
    <x v="28"/>
    <s v="Enterprise"/>
    <s v="Marketplace"/>
    <s v="I. Johnson"/>
    <s v="Phones"/>
    <s v="PHN-5887"/>
    <n v="1437.39"/>
    <n v="1388.31"/>
    <n v="1388.31"/>
    <s v="High"/>
    <n v="0.13800000000000001"/>
    <n v="0.13800000000000001"/>
    <n v="18"/>
    <s v="OK"/>
    <d v="2025-03-21T00:00:00"/>
    <n v="28"/>
    <n v="21541.017959999997"/>
    <n v="25873.02"/>
    <n v="-4332.002040000003"/>
    <n v="-0.20110479681341872"/>
    <s v="Q1-2025"/>
    <s v="Phones"/>
    <s v="Phones"/>
    <x v="1"/>
    <s v="Late"/>
    <n v="0.13800000000000001"/>
    <n v="1581.1290000000001"/>
    <n v="19.8"/>
    <n v="23695.119756"/>
    <n v="31306.354200000005"/>
    <n v="-7611.2344440000052"/>
  </r>
  <r>
    <s v="ORD-2025-332931"/>
    <d v="2025-02-15T00:00:00"/>
    <d v="2025-03-01T00:00:00"/>
    <x v="1"/>
    <x v="1"/>
    <x v="5"/>
    <s v="Education"/>
    <s v="Direct"/>
    <s v="L. Okafor"/>
    <s v="Accessories"/>
    <s v="ACC-5144"/>
    <n v="1162.8599999999999"/>
    <n v="1447.68"/>
    <n v="1447.68"/>
    <s v="High"/>
    <n v="8.6999999999999994E-2"/>
    <n v="8.6999999999999994E-2"/>
    <n v="12"/>
    <s v="OK"/>
    <d v="2025-03-01T00:00:00"/>
    <n v="14"/>
    <n v="15860.782080000001"/>
    <n v="13954.32"/>
    <n v="1906.4620800000012"/>
    <n v="0.12019975247021369"/>
    <s v="Q1-2025"/>
    <s v="Accessories"/>
    <s v="Accessories"/>
    <x v="1"/>
    <s v="Late"/>
    <n v="8.6999999999999994E-2"/>
    <n v="1279.146"/>
    <n v="13.200000000000001"/>
    <n v="17446.860288000003"/>
    <n v="16884.727200000001"/>
    <n v="562.13308800000232"/>
  </r>
  <r>
    <s v="ORD-2025-276968"/>
    <d v="2025-02-25T00:00:00"/>
    <d v="2025-03-17T00:00:00"/>
    <x v="0"/>
    <x v="9"/>
    <x v="32"/>
    <s v="Non-Profit"/>
    <s v="Marketplace"/>
    <s v="H. Kim"/>
    <s v="Phones"/>
    <s v="PHN-1044"/>
    <n v="1205.26"/>
    <n v="1696.35"/>
    <n v="1696.35"/>
    <s v="High"/>
    <n v="1.9E-2"/>
    <n v="1.9E-2"/>
    <n v="6"/>
    <s v="OK"/>
    <d v="2025-03-17T00:00:00"/>
    <n v="20"/>
    <n v="9984.7160999999978"/>
    <n v="7231.5599999999995"/>
    <n v="2753.1560999999983"/>
    <n v="0.27573704374028213"/>
    <s v="Q1-2025"/>
    <s v="Phones"/>
    <s v="Phones"/>
    <x v="1"/>
    <s v="Late"/>
    <n v="1.9E-2"/>
    <n v="1325.7860000000001"/>
    <n v="6.6000000000000005"/>
    <n v="10983.18771"/>
    <n v="8750.1876000000011"/>
    <n v="2233.000109999999"/>
  </r>
  <r>
    <s v="ORD-2025-705398"/>
    <d v="2025-02-17T00:00:00"/>
    <d v="2025-02-15T00:00:00"/>
    <x v="0"/>
    <x v="3"/>
    <x v="4"/>
    <s v="Small Business"/>
    <s v="Retail"/>
    <s v="D. Smith"/>
    <s v="Components"/>
    <s v="CMP-5065"/>
    <n v="1133.47"/>
    <n v="1698.75"/>
    <n v="1698.75"/>
    <s v="High"/>
    <n v="4.2999999999999997E-2"/>
    <n v="4.2999999999999997E-2"/>
    <n v="5"/>
    <s v="Correct"/>
    <d v="2025-02-24T00:00:00"/>
    <n v="7"/>
    <n v="8128.5187499999993"/>
    <n v="5667.35"/>
    <n v="2461.1687499999989"/>
    <n v="0.30278194904821976"/>
    <s v="Q1-2025"/>
    <s v="Components"/>
    <s v="Components"/>
    <x v="1"/>
    <s v="On-time"/>
    <n v="4.2999999999999997E-2"/>
    <n v="1246.8170000000002"/>
    <n v="5.5"/>
    <n v="8941.3706249999996"/>
    <n v="6857.4935000000014"/>
    <n v="2083.8771249999982"/>
  </r>
  <r>
    <s v="ORD-2025-915869"/>
    <d v="2025-02-06T00:00:00"/>
    <d v="2025-02-15T00:00:00"/>
    <x v="0"/>
    <x v="0"/>
    <x v="17"/>
    <s v="Non-Profit"/>
    <s v="Distributor"/>
    <s v="F. Müller"/>
    <s v="Networking"/>
    <s v="NET-5482"/>
    <n v="837.39"/>
    <n v="1905.42"/>
    <n v="1905.42"/>
    <s v="High"/>
    <n v="3.2000000000000001E-2"/>
    <n v="3.2000000000000001E-2"/>
    <n v="18"/>
    <s v="OK"/>
    <d v="2025-02-15T00:00:00"/>
    <n v="9"/>
    <n v="33200.038079999998"/>
    <n v="15073.02"/>
    <n v="18127.018079999998"/>
    <n v="0.54599389423350919"/>
    <s v="Q1-2025"/>
    <s v="Networking"/>
    <s v="Networking"/>
    <x v="1"/>
    <s v="Late"/>
    <n v="3.2000000000000001E-2"/>
    <n v="921.12900000000002"/>
    <n v="19.8"/>
    <n v="36520.041888000007"/>
    <n v="18238.354200000002"/>
    <n v="18281.687688000005"/>
  </r>
  <r>
    <s v="ORD-2025-898843"/>
    <d v="2025-02-02T00:00:00"/>
    <d v="2025-03-04T00:00:00"/>
    <x v="3"/>
    <x v="5"/>
    <x v="9"/>
    <s v="Education"/>
    <s v="Distributor"/>
    <s v="L. Okafor"/>
    <s v="Accessories"/>
    <s v="ACC-9591"/>
    <n v="766.59"/>
    <n v="1912.8"/>
    <n v="1912.8"/>
    <s v="High"/>
    <n v="0.19600000000000001"/>
    <n v="0.19600000000000001"/>
    <n v="5"/>
    <s v="OK"/>
    <d v="2025-03-04T00:00:00"/>
    <n v="30"/>
    <n v="7689.4560000000001"/>
    <n v="3832.9500000000003"/>
    <n v="3856.5059999999999"/>
    <n v="0.50153170783472845"/>
    <s v="Q1-2025"/>
    <s v="Accessories"/>
    <s v="Accessories"/>
    <x v="1"/>
    <s v="Late"/>
    <n v="0.19600000000000001"/>
    <n v="843.24900000000014"/>
    <n v="5.5"/>
    <n v="8458.4016000000011"/>
    <n v="4637.8695000000007"/>
    <n v="3820.5321000000004"/>
  </r>
  <r>
    <s v="ORD-2025-766923"/>
    <d v="2025-02-15T00:00:00"/>
    <d v="2025-02-15T00:00:00"/>
    <x v="2"/>
    <x v="11"/>
    <x v="34"/>
    <s v="Small Business"/>
    <s v="Marketplace"/>
    <s v="L. Okafor"/>
    <s v="Accessories"/>
    <s v="ACC-3989"/>
    <n v="815.83"/>
    <n v="1982.18"/>
    <n v="1982.18"/>
    <s v="High"/>
    <n v="0.127"/>
    <n v="0.127"/>
    <n v="6"/>
    <s v="OK"/>
    <d v="2025-02-15T00:00:00"/>
    <n v="0"/>
    <n v="10382.65884"/>
    <n v="4894.9800000000005"/>
    <n v="5487.6788399999996"/>
    <n v="0.52854272923408507"/>
    <s v="Q1-2025"/>
    <s v="Accessories"/>
    <s v="Accessories"/>
    <x v="1"/>
    <s v="On-time"/>
    <n v="0.127"/>
    <n v="897.41300000000012"/>
    <n v="6.6000000000000005"/>
    <n v="11420.924724"/>
    <n v="5922.9258000000009"/>
    <n v="5497.9989239999995"/>
  </r>
  <r>
    <s v="ORD-2025-281062"/>
    <d v="2025-02-15T00:00:00"/>
    <d v="2025-02-27T00:00:00"/>
    <x v="2"/>
    <x v="10"/>
    <x v="24"/>
    <s v="Non-Profit"/>
    <s v="Direct"/>
    <s v="K. Singh"/>
    <s v="Accessories"/>
    <s v="ACC-1604"/>
    <n v="1027.26"/>
    <n v="2200.41"/>
    <n v="2200.41"/>
    <s v="High"/>
    <n v="8.7999999999999995E-2"/>
    <n v="8.7999999999999995E-2"/>
    <n v="6"/>
    <s v="OK"/>
    <d v="2025-02-27T00:00:00"/>
    <n v="12"/>
    <n v="12040.64352"/>
    <n v="6163.5599999999995"/>
    <n v="5877.0835200000001"/>
    <n v="0.48810377204822358"/>
    <s v="Q1-2025"/>
    <s v="Accessories"/>
    <s v="Accessories"/>
    <x v="1"/>
    <s v="Late"/>
    <n v="8.7999999999999995E-2"/>
    <n v="1129.9860000000001"/>
    <n v="6.6000000000000005"/>
    <n v="13244.707872000001"/>
    <n v="7457.9076000000014"/>
    <n v="5786.8002719999995"/>
  </r>
  <r>
    <s v="ORD-2025-964661"/>
    <d v="2025-02-04T00:00:00"/>
    <d v="2025-02-25T00:00:00"/>
    <x v="2"/>
    <x v="2"/>
    <x v="37"/>
    <s v="Corporate"/>
    <s v="Marketplace"/>
    <s v="D. Smith"/>
    <s v="Monitors"/>
    <s v="MON-4959"/>
    <n v="1016.32"/>
    <n v="2253.42"/>
    <n v="2253.42"/>
    <s v="High"/>
    <n v="5.5E-2"/>
    <n v="5.5E-2"/>
    <n v="12"/>
    <s v="OK"/>
    <d v="2025-02-25T00:00:00"/>
    <n v="21"/>
    <n v="25553.782800000001"/>
    <n v="12195.84"/>
    <n v="13357.942800000001"/>
    <n v="0.52273837124419797"/>
    <s v="Q1-2025"/>
    <s v="Monitors"/>
    <s v="Monitors"/>
    <x v="1"/>
    <s v="Late"/>
    <n v="5.5E-2"/>
    <n v="1117.9520000000002"/>
    <n v="13.200000000000001"/>
    <n v="28109.161080000002"/>
    <n v="14756.966400000005"/>
    <n v="13352.194679999997"/>
  </r>
  <r>
    <s v="ORD-2025-931538"/>
    <d v="2025-02-09T00:00:00"/>
    <d v="2025-03-01T00:00:00"/>
    <x v="0"/>
    <x v="0"/>
    <x v="17"/>
    <s v="Corporate"/>
    <s v="Distributor"/>
    <s v="B. Chen"/>
    <s v="Laptops"/>
    <s v="LAP-6989"/>
    <n v="1154.6400000000001"/>
    <n v="2794.13"/>
    <n v="2794.13"/>
    <s v="High"/>
    <n v="3.5000000000000003E-2"/>
    <n v="3.5000000000000003E-2"/>
    <n v="11"/>
    <s v="OK"/>
    <d v="2025-03-01T00:00:00"/>
    <n v="20"/>
    <n v="29659.68995"/>
    <n v="12701.04"/>
    <n v="16958.649949999999"/>
    <n v="0.57177435025749479"/>
    <s v="Q1-2025"/>
    <s v="Laptops"/>
    <s v="Laptops"/>
    <x v="1"/>
    <s v="Late"/>
    <n v="3.5000000000000003E-2"/>
    <n v="1270.1040000000003"/>
    <n v="12.100000000000001"/>
    <n v="32625.658945000003"/>
    <n v="15368.258400000004"/>
    <n v="17257.400544999997"/>
  </r>
  <r>
    <s v="ORD-2024-960952"/>
    <d v="2024-02-03T00:00:00"/>
    <d v="2024-02-21T00:00:00"/>
    <x v="2"/>
    <x v="11"/>
    <x v="34"/>
    <s v="Corporate"/>
    <s v="Retail"/>
    <s v="H. Kim"/>
    <s v="Components"/>
    <s v="CMP-9264"/>
    <n v="39.229999999999997"/>
    <n v="30.09"/>
    <n v="30.09"/>
    <s v="Low"/>
    <n v="0.17699999999999999"/>
    <n v="0.17699999999999999"/>
    <n v="13"/>
    <s v="OK"/>
    <d v="2024-02-21T00:00:00"/>
    <n v="18"/>
    <n v="321.93290999999999"/>
    <n v="509.98999999999995"/>
    <n v="-188.05708999999996"/>
    <n v="-0.58414993981199359"/>
    <s v="Q1-2024"/>
    <s v="Components"/>
    <s v="Components"/>
    <x v="1"/>
    <s v="Late"/>
    <n v="0.17699999999999999"/>
    <n v="43.152999999999999"/>
    <n v="14.3"/>
    <n v="354.12620099999998"/>
    <n v="617.08789999999999"/>
    <n v="-262.96169900000001"/>
  </r>
  <r>
    <s v="ORD-2024-206121"/>
    <d v="2024-02-18T00:00:00"/>
    <d v="2024-03-11T00:00:00"/>
    <x v="0"/>
    <x v="0"/>
    <x v="17"/>
    <s v="Consumer"/>
    <s v="Online"/>
    <s v="A. Patel"/>
    <s v="Components"/>
    <s v="CMP-9801"/>
    <n v="80.48"/>
    <n v="65.650000000000006"/>
    <n v="65.650000000000006"/>
    <s v="Low"/>
    <n v="0.17599999999999999"/>
    <n v="0.17599999999999999"/>
    <n v="13"/>
    <s v="OK"/>
    <d v="2024-03-11T00:00:00"/>
    <n v="22"/>
    <n v="703.2428000000001"/>
    <n v="1046.24"/>
    <n v="-342.99719999999991"/>
    <n v="-0.48773652570634191"/>
    <s v="Q1-2024"/>
    <s v="Components"/>
    <s v="Components"/>
    <x v="1"/>
    <s v="Late"/>
    <n v="0.17599999999999999"/>
    <n v="88.528000000000006"/>
    <n v="14.3"/>
    <n v="773.56708000000015"/>
    <n v="1265.9504000000002"/>
    <n v="-492.38332000000003"/>
  </r>
  <r>
    <s v="ORD-2024-232632"/>
    <d v="2024-02-14T00:00:00"/>
    <d v="2024-02-14T00:00:00"/>
    <x v="3"/>
    <x v="7"/>
    <x v="11"/>
    <s v="Corporate"/>
    <s v="Distributor"/>
    <s v="L. Okafor"/>
    <s v="Accessories"/>
    <s v="ACC-1021"/>
    <n v="65.930000000000007"/>
    <n v="84.9"/>
    <n v="84.9"/>
    <s v="Low"/>
    <n v="0.25900000000000001"/>
    <n v="0.25900000000000001"/>
    <n v="23"/>
    <s v="OK"/>
    <d v="2024-02-14T00:00:00"/>
    <n v="0"/>
    <n v="1446.9507000000001"/>
    <n v="1516.39"/>
    <n v="-69.439300000000003"/>
    <n v="-4.7990093926489688E-2"/>
    <s v="Q1-2024"/>
    <s v="Accessories"/>
    <s v="Accessories"/>
    <x v="0"/>
    <s v="On-time"/>
    <n v="0.2"/>
    <n v="72.52300000000001"/>
    <n v="25.3"/>
    <n v="1718.3760000000002"/>
    <n v="1834.8319000000004"/>
    <n v="-116.45590000000016"/>
  </r>
  <r>
    <s v="ORD-2024-197852"/>
    <d v="2024-02-29T00:00:00"/>
    <d v="2024-03-30T00:00:00"/>
    <x v="3"/>
    <x v="5"/>
    <x v="7"/>
    <s v="Small Business"/>
    <s v="Direct"/>
    <s v="I. Johnson"/>
    <s v="Networking"/>
    <s v="NET-7588"/>
    <n v="231.11"/>
    <n v="318.17"/>
    <n v="318.17"/>
    <s v="Low"/>
    <n v="0.20100000000000001"/>
    <n v="0.20100000000000001"/>
    <n v="60"/>
    <s v="OK"/>
    <d v="2024-03-30T00:00:00"/>
    <n v="30"/>
    <n v="15253.069799999999"/>
    <n v="13866.6"/>
    <n v="1386.4697999999989"/>
    <n v="9.0897754889969692E-2"/>
    <s v="Q1-2024"/>
    <s v="Networking"/>
    <s v="Networking"/>
    <x v="0"/>
    <s v="Late"/>
    <n v="0.2"/>
    <n v="254.22100000000003"/>
    <n v="66"/>
    <n v="16799.376"/>
    <n v="16778.586000000003"/>
    <n v="20.789999999997235"/>
  </r>
  <r>
    <s v="ORD-2024-811752"/>
    <d v="2024-02-25T00:00:00"/>
    <d v="2024-03-09T00:00:00"/>
    <x v="2"/>
    <x v="10"/>
    <x v="33"/>
    <s v="Small Business"/>
    <s v="Distributor"/>
    <s v="E. Garcia"/>
    <s v="Monitors"/>
    <s v="MON-3350"/>
    <n v="322.44"/>
    <n v="395.61"/>
    <n v="395.61"/>
    <s v="Low"/>
    <n v="0"/>
    <n v="0"/>
    <n v="34"/>
    <s v="OK"/>
    <d v="2024-03-09T00:00:00"/>
    <n v="13"/>
    <n v="13450.74"/>
    <n v="10962.96"/>
    <n v="2487.7800000000007"/>
    <n v="0.18495487980586947"/>
    <s v="Q1-2024"/>
    <s v="Monitors"/>
    <s v="Monitors"/>
    <x v="1"/>
    <s v="Late"/>
    <n v="0"/>
    <n v="354.68400000000003"/>
    <n v="37.400000000000006"/>
    <n v="14795.814000000002"/>
    <n v="13265.181600000004"/>
    <n v="1530.6323999999986"/>
  </r>
  <r>
    <s v="ORD-2024-968374"/>
    <d v="2024-02-11T00:00:00"/>
    <d v="2024-03-03T00:00:00"/>
    <x v="1"/>
    <x v="1"/>
    <x v="16"/>
    <s v="Enterprise"/>
    <s v="Online"/>
    <s v="B. Chen"/>
    <s v="Phones"/>
    <s v="PHN-5082"/>
    <n v="516.86"/>
    <n v="852.54"/>
    <n v="852.54"/>
    <s v="Middle"/>
    <n v="5.0999999999999997E-2"/>
    <n v="5.0999999999999997E-2"/>
    <n v="14"/>
    <s v="OK"/>
    <d v="2024-03-03T00:00:00"/>
    <n v="21"/>
    <n v="11326.846439999999"/>
    <n v="7236.04"/>
    <n v="4090.8064399999994"/>
    <n v="0.36116022775355994"/>
    <s v="Q1-2024"/>
    <s v="Phones"/>
    <s v="Phones"/>
    <x v="1"/>
    <s v="Late"/>
    <n v="5.0999999999999997E-2"/>
    <n v="568.54600000000005"/>
    <n v="15.400000000000002"/>
    <n v="12459.531084000002"/>
    <n v="8755.6084000000028"/>
    <n v="3703.9226839999992"/>
  </r>
  <r>
    <s v="ORD-2024-760799"/>
    <d v="2024-02-03T00:00:00"/>
    <d v="2024-02-19T00:00:00"/>
    <x v="3"/>
    <x v="7"/>
    <x v="14"/>
    <s v="Small Business"/>
    <s v="Online"/>
    <s v="H. Kim"/>
    <s v="Laptops"/>
    <s v="LAP-5531"/>
    <n v="993.75"/>
    <n v="1310.29"/>
    <n v="1310.29"/>
    <s v="High"/>
    <n v="0.215"/>
    <n v="0.215"/>
    <n v="19"/>
    <s v="OK"/>
    <d v="2024-02-19T00:00:00"/>
    <n v="16"/>
    <n v="19542.975350000001"/>
    <n v="18881.25"/>
    <n v="661.72535000000062"/>
    <n v="3.3860010471742245E-2"/>
    <s v="Q1-2024"/>
    <s v="Laptops"/>
    <s v="Laptops"/>
    <x v="0"/>
    <s v="Late"/>
    <n v="0.2"/>
    <n v="1093.125"/>
    <n v="20.900000000000002"/>
    <n v="21908.048800000004"/>
    <n v="22846.312500000004"/>
    <n v="-938.26369999999952"/>
  </r>
  <r>
    <s v="ORD-2024-129345"/>
    <d v="2024-02-18T00:00:00"/>
    <d v="2024-03-03T00:00:00"/>
    <x v="0"/>
    <x v="0"/>
    <x v="25"/>
    <s v="Enterprise"/>
    <s v="Distributor"/>
    <s v="A. Patel"/>
    <s v="Printers"/>
    <s v="PRN-5384"/>
    <n v="624.23"/>
    <n v="1318.37"/>
    <n v="1318.37"/>
    <s v="High"/>
    <n v="0.21"/>
    <n v="0.21"/>
    <n v="37"/>
    <s v="OK"/>
    <d v="2024-03-03T00:00:00"/>
    <n v="14"/>
    <n v="38535.955099999999"/>
    <n v="23096.510000000002"/>
    <n v="15439.445099999997"/>
    <n v="0.40065038118128793"/>
    <s v="Q1-2024"/>
    <s v="Printers"/>
    <s v="Printers"/>
    <x v="0"/>
    <s v="Late"/>
    <n v="0.2"/>
    <n v="686.65300000000002"/>
    <n v="40.700000000000003"/>
    <n v="42926.127200000003"/>
    <n v="27946.777100000003"/>
    <n v="14979.3501"/>
  </r>
  <r>
    <s v="ORD-2024-764468"/>
    <d v="2024-02-01T00:00:00"/>
    <d v="2024-02-21T00:00:00"/>
    <x v="2"/>
    <x v="10"/>
    <x v="29"/>
    <s v="Small Business"/>
    <s v="Marketplace"/>
    <s v="A. Patel"/>
    <s v="Networking"/>
    <s v="NET-8761"/>
    <n v="656.2"/>
    <n v="1467.17"/>
    <n v="1467.17"/>
    <s v="High"/>
    <n v="1.7999999999999999E-2"/>
    <n v="1.7999999999999999E-2"/>
    <n v="5"/>
    <s v="OK"/>
    <d v="2024-02-21T00:00:00"/>
    <n v="20"/>
    <n v="7203.8047000000006"/>
    <n v="3281"/>
    <n v="3922.8047000000006"/>
    <n v="0.54454623124360946"/>
    <s v="Q1-2024"/>
    <s v="Networking"/>
    <s v="Networking"/>
    <x v="1"/>
    <s v="Late"/>
    <n v="1.7999999999999999E-2"/>
    <n v="721.82000000000016"/>
    <n v="5.5"/>
    <n v="7924.1851700000007"/>
    <n v="3970.0100000000011"/>
    <n v="3954.1751699999995"/>
  </r>
  <r>
    <s v="ORD-2024-979401"/>
    <d v="2024-02-08T00:00:00"/>
    <d v="2024-02-09T00:00:00"/>
    <x v="1"/>
    <x v="1"/>
    <x v="5"/>
    <s v="Corporate"/>
    <s v="Direct"/>
    <s v="F. Müller"/>
    <s v="Components"/>
    <s v="CMP-5911"/>
    <n v="1233.52"/>
    <n v="1543.76"/>
    <n v="1543.76"/>
    <s v="High"/>
    <n v="0.126"/>
    <n v="0.126"/>
    <n v="13"/>
    <s v="OK"/>
    <d v="2024-02-09T00:00:00"/>
    <n v="1"/>
    <n v="17540.201120000002"/>
    <n v="16035.76"/>
    <n v="1504.4411200000013"/>
    <n v="8.5771030201277493E-2"/>
    <s v="Q1-2024"/>
    <s v="Components"/>
    <s v="Components"/>
    <x v="1"/>
    <s v="On-time"/>
    <n v="0.126"/>
    <n v="1356.8720000000001"/>
    <n v="14.3"/>
    <n v="19294.221232"/>
    <n v="19403.269600000003"/>
    <n v="-109.04836800000339"/>
  </r>
  <r>
    <s v="ORD-2024-647571"/>
    <d v="2024-02-06T00:00:00"/>
    <d v="2024-02-28T00:00:00"/>
    <x v="1"/>
    <x v="1"/>
    <x v="16"/>
    <s v="Non-Profit"/>
    <s v="Online"/>
    <s v="K. Singh"/>
    <s v="Monitors"/>
    <s v="MON-2462"/>
    <n v="834.93"/>
    <n v="1588.53"/>
    <n v="1588.53"/>
    <s v="High"/>
    <n v="0.126"/>
    <n v="0.126"/>
    <n v="6"/>
    <s v="OK"/>
    <d v="2024-02-28T00:00:00"/>
    <n v="22"/>
    <n v="8330.2513199999994"/>
    <n v="5009.58"/>
    <n v="3320.6713199999995"/>
    <n v="0.39862798761274343"/>
    <s v="Q1-2024"/>
    <s v="Monitors"/>
    <s v="Monitors"/>
    <x v="1"/>
    <s v="Late"/>
    <n v="0.126"/>
    <n v="918.423"/>
    <n v="6.6000000000000005"/>
    <n v="9163.2764520000001"/>
    <n v="6061.5918000000001"/>
    <n v="3101.6846519999999"/>
  </r>
  <r>
    <s v="ORD-2024-331408"/>
    <d v="2024-02-01T00:00:00"/>
    <d v="2024-02-01T00:00:00"/>
    <x v="0"/>
    <x v="9"/>
    <x v="13"/>
    <s v="Consumer"/>
    <s v="Distributor"/>
    <s v="H. Kim"/>
    <s v="Printers"/>
    <s v="PRN-4906"/>
    <n v="714.43"/>
    <n v="1595.52"/>
    <n v="1595.52"/>
    <s v="High"/>
    <n v="0.19400000000000001"/>
    <n v="0.19400000000000001"/>
    <n v="14"/>
    <s v="OK"/>
    <d v="2024-02-01T00:00:00"/>
    <n v="0"/>
    <n v="18003.847679999999"/>
    <n v="10002.019999999999"/>
    <n v="8001.8276800000003"/>
    <n v="0.44445097638151093"/>
    <s v="Q1-2024"/>
    <s v="Printers"/>
    <s v="Printers"/>
    <x v="1"/>
    <s v="On-time"/>
    <n v="0.19400000000000001"/>
    <n v="785.87300000000005"/>
    <n v="15.400000000000002"/>
    <n v="19804.232448000002"/>
    <n v="12102.444200000002"/>
    <n v="7701.7882480000007"/>
  </r>
  <r>
    <s v="ORD-2024-647473"/>
    <d v="2024-02-17T00:00:00"/>
    <d v="2024-03-04T00:00:00"/>
    <x v="3"/>
    <x v="4"/>
    <x v="6"/>
    <s v="Small Business"/>
    <s v="Marketplace"/>
    <s v="F. Müller"/>
    <s v="Phones"/>
    <s v="PHN-1717"/>
    <n v="1231.8"/>
    <n v="2015.99"/>
    <n v="2015.99"/>
    <s v="High"/>
    <n v="0.26100000000000001"/>
    <n v="0.26100000000000001"/>
    <n v="6"/>
    <s v="OK"/>
    <d v="2024-03-04T00:00:00"/>
    <n v="16"/>
    <n v="8938.8996600000009"/>
    <n v="7390.7999999999993"/>
    <n v="1548.0996600000017"/>
    <n v="0.17318682599464391"/>
    <s v="Q1-2024"/>
    <s v="Phones"/>
    <s v="Phones"/>
    <x v="0"/>
    <s v="Late"/>
    <n v="0.2"/>
    <n v="1354.98"/>
    <n v="6.6000000000000005"/>
    <n v="10644.427200000002"/>
    <n v="8942.8680000000004"/>
    <n v="1701.5592000000015"/>
  </r>
  <r>
    <s v="ORD-2024-201376"/>
    <d v="2024-02-18T00:00:00"/>
    <d v="2024-03-04T00:00:00"/>
    <x v="1"/>
    <x v="1"/>
    <x v="16"/>
    <s v="Education"/>
    <s v="Direct"/>
    <s v="K. Singh"/>
    <s v="Printers"/>
    <s v="PRN-7089"/>
    <n v="928.68"/>
    <n v="2145.17"/>
    <n v="2145.17"/>
    <s v="High"/>
    <n v="0.13600000000000001"/>
    <n v="0.13600000000000001"/>
    <n v="16"/>
    <s v="OK"/>
    <d v="2024-03-04T00:00:00"/>
    <n v="15"/>
    <n v="29654.83008"/>
    <n v="14858.88"/>
    <n v="14795.950080000001"/>
    <n v="0.49893896003062177"/>
    <s v="Q1-2024"/>
    <s v="Printers"/>
    <s v="Printers"/>
    <x v="1"/>
    <s v="Late"/>
    <n v="0.13600000000000001"/>
    <n v="1021.548"/>
    <n v="17.600000000000001"/>
    <n v="32620.313088000006"/>
    <n v="17979.2448"/>
    <n v="14641.068288000006"/>
  </r>
  <r>
    <s v="ORD-2024-544865"/>
    <d v="2024-02-16T00:00:00"/>
    <d v="2024-03-04T00:00:00"/>
    <x v="0"/>
    <x v="3"/>
    <x v="39"/>
    <s v="Non-Profit"/>
    <s v="Retail"/>
    <s v="D. Smith"/>
    <s v="Laptops"/>
    <s v="LAP-2774"/>
    <n v="1350.98"/>
    <n v="2210.4"/>
    <n v="2210.4"/>
    <s v="High"/>
    <n v="0.26300000000000001"/>
    <n v="0.26300000000000001"/>
    <n v="6"/>
    <s v="OK"/>
    <d v="2024-03-04T00:00:00"/>
    <n v="17"/>
    <n v="9774.3888000000006"/>
    <n v="8105.88"/>
    <n v="1668.5088000000005"/>
    <n v="0.17070211080615091"/>
    <s v="Q1-2024"/>
    <s v="Laptops"/>
    <s v="Laptops"/>
    <x v="0"/>
    <s v="Late"/>
    <n v="0.2"/>
    <n v="1486.0780000000002"/>
    <n v="6.6000000000000005"/>
    <n v="11670.912000000002"/>
    <n v="9808.114800000003"/>
    <n v="1862.7971999999991"/>
  </r>
  <r>
    <s v="ORD-2024-515105"/>
    <d v="2024-02-27T00:00:00"/>
    <d v="2024-03-26T00:00:00"/>
    <x v="3"/>
    <x v="4"/>
    <x v="19"/>
    <s v="Education"/>
    <s v="Marketplace"/>
    <s v="G. Dubois"/>
    <s v="Laptops"/>
    <s v="LAP-8469"/>
    <n v="1035.19"/>
    <n v="2322.6999999999998"/>
    <n v="2322.6999999999998"/>
    <s v="High"/>
    <n v="0.17299999999999999"/>
    <n v="0.17299999999999999"/>
    <n v="8"/>
    <s v="OK"/>
    <d v="2024-03-26T00:00:00"/>
    <n v="28"/>
    <n v="15366.983199999999"/>
    <n v="8281.52"/>
    <n v="7085.4631999999983"/>
    <n v="0.46108355217047409"/>
    <s v="Q1-2024"/>
    <s v="Laptops"/>
    <s v="Laptops"/>
    <x v="1"/>
    <s v="Late"/>
    <n v="0.17299999999999999"/>
    <n v="1138.7090000000001"/>
    <n v="8.8000000000000007"/>
    <n v="16903.681519999998"/>
    <n v="10020.639200000001"/>
    <n v="6883.0423199999968"/>
  </r>
  <r>
    <s v="ORD-2024-437164"/>
    <d v="2024-02-20T00:00:00"/>
    <d v="2024-02-20T00:00:00"/>
    <x v="0"/>
    <x v="9"/>
    <x v="21"/>
    <s v="Enterprise"/>
    <s v="Online"/>
    <s v="C. Otieno"/>
    <s v="Networking"/>
    <s v="NET-9177"/>
    <n v="1407.05"/>
    <n v="2858.93"/>
    <n v="2858.93"/>
    <s v="High"/>
    <n v="0"/>
    <n v="0"/>
    <n v="12"/>
    <s v="OK"/>
    <d v="2024-02-20T00:00:00"/>
    <n v="0"/>
    <n v="34307.159999999996"/>
    <n v="16884.599999999999"/>
    <n v="17422.559999999998"/>
    <n v="0.50784034586366222"/>
    <s v="Q1-2024"/>
    <s v="Networking"/>
    <s v="Networking"/>
    <x v="1"/>
    <s v="On-time"/>
    <n v="0"/>
    <n v="1547.7550000000001"/>
    <n v="13.200000000000001"/>
    <n v="37737.876000000004"/>
    <n v="20430.366000000002"/>
    <n v="17307.510000000002"/>
  </r>
  <r>
    <s v="ORD-2024-468655"/>
    <d v="2024-02-19T00:00:00"/>
    <d v="2024-03-06T00:00:00"/>
    <x v="3"/>
    <x v="7"/>
    <x v="11"/>
    <s v="Education"/>
    <s v="Marketplace"/>
    <s v="O. Wang"/>
    <s v="Printers"/>
    <s v="PRN-6308"/>
    <n v="1477.84"/>
    <n v="3197.47"/>
    <n v="3197.47"/>
    <s v="High"/>
    <n v="0.24299999999999999"/>
    <n v="0.24299999999999999"/>
    <n v="24"/>
    <s v="OK"/>
    <d v="2024-03-06T00:00:00"/>
    <n v="16"/>
    <n v="58091.634960000003"/>
    <n v="35468.159999999996"/>
    <n v="22623.474960000007"/>
    <n v="0.38944462443823091"/>
    <s v="Q1-2024"/>
    <s v="Printers"/>
    <s v="Printers"/>
    <x v="0"/>
    <s v="Late"/>
    <n v="0.2"/>
    <n v="1625.624"/>
    <n v="26.400000000000002"/>
    <n v="67530.566399999996"/>
    <n v="42916.473600000005"/>
    <n v="24614.092799999991"/>
  </r>
  <r>
    <s v="ORD-2023-373538"/>
    <d v="2023-02-28T00:00:00"/>
    <d v="2023-03-25T00:00:00"/>
    <x v="1"/>
    <x v="1"/>
    <x v="2"/>
    <s v="Corporate"/>
    <s v="Retail"/>
    <s v="I. Johnson"/>
    <s v="Networking"/>
    <s v="NET-9666"/>
    <n v="1460.76"/>
    <n v="-30.66"/>
    <n v="30.66"/>
    <s v="Low"/>
    <n v="0.13100000000000001"/>
    <n v="0.13100000000000001"/>
    <n v="12"/>
    <s v="OK"/>
    <d v="2023-03-25T00:00:00"/>
    <n v="25"/>
    <n v="319.72248000000002"/>
    <n v="17529.12"/>
    <n v="-17209.397519999999"/>
    <n v="-53.826047890032626"/>
    <s v="Q1-2023"/>
    <s v="Networking"/>
    <s v="Networking"/>
    <x v="1"/>
    <s v="Late"/>
    <n v="0.13100000000000001"/>
    <n v="1606.836"/>
    <n v="13.200000000000001"/>
    <n v="351.69472800000005"/>
    <n v="21210.235200000003"/>
    <n v="-20858.540472000004"/>
  </r>
  <r>
    <s v="ORD-2023-286994"/>
    <d v="2023-02-24T00:00:00"/>
    <d v="2023-03-09T00:00:00"/>
    <x v="0"/>
    <x v="9"/>
    <x v="21"/>
    <s v="Enterprise"/>
    <s v="Online"/>
    <s v="M. Rossi"/>
    <s v="Components"/>
    <s v="CMP-1632"/>
    <n v="6.85"/>
    <n v="10.18"/>
    <n v="10.18"/>
    <s v="Low"/>
    <n v="4.7E-2"/>
    <n v="4.7E-2"/>
    <n v="10"/>
    <s v="OK"/>
    <d v="2023-03-09T00:00:00"/>
    <n v="13"/>
    <n v="97.0154"/>
    <n v="68.5"/>
    <n v="28.5154"/>
    <n v="0.2939265312517394"/>
    <s v="Q1-2023"/>
    <s v="Components"/>
    <s v="Components"/>
    <x v="1"/>
    <s v="Late"/>
    <n v="4.7E-2"/>
    <n v="7.5350000000000001"/>
    <n v="11"/>
    <n v="106.71693999999998"/>
    <n v="82.885000000000005"/>
    <n v="23.831939999999975"/>
  </r>
  <r>
    <s v="ORD-2023-735274"/>
    <d v="2023-02-23T00:00:00"/>
    <d v="2023-03-08T00:00:00"/>
    <x v="2"/>
    <x v="2"/>
    <x v="26"/>
    <s v="Small Business"/>
    <s v="Direct"/>
    <s v="C. Otieno"/>
    <s v="Printers"/>
    <s v="PRN-7410"/>
    <n v="307.37"/>
    <n v="462.61"/>
    <n v="462.61"/>
    <s v="Low"/>
    <n v="0.188"/>
    <n v="0.188"/>
    <n v="11"/>
    <s v="OK"/>
    <d v="2023-03-08T00:00:00"/>
    <n v="13"/>
    <n v="4132.0325200000007"/>
    <n v="3381.07"/>
    <n v="750.9625200000005"/>
    <n v="0.18174167709599739"/>
    <s v="Q1-2023"/>
    <s v="Printers"/>
    <s v="Printers"/>
    <x v="1"/>
    <s v="Late"/>
    <n v="0.188"/>
    <n v="338.10700000000003"/>
    <n v="12.100000000000001"/>
    <n v="4545.2357720000009"/>
    <n v="4091.094700000001"/>
    <n v="454.14107199999989"/>
  </r>
  <r>
    <s v="ORD-2023-156396"/>
    <d v="2023-02-21T00:00:00"/>
    <d v="2023-03-12T00:00:00"/>
    <x v="1"/>
    <x v="1"/>
    <x v="22"/>
    <s v="Corporate"/>
    <s v="Online"/>
    <s v="F. Müller"/>
    <s v="Networking"/>
    <s v="NET-2499"/>
    <n v="352.65"/>
    <n v="485.86"/>
    <n v="485.86"/>
    <s v="Low"/>
    <n v="4.1000000000000002E-2"/>
    <n v="4.1000000000000002E-2"/>
    <n v="6"/>
    <s v="OK"/>
    <d v="2023-03-12T00:00:00"/>
    <n v="19"/>
    <n v="2795.6384399999997"/>
    <n v="2115.8999999999996"/>
    <n v="679.73844000000008"/>
    <n v="0.24314247159943908"/>
    <s v="Q1-2023"/>
    <s v="Networking"/>
    <s v="Networking"/>
    <x v="1"/>
    <s v="Late"/>
    <n v="4.1000000000000002E-2"/>
    <n v="387.91500000000002"/>
    <n v="6.6000000000000005"/>
    <n v="3075.2022840000004"/>
    <n v="2560.2390000000005"/>
    <n v="514.96328399999993"/>
  </r>
  <r>
    <s v="ORD-2023-848013"/>
    <d v="2023-02-20T00:00:00"/>
    <d v="2023-03-04T00:00:00"/>
    <x v="3"/>
    <x v="4"/>
    <x v="6"/>
    <s v="Consumer"/>
    <s v="Distributor"/>
    <s v="M. Rossi"/>
    <s v="Monitors"/>
    <s v="MON-9906"/>
    <n v="299.75"/>
    <n v="523.01"/>
    <n v="523.01"/>
    <s v="Low"/>
    <n v="0.157"/>
    <n v="0.157"/>
    <n v="50"/>
    <s v="OK"/>
    <d v="2023-03-04T00:00:00"/>
    <n v="12"/>
    <n v="22044.871499999997"/>
    <n v="14987.5"/>
    <n v="7057.3714999999975"/>
    <n v="0.32013665854210122"/>
    <s v="Q1-2023"/>
    <s v="Monitors"/>
    <s v="Monitors"/>
    <x v="1"/>
    <s v="Late"/>
    <n v="0.157"/>
    <n v="329.72500000000002"/>
    <n v="55.000000000000007"/>
    <n v="24249.358650000002"/>
    <n v="18134.875000000004"/>
    <n v="6114.4836499999983"/>
  </r>
  <r>
    <s v="ORD-2023-480975"/>
    <d v="2023-02-15T00:00:00"/>
    <d v="2023-02-26T00:00:00"/>
    <x v="1"/>
    <x v="6"/>
    <x v="38"/>
    <s v="Non-Profit"/>
    <s v="Retail"/>
    <s v="K. Singh"/>
    <s v="Laptops"/>
    <s v="LAP-3393"/>
    <n v="498.5"/>
    <n v="755.87"/>
    <n v="755.87"/>
    <s v="Middle"/>
    <n v="0.13"/>
    <n v="0.13"/>
    <n v="40"/>
    <s v="OK"/>
    <d v="2023-02-26T00:00:00"/>
    <n v="11"/>
    <n v="26304.275999999998"/>
    <n v="19940"/>
    <n v="6364.275999999998"/>
    <n v="0.24194834330357537"/>
    <s v="Q1-2023"/>
    <s v="Laptops"/>
    <s v="Laptops"/>
    <x v="1"/>
    <s v="Late"/>
    <n v="0.13"/>
    <n v="548.35"/>
    <n v="44"/>
    <n v="28934.703599999997"/>
    <n v="24127.4"/>
    <n v="4807.3035999999956"/>
  </r>
  <r>
    <s v="ORD-2023-960380"/>
    <d v="2023-02-11T00:00:00"/>
    <d v="2023-02-12T00:00:00"/>
    <x v="1"/>
    <x v="8"/>
    <x v="27"/>
    <s v="Non-Profit"/>
    <s v="Direct"/>
    <s v="D. Smith"/>
    <s v="Accessories"/>
    <s v="ACC-8242"/>
    <n v="944.61"/>
    <n v="839.04"/>
    <n v="839.04"/>
    <s v="Middle"/>
    <n v="5.8999999999999997E-2"/>
    <n v="5.8999999999999997E-2"/>
    <n v="6"/>
    <s v="OK"/>
    <d v="2023-02-12T00:00:00"/>
    <n v="1"/>
    <n v="4737.2198399999997"/>
    <n v="5667.66"/>
    <n v="-930.44016000000011"/>
    <n v="-0.19641059343363726"/>
    <s v="Q1-2023"/>
    <s v="Accessories"/>
    <s v="Accessories"/>
    <x v="1"/>
    <s v="On-time"/>
    <n v="5.8999999999999997E-2"/>
    <n v="1039.0710000000001"/>
    <n v="6.6000000000000005"/>
    <n v="5210.9418240000005"/>
    <n v="6857.8686000000016"/>
    <n v="-1646.9267760000012"/>
  </r>
  <r>
    <s v="ORD-2023-472078"/>
    <d v="2023-02-28T00:00:00"/>
    <d v="2023-03-06T00:00:00"/>
    <x v="2"/>
    <x v="11"/>
    <x v="34"/>
    <s v="Small Business"/>
    <s v="Marketplace"/>
    <s v="D. Smith"/>
    <s v="Printers"/>
    <s v="PRN-9624"/>
    <n v="880.02"/>
    <n v="1251.21"/>
    <n v="1251.21"/>
    <s v="High"/>
    <n v="0.123"/>
    <n v="0.123"/>
    <n v="29"/>
    <s v="OK"/>
    <d v="2023-03-06T00:00:00"/>
    <n v="6"/>
    <n v="31822.023930000003"/>
    <n v="25520.579999999998"/>
    <n v="6301.4439300000049"/>
    <n v="0.19802146915172672"/>
    <s v="Q1-2023"/>
    <s v="Printers"/>
    <s v="Printers"/>
    <x v="1"/>
    <s v="On-time"/>
    <n v="0.123"/>
    <n v="968.02200000000005"/>
    <n v="31.900000000000002"/>
    <n v="35004.226323000003"/>
    <n v="30879.901800000003"/>
    <n v="4124.3245229999993"/>
  </r>
  <r>
    <s v="ORD-2023-855675"/>
    <d v="2023-02-05T00:00:00"/>
    <d v="2023-02-28T00:00:00"/>
    <x v="0"/>
    <x v="9"/>
    <x v="13"/>
    <s v="Non-Profit"/>
    <s v="Distributor"/>
    <s v="L. Okafor"/>
    <s v="Phones"/>
    <s v="PHN-2036"/>
    <n v="1214.49"/>
    <n v="1533.95"/>
    <n v="1533.95"/>
    <s v="High"/>
    <n v="0"/>
    <n v="0"/>
    <n v="11"/>
    <s v="OK"/>
    <d v="2023-02-28T00:00:00"/>
    <n v="23"/>
    <n v="16873.45"/>
    <n v="13359.39"/>
    <n v="3514.0600000000013"/>
    <n v="0.20825972163369086"/>
    <s v="Q1-2023"/>
    <s v="Phones"/>
    <s v="Phones"/>
    <x v="1"/>
    <s v="Late"/>
    <n v="0"/>
    <n v="1335.9390000000001"/>
    <n v="12.100000000000001"/>
    <n v="18560.795000000002"/>
    <n v="16164.861900000004"/>
    <n v="2395.9330999999984"/>
  </r>
  <r>
    <s v="ORD-2023-744942"/>
    <d v="2023-02-23T00:00:00"/>
    <d v="2023-03-18T00:00:00"/>
    <x v="3"/>
    <x v="7"/>
    <x v="11"/>
    <s v="Education"/>
    <s v="Distributor"/>
    <s v="K. Singh"/>
    <s v="Printers"/>
    <s v="PRN-1060"/>
    <n v="770.11"/>
    <n v="1667.82"/>
    <n v="1667.82"/>
    <s v="High"/>
    <n v="6.9000000000000006E-2"/>
    <n v="6.9000000000000006E-2"/>
    <n v="7"/>
    <s v="OK"/>
    <d v="2023-03-18T00:00:00"/>
    <n v="23"/>
    <n v="10869.182940000001"/>
    <n v="5390.77"/>
    <n v="5478.4129400000002"/>
    <n v="0.50403171703355287"/>
    <s v="Q1-2023"/>
    <s v="Printers"/>
    <s v="Printers"/>
    <x v="1"/>
    <s v="Late"/>
    <n v="6.9000000000000006E-2"/>
    <n v="847.12100000000009"/>
    <n v="7.7000000000000011"/>
    <n v="11956.101234000002"/>
    <n v="6522.8317000000015"/>
    <n v="5433.269534"/>
  </r>
  <r>
    <s v="ORD-2023-562894"/>
    <d v="2023-02-23T00:00:00"/>
    <d v="2023-03-25T00:00:00"/>
    <x v="0"/>
    <x v="3"/>
    <x v="39"/>
    <s v="Enterprise"/>
    <s v="Online"/>
    <s v="D. Smith"/>
    <s v="Phones"/>
    <s v="PHN-4854"/>
    <n v="1242.6600000000001"/>
    <n v="1794.07"/>
    <n v="1794.07"/>
    <s v="High"/>
    <n v="8.8999999999999996E-2"/>
    <n v="8.8999999999999996E-2"/>
    <n v="16"/>
    <s v="OK"/>
    <d v="2023-03-25T00:00:00"/>
    <n v="30"/>
    <n v="26150.364320000001"/>
    <n v="19882.560000000001"/>
    <n v="6267.8043199999993"/>
    <n v="0.23968325042440553"/>
    <s v="Q1-2023"/>
    <s v="Phones"/>
    <s v="Phones"/>
    <x v="1"/>
    <s v="Late"/>
    <n v="8.8999999999999996E-2"/>
    <n v="1366.9260000000002"/>
    <n v="17.600000000000001"/>
    <n v="28765.400752000001"/>
    <n v="24057.897600000004"/>
    <n v="4707.5031519999975"/>
  </r>
  <r>
    <s v="ORD-2023-422918"/>
    <d v="2023-02-28T00:00:00"/>
    <d v="2023-03-20T00:00:00"/>
    <x v="2"/>
    <x v="11"/>
    <x v="36"/>
    <s v="Small Business"/>
    <s v="Direct"/>
    <s v="H. Kim"/>
    <s v="Laptops"/>
    <s v="LAP-3679"/>
    <n v="1200.78"/>
    <n v="2001.17"/>
    <n v="2001.17"/>
    <s v="High"/>
    <n v="0.29199999999999998"/>
    <n v="0.29199999999999998"/>
    <n v="18"/>
    <s v="OK"/>
    <d v="2023-03-20T00:00:00"/>
    <n v="20"/>
    <n v="25502.910479999999"/>
    <n v="21614.04"/>
    <n v="3888.8704799999978"/>
    <n v="0.15248732034132906"/>
    <s v="Q1-2023"/>
    <s v="Laptops"/>
    <s v="Laptops"/>
    <x v="0"/>
    <s v="Late"/>
    <n v="0.2"/>
    <n v="1320.8580000000002"/>
    <n v="19.8"/>
    <n v="31698.532800000004"/>
    <n v="26152.988400000006"/>
    <n v="5545.5443999999989"/>
  </r>
  <r>
    <s v="ORD-2023-884625"/>
    <d v="2023-02-19T00:00:00"/>
    <d v="2023-03-12T00:00:00"/>
    <x v="2"/>
    <x v="11"/>
    <x v="36"/>
    <s v="Small Business"/>
    <s v="Direct"/>
    <s v="L. Okafor"/>
    <s v="Monitors"/>
    <s v="MON-6699"/>
    <n v="1234.81"/>
    <n v="2055.2399999999998"/>
    <n v="2055.2399999999998"/>
    <s v="High"/>
    <n v="5.2999999999999999E-2"/>
    <n v="5.2999999999999999E-2"/>
    <n v="44"/>
    <s v="OK"/>
    <d v="2023-03-12T00:00:00"/>
    <n v="21"/>
    <n v="85637.740319999997"/>
    <n v="54331.64"/>
    <n v="31306.100319999998"/>
    <n v="0.36556429680441616"/>
    <s v="Q1-2023"/>
    <s v="Monitors"/>
    <s v="Monitors"/>
    <x v="1"/>
    <s v="Late"/>
    <n v="5.2999999999999999E-2"/>
    <n v="1358.2909999999999"/>
    <n v="48.400000000000006"/>
    <n v="94201.514351999984"/>
    <n v="65741.284400000004"/>
    <n v="28460.22995199998"/>
  </r>
  <r>
    <s v="ORD-2023-271836"/>
    <d v="2023-02-07T00:00:00"/>
    <d v="2023-02-12T00:00:00"/>
    <x v="0"/>
    <x v="0"/>
    <x v="17"/>
    <s v="Education"/>
    <s v="Online"/>
    <s v="N. Brown"/>
    <s v="Components"/>
    <s v="CMP-2693"/>
    <n v="948.55"/>
    <n v="2089.16"/>
    <n v="2089.16"/>
    <s v="High"/>
    <n v="7.0000000000000001E-3"/>
    <n v="7.0000000000000001E-3"/>
    <n v="12"/>
    <s v="OK"/>
    <d v="2023-02-12T00:00:00"/>
    <n v="5"/>
    <n v="24894.430559999997"/>
    <n v="11382.599999999999"/>
    <n v="13511.830559999999"/>
    <n v="0.54276519912492427"/>
    <s v="Q1-2023"/>
    <s v="Components"/>
    <s v="Components"/>
    <x v="1"/>
    <s v="On-time"/>
    <n v="7.0000000000000001E-3"/>
    <n v="1043.405"/>
    <n v="13.200000000000001"/>
    <n v="27383.873616000001"/>
    <n v="13772.946"/>
    <n v="13610.927616000001"/>
  </r>
  <r>
    <s v="ORD-2023-619493"/>
    <d v="2023-02-27T00:00:00"/>
    <d v="2023-02-26T00:00:00"/>
    <x v="0"/>
    <x v="9"/>
    <x v="32"/>
    <s v="Non-Profit"/>
    <s v="Online"/>
    <s v="L. Okafor"/>
    <s v="Networking"/>
    <s v="NET-1282"/>
    <n v="1015.91"/>
    <n v="2331.48"/>
    <n v="2331.48"/>
    <s v="High"/>
    <n v="0.14599999999999999"/>
    <n v="0.14599999999999999"/>
    <n v="26"/>
    <s v="Correct"/>
    <d v="2023-03-06T00:00:00"/>
    <n v="7"/>
    <n v="51768.181920000003"/>
    <n v="26413.66"/>
    <n v="25354.521920000003"/>
    <n v="0.48977037592669626"/>
    <s v="Q1-2023"/>
    <s v="Networking"/>
    <s v="Networking"/>
    <x v="1"/>
    <s v="On-time"/>
    <n v="0.14599999999999999"/>
    <n v="1117.501"/>
    <n v="28.6"/>
    <n v="56945.000112000009"/>
    <n v="31960.528600000001"/>
    <n v="24984.471512000007"/>
  </r>
  <r>
    <s v="ORD-2023-159379"/>
    <d v="2023-02-08T00:00:00"/>
    <d v="2023-02-11T00:00:00"/>
    <x v="1"/>
    <x v="6"/>
    <x v="15"/>
    <s v="Corporate"/>
    <s v="Direct"/>
    <s v="M. Rossi"/>
    <s v="Networking"/>
    <s v="NET-5018"/>
    <n v="1410.05"/>
    <n v="2763.95"/>
    <n v="2763.95"/>
    <s v="High"/>
    <n v="0.161"/>
    <n v="0.161"/>
    <n v="26"/>
    <s v="OK"/>
    <d v="2023-02-11T00:00:00"/>
    <n v="3"/>
    <n v="60292.805299999993"/>
    <n v="36661.299999999996"/>
    <n v="23631.505299999997"/>
    <n v="0.39194569206750779"/>
    <s v="Q1-2023"/>
    <s v="Networking"/>
    <s v="Networking"/>
    <x v="1"/>
    <s v="On-time"/>
    <n v="0.161"/>
    <n v="1551.0550000000001"/>
    <n v="28.6"/>
    <n v="66322.085829999996"/>
    <n v="44360.173000000003"/>
    <n v="21961.912829999994"/>
  </r>
  <r>
    <s v="ORD-2023-888245"/>
    <d v="2023-02-28T00:00:00"/>
    <d v="2023-02-27T00:00:00"/>
    <x v="2"/>
    <x v="10"/>
    <x v="33"/>
    <s v="Corporate"/>
    <s v="Retail"/>
    <s v="K. Singh"/>
    <s v="Networking"/>
    <s v="NET-5195"/>
    <n v="1299.81"/>
    <n v="3149.13"/>
    <n v="3149.13"/>
    <s v="High"/>
    <n v="0.10299999999999999"/>
    <n v="0.10299999999999999"/>
    <n v="14"/>
    <s v="Correct"/>
    <d v="2023-03-07T00:00:00"/>
    <n v="7"/>
    <n v="39546.774539999999"/>
    <n v="18197.34"/>
    <n v="21349.434539999998"/>
    <n v="0.53985273864511729"/>
    <s v="Q1-2023"/>
    <s v="Networking"/>
    <s v="Networking"/>
    <x v="1"/>
    <s v="On-time"/>
    <n v="0.10299999999999999"/>
    <n v="1429.7910000000002"/>
    <n v="15.400000000000002"/>
    <n v="43501.45199400001"/>
    <n v="22018.781400000007"/>
    <n v="21482.670594000003"/>
  </r>
  <r>
    <s v="ORD-2024-930679"/>
    <d v="2024-12-17T00:00:00"/>
    <d v="2025-01-16T00:00:00"/>
    <x v="2"/>
    <x v="2"/>
    <x v="26"/>
    <s v="Corporate"/>
    <s v="Retail"/>
    <s v="D. Smith"/>
    <s v="Monitors"/>
    <s v="MON-4215"/>
    <n v="722.87"/>
    <n v="-33.659999999999997"/>
    <n v="33.659999999999997"/>
    <s v="Low"/>
    <n v="0.10199999999999999"/>
    <n v="0.10199999999999999"/>
    <n v="28"/>
    <s v="OK"/>
    <d v="2025-01-16T00:00:00"/>
    <n v="30"/>
    <n v="846.34703999999988"/>
    <n v="20240.36"/>
    <n v="-19394.01296"/>
    <n v="-22.914965189693348"/>
    <s v="Q4-2024"/>
    <s v="Monitors"/>
    <s v="Monitors"/>
    <x v="1"/>
    <s v="Late"/>
    <n v="0.10199999999999999"/>
    <n v="795.15700000000004"/>
    <n v="30.800000000000004"/>
    <n v="930.98174400000005"/>
    <n v="24490.835600000006"/>
    <n v="-23559.853856000005"/>
  </r>
  <r>
    <s v="ORD-2024-866535"/>
    <d v="2024-12-04T00:00:00"/>
    <d v="2024-12-12T00:00:00"/>
    <x v="2"/>
    <x v="11"/>
    <x v="34"/>
    <s v="Enterprise"/>
    <s v="Marketplace"/>
    <s v="B. Chen"/>
    <s v="Printers"/>
    <s v="PRN-5492"/>
    <n v="72.06"/>
    <n v="122.74"/>
    <n v="122.74"/>
    <s v="Low"/>
    <n v="0.23799999999999999"/>
    <n v="0.23799999999999999"/>
    <n v="8"/>
    <s v="OK"/>
    <d v="2024-12-12T00:00:00"/>
    <n v="8"/>
    <n v="748.22303999999997"/>
    <n v="576.48"/>
    <n v="171.74303999999995"/>
    <n v="0.22953455162246802"/>
    <s v="Q4-2024"/>
    <s v="Printers"/>
    <s v="Printers"/>
    <x v="0"/>
    <s v="Late"/>
    <n v="0.2"/>
    <n v="79.266000000000005"/>
    <n v="8.8000000000000007"/>
    <n v="864.08960000000013"/>
    <n v="697.5408000000001"/>
    <n v="166.54880000000003"/>
  </r>
  <r>
    <s v="ORD-2024-478165"/>
    <d v="2024-12-05T00:00:00"/>
    <d v="2024-12-28T00:00:00"/>
    <x v="0"/>
    <x v="3"/>
    <x v="18"/>
    <s v="Corporate"/>
    <s v="Direct"/>
    <s v="F. Müller"/>
    <s v="Accessories"/>
    <s v="ACC-2386"/>
    <n v="107.03"/>
    <n v="242.29"/>
    <n v="242.29"/>
    <s v="Low"/>
    <n v="0.18"/>
    <n v="0.18"/>
    <n v="30"/>
    <s v="OK"/>
    <d v="2024-12-28T00:00:00"/>
    <n v="23"/>
    <n v="5960.3340000000007"/>
    <n v="3210.9"/>
    <n v="2749.4340000000007"/>
    <n v="0.46128857879440988"/>
    <s v="Q4-2024"/>
    <s v="Accessories"/>
    <s v="Accessories"/>
    <x v="1"/>
    <s v="Late"/>
    <n v="0.18"/>
    <n v="117.733"/>
    <n v="33"/>
    <n v="6556.3674000000001"/>
    <n v="3885.1890000000003"/>
    <n v="2671.1783999999998"/>
  </r>
  <r>
    <s v="ORD-2024-972318"/>
    <d v="2024-12-24T00:00:00"/>
    <d v="2025-01-13T00:00:00"/>
    <x v="3"/>
    <x v="4"/>
    <x v="23"/>
    <s v="Corporate"/>
    <s v="Marketplace"/>
    <s v="D. Smith"/>
    <s v="Networking"/>
    <s v="NET-9832"/>
    <n v="126.15"/>
    <n v="284.23"/>
    <n v="284.23"/>
    <s v="Low"/>
    <n v="0.113"/>
    <n v="0.113"/>
    <n v="22"/>
    <s v="OK"/>
    <d v="2025-01-13T00:00:00"/>
    <n v="20"/>
    <n v="5546.4642200000008"/>
    <n v="2775.3"/>
    <n v="2771.1642200000006"/>
    <n v="0.49962716968541088"/>
    <s v="Q4-2024"/>
    <s v="Networking"/>
    <s v="Networking"/>
    <x v="1"/>
    <s v="Late"/>
    <n v="0.113"/>
    <n v="138.76500000000001"/>
    <n v="24.200000000000003"/>
    <n v="6101.1106420000006"/>
    <n v="3358.1130000000007"/>
    <n v="2742.9976419999998"/>
  </r>
  <r>
    <s v="ORD-2024-382152"/>
    <d v="2024-12-08T00:00:00"/>
    <d v="2024-12-08T00:00:00"/>
    <x v="2"/>
    <x v="10"/>
    <x v="24"/>
    <s v="Enterprise"/>
    <s v="Retail"/>
    <s v="H. Kim"/>
    <s v="Components"/>
    <s v="CMP-2335"/>
    <n v="257.44"/>
    <n v="290.33"/>
    <n v="290.33"/>
    <s v="Low"/>
    <n v="9.1999999999999998E-2"/>
    <n v="9.1999999999999998E-2"/>
    <n v="23"/>
    <s v="OK"/>
    <d v="2024-12-08T00:00:00"/>
    <n v="0"/>
    <n v="6063.2517199999993"/>
    <n v="5921.12"/>
    <n v="142.1317199999994"/>
    <n v="2.3441500792581216E-2"/>
    <s v="Q4-2024"/>
    <s v="Components"/>
    <s v="Components"/>
    <x v="1"/>
    <s v="On-time"/>
    <n v="9.1999999999999998E-2"/>
    <n v="283.18400000000003"/>
    <n v="25.3"/>
    <n v="6669.576892"/>
    <n v="7164.5552000000007"/>
    <n v="-494.97830800000065"/>
  </r>
  <r>
    <s v="ORD-2024-800947"/>
    <d v="2024-12-15T00:00:00"/>
    <d v="2024-12-20T00:00:00"/>
    <x v="3"/>
    <x v="7"/>
    <x v="14"/>
    <s v="Small Business"/>
    <s v="Direct"/>
    <s v="J. Njeri"/>
    <s v="Networking"/>
    <s v="NET-1846"/>
    <n v="717.55"/>
    <n v="546.42999999999995"/>
    <n v="546.42999999999995"/>
    <s v="Low"/>
    <n v="4.7E-2"/>
    <n v="4.7E-2"/>
    <n v="18"/>
    <s v="OK"/>
    <d v="2024-12-20T00:00:00"/>
    <n v="5"/>
    <n v="9373.460219999999"/>
    <n v="12915.9"/>
    <n v="-3542.4397800000006"/>
    <n v="-0.37792231437026369"/>
    <s v="Q4-2024"/>
    <s v="Networking"/>
    <s v="Networking"/>
    <x v="1"/>
    <s v="On-time"/>
    <n v="4.7E-2"/>
    <n v="789.30500000000006"/>
    <n v="19.8"/>
    <n v="10310.806242000001"/>
    <n v="15628.239000000001"/>
    <n v="-5317.4327580000008"/>
  </r>
  <r>
    <s v="ORD-2024-164288"/>
    <d v="2024-12-21T00:00:00"/>
    <d v="2024-12-26T00:00:00"/>
    <x v="0"/>
    <x v="9"/>
    <x v="32"/>
    <s v="Consumer"/>
    <s v="Marketplace"/>
    <s v="M. Rossi"/>
    <s v="Printers"/>
    <s v="PRN-4788"/>
    <n v="699.57"/>
    <n v="572.71"/>
    <n v="572.71"/>
    <s v="Low"/>
    <n v="0.192"/>
    <n v="0.192"/>
    <n v="26"/>
    <s v="OK"/>
    <d v="2024-12-26T00:00:00"/>
    <n v="5"/>
    <n v="12031.491680000001"/>
    <n v="18188.82"/>
    <n v="-6157.3283199999987"/>
    <n v="-0.51176765805651114"/>
    <s v="Q4-2024"/>
    <s v="Printers"/>
    <s v="Printers"/>
    <x v="1"/>
    <s v="On-time"/>
    <n v="0.192"/>
    <n v="769.52700000000016"/>
    <n v="28.6"/>
    <n v="13234.640848000003"/>
    <n v="22008.472200000004"/>
    <n v="-8773.8313520000011"/>
  </r>
  <r>
    <s v="ORD-2024-170313"/>
    <d v="2024-12-27T00:00:00"/>
    <d v="2025-01-15T00:00:00"/>
    <x v="3"/>
    <x v="4"/>
    <x v="6"/>
    <s v="Non-Profit"/>
    <s v="Distributor"/>
    <s v="G. Dubois"/>
    <s v="Components"/>
    <s v="CMP-6919"/>
    <n v="495.59"/>
    <n v="631.78"/>
    <n v="631.78"/>
    <s v="Middle"/>
    <n v="8.6999999999999994E-2"/>
    <n v="8.6999999999999994E-2"/>
    <n v="17"/>
    <s v="OK"/>
    <d v="2025-01-15T00:00:00"/>
    <n v="19"/>
    <n v="9805.8573800000013"/>
    <n v="8425.0299999999988"/>
    <n v="1380.8273800000024"/>
    <n v="0.14081658813601899"/>
    <s v="Q4-2024"/>
    <s v="Components"/>
    <s v="Components"/>
    <x v="1"/>
    <s v="Late"/>
    <n v="8.6999999999999994E-2"/>
    <n v="545.149"/>
    <n v="18.700000000000003"/>
    <n v="10786.443118000003"/>
    <n v="10194.286300000002"/>
    <n v="592.15681800000129"/>
  </r>
  <r>
    <s v="ORD-2024-289089"/>
    <d v="2024-12-17T00:00:00"/>
    <d v="2024-12-18T00:00:00"/>
    <x v="2"/>
    <x v="11"/>
    <x v="35"/>
    <s v="Education"/>
    <s v="Retail"/>
    <s v="L. Okafor"/>
    <s v="Accessories"/>
    <s v="ACC-5780"/>
    <n v="346.82"/>
    <n v="701.95"/>
    <n v="701.95"/>
    <s v="Middle"/>
    <n v="0.14699999999999999"/>
    <n v="0.14699999999999999"/>
    <n v="8"/>
    <s v="OK"/>
    <d v="2024-12-18T00:00:00"/>
    <n v="1"/>
    <n v="4790.1068000000005"/>
    <n v="2774.56"/>
    <n v="2015.5468000000005"/>
    <n v="0.42077283120284509"/>
    <s v="Q4-2024"/>
    <s v="Accessories"/>
    <s v="Accessories"/>
    <x v="1"/>
    <s v="On-time"/>
    <n v="0.14699999999999999"/>
    <n v="381.50200000000001"/>
    <n v="8.8000000000000007"/>
    <n v="5269.1174800000008"/>
    <n v="3357.2176000000004"/>
    <n v="1911.8998800000004"/>
  </r>
  <r>
    <s v="ORD-2024-336584"/>
    <d v="2024-12-27T00:00:00"/>
    <d v="2025-01-14T00:00:00"/>
    <x v="3"/>
    <x v="4"/>
    <x v="23"/>
    <s v="Small Business"/>
    <s v="Marketplace"/>
    <s v="E. Garcia"/>
    <s v="Monitors"/>
    <s v="MON-8629"/>
    <n v="586.07000000000005"/>
    <n v="845.97"/>
    <n v="845.97"/>
    <s v="Middle"/>
    <n v="0.14699999999999999"/>
    <n v="0.14699999999999999"/>
    <n v="4"/>
    <s v="OK"/>
    <d v="2025-01-14T00:00:00"/>
    <n v="18"/>
    <n v="2886.4496399999998"/>
    <n v="2344.2800000000002"/>
    <n v="542.16963999999962"/>
    <n v="0.18783270370862928"/>
    <s v="Q4-2024"/>
    <s v="Monitors"/>
    <s v="Monitors"/>
    <x v="1"/>
    <s v="Late"/>
    <n v="0.14699999999999999"/>
    <n v="644.67700000000013"/>
    <n v="4.4000000000000004"/>
    <n v="3175.0946040000003"/>
    <n v="2836.5788000000007"/>
    <n v="338.51580399999966"/>
  </r>
  <r>
    <s v="ORD-2024-902741"/>
    <d v="2024-12-23T00:00:00"/>
    <d v="2025-01-11T00:00:00"/>
    <x v="2"/>
    <x v="11"/>
    <x v="36"/>
    <s v="Education"/>
    <s v="Retail"/>
    <s v="K. Singh"/>
    <s v="Phones"/>
    <s v="PHN-8057"/>
    <n v="501.81"/>
    <n v="921.62"/>
    <n v="921.62"/>
    <s v="Middle"/>
    <n v="0.01"/>
    <n v="0.01"/>
    <n v="9"/>
    <s v="OK"/>
    <d v="2025-01-11T00:00:00"/>
    <n v="19"/>
    <n v="8211.6342000000004"/>
    <n v="4516.29"/>
    <n v="3695.3442000000005"/>
    <n v="0.45001325071202031"/>
    <s v="Q4-2024"/>
    <s v="Phones"/>
    <s v="Phones"/>
    <x v="1"/>
    <s v="Late"/>
    <n v="0.01"/>
    <n v="551.9910000000001"/>
    <n v="9.9"/>
    <n v="9032.7976200000012"/>
    <n v="5464.7109000000009"/>
    <n v="3568.0867200000002"/>
  </r>
  <r>
    <s v="ORD-2024-837651"/>
    <d v="2024-12-10T00:00:00"/>
    <d v="2024-12-19T00:00:00"/>
    <x v="1"/>
    <x v="8"/>
    <x v="12"/>
    <s v="Corporate"/>
    <s v="Retail"/>
    <s v="O. Wang"/>
    <s v="Monitors"/>
    <s v="MON-4789"/>
    <n v="488.68"/>
    <n v="984.36"/>
    <n v="984.36"/>
    <s v="Middle"/>
    <n v="5.8999999999999997E-2"/>
    <n v="5.8999999999999997E-2"/>
    <n v="14"/>
    <s v="OK"/>
    <d v="2024-12-19T00:00:00"/>
    <n v="9"/>
    <n v="12967.958640000001"/>
    <n v="6841.52"/>
    <n v="6126.4386400000003"/>
    <n v="0.47242891576649876"/>
    <s v="Q4-2024"/>
    <s v="Monitors"/>
    <s v="Monitors"/>
    <x v="1"/>
    <s v="Late"/>
    <n v="5.8999999999999997E-2"/>
    <n v="537.548"/>
    <n v="15.400000000000002"/>
    <n v="14264.754504000002"/>
    <n v="8278.2392000000018"/>
    <n v="5986.5153040000005"/>
  </r>
  <r>
    <s v="ORD-2024-206081"/>
    <d v="2024-12-10T00:00:00"/>
    <d v="2025-01-08T00:00:00"/>
    <x v="2"/>
    <x v="10"/>
    <x v="33"/>
    <s v="Small Business"/>
    <s v="Retail"/>
    <s v="K. Singh"/>
    <s v="Printers"/>
    <s v="PRN-6791"/>
    <n v="891.08"/>
    <n v="1040.0999999999999"/>
    <n v="1040.0999999999999"/>
    <s v="Middle"/>
    <n v="0.109"/>
    <n v="0.109"/>
    <n v="28"/>
    <s v="OK"/>
    <d v="2025-01-08T00:00:00"/>
    <n v="29"/>
    <n v="25948.414799999995"/>
    <n v="24950.240000000002"/>
    <n v="998.17479999999341"/>
    <n v="3.8467660074556598E-2"/>
    <s v="Q4-2024"/>
    <s v="Printers"/>
    <s v="Printers"/>
    <x v="1"/>
    <s v="Late"/>
    <n v="0.109"/>
    <n v="980.1880000000001"/>
    <n v="30.800000000000004"/>
    <n v="28543.256280000001"/>
    <n v="30189.790400000009"/>
    <n v="-1646.5341200000075"/>
  </r>
  <r>
    <s v="ORD-2024-102866"/>
    <d v="2024-12-12T00:00:00"/>
    <d v="2024-12-20T00:00:00"/>
    <x v="3"/>
    <x v="5"/>
    <x v="8"/>
    <s v="Corporate"/>
    <s v="Retail"/>
    <s v="B. Chen"/>
    <s v="Laptops"/>
    <s v="LAP-8347"/>
    <n v="1202.47"/>
    <n v="1444.72"/>
    <n v="1444.72"/>
    <s v="High"/>
    <n v="0.24099999999999999"/>
    <n v="0.24099999999999999"/>
    <n v="17"/>
    <s v="OK"/>
    <d v="2024-12-20T00:00:00"/>
    <n v="8"/>
    <n v="18641.222160000001"/>
    <n v="20441.990000000002"/>
    <n v="-1800.7678400000004"/>
    <n v="-9.6601382921343834E-2"/>
    <s v="Q4-2024"/>
    <s v="Laptops"/>
    <s v="Laptops"/>
    <x v="0"/>
    <s v="Late"/>
    <n v="0.2"/>
    <n v="1322.7170000000001"/>
    <n v="18.700000000000003"/>
    <n v="21613.011200000004"/>
    <n v="24734.807900000007"/>
    <n v="-3121.7967000000026"/>
  </r>
  <r>
    <s v="ORD-2024-836421"/>
    <d v="2024-12-14T00:00:00"/>
    <d v="2025-01-12T00:00:00"/>
    <x v="3"/>
    <x v="7"/>
    <x v="14"/>
    <s v="Education"/>
    <s v="Online"/>
    <s v="J. Njeri"/>
    <s v="Components"/>
    <s v="CMP-3720"/>
    <n v="1412.15"/>
    <n v="1631.04"/>
    <n v="1631.04"/>
    <s v="High"/>
    <n v="8.9999999999999993E-3"/>
    <n v="8.9999999999999993E-3"/>
    <n v="6"/>
    <s v="OK"/>
    <d v="2025-01-12T00:00:00"/>
    <n v="29"/>
    <n v="9698.1638399999993"/>
    <n v="8472.9000000000015"/>
    <n v="1225.2638399999978"/>
    <n v="0.12633977526203535"/>
    <s v="Q4-2024"/>
    <s v="Components"/>
    <s v="Components"/>
    <x v="1"/>
    <s v="Late"/>
    <n v="8.9999999999999993E-3"/>
    <n v="1553.3650000000002"/>
    <n v="6.6000000000000005"/>
    <n v="10667.980224000001"/>
    <n v="10252.209000000003"/>
    <n v="415.77122399999826"/>
  </r>
  <r>
    <s v="ORD-2024-390951"/>
    <d v="2024-12-20T00:00:00"/>
    <d v="2025-01-14T00:00:00"/>
    <x v="3"/>
    <x v="4"/>
    <x v="6"/>
    <s v="Small Business"/>
    <s v="Retail"/>
    <s v="M. Rossi"/>
    <s v="Printers"/>
    <s v="PRN-9378"/>
    <n v="1361.34"/>
    <n v="1737.9"/>
    <n v="1737.9"/>
    <s v="High"/>
    <n v="7.6999999999999999E-2"/>
    <n v="7.6999999999999999E-2"/>
    <n v="14"/>
    <s v="OK"/>
    <d v="2025-01-14T00:00:00"/>
    <n v="25"/>
    <n v="22457.143800000002"/>
    <n v="19058.759999999998"/>
    <n v="3398.3838000000032"/>
    <n v="0.15132751654731813"/>
    <s v="Q4-2024"/>
    <s v="Printers"/>
    <s v="Printers"/>
    <x v="1"/>
    <s v="Late"/>
    <n v="7.6999999999999999E-2"/>
    <n v="1497.4739999999999"/>
    <n v="15.400000000000002"/>
    <n v="24702.858180000003"/>
    <n v="23061.099600000001"/>
    <n v="1641.7585800000015"/>
  </r>
  <r>
    <s v="ORD-2024-257550"/>
    <d v="2024-12-27T00:00:00"/>
    <d v="2024-12-29T00:00:00"/>
    <x v="0"/>
    <x v="3"/>
    <x v="18"/>
    <s v="Enterprise"/>
    <s v="Marketplace"/>
    <s v="C. Otieno"/>
    <s v="Accessories"/>
    <s v="ACC-8620"/>
    <n v="1146.72"/>
    <n v="2074.34"/>
    <n v="2074.34"/>
    <s v="High"/>
    <n v="0.111"/>
    <n v="0.111"/>
    <n v="8"/>
    <s v="OK"/>
    <d v="2024-12-29T00:00:00"/>
    <n v="2"/>
    <n v="14752.706080000002"/>
    <n v="9173.76"/>
    <n v="5578.9460800000015"/>
    <n v="0.37816425337472737"/>
    <s v="Q4-2024"/>
    <s v="Accessories"/>
    <s v="Accessories"/>
    <x v="1"/>
    <s v="On-time"/>
    <n v="0.111"/>
    <n v="1261.3920000000001"/>
    <n v="8.8000000000000007"/>
    <n v="16227.976688000002"/>
    <n v="11100.249600000001"/>
    <n v="5127.7270880000015"/>
  </r>
  <r>
    <s v="ORD-2024-140633"/>
    <d v="2024-12-07T00:00:00"/>
    <d v="2024-12-26T00:00:00"/>
    <x v="2"/>
    <x v="2"/>
    <x v="3"/>
    <s v="Enterprise"/>
    <s v="Online"/>
    <s v="D. Smith"/>
    <s v="Networking"/>
    <s v="NET-4491"/>
    <n v="1035.24"/>
    <n v="2383.41"/>
    <n v="2383.41"/>
    <s v="High"/>
    <n v="0.17"/>
    <n v="0.17"/>
    <n v="15"/>
    <s v="OK"/>
    <d v="2024-12-26T00:00:00"/>
    <n v="19"/>
    <n v="29673.454499999993"/>
    <n v="15528.6"/>
    <n v="14144.854499999992"/>
    <n v="0.47668378145860962"/>
    <s v="Q4-2024"/>
    <s v="Networking"/>
    <s v="Networking"/>
    <x v="1"/>
    <s v="Late"/>
    <n v="0.17"/>
    <n v="1138.7640000000001"/>
    <n v="16.5"/>
    <n v="32640.799949999997"/>
    <n v="18789.606000000003"/>
    <n v="13851.193949999993"/>
  </r>
  <r>
    <s v="ORD-2024-651852"/>
    <d v="2024-12-28T00:00:00"/>
    <d v="2025-01-08T00:00:00"/>
    <x v="3"/>
    <x v="7"/>
    <x v="14"/>
    <s v="Enterprise"/>
    <s v="Online"/>
    <s v="K. Singh"/>
    <s v="Laptops"/>
    <s v="LAP-8825"/>
    <n v="1201.31"/>
    <n v="2764.65"/>
    <n v="2764.65"/>
    <s v="High"/>
    <n v="0"/>
    <n v="0"/>
    <n v="21"/>
    <s v="OK"/>
    <d v="2025-01-08T00:00:00"/>
    <n v="11"/>
    <n v="58057.65"/>
    <n v="25227.51"/>
    <n v="32830.14"/>
    <n v="0.56547483406579491"/>
    <s v="Q4-2024"/>
    <s v="Laptops"/>
    <s v="Laptops"/>
    <x v="1"/>
    <s v="Late"/>
    <n v="0"/>
    <n v="1321.441"/>
    <n v="23.1"/>
    <n v="63863.415000000008"/>
    <n v="30525.287100000001"/>
    <n v="33338.127900000007"/>
  </r>
  <r>
    <s v="ORD-2024-165942"/>
    <d v="2024-12-29T00:00:00"/>
    <d v="2025-01-12T00:00:00"/>
    <x v="2"/>
    <x v="2"/>
    <x v="26"/>
    <s v="Corporate"/>
    <s v="Direct"/>
    <s v="B. Chen"/>
    <s v="Monitors"/>
    <s v="MON-6310"/>
    <n v="1399.72"/>
    <n v="3149.21"/>
    <n v="3149.21"/>
    <s v="High"/>
    <n v="0.185"/>
    <n v="0.185"/>
    <n v="12"/>
    <s v="OK"/>
    <d v="2025-01-12T00:00:00"/>
    <n v="14"/>
    <n v="30799.273800000003"/>
    <n v="16796.64"/>
    <n v="14002.633800000003"/>
    <n v="0.45464168703873797"/>
    <s v="Q4-2024"/>
    <s v="Monitors"/>
    <s v="Monitors"/>
    <x v="1"/>
    <s v="Late"/>
    <n v="0.185"/>
    <n v="1539.6920000000002"/>
    <n v="13.200000000000001"/>
    <n v="33879.201180000004"/>
    <n v="20323.934400000006"/>
    <n v="13555.266779999998"/>
  </r>
  <r>
    <s v="ORD-2024-474999"/>
    <d v="2024-12-27T00:00:00"/>
    <d v="2025-01-02T00:00:00"/>
    <x v="2"/>
    <x v="11"/>
    <x v="34"/>
    <s v="Education"/>
    <s v="Direct"/>
    <s v="F. Müller"/>
    <s v="Laptops"/>
    <s v="LAP-8214"/>
    <n v="1391.99"/>
    <n v="3469.7"/>
    <n v="3469.7"/>
    <s v="High"/>
    <n v="0.184"/>
    <n v="0.184"/>
    <n v="23"/>
    <s v="OK"/>
    <d v="2025-01-02T00:00:00"/>
    <n v="6"/>
    <n v="65119.329599999997"/>
    <n v="32015.77"/>
    <n v="33103.559599999993"/>
    <n v="0.50835227886006973"/>
    <s v="Q4-2024"/>
    <s v="Laptops"/>
    <s v="Laptops"/>
    <x v="1"/>
    <s v="On-time"/>
    <n v="0.184"/>
    <n v="1531.1890000000001"/>
    <n v="25.3"/>
    <n v="71631.262560000003"/>
    <n v="38739.081700000002"/>
    <n v="32892.18086"/>
  </r>
  <r>
    <s v="ORD-2023-581799"/>
    <d v="2023-12-05T00:00:00"/>
    <d v="2023-12-12T00:00:00"/>
    <x v="0"/>
    <x v="0"/>
    <x v="1"/>
    <s v="Corporate"/>
    <s v="Direct"/>
    <s v="F. Müller"/>
    <s v="Phones"/>
    <s v="PHN-6506"/>
    <n v="307.43"/>
    <n v="495.19"/>
    <n v="495.19"/>
    <s v="Low"/>
    <n v="0"/>
    <n v="0"/>
    <n v="42"/>
    <s v="OK"/>
    <d v="2023-12-12T00:00:00"/>
    <n v="7"/>
    <n v="20797.98"/>
    <n v="12912.06"/>
    <n v="7885.92"/>
    <n v="0.37916759223732305"/>
    <s v="Q4-2023"/>
    <s v="Phones"/>
    <s v="Phones"/>
    <x v="1"/>
    <s v="On-time"/>
    <n v="0"/>
    <n v="338.17300000000006"/>
    <n v="46.2"/>
    <n v="22877.778000000002"/>
    <n v="15623.592600000004"/>
    <n v="7254.1853999999985"/>
  </r>
  <r>
    <s v="ORD-2023-967239"/>
    <d v="2023-12-24T00:00:00"/>
    <d v="2024-01-01T00:00:00"/>
    <x v="0"/>
    <x v="0"/>
    <x v="17"/>
    <s v="Education"/>
    <s v="Direct"/>
    <s v="C. Otieno"/>
    <s v="Phones"/>
    <s v="PHN-3014"/>
    <n v="526.49"/>
    <n v="496.2"/>
    <n v="496.2"/>
    <s v="Low"/>
    <n v="0"/>
    <n v="0"/>
    <n v="14"/>
    <s v="OK"/>
    <d v="2024-01-01T00:00:00"/>
    <n v="8"/>
    <n v="6946.8"/>
    <n v="7370.8600000000006"/>
    <n v="-424.0600000000004"/>
    <n v="-6.1043933897621985E-2"/>
    <s v="Q4-2023"/>
    <s v="Phones"/>
    <s v="Phones"/>
    <x v="1"/>
    <s v="Late"/>
    <n v="0"/>
    <n v="579.13900000000001"/>
    <n v="15.400000000000002"/>
    <n v="7641.4800000000005"/>
    <n v="8918.740600000001"/>
    <n v="-1277.2606000000005"/>
  </r>
  <r>
    <s v="ORD-2023-813340"/>
    <d v="2023-12-26T00:00:00"/>
    <d v="2024-01-03T00:00:00"/>
    <x v="2"/>
    <x v="10"/>
    <x v="24"/>
    <s v="Small Business"/>
    <s v="Retail"/>
    <s v="M. Rossi"/>
    <s v="Laptops"/>
    <s v="LAP-2942"/>
    <n v="492.75"/>
    <n v="731.29"/>
    <n v="731.29"/>
    <s v="Middle"/>
    <n v="5.8000000000000003E-2"/>
    <n v="5.8000000000000003E-2"/>
    <n v="6"/>
    <s v="OK"/>
    <d v="2024-01-03T00:00:00"/>
    <n v="8"/>
    <n v="4133.25108"/>
    <n v="2956.5"/>
    <n v="1176.75108"/>
    <n v="0.28470350753528384"/>
    <s v="Q4-2023"/>
    <s v="Laptops"/>
    <s v="Laptops"/>
    <x v="1"/>
    <s v="Late"/>
    <n v="5.8000000000000003E-2"/>
    <n v="542.02500000000009"/>
    <n v="6.6000000000000005"/>
    <n v="4546.576188"/>
    <n v="3577.3650000000007"/>
    <n v="969.21118799999931"/>
  </r>
  <r>
    <s v="ORD-2023-824839"/>
    <d v="2023-12-06T00:00:00"/>
    <d v="2023-12-31T00:00:00"/>
    <x v="3"/>
    <x v="5"/>
    <x v="9"/>
    <s v="Consumer"/>
    <s v="Retail"/>
    <s v="L. Okafor"/>
    <s v="Printers"/>
    <s v="PRN-8041"/>
    <n v="663.03"/>
    <n v="813.51"/>
    <n v="813.51"/>
    <s v="Middle"/>
    <n v="0.10199999999999999"/>
    <n v="0.10199999999999999"/>
    <n v="15"/>
    <s v="OK"/>
    <d v="2023-12-31T00:00:00"/>
    <n v="25"/>
    <n v="10957.9797"/>
    <n v="9945.4499999999989"/>
    <n v="1012.529700000001"/>
    <n v="9.2401129379715952E-2"/>
    <s v="Q4-2023"/>
    <s v="Printers"/>
    <s v="Printers"/>
    <x v="1"/>
    <s v="Late"/>
    <n v="0.10199999999999999"/>
    <n v="729.33300000000008"/>
    <n v="16.5"/>
    <n v="12053.777669999999"/>
    <n v="12033.994500000001"/>
    <n v="19.78316999999879"/>
  </r>
  <r>
    <s v="ORD-2023-596758"/>
    <d v="2023-12-07T00:00:00"/>
    <d v="2023-12-05T00:00:00"/>
    <x v="3"/>
    <x v="5"/>
    <x v="8"/>
    <s v="Non-Profit"/>
    <s v="Marketplace"/>
    <s v="H. Kim"/>
    <s v="Printers"/>
    <s v="PRN-8175"/>
    <n v="1097.5899999999999"/>
    <n v="845.55"/>
    <n v="845.55"/>
    <s v="Middle"/>
    <n v="0.184"/>
    <n v="0.184"/>
    <n v="6"/>
    <s v="Correct"/>
    <d v="2023-12-14T00:00:00"/>
    <n v="7"/>
    <n v="4139.8127999999997"/>
    <n v="6585.5399999999991"/>
    <n v="-2445.7271999999994"/>
    <n v="-0.59078207594314402"/>
    <s v="Q4-2023"/>
    <s v="Printers"/>
    <s v="Printers"/>
    <x v="1"/>
    <s v="On-time"/>
    <n v="0.184"/>
    <n v="1207.3489999999999"/>
    <n v="6.6000000000000005"/>
    <n v="4553.7940800000006"/>
    <n v="7968.5034000000005"/>
    <n v="-3414.7093199999999"/>
  </r>
  <r>
    <s v="ORD-2023-126505"/>
    <d v="2023-12-19T00:00:00"/>
    <d v="2024-01-01T00:00:00"/>
    <x v="0"/>
    <x v="3"/>
    <x v="4"/>
    <s v="Enterprise"/>
    <s v="Retail"/>
    <s v="K. Singh"/>
    <s v="Monitors"/>
    <s v="MON-6065"/>
    <n v="856.1"/>
    <n v="901.48"/>
    <n v="901.48"/>
    <s v="Middle"/>
    <n v="5.6000000000000001E-2"/>
    <n v="5.6000000000000001E-2"/>
    <n v="17"/>
    <s v="OK"/>
    <d v="2024-01-01T00:00:00"/>
    <n v="13"/>
    <n v="14466.95104"/>
    <n v="14553.7"/>
    <n v="-86.748960000000807"/>
    <n v="-5.9963540182134192E-3"/>
    <s v="Q4-2023"/>
    <s v="Monitors"/>
    <s v="Monitors"/>
    <x v="1"/>
    <s v="Late"/>
    <n v="5.6000000000000001E-2"/>
    <n v="941.71000000000015"/>
    <n v="18.700000000000003"/>
    <n v="15913.646144000002"/>
    <n v="17609.977000000006"/>
    <n v="-1696.3308560000041"/>
  </r>
  <r>
    <s v="ORD-2023-249805"/>
    <d v="2023-12-22T00:00:00"/>
    <d v="2024-01-16T00:00:00"/>
    <x v="3"/>
    <x v="4"/>
    <x v="31"/>
    <s v="Small Business"/>
    <s v="Retail"/>
    <s v="A. Patel"/>
    <s v="Components"/>
    <s v="CMP-1555"/>
    <n v="1346.81"/>
    <n v="978.09"/>
    <n v="978.09"/>
    <s v="Middle"/>
    <n v="0.159"/>
    <n v="0.159"/>
    <n v="17"/>
    <s v="OK"/>
    <d v="2024-01-16T00:00:00"/>
    <n v="25"/>
    <n v="13983.752729999998"/>
    <n v="22895.77"/>
    <n v="-8912.0172700000021"/>
    <n v="-0.6373122753293996"/>
    <s v="Q4-2023"/>
    <s v="Components"/>
    <s v="Components"/>
    <x v="1"/>
    <s v="Late"/>
    <n v="0.159"/>
    <n v="1481.491"/>
    <n v="18.700000000000003"/>
    <n v="15382.128003000002"/>
    <n v="27703.881700000005"/>
    <n v="-12321.753697000004"/>
  </r>
  <r>
    <s v="ORD-2023-212701"/>
    <d v="2023-12-02T00:00:00"/>
    <d v="2023-12-16T00:00:00"/>
    <x v="2"/>
    <x v="11"/>
    <x v="34"/>
    <s v="Education"/>
    <s v="Direct"/>
    <s v="N. Brown"/>
    <s v="Monitors"/>
    <s v="MON-4278"/>
    <n v="879.08"/>
    <n v="1093.3900000000001"/>
    <n v="1093.3900000000001"/>
    <s v="Middle"/>
    <n v="0.113"/>
    <n v="0.113"/>
    <n v="17"/>
    <s v="OK"/>
    <d v="2023-12-16T00:00:00"/>
    <n v="14"/>
    <n v="16487.22781"/>
    <n v="14944.36"/>
    <n v="1542.8678099999997"/>
    <n v="9.3579577341935186E-2"/>
    <s v="Q4-2023"/>
    <s v="Monitors"/>
    <s v="Monitors"/>
    <x v="1"/>
    <s v="Late"/>
    <n v="0.113"/>
    <n v="966.98800000000017"/>
    <n v="18.700000000000003"/>
    <n v="18135.950591000004"/>
    <n v="18082.675600000006"/>
    <n v="53.274990999998408"/>
  </r>
  <r>
    <s v="ORD-2023-239789"/>
    <d v="2023-12-03T00:00:00"/>
    <d v="2023-12-26T00:00:00"/>
    <x v="0"/>
    <x v="0"/>
    <x v="0"/>
    <s v="Education"/>
    <s v="Retail"/>
    <s v="O. Wang"/>
    <s v="Phones"/>
    <s v="PHN-4644"/>
    <n v="1303.1099999999999"/>
    <n v="1145.67"/>
    <n v="1145.67"/>
    <s v="Middle"/>
    <n v="0.184"/>
    <n v="0.184"/>
    <n v="13"/>
    <s v="OK"/>
    <d v="2023-12-26T00:00:00"/>
    <n v="23"/>
    <n v="12153.267360000002"/>
    <n v="16940.43"/>
    <n v="-4787.1626399999986"/>
    <n v="-0.39389922875851208"/>
    <s v="Q4-2023"/>
    <s v="Phones"/>
    <s v="Phones"/>
    <x v="1"/>
    <s v="Late"/>
    <n v="0.184"/>
    <n v="1433.421"/>
    <n v="14.3"/>
    <n v="13368.594096000003"/>
    <n v="20497.920300000002"/>
    <n v="-7129.3262039999991"/>
  </r>
  <r>
    <s v="ORD-2023-808024"/>
    <d v="2023-12-30T00:00:00"/>
    <d v="2024-01-08T00:00:00"/>
    <x v="2"/>
    <x v="10"/>
    <x v="33"/>
    <s v="Consumer"/>
    <s v="Marketplace"/>
    <s v="L. Okafor"/>
    <s v="Accessories"/>
    <s v="ACC-6594"/>
    <n v="861.1"/>
    <n v="1224.72"/>
    <n v="1224.72"/>
    <s v="High"/>
    <n v="0.17399999999999999"/>
    <n v="0.17399999999999999"/>
    <n v="24"/>
    <s v="OK"/>
    <d v="2024-01-08T00:00:00"/>
    <n v="9"/>
    <n v="24278.849280000002"/>
    <n v="20666.400000000001"/>
    <n v="3612.4492800000007"/>
    <n v="0.14878997098827909"/>
    <s v="Q4-2023"/>
    <s v="Accessories"/>
    <s v="Accessories"/>
    <x v="1"/>
    <s v="Late"/>
    <n v="0.17399999999999999"/>
    <n v="947.21000000000015"/>
    <n v="26.400000000000002"/>
    <n v="26706.734208000005"/>
    <n v="25006.344000000005"/>
    <n v="1700.3902080000007"/>
  </r>
  <r>
    <s v="ORD-2023-431328"/>
    <d v="2023-12-20T00:00:00"/>
    <d v="2024-01-14T00:00:00"/>
    <x v="3"/>
    <x v="4"/>
    <x v="19"/>
    <s v="Non-Profit"/>
    <s v="Marketplace"/>
    <s v="L. Okafor"/>
    <s v="Monitors"/>
    <s v="MON-1572"/>
    <n v="1085.6099999999999"/>
    <n v="1246.4100000000001"/>
    <n v="1246.4100000000001"/>
    <s v="High"/>
    <n v="0.113"/>
    <n v="0.113"/>
    <n v="7"/>
    <s v="OK"/>
    <d v="2024-01-14T00:00:00"/>
    <n v="25"/>
    <n v="7738.9596900000006"/>
    <n v="7599.2699999999995"/>
    <n v="139.68969000000106"/>
    <n v="1.8050189637310417E-2"/>
    <s v="Q4-2023"/>
    <s v="Monitors"/>
    <s v="Monitors"/>
    <x v="1"/>
    <s v="Late"/>
    <n v="0.113"/>
    <n v="1194.171"/>
    <n v="7.7000000000000011"/>
    <n v="8512.8556590000026"/>
    <n v="9195.1167000000023"/>
    <n v="-682.26104099999975"/>
  </r>
  <r>
    <s v="ORD-2023-841426"/>
    <d v="2023-12-22T00:00:00"/>
    <d v="2023-12-23T00:00:00"/>
    <x v="1"/>
    <x v="6"/>
    <x v="15"/>
    <s v="Non-Profit"/>
    <s v="Marketplace"/>
    <s v="D. Smith"/>
    <s v="Components"/>
    <s v="CMP-4531"/>
    <n v="1186.18"/>
    <n v="1285.0899999999999"/>
    <n v="1285.0899999999999"/>
    <s v="High"/>
    <n v="7.0000000000000007E-2"/>
    <n v="7.0000000000000007E-2"/>
    <n v="11"/>
    <s v="OK"/>
    <d v="2023-12-23T00:00:00"/>
    <n v="1"/>
    <n v="13146.470699999998"/>
    <n v="13047.980000000001"/>
    <n v="98.49069999999665"/>
    <n v="7.4917977796121861E-3"/>
    <s v="Q4-2023"/>
    <s v="Components"/>
    <s v="Components"/>
    <x v="1"/>
    <s v="On-time"/>
    <n v="7.0000000000000007E-2"/>
    <n v="1304.7980000000002"/>
    <n v="12.100000000000001"/>
    <n v="14461.117769999999"/>
    <n v="15788.055800000004"/>
    <n v="-1326.9380300000048"/>
  </r>
  <r>
    <s v="ORD-2023-580751"/>
    <d v="2023-12-24T00:00:00"/>
    <d v="2024-01-13T00:00:00"/>
    <x v="3"/>
    <x v="5"/>
    <x v="7"/>
    <s v="Education"/>
    <s v="Direct"/>
    <s v="B. Chen"/>
    <s v="Laptops"/>
    <s v="LAP-1946"/>
    <n v="625.37"/>
    <n v="1319.04"/>
    <n v="1319.04"/>
    <s v="High"/>
    <n v="7.3999999999999996E-2"/>
    <n v="7.3999999999999996E-2"/>
    <n v="8"/>
    <s v="OK"/>
    <d v="2024-01-13T00:00:00"/>
    <n v="20"/>
    <n v="9771.4483199999995"/>
    <n v="5002.96"/>
    <n v="4768.4883199999995"/>
    <n v="0.48800220436513547"/>
    <s v="Q4-2023"/>
    <s v="Laptops"/>
    <s v="Laptops"/>
    <x v="1"/>
    <s v="Late"/>
    <n v="7.3999999999999996E-2"/>
    <n v="687.90700000000004"/>
    <n v="8.8000000000000007"/>
    <n v="10748.593152000001"/>
    <n v="6053.5816000000004"/>
    <n v="4695.0115520000008"/>
  </r>
  <r>
    <s v="ORD-2023-178249"/>
    <d v="2023-12-29T00:00:00"/>
    <d v="2024-01-20T00:00:00"/>
    <x v="1"/>
    <x v="1"/>
    <x v="16"/>
    <s v="Corporate"/>
    <s v="Direct"/>
    <s v="L. Okafor"/>
    <s v="Phones"/>
    <s v="PHN-7924"/>
    <n v="1395.49"/>
    <n v="1679.42"/>
    <n v="1679.42"/>
    <s v="High"/>
    <n v="0.20300000000000001"/>
    <n v="0.20300000000000001"/>
    <n v="12"/>
    <s v="OK"/>
    <d v="2024-01-20T00:00:00"/>
    <n v="22"/>
    <n v="16061.972879999999"/>
    <n v="16745.88"/>
    <n v="-683.90712000000167"/>
    <n v="-4.2579272490964493E-2"/>
    <s v="Q4-2023"/>
    <s v="Phones"/>
    <s v="Phones"/>
    <x v="0"/>
    <s v="Late"/>
    <n v="0.2"/>
    <n v="1535.0390000000002"/>
    <n v="13.200000000000001"/>
    <n v="17734.675200000001"/>
    <n v="20262.514800000004"/>
    <n v="-2527.839600000003"/>
  </r>
  <r>
    <s v="ORD-2023-674887"/>
    <d v="2023-12-16T00:00:00"/>
    <d v="2023-12-19T00:00:00"/>
    <x v="3"/>
    <x v="7"/>
    <x v="11"/>
    <s v="Education"/>
    <s v="Retail"/>
    <s v="A. Patel"/>
    <s v="Accessories"/>
    <s v="ACC-9644"/>
    <n v="1415.05"/>
    <n v="1972.38"/>
    <n v="1972.38"/>
    <s v="High"/>
    <n v="0"/>
    <n v="0"/>
    <n v="12"/>
    <s v="OK"/>
    <d v="2023-12-19T00:00:00"/>
    <n v="3"/>
    <n v="23668.560000000001"/>
    <n v="16980.599999999999"/>
    <n v="6687.9600000000028"/>
    <n v="0.28256725377462771"/>
    <s v="Q4-2023"/>
    <s v="Accessories"/>
    <s v="Accessories"/>
    <x v="1"/>
    <s v="On-time"/>
    <n v="0"/>
    <n v="1556.5550000000001"/>
    <n v="13.200000000000001"/>
    <n v="26035.416000000005"/>
    <n v="20546.526000000002"/>
    <n v="5488.8900000000031"/>
  </r>
  <r>
    <s v="ORD-2023-208944"/>
    <d v="2023-12-21T00:00:00"/>
    <d v="2024-01-06T00:00:00"/>
    <x v="1"/>
    <x v="8"/>
    <x v="25"/>
    <s v="Corporate"/>
    <s v="Marketplace"/>
    <s v="K. Singh"/>
    <s v="Components"/>
    <s v="CMP-4792"/>
    <n v="932.61"/>
    <n v="1982.98"/>
    <n v="1982.98"/>
    <s v="High"/>
    <n v="0.14399999999999999"/>
    <n v="0.14399999999999999"/>
    <n v="16"/>
    <s v="OK"/>
    <d v="2024-01-06T00:00:00"/>
    <n v="16"/>
    <n v="27158.894079999998"/>
    <n v="14921.76"/>
    <n v="12237.134079999998"/>
    <n v="0.45057556629345635"/>
    <s v="Q4-2023"/>
    <s v="Components"/>
    <s v="Components"/>
    <x v="1"/>
    <s v="Late"/>
    <n v="0.14399999999999999"/>
    <n v="1025.8710000000001"/>
    <n v="17.600000000000001"/>
    <n v="29874.783488000005"/>
    <n v="18055.329600000005"/>
    <n v="11819.453888"/>
  </r>
  <r>
    <s v="ORD-2023-728177"/>
    <d v="2023-12-18T00:00:00"/>
    <d v="2024-01-14T00:00:00"/>
    <x v="3"/>
    <x v="4"/>
    <x v="19"/>
    <s v="Consumer"/>
    <s v="Distributor"/>
    <s v="D. Smith"/>
    <s v="Networking"/>
    <s v="NET-6014"/>
    <n v="1408.3"/>
    <n v="2193.13"/>
    <n v="2193.13"/>
    <s v="High"/>
    <n v="7.0999999999999994E-2"/>
    <n v="7.0999999999999994E-2"/>
    <n v="7"/>
    <s v="OK"/>
    <d v="2024-01-14T00:00:00"/>
    <n v="27"/>
    <n v="14261.92439"/>
    <n v="9858.1"/>
    <n v="4403.8243899999998"/>
    <n v="0.30878191957656281"/>
    <s v="Q4-2023"/>
    <s v="Networking"/>
    <s v="Networking"/>
    <x v="1"/>
    <s v="Late"/>
    <n v="7.0999999999999994E-2"/>
    <n v="1549.13"/>
    <n v="7.7000000000000011"/>
    <n v="15688.116829000002"/>
    <n v="11928.301000000003"/>
    <n v="3759.8158289999992"/>
  </r>
  <r>
    <s v="ORD-2023-974506"/>
    <d v="2023-12-28T00:00:00"/>
    <d v="2024-01-01T00:00:00"/>
    <x v="1"/>
    <x v="6"/>
    <x v="15"/>
    <s v="Education"/>
    <s v="Distributor"/>
    <s v="A. Patel"/>
    <s v="Printers"/>
    <s v="PRN-1654"/>
    <n v="1141.8"/>
    <n v="2318.7399999999998"/>
    <n v="2318.7399999999998"/>
    <s v="High"/>
    <n v="0.107"/>
    <n v="0.107"/>
    <n v="32"/>
    <s v="OK"/>
    <d v="2024-01-01T00:00:00"/>
    <n v="4"/>
    <n v="66260.314239999992"/>
    <n v="36537.599999999999"/>
    <n v="29722.714239999994"/>
    <n v="0.44857490612468304"/>
    <s v="Q4-2023"/>
    <s v="Printers"/>
    <s v="Printers"/>
    <x v="1"/>
    <s v="On-time"/>
    <n v="0.107"/>
    <n v="1255.98"/>
    <n v="35.200000000000003"/>
    <n v="72886.345664000008"/>
    <n v="44210.496000000006"/>
    <n v="28675.849664000001"/>
  </r>
  <r>
    <s v="ORD-2023-961864"/>
    <d v="2023-12-07T00:00:00"/>
    <d v="2024-01-02T00:00:00"/>
    <x v="2"/>
    <x v="11"/>
    <x v="34"/>
    <s v="Enterprise"/>
    <s v="Distributor"/>
    <s v="E. Garcia"/>
    <s v="Components"/>
    <s v="CMP-1940"/>
    <n v="1071.99"/>
    <n v="2397.3000000000002"/>
    <n v="2397.3000000000002"/>
    <s v="High"/>
    <n v="6.2E-2"/>
    <n v="6.2E-2"/>
    <n v="18"/>
    <s v="OK"/>
    <d v="2024-01-02T00:00:00"/>
    <n v="26"/>
    <n v="40476.013200000001"/>
    <n v="19295.82"/>
    <n v="21180.193200000002"/>
    <n v="0.52327765324476183"/>
    <s v="Q4-2023"/>
    <s v="Components"/>
    <s v="Components"/>
    <x v="1"/>
    <s v="Late"/>
    <n v="6.2E-2"/>
    <n v="1179.1890000000001"/>
    <n v="19.8"/>
    <n v="44523.614520000003"/>
    <n v="23347.942200000001"/>
    <n v="21175.672320000001"/>
  </r>
  <r>
    <s v="ORD-2023-195665"/>
    <d v="2023-12-19T00:00:00"/>
    <d v="2023-12-20T00:00:00"/>
    <x v="0"/>
    <x v="0"/>
    <x v="0"/>
    <s v="Consumer"/>
    <s v="Distributor"/>
    <s v="J. Njeri"/>
    <s v="Phones"/>
    <s v="PHN-7274"/>
    <n v="1080.43"/>
    <n v="2529.15"/>
    <n v="2529.15"/>
    <s v="High"/>
    <n v="0.14699999999999999"/>
    <n v="0.14699999999999999"/>
    <n v="10"/>
    <s v="OK"/>
    <d v="2023-12-20T00:00:00"/>
    <n v="1"/>
    <n v="21573.6495"/>
    <n v="10804.300000000001"/>
    <n v="10769.349499999998"/>
    <n v="0.49918997247081437"/>
    <s v="Q4-2023"/>
    <s v="Phones"/>
    <s v="Phones"/>
    <x v="1"/>
    <s v="On-time"/>
    <n v="0.14699999999999999"/>
    <n v="1188.4730000000002"/>
    <n v="11"/>
    <n v="23731.014450000002"/>
    <n v="13073.203000000001"/>
    <n v="10657.811450000001"/>
  </r>
  <r>
    <s v="ORD-2023-573146"/>
    <d v="2023-12-01T00:00:00"/>
    <d v="2023-12-18T00:00:00"/>
    <x v="3"/>
    <x v="5"/>
    <x v="7"/>
    <s v="Small Business"/>
    <s v="Direct"/>
    <s v="N. Brown"/>
    <s v="Laptops"/>
    <s v="LAP-3604"/>
    <n v="1495.79"/>
    <n v="2783.12"/>
    <n v="2783.12"/>
    <s v="High"/>
    <n v="0.02"/>
    <n v="0.02"/>
    <n v="5"/>
    <s v="OK"/>
    <d v="2023-12-18T00:00:00"/>
    <n v="17"/>
    <n v="13637.287999999999"/>
    <n v="7478.95"/>
    <n v="6158.3379999999988"/>
    <n v="0.45158084217331185"/>
    <s v="Q4-2023"/>
    <s v="Laptops"/>
    <s v="Laptops"/>
    <x v="1"/>
    <s v="Late"/>
    <n v="0.02"/>
    <n v="1645.3690000000001"/>
    <n v="5.5"/>
    <n v="15001.016799999999"/>
    <n v="9049.5295000000006"/>
    <n v="5951.4872999999989"/>
  </r>
  <r>
    <s v="ORD-2025-262491"/>
    <d v="2025-08-01T00:00:00"/>
    <d v="2025-08-16T00:00:00"/>
    <x v="3"/>
    <x v="4"/>
    <x v="25"/>
    <s v="Enterprise"/>
    <s v="Direct"/>
    <s v="O. Wang"/>
    <s v="Monitors"/>
    <s v="MON-1822"/>
    <n v="24.44"/>
    <n v="28.69"/>
    <n v="28.69"/>
    <s v="Low"/>
    <n v="0.14599999999999999"/>
    <n v="0.14599999999999999"/>
    <n v="6"/>
    <s v="OK"/>
    <d v="2025-08-16T00:00:00"/>
    <n v="15"/>
    <n v="147.00756000000001"/>
    <n v="146.64000000000001"/>
    <n v="0.36755999999999744"/>
    <n v="2.5002795774584476E-3"/>
    <s v="Q3-2025"/>
    <s v="Monitors"/>
    <s v="Monitors"/>
    <x v="1"/>
    <s v="Late"/>
    <n v="0.14599999999999999"/>
    <n v="26.884000000000004"/>
    <n v="6.6000000000000005"/>
    <n v="161.708316"/>
    <n v="177.43440000000004"/>
    <n v="-15.726084000000043"/>
  </r>
  <r>
    <s v="ORD-2025-537785"/>
    <d v="2025-08-05T00:00:00"/>
    <d v="2025-08-14T00:00:00"/>
    <x v="2"/>
    <x v="2"/>
    <x v="3"/>
    <s v="Non-Profit"/>
    <s v="Direct"/>
    <s v="E. Garcia"/>
    <s v="Components"/>
    <s v="CMP-6346"/>
    <n v="41.76"/>
    <n v="45.19"/>
    <n v="45.19"/>
    <s v="Low"/>
    <n v="0.17899999999999999"/>
    <n v="0.17899999999999999"/>
    <n v="23"/>
    <s v="OK"/>
    <d v="2025-08-14T00:00:00"/>
    <n v="9"/>
    <n v="853.32276999999988"/>
    <n v="960.4799999999999"/>
    <n v="-107.15723000000003"/>
    <n v="-0.12557643340514638"/>
    <s v="Q3-2025"/>
    <s v="Components"/>
    <s v="Components"/>
    <x v="1"/>
    <s v="Late"/>
    <n v="0.17899999999999999"/>
    <n v="45.936"/>
    <n v="25.3"/>
    <n v="938.65504699999997"/>
    <n v="1162.1808000000001"/>
    <n v="-223.52575300000012"/>
  </r>
  <r>
    <s v="ORD-2025-419532"/>
    <d v="2025-08-06T00:00:00"/>
    <d v="2025-08-23T00:00:00"/>
    <x v="0"/>
    <x v="0"/>
    <x v="1"/>
    <s v="Consumer"/>
    <s v="Distributor"/>
    <s v="A. Patel"/>
    <s v="Monitors"/>
    <s v="MON-4317"/>
    <n v="86.64"/>
    <n v="213.06"/>
    <n v="213.06"/>
    <s v="Low"/>
    <n v="0.21199999999999999"/>
    <n v="0.21199999999999999"/>
    <n v="11"/>
    <s v="OK"/>
    <d v="2025-08-23T00:00:00"/>
    <n v="17"/>
    <n v="1846.8040799999999"/>
    <n v="953.04"/>
    <n v="893.76407999999992"/>
    <n v="0.48395175735154322"/>
    <s v="Q3-2025"/>
    <s v="Monitors"/>
    <s v="Monitors"/>
    <x v="0"/>
    <s v="Late"/>
    <n v="0.2"/>
    <n v="95.304000000000002"/>
    <n v="12.100000000000001"/>
    <n v="2062.4208000000003"/>
    <n v="1153.1784000000002"/>
    <n v="909.24240000000009"/>
  </r>
  <r>
    <s v="ORD-2025-652467"/>
    <d v="2025-08-21T00:00:00"/>
    <d v="2025-09-12T00:00:00"/>
    <x v="3"/>
    <x v="7"/>
    <x v="14"/>
    <s v="Education"/>
    <s v="Retail"/>
    <s v="B. Chen"/>
    <s v="Printers"/>
    <s v="PRN-8137"/>
    <n v="352.66"/>
    <n v="411.18"/>
    <n v="411.18"/>
    <s v="Low"/>
    <n v="0.17299999999999999"/>
    <n v="0.17299999999999999"/>
    <n v="13"/>
    <s v="OK"/>
    <d v="2025-09-12T00:00:00"/>
    <n v="22"/>
    <n v="4420.5961799999995"/>
    <n v="4584.58"/>
    <n v="-163.98382000000038"/>
    <n v="-3.7095408248758066E-2"/>
    <s v="Q3-2025"/>
    <s v="Printers"/>
    <s v="Printers"/>
    <x v="1"/>
    <s v="Late"/>
    <n v="0.17299999999999999"/>
    <n v="387.92600000000004"/>
    <n v="14.3"/>
    <n v="4862.6557980000007"/>
    <n v="5547.3418000000011"/>
    <n v="-684.68600200000037"/>
  </r>
  <r>
    <s v="ORD-2025-189846"/>
    <d v="2025-08-11T00:00:00"/>
    <d v="2025-08-28T00:00:00"/>
    <x v="2"/>
    <x v="10"/>
    <x v="29"/>
    <s v="Education"/>
    <s v="Online"/>
    <s v="F. Müller"/>
    <s v="Networking"/>
    <s v="NET-6218"/>
    <n v="416.16"/>
    <n v="571.9"/>
    <n v="571.9"/>
    <s v="Middle"/>
    <n v="7.0999999999999994E-2"/>
    <n v="7.0999999999999994E-2"/>
    <n v="2"/>
    <s v="OK"/>
    <d v="2025-08-28T00:00:00"/>
    <n v="17"/>
    <n v="1062.5902000000001"/>
    <n v="832.32"/>
    <n v="230.27020000000005"/>
    <n v="0.21670649701079497"/>
    <s v="Q3-2025"/>
    <s v="Networking"/>
    <s v="Networking"/>
    <x v="1"/>
    <s v="Late"/>
    <n v="7.0999999999999994E-2"/>
    <n v="457.77600000000007"/>
    <n v="2.2000000000000002"/>
    <n v="1168.8492200000001"/>
    <n v="1007.1072000000003"/>
    <n v="161.7420199999998"/>
  </r>
  <r>
    <s v="ORD-2025-863978"/>
    <d v="2025-08-07T00:00:00"/>
    <d v="2025-08-19T00:00:00"/>
    <x v="1"/>
    <x v="1"/>
    <x v="22"/>
    <s v="Corporate"/>
    <s v="Unspecified"/>
    <s v="M. Rossi"/>
    <s v="Components"/>
    <s v="CMP-2854"/>
    <n v="601.51"/>
    <n v="679.35"/>
    <n v="679.35"/>
    <s v="Middle"/>
    <n v="0.188"/>
    <n v="0.188"/>
    <n v="3"/>
    <s v="OK"/>
    <d v="2025-08-19T00:00:00"/>
    <n v="12"/>
    <n v="1654.8966000000003"/>
    <n v="1804.53"/>
    <n v="-149.63339999999971"/>
    <n v="-9.0418579626062243E-2"/>
    <s v="Q3-2025"/>
    <s v="Components"/>
    <s v="Components"/>
    <x v="1"/>
    <s v="Late"/>
    <n v="0.188"/>
    <n v="661.66100000000006"/>
    <n v="3.3000000000000003"/>
    <n v="1820.3862600000004"/>
    <n v="2183.4813000000004"/>
    <n v="-363.09503999999993"/>
  </r>
  <r>
    <s v="ORD-2025-281413"/>
    <d v="2025-08-03T00:00:00"/>
    <d v="2025-08-16T00:00:00"/>
    <x v="0"/>
    <x v="3"/>
    <x v="39"/>
    <s v="Enterprise"/>
    <s v="Distributor"/>
    <s v="O. Wang"/>
    <s v="Networking"/>
    <s v="NET-3785"/>
    <n v="698.66"/>
    <n v="868.62"/>
    <n v="868.62"/>
    <s v="Middle"/>
    <n v="7.1999999999999995E-2"/>
    <n v="7.1999999999999995E-2"/>
    <n v="15"/>
    <s v="OK"/>
    <d v="2025-08-16T00:00:00"/>
    <n v="13"/>
    <n v="12091.190399999999"/>
    <n v="10479.9"/>
    <n v="1611.2903999999999"/>
    <n v="0.13326151906432637"/>
    <s v="Q3-2025"/>
    <s v="Networking"/>
    <s v="Networking"/>
    <x v="1"/>
    <s v="Late"/>
    <n v="7.1999999999999995E-2"/>
    <n v="768.52600000000007"/>
    <n v="16.5"/>
    <n v="13300.309440000001"/>
    <n v="12680.679000000002"/>
    <n v="619.630439999999"/>
  </r>
  <r>
    <s v="ORD-2025-993993"/>
    <d v="2025-08-30T00:00:00"/>
    <d v="2025-09-22T00:00:00"/>
    <x v="2"/>
    <x v="10"/>
    <x v="33"/>
    <s v="Corporate"/>
    <s v="Direct"/>
    <s v="E. Garcia"/>
    <s v="Components"/>
    <s v="CMP-5311"/>
    <n v="663.9"/>
    <n v="947.77"/>
    <n v="947.77"/>
    <s v="Middle"/>
    <n v="0.17399999999999999"/>
    <n v="0.17399999999999999"/>
    <n v="15"/>
    <s v="OK"/>
    <d v="2025-09-22T00:00:00"/>
    <n v="23"/>
    <n v="11742.8703"/>
    <n v="9958.5"/>
    <n v="1784.3703000000005"/>
    <n v="0.1519535049280073"/>
    <s v="Q3-2025"/>
    <s v="Components"/>
    <s v="Components"/>
    <x v="1"/>
    <s v="Late"/>
    <n v="0.17399999999999999"/>
    <n v="730.29000000000008"/>
    <n v="16.5"/>
    <n v="12917.157330000002"/>
    <n v="12049.785000000002"/>
    <n v="867.37233000000015"/>
  </r>
  <r>
    <s v="ORD-2025-635337"/>
    <d v="2025-08-05T00:00:00"/>
    <d v="2025-08-28T00:00:00"/>
    <x v="3"/>
    <x v="4"/>
    <x v="19"/>
    <s v="Non-Profit"/>
    <s v="Distributor"/>
    <s v="N. Brown"/>
    <s v="Laptops"/>
    <s v="LAP-3905"/>
    <n v="638.54"/>
    <n v="987.24"/>
    <n v="987.24"/>
    <s v="Middle"/>
    <n v="0"/>
    <n v="0"/>
    <n v="11"/>
    <s v="OK"/>
    <d v="2025-08-28T00:00:00"/>
    <n v="23"/>
    <n v="10859.64"/>
    <n v="7023.94"/>
    <n v="3835.7"/>
    <n v="0.35320692030306716"/>
    <s v="Q3-2025"/>
    <s v="Laptops"/>
    <s v="Laptops"/>
    <x v="1"/>
    <s v="Late"/>
    <n v="0"/>
    <n v="702.39400000000001"/>
    <n v="12.100000000000001"/>
    <n v="11945.604000000001"/>
    <n v="8498.9674000000014"/>
    <n v="3446.6365999999998"/>
  </r>
  <r>
    <s v="ORD-2025-822030"/>
    <d v="2025-08-07T00:00:00"/>
    <d v="2025-09-06T00:00:00"/>
    <x v="0"/>
    <x v="3"/>
    <x v="39"/>
    <s v="Education"/>
    <s v="Direct"/>
    <s v="M. Rossi"/>
    <s v="Networking"/>
    <s v="NET-1336"/>
    <n v="833.73"/>
    <n v="1116.5999999999999"/>
    <n v="1116.5999999999999"/>
    <s v="Middle"/>
    <n v="0.17599999999999999"/>
    <n v="0.17599999999999999"/>
    <n v="14"/>
    <s v="OK"/>
    <d v="2025-09-06T00:00:00"/>
    <n v="30"/>
    <n v="12881.097599999999"/>
    <n v="11672.220000000001"/>
    <n v="1208.877599999998"/>
    <n v="9.3848958958279924E-2"/>
    <s v="Q3-2025"/>
    <s v="Networking"/>
    <s v="Networking"/>
    <x v="1"/>
    <s v="Late"/>
    <n v="0.17599999999999999"/>
    <n v="917.10300000000007"/>
    <n v="15.400000000000002"/>
    <n v="14169.20736"/>
    <n v="14123.386200000003"/>
    <n v="45.82115999999769"/>
  </r>
  <r>
    <s v="ORD-2025-922513"/>
    <d v="2025-08-28T00:00:00"/>
    <d v="2025-08-26T00:00:00"/>
    <x v="1"/>
    <x v="8"/>
    <x v="27"/>
    <s v="Small Business"/>
    <s v="Retail"/>
    <s v="A. Patel"/>
    <s v="Accessories"/>
    <s v="ACC-4483"/>
    <n v="521.05999999999995"/>
    <n v="1240.31"/>
    <n v="1240.31"/>
    <s v="High"/>
    <n v="0.14599999999999999"/>
    <n v="0.14599999999999999"/>
    <n v="18"/>
    <s v="Correct"/>
    <d v="2025-09-04T00:00:00"/>
    <n v="7"/>
    <n v="19066.045319999997"/>
    <n v="9379.0799999999981"/>
    <n v="9686.9653199999993"/>
    <n v="0.50807417885650974"/>
    <s v="Q3-2025"/>
    <s v="Accessories"/>
    <s v="Accessories"/>
    <x v="1"/>
    <s v="On-time"/>
    <n v="0.14599999999999999"/>
    <n v="573.16599999999994"/>
    <n v="19.8"/>
    <n v="20972.649851999999"/>
    <n v="11348.686799999999"/>
    <n v="9623.9630519999992"/>
  </r>
  <r>
    <s v="ORD-2025-762212"/>
    <d v="2025-08-25T00:00:00"/>
    <d v="2025-09-24T00:00:00"/>
    <x v="1"/>
    <x v="1"/>
    <x v="2"/>
    <s v="Consumer"/>
    <s v="Direct"/>
    <s v="B. Chen"/>
    <s v="Components"/>
    <s v="CMP-4970"/>
    <n v="589.14"/>
    <n v="1300.58"/>
    <n v="1300.58"/>
    <s v="High"/>
    <n v="5.5E-2"/>
    <n v="5.5E-2"/>
    <n v="11"/>
    <s v="OK"/>
    <d v="2025-09-24T00:00:00"/>
    <n v="30"/>
    <n v="13519.529099999998"/>
    <n v="6480.54"/>
    <n v="7038.989099999998"/>
    <n v="0.52065342275863724"/>
    <s v="Q3-2025"/>
    <s v="Components"/>
    <s v="Components"/>
    <x v="1"/>
    <s v="Late"/>
    <n v="5.5E-2"/>
    <n v="648.05400000000009"/>
    <n v="12.100000000000001"/>
    <n v="14871.482010000002"/>
    <n v="7841.4534000000021"/>
    <n v="7030.0286099999994"/>
  </r>
  <r>
    <s v="ORD-2025-683043"/>
    <d v="2025-08-13T00:00:00"/>
    <d v="2025-09-03T00:00:00"/>
    <x v="2"/>
    <x v="10"/>
    <x v="29"/>
    <s v="Education"/>
    <s v="Retail"/>
    <s v="I. Johnson"/>
    <s v="Phones"/>
    <s v="PHN-9465"/>
    <n v="603.47"/>
    <n v="1344.05"/>
    <n v="1344.05"/>
    <s v="High"/>
    <n v="0.20499999999999999"/>
    <n v="0.20499999999999999"/>
    <n v="18"/>
    <s v="OK"/>
    <d v="2025-09-03T00:00:00"/>
    <n v="21"/>
    <n v="19233.355499999998"/>
    <n v="10862.460000000001"/>
    <n v="8370.8954999999969"/>
    <n v="0.43522803392262976"/>
    <s v="Q3-2025"/>
    <s v="Phones"/>
    <s v="Phones"/>
    <x v="0"/>
    <s v="Late"/>
    <n v="0.2"/>
    <n v="663.81700000000012"/>
    <n v="19.8"/>
    <n v="21289.752"/>
    <n v="13143.576600000002"/>
    <n v="8146.1753999999983"/>
  </r>
  <r>
    <s v="ORD-2025-289139"/>
    <d v="2025-08-10T00:00:00"/>
    <d v="2025-08-30T00:00:00"/>
    <x v="0"/>
    <x v="9"/>
    <x v="32"/>
    <s v="Corporate"/>
    <s v="Marketplace"/>
    <s v="K. Singh"/>
    <s v="Printers"/>
    <s v="PRN-2098"/>
    <n v="933.29"/>
    <n v="1456.81"/>
    <n v="1456.81"/>
    <s v="High"/>
    <n v="0.123"/>
    <n v="0.123"/>
    <n v="13"/>
    <s v="OK"/>
    <d v="2025-08-30T00:00:00"/>
    <n v="20"/>
    <n v="16609.090809999998"/>
    <n v="12132.77"/>
    <n v="4476.3208099999974"/>
    <n v="0.26951028573489977"/>
    <s v="Q3-2025"/>
    <s v="Printers"/>
    <s v="Printers"/>
    <x v="1"/>
    <s v="Late"/>
    <n v="0.123"/>
    <n v="1026.6190000000001"/>
    <n v="14.3"/>
    <n v="18269.999891000003"/>
    <n v="14680.651700000002"/>
    <n v="3589.348191000001"/>
  </r>
  <r>
    <s v="ORD-2025-960931"/>
    <d v="2025-08-20T00:00:00"/>
    <d v="2025-08-26T00:00:00"/>
    <x v="0"/>
    <x v="9"/>
    <x v="21"/>
    <s v="Corporate"/>
    <s v="Retail"/>
    <s v="M. Rossi"/>
    <s v="Networking"/>
    <s v="NET-5196"/>
    <n v="1304.95"/>
    <n v="1712.03"/>
    <n v="1712.03"/>
    <s v="High"/>
    <n v="0.21199999999999999"/>
    <n v="0.21199999999999999"/>
    <n v="8"/>
    <s v="OK"/>
    <d v="2025-08-26T00:00:00"/>
    <n v="6"/>
    <n v="10792.637119999999"/>
    <n v="10439.6"/>
    <n v="353.03711999999905"/>
    <n v="3.2710922833287949E-2"/>
    <s v="Q3-2025"/>
    <s v="Networking"/>
    <s v="Networking"/>
    <x v="0"/>
    <s v="On-time"/>
    <n v="0.2"/>
    <n v="1435.4450000000002"/>
    <n v="8.8000000000000007"/>
    <n v="12052.691200000001"/>
    <n v="12631.916000000003"/>
    <n v="-579.22480000000178"/>
  </r>
  <r>
    <s v="ORD-2025-646342"/>
    <d v="2025-08-02T00:00:00"/>
    <d v="2025-08-08T00:00:00"/>
    <x v="3"/>
    <x v="5"/>
    <x v="9"/>
    <s v="Consumer"/>
    <s v="Direct"/>
    <s v="N. Brown"/>
    <s v="Laptops"/>
    <s v="LAP-4828"/>
    <n v="1225.94"/>
    <n v="1793.08"/>
    <n v="1793.08"/>
    <s v="High"/>
    <n v="0.13600000000000001"/>
    <n v="0.13600000000000001"/>
    <n v="22"/>
    <s v="OK"/>
    <d v="2025-08-08T00:00:00"/>
    <n v="6"/>
    <n v="34082.864639999993"/>
    <n v="26970.68"/>
    <n v="7112.1846399999922"/>
    <n v="0.20867332353434462"/>
    <s v="Q3-2025"/>
    <s v="Laptops"/>
    <s v="Laptops"/>
    <x v="1"/>
    <s v="On-time"/>
    <n v="0.13600000000000001"/>
    <n v="1348.5340000000001"/>
    <n v="24.200000000000003"/>
    <n v="37491.151103999997"/>
    <n v="32634.522800000006"/>
    <n v="4856.6283039999907"/>
  </r>
  <r>
    <s v="ORD-2025-803803"/>
    <d v="2025-08-28T00:00:00"/>
    <d v="2025-09-05T00:00:00"/>
    <x v="1"/>
    <x v="8"/>
    <x v="27"/>
    <s v="Small Business"/>
    <s v="Marketplace"/>
    <s v="E. Garcia"/>
    <s v="Laptops"/>
    <s v="LAP-7553"/>
    <n v="1271.0999999999999"/>
    <n v="1932.42"/>
    <n v="1932.42"/>
    <s v="High"/>
    <n v="0.25"/>
    <n v="0.25"/>
    <n v="21"/>
    <s v="OK"/>
    <d v="2025-09-05T00:00:00"/>
    <n v="8"/>
    <n v="30435.614999999998"/>
    <n v="26693.1"/>
    <n v="3742.5149999999994"/>
    <n v="0.12296498690760807"/>
    <s v="Q3-2025"/>
    <s v="Laptops"/>
    <s v="Laptops"/>
    <x v="0"/>
    <s v="Late"/>
    <n v="0.2"/>
    <n v="1398.21"/>
    <n v="23.1"/>
    <n v="35711.121600000006"/>
    <n v="32298.651000000002"/>
    <n v="3412.4706000000042"/>
  </r>
  <r>
    <s v="ORD-2025-949776"/>
    <d v="2025-08-14T00:00:00"/>
    <d v="2025-09-11T00:00:00"/>
    <x v="0"/>
    <x v="0"/>
    <x v="17"/>
    <s v="Non-Profit"/>
    <s v="Direct"/>
    <s v="F. Müller"/>
    <s v="Printers"/>
    <s v="PRN-9490"/>
    <n v="1203.02"/>
    <n v="2439.33"/>
    <n v="2439.33"/>
    <s v="High"/>
    <n v="0"/>
    <n v="0"/>
    <n v="18"/>
    <s v="OK"/>
    <d v="2025-09-11T00:00:00"/>
    <n v="28"/>
    <n v="43907.94"/>
    <n v="21654.36"/>
    <n v="22253.58"/>
    <n v="0.50682359500354612"/>
    <s v="Q3-2025"/>
    <s v="Printers"/>
    <s v="Printers"/>
    <x v="1"/>
    <s v="Late"/>
    <n v="0"/>
    <n v="1323.3220000000001"/>
    <n v="19.8"/>
    <n v="48298.733999999997"/>
    <n v="26201.775600000004"/>
    <n v="22096.958399999992"/>
  </r>
  <r>
    <s v="ORD-2025-418232"/>
    <d v="2025-08-01T00:00:00"/>
    <d v="2025-08-21T00:00:00"/>
    <x v="3"/>
    <x v="7"/>
    <x v="20"/>
    <s v="Corporate"/>
    <s v="Direct"/>
    <s v="I. Johnson"/>
    <s v="Phones"/>
    <s v="PHN-9234"/>
    <n v="1220.4100000000001"/>
    <n v="2552.2199999999998"/>
    <n v="2552.2199999999998"/>
    <s v="High"/>
    <n v="0.18099999999999999"/>
    <n v="0.18099999999999999"/>
    <n v="14"/>
    <s v="OK"/>
    <d v="2025-08-21T00:00:00"/>
    <n v="20"/>
    <n v="29263.754519999995"/>
    <n v="17085.740000000002"/>
    <n v="12178.014519999993"/>
    <n v="0.41614668793360271"/>
    <s v="Q3-2025"/>
    <s v="Phones"/>
    <s v="Phones"/>
    <x v="1"/>
    <s v="Late"/>
    <n v="0.18099999999999999"/>
    <n v="1342.4510000000002"/>
    <n v="15.400000000000002"/>
    <n v="32190.129971999999"/>
    <n v="20673.745400000007"/>
    <n v="11516.384571999992"/>
  </r>
  <r>
    <s v="ORD-2025-417336"/>
    <d v="2025-08-30T00:00:00"/>
    <d v="2025-09-03T00:00:00"/>
    <x v="2"/>
    <x v="10"/>
    <x v="33"/>
    <s v="Small Business"/>
    <s v="Marketplace"/>
    <s v="J. Njeri"/>
    <s v="Laptops"/>
    <s v="LAP-3220"/>
    <n v="1286.56"/>
    <n v="2777.35"/>
    <n v="2777.35"/>
    <s v="High"/>
    <n v="0.13200000000000001"/>
    <n v="0.13200000000000001"/>
    <n v="15"/>
    <s v="OK"/>
    <d v="2025-09-03T00:00:00"/>
    <n v="4"/>
    <n v="36161.097000000002"/>
    <n v="19298.399999999998"/>
    <n v="16862.697000000004"/>
    <n v="0.46632150014696744"/>
    <s v="Q3-2025"/>
    <s v="Laptops"/>
    <s v="Laptops"/>
    <x v="1"/>
    <s v="On-time"/>
    <n v="0.13200000000000001"/>
    <n v="1415.2160000000001"/>
    <n v="16.5"/>
    <n v="39777.206700000002"/>
    <n v="23351.064000000002"/>
    <n v="16426.1427"/>
  </r>
  <r>
    <s v="ORD-2025-677880"/>
    <d v="2025-08-21T00:00:00"/>
    <d v="2025-09-14T00:00:00"/>
    <x v="2"/>
    <x v="11"/>
    <x v="36"/>
    <s v="Non-Profit"/>
    <s v="Online"/>
    <s v="A. Patel"/>
    <s v="Monitors"/>
    <s v="MON-9662"/>
    <n v="1397.67"/>
    <n v="3131.37"/>
    <n v="3131.37"/>
    <s v="High"/>
    <n v="0.10299999999999999"/>
    <n v="0.10299999999999999"/>
    <n v="20"/>
    <s v="OK"/>
    <d v="2025-09-14T00:00:00"/>
    <n v="24"/>
    <n v="56176.777799999996"/>
    <n v="27953.4"/>
    <n v="28223.377799999995"/>
    <n v="0.50240293062874808"/>
    <s v="Q3-2025"/>
    <s v="Monitors"/>
    <s v="Monitors"/>
    <x v="1"/>
    <s v="Late"/>
    <n v="0.10299999999999999"/>
    <n v="1537.4370000000001"/>
    <n v="22"/>
    <n v="61794.455580000002"/>
    <n v="33823.614000000001"/>
    <n v="27970.84158"/>
  </r>
  <r>
    <s v="ORD-2024-745424"/>
    <d v="2024-08-22T00:00:00"/>
    <d v="2024-09-04T00:00:00"/>
    <x v="2"/>
    <x v="11"/>
    <x v="34"/>
    <s v="Non-Profit"/>
    <s v="Retail"/>
    <s v="L. Okafor"/>
    <s v="Printers"/>
    <s v="PRN-4892"/>
    <n v="90.04"/>
    <n v="194.62"/>
    <n v="194.62"/>
    <s v="Low"/>
    <n v="4.2999999999999997E-2"/>
    <n v="4.2999999999999997E-2"/>
    <n v="32"/>
    <s v="OK"/>
    <d v="2024-09-04T00:00:00"/>
    <n v="13"/>
    <n v="5960.04288"/>
    <n v="2881.28"/>
    <n v="3078.7628799999998"/>
    <n v="0.51656723650954672"/>
    <s v="Q3-2024"/>
    <s v="Printers"/>
    <s v="Printers"/>
    <x v="1"/>
    <s v="Late"/>
    <n v="4.2999999999999997E-2"/>
    <n v="99.044000000000011"/>
    <n v="35.200000000000003"/>
    <n v="6556.0471680000001"/>
    <n v="3486.3488000000007"/>
    <n v="3069.6983679999994"/>
  </r>
  <r>
    <s v="ORD-2024-585443"/>
    <d v="2024-08-17T00:00:00"/>
    <d v="2024-08-15T00:00:00"/>
    <x v="0"/>
    <x v="0"/>
    <x v="0"/>
    <s v="Consumer"/>
    <s v="Direct"/>
    <s v="M. Rossi"/>
    <s v="Monitors"/>
    <s v="MON-2849"/>
    <n v="165.3"/>
    <n v="275.07"/>
    <n v="275.07"/>
    <s v="Low"/>
    <n v="0.13300000000000001"/>
    <n v="0.13300000000000001"/>
    <n v="25"/>
    <s v="Correct"/>
    <d v="2024-08-24T00:00:00"/>
    <n v="7"/>
    <n v="5962.1422499999999"/>
    <n v="4132.5"/>
    <n v="1829.6422499999999"/>
    <n v="0.30687665159280625"/>
    <s v="Q3-2024"/>
    <s v="Monitors"/>
    <s v="Monitors"/>
    <x v="1"/>
    <s v="On-time"/>
    <n v="0.13300000000000001"/>
    <n v="181.83000000000004"/>
    <n v="27.500000000000004"/>
    <n v="6558.3564750000005"/>
    <n v="5000.3250000000016"/>
    <n v="1558.0314749999989"/>
  </r>
  <r>
    <s v="ORD-2024-136321"/>
    <d v="2024-08-07T00:00:00"/>
    <d v="2024-08-17T00:00:00"/>
    <x v="3"/>
    <x v="5"/>
    <x v="9"/>
    <s v="Consumer"/>
    <s v="Online"/>
    <s v="K. Singh"/>
    <s v="Networking"/>
    <s v="NET-7924"/>
    <n v="436.58"/>
    <n v="527.48"/>
    <n v="527.48"/>
    <s v="Low"/>
    <n v="0.111"/>
    <n v="0.111"/>
    <n v="19"/>
    <s v="OK"/>
    <d v="2024-08-17T00:00:00"/>
    <n v="10"/>
    <n v="8909.6646800000017"/>
    <n v="8295.02"/>
    <n v="614.64468000000124"/>
    <n v="6.8986286473802644E-2"/>
    <s v="Q3-2024"/>
    <s v="Networking"/>
    <s v="Networking"/>
    <x v="1"/>
    <s v="Late"/>
    <n v="0.111"/>
    <n v="480.238"/>
    <n v="20.900000000000002"/>
    <n v="9800.6311480000022"/>
    <n v="10036.974200000001"/>
    <n v="-236.34305199999835"/>
  </r>
  <r>
    <s v="ORD-2024-307849"/>
    <d v="2024-08-10T00:00:00"/>
    <d v="2024-09-07T00:00:00"/>
    <x v="2"/>
    <x v="10"/>
    <x v="33"/>
    <s v="Non-Profit"/>
    <s v="Direct"/>
    <s v="F. Müller"/>
    <s v="Printers"/>
    <s v="PRN-1183"/>
    <n v="229.96"/>
    <n v="564.26"/>
    <n v="564.26"/>
    <s v="Middle"/>
    <n v="0.105"/>
    <n v="0.105"/>
    <n v="5"/>
    <s v="OK"/>
    <d v="2024-09-07T00:00:00"/>
    <n v="28"/>
    <n v="2525.0635000000002"/>
    <n v="1149.8"/>
    <n v="1375.2635000000002"/>
    <n v="0.54464511486542821"/>
    <s v="Q3-2024"/>
    <s v="Printers"/>
    <s v="Printers"/>
    <x v="1"/>
    <s v="Late"/>
    <n v="0.105"/>
    <n v="252.95600000000002"/>
    <n v="5.5"/>
    <n v="2777.5698499999999"/>
    <n v="1391.258"/>
    <n v="1386.3118499999998"/>
  </r>
  <r>
    <s v="ORD-2024-792353"/>
    <d v="2024-08-19T00:00:00"/>
    <d v="2024-09-07T00:00:00"/>
    <x v="2"/>
    <x v="10"/>
    <x v="24"/>
    <s v="Corporate"/>
    <s v="Direct"/>
    <s v="J. Njeri"/>
    <s v="Components"/>
    <s v="CMP-5435"/>
    <n v="297.58999999999997"/>
    <n v="666.41"/>
    <n v="666.41"/>
    <s v="Middle"/>
    <n v="0"/>
    <n v="0"/>
    <n v="10"/>
    <s v="OK"/>
    <d v="2024-09-07T00:00:00"/>
    <n v="19"/>
    <n v="6664.0999999999995"/>
    <n v="2975.8999999999996"/>
    <n v="3688.2"/>
    <n v="0.55344307558409989"/>
    <s v="Q3-2024"/>
    <s v="Components"/>
    <s v="Components"/>
    <x v="1"/>
    <s v="Late"/>
    <n v="0"/>
    <n v="327.34899999999999"/>
    <n v="11"/>
    <n v="7330.5099999999993"/>
    <n v="3600.8389999999999"/>
    <n v="3729.6709999999994"/>
  </r>
  <r>
    <s v="ORD-2024-433936"/>
    <d v="2024-08-04T00:00:00"/>
    <d v="2024-08-17T00:00:00"/>
    <x v="0"/>
    <x v="9"/>
    <x v="13"/>
    <s v="Consumer"/>
    <s v="Retail"/>
    <s v="D. Smith"/>
    <s v="Monitors"/>
    <s v="MON-8867"/>
    <n v="352.79"/>
    <n v="754.22"/>
    <n v="754.22"/>
    <s v="Middle"/>
    <n v="0.113"/>
    <n v="0.113"/>
    <n v="7"/>
    <s v="OK"/>
    <d v="2024-08-17T00:00:00"/>
    <n v="13"/>
    <n v="4682.9519799999998"/>
    <n v="2469.5300000000002"/>
    <n v="2213.4219799999996"/>
    <n v="0.47265528014233443"/>
    <s v="Q3-2024"/>
    <s v="Monitors"/>
    <s v="Monitors"/>
    <x v="1"/>
    <s v="Late"/>
    <n v="0.113"/>
    <n v="388.06900000000007"/>
    <n v="7.7000000000000011"/>
    <n v="5151.2471780000005"/>
    <n v="2988.1313000000009"/>
    <n v="2163.1158779999996"/>
  </r>
  <r>
    <s v="ORD-2024-542244"/>
    <d v="2024-08-30T00:00:00"/>
    <d v="2024-09-05T00:00:00"/>
    <x v="3"/>
    <x v="5"/>
    <x v="7"/>
    <s v="Education"/>
    <s v="Online"/>
    <s v="N. Brown"/>
    <s v="Laptops"/>
    <s v="LAP-7009"/>
    <n v="466.16"/>
    <n v="876.81"/>
    <n v="876.81"/>
    <s v="Middle"/>
    <n v="0.24099999999999999"/>
    <n v="0.24099999999999999"/>
    <n v="8"/>
    <s v="OK"/>
    <d v="2024-09-05T00:00:00"/>
    <n v="6"/>
    <n v="5323.9903199999999"/>
    <n v="3729.28"/>
    <n v="1594.7103199999997"/>
    <n v="0.29953291124691594"/>
    <s v="Q3-2024"/>
    <s v="Laptops"/>
    <s v="Laptops"/>
    <x v="0"/>
    <s v="On-time"/>
    <n v="0.2"/>
    <n v="512.77600000000007"/>
    <n v="8.8000000000000007"/>
    <n v="6172.7424000000001"/>
    <n v="4512.4288000000006"/>
    <n v="1660.3135999999995"/>
  </r>
  <r>
    <s v="ORD-2024-212990"/>
    <d v="2024-08-12T00:00:00"/>
    <d v="2024-09-03T00:00:00"/>
    <x v="0"/>
    <x v="9"/>
    <x v="13"/>
    <s v="Consumer"/>
    <s v="Distributor"/>
    <s v="I. Johnson"/>
    <s v="Laptops"/>
    <s v="LAP-7979"/>
    <n v="797.8"/>
    <n v="886.22"/>
    <n v="886.22"/>
    <s v="Middle"/>
    <n v="0.23599999999999999"/>
    <n v="0.23599999999999999"/>
    <n v="36"/>
    <s v="OK"/>
    <d v="2024-09-03T00:00:00"/>
    <n v="22"/>
    <n v="24374.594880000001"/>
    <n v="28720.799999999999"/>
    <n v="-4346.2051199999987"/>
    <n v="-0.17830881462428633"/>
    <s v="Q3-2024"/>
    <s v="Laptops"/>
    <s v="Laptops"/>
    <x v="0"/>
    <s v="Late"/>
    <n v="0.2"/>
    <n v="877.58"/>
    <n v="39.6"/>
    <n v="28075.449600000007"/>
    <n v="34752.168000000005"/>
    <n v="-6676.7183999999979"/>
  </r>
  <r>
    <s v="ORD-2024-689872"/>
    <d v="2024-08-03T00:00:00"/>
    <d v="2024-08-09T00:00:00"/>
    <x v="1"/>
    <x v="1"/>
    <x v="5"/>
    <s v="Consumer"/>
    <s v="Marketplace"/>
    <s v="H. Kim"/>
    <s v="Laptops"/>
    <s v="LAP-1969"/>
    <n v="643.21"/>
    <n v="1112.81"/>
    <n v="1112.81"/>
    <s v="Middle"/>
    <n v="0.14099999999999999"/>
    <n v="0.14099999999999999"/>
    <n v="4"/>
    <s v="OK"/>
    <d v="2024-08-09T00:00:00"/>
    <n v="6"/>
    <n v="3823.6151599999998"/>
    <n v="2572.84"/>
    <n v="1250.7751599999997"/>
    <n v="0.32711847496702562"/>
    <s v="Q3-2024"/>
    <s v="Laptops"/>
    <s v="Laptops"/>
    <x v="1"/>
    <s v="On-time"/>
    <n v="0.14099999999999999"/>
    <n v="707.53100000000006"/>
    <n v="4.4000000000000004"/>
    <n v="4205.9766760000002"/>
    <n v="3113.1364000000003"/>
    <n v="1092.8402759999999"/>
  </r>
  <r>
    <s v="ORD-2024-626750"/>
    <d v="2024-08-12T00:00:00"/>
    <d v="2024-08-15T00:00:00"/>
    <x v="0"/>
    <x v="9"/>
    <x v="30"/>
    <s v="Corporate"/>
    <s v="Marketplace"/>
    <s v="D. Smith"/>
    <s v="Printers"/>
    <s v="PRN-5591"/>
    <n v="850.7"/>
    <n v="1118.56"/>
    <n v="1118.56"/>
    <s v="Middle"/>
    <n v="0.18"/>
    <n v="0.18"/>
    <n v="19"/>
    <s v="OK"/>
    <d v="2024-08-15T00:00:00"/>
    <n v="3"/>
    <n v="17427.164800000002"/>
    <n v="16163.300000000001"/>
    <n v="1263.8648000000012"/>
    <n v="7.2522685962090688E-2"/>
    <s v="Q3-2024"/>
    <s v="Printers"/>
    <s v="Printers"/>
    <x v="1"/>
    <s v="On-time"/>
    <n v="0.18"/>
    <n v="935.7700000000001"/>
    <n v="20.900000000000002"/>
    <n v="19169.881280000005"/>
    <n v="19557.593000000004"/>
    <n v="-387.71171999999933"/>
  </r>
  <r>
    <s v="ORD-2024-550400"/>
    <d v="2024-08-19T00:00:00"/>
    <d v="2024-09-02T00:00:00"/>
    <x v="0"/>
    <x v="3"/>
    <x v="4"/>
    <s v="Consumer"/>
    <s v="Distributor"/>
    <s v="C. Otieno"/>
    <s v="Printers"/>
    <s v="PRN-9793"/>
    <n v="1337.01"/>
    <n v="1269.78"/>
    <n v="1269.78"/>
    <s v="High"/>
    <n v="0.16"/>
    <n v="0.16"/>
    <n v="7"/>
    <s v="OK"/>
    <d v="2024-09-02T00:00:00"/>
    <n v="14"/>
    <n v="7466.3063999999986"/>
    <n v="9359.07"/>
    <n v="-1892.7636000000011"/>
    <n v="-0.25350735672996244"/>
    <s v="Q3-2024"/>
    <s v="Printers"/>
    <s v="Printers"/>
    <x v="1"/>
    <s v="Late"/>
    <n v="0.16"/>
    <n v="1470.711"/>
    <n v="7.7000000000000011"/>
    <n v="8212.9370400000007"/>
    <n v="11324.474700000002"/>
    <n v="-3111.5376600000018"/>
  </r>
  <r>
    <s v="ORD-2024-635626"/>
    <d v="2024-08-27T00:00:00"/>
    <d v="2024-09-19T00:00:00"/>
    <x v="2"/>
    <x v="11"/>
    <x v="36"/>
    <s v="Small Business"/>
    <s v="Direct"/>
    <s v="D. Smith"/>
    <s v="Monitors"/>
    <s v="MON-9967"/>
    <n v="1024.01"/>
    <n v="1580.97"/>
    <n v="1580.97"/>
    <s v="High"/>
    <n v="3.6999999999999998E-2"/>
    <n v="3.6999999999999998E-2"/>
    <n v="27"/>
    <s v="OK"/>
    <d v="2024-09-19T00:00:00"/>
    <n v="23"/>
    <n v="41106.800970000004"/>
    <n v="27648.27"/>
    <n v="13458.530970000003"/>
    <n v="0.3274039976942531"/>
    <s v="Q3-2024"/>
    <s v="Monitors"/>
    <s v="Monitors"/>
    <x v="1"/>
    <s v="Late"/>
    <n v="3.6999999999999998E-2"/>
    <n v="1126.4110000000001"/>
    <n v="29.700000000000003"/>
    <n v="45217.481067000008"/>
    <n v="33454.406700000007"/>
    <n v="11763.074367000001"/>
  </r>
  <r>
    <s v="ORD-2024-993481"/>
    <d v="2024-08-18T00:00:00"/>
    <d v="2024-09-12T00:00:00"/>
    <x v="3"/>
    <x v="4"/>
    <x v="19"/>
    <s v="Consumer"/>
    <s v="Marketplace"/>
    <s v="C. Otieno"/>
    <s v="Phones"/>
    <s v="PHN-3077"/>
    <n v="1154.03"/>
    <n v="1590.36"/>
    <n v="1590.36"/>
    <s v="High"/>
    <n v="0.314"/>
    <n v="0.3"/>
    <n v="18"/>
    <s v="OK"/>
    <d v="2024-09-12T00:00:00"/>
    <n v="25"/>
    <n v="20038.536"/>
    <n v="20772.54"/>
    <n v="-734.00400000000081"/>
    <n v="-3.6629622044245191E-2"/>
    <s v="Q3-2024"/>
    <s v="Phones"/>
    <s v="Phones"/>
    <x v="0"/>
    <s v="Late"/>
    <n v="0.2"/>
    <n v="1269.433"/>
    <n v="19.8"/>
    <n v="25191.3024"/>
    <n v="25134.773400000002"/>
    <n v="56.528999999998632"/>
  </r>
  <r>
    <s v="ORD-2024-553449"/>
    <d v="2024-08-27T00:00:00"/>
    <d v="2024-09-18T00:00:00"/>
    <x v="3"/>
    <x v="4"/>
    <x v="6"/>
    <s v="Consumer"/>
    <s v="Direct"/>
    <s v="B. Chen"/>
    <s v="Components"/>
    <s v="CMP-3875"/>
    <n v="896.75"/>
    <n v="1651.14"/>
    <n v="1651.14"/>
    <s v="High"/>
    <n v="2.5000000000000001E-2"/>
    <n v="2.5000000000000001E-2"/>
    <n v="15"/>
    <s v="OK"/>
    <d v="2024-09-18T00:00:00"/>
    <n v="22"/>
    <n v="24147.922500000001"/>
    <n v="13451.25"/>
    <n v="10696.672500000001"/>
    <n v="0.44296450346815552"/>
    <s v="Q3-2024"/>
    <s v="Components"/>
    <s v="Components"/>
    <x v="1"/>
    <s v="Late"/>
    <n v="2.5000000000000001E-2"/>
    <n v="986.42500000000007"/>
    <n v="16.5"/>
    <n v="26562.714749999999"/>
    <n v="16276.012500000001"/>
    <n v="10286.702249999998"/>
  </r>
  <r>
    <s v="ORD-2024-915495"/>
    <d v="2024-08-08T00:00:00"/>
    <d v="2024-08-20T00:00:00"/>
    <x v="3"/>
    <x v="5"/>
    <x v="9"/>
    <s v="Small Business"/>
    <s v="Retail"/>
    <s v="H. Kim"/>
    <s v="Networking"/>
    <s v="NET-8957"/>
    <n v="1233.3599999999999"/>
    <n v="2120.4"/>
    <n v="2120.4"/>
    <s v="High"/>
    <n v="0.17899999999999999"/>
    <n v="0.17899999999999999"/>
    <n v="20"/>
    <s v="OK"/>
    <d v="2024-08-20T00:00:00"/>
    <n v="12"/>
    <n v="34816.968000000001"/>
    <n v="24667.199999999997"/>
    <n v="10149.768000000004"/>
    <n v="0.29151785991244278"/>
    <s v="Q3-2024"/>
    <s v="Networking"/>
    <s v="Networking"/>
    <x v="1"/>
    <s v="Late"/>
    <n v="0.17899999999999999"/>
    <n v="1356.6959999999999"/>
    <n v="22"/>
    <n v="38298.664799999999"/>
    <n v="29847.311999999998"/>
    <n v="8451.3528000000006"/>
  </r>
  <r>
    <s v="ORD-2024-286833"/>
    <d v="2024-08-14T00:00:00"/>
    <d v="2024-09-04T00:00:00"/>
    <x v="2"/>
    <x v="2"/>
    <x v="26"/>
    <s v="Non-Profit"/>
    <s v="Online"/>
    <s v="J. Njeri"/>
    <s v="Phones"/>
    <s v="PHN-2341"/>
    <n v="1138.8"/>
    <n v="2250.81"/>
    <n v="2250.81"/>
    <s v="High"/>
    <n v="0.123"/>
    <n v="0.123"/>
    <n v="12"/>
    <s v="OK"/>
    <d v="2024-09-04T00:00:00"/>
    <n v="21"/>
    <n v="23687.524440000001"/>
    <n v="13665.599999999999"/>
    <n v="10021.924440000003"/>
    <n v="0.42308872188756258"/>
    <s v="Q3-2024"/>
    <s v="Phones"/>
    <s v="Phones"/>
    <x v="1"/>
    <s v="Late"/>
    <n v="0.123"/>
    <n v="1252.68"/>
    <n v="13.200000000000001"/>
    <n v="26056.276884000003"/>
    <n v="16535.376000000004"/>
    <n v="9520.9008839999988"/>
  </r>
  <r>
    <s v="ORD-2024-353078"/>
    <d v="2024-08-16T00:00:00"/>
    <d v="2024-08-26T00:00:00"/>
    <x v="0"/>
    <x v="9"/>
    <x v="30"/>
    <s v="Corporate"/>
    <s v="Distributor"/>
    <s v="L. Okafor"/>
    <s v="Laptops"/>
    <s v="LAP-5763"/>
    <n v="1291.7"/>
    <n v="2657.84"/>
    <n v="2657.84"/>
    <s v="High"/>
    <n v="8.6999999999999994E-2"/>
    <n v="8.6999999999999994E-2"/>
    <n v="21"/>
    <s v="OK"/>
    <d v="2024-08-26T00:00:00"/>
    <n v="10"/>
    <n v="50958.766320000002"/>
    <n v="27125.7"/>
    <n v="23833.066320000002"/>
    <n v="0.46769315745083367"/>
    <s v="Q3-2024"/>
    <s v="Laptops"/>
    <s v="Laptops"/>
    <x v="1"/>
    <s v="Late"/>
    <n v="8.6999999999999994E-2"/>
    <n v="1420.8700000000001"/>
    <n v="23.1"/>
    <n v="56054.642952000009"/>
    <n v="32822.097000000002"/>
    <n v="23232.545952000008"/>
  </r>
  <r>
    <s v="ORD-2024-536442"/>
    <d v="2024-08-31T00:00:00"/>
    <d v="2024-09-26T00:00:00"/>
    <x v="3"/>
    <x v="5"/>
    <x v="8"/>
    <s v="Education"/>
    <s v="Online"/>
    <s v="I. Johnson"/>
    <s v="Phones"/>
    <s v="PHN-6111"/>
    <n v="1189.03"/>
    <n v="2949.62"/>
    <n v="2949.62"/>
    <s v="High"/>
    <n v="0.125"/>
    <n v="0.125"/>
    <n v="13"/>
    <s v="OK"/>
    <d v="2024-09-26T00:00:00"/>
    <n v="26"/>
    <n v="33551.927499999998"/>
    <n v="15457.39"/>
    <n v="18094.537499999999"/>
    <n v="0.53929949330034765"/>
    <s v="Q3-2024"/>
    <s v="Phones"/>
    <s v="Phones"/>
    <x v="1"/>
    <s v="Late"/>
    <n v="0.125"/>
    <n v="1307.933"/>
    <n v="14.3"/>
    <n v="36907.12025"/>
    <n v="18703.441900000002"/>
    <n v="18203.678349999998"/>
  </r>
  <r>
    <s v="ORD-2024-167215"/>
    <d v="2024-08-23T00:00:00"/>
    <d v="2024-08-21T00:00:00"/>
    <x v="1"/>
    <x v="6"/>
    <x v="38"/>
    <s v="Education"/>
    <s v="Retail"/>
    <s v="E. Garcia"/>
    <s v="Components"/>
    <s v="CMP-1559"/>
    <n v="1432.52"/>
    <n v="3036.87"/>
    <n v="3036.87"/>
    <s v="High"/>
    <n v="0"/>
    <n v="0"/>
    <n v="9"/>
    <s v="Correct"/>
    <d v="2024-08-30T00:00:00"/>
    <n v="7"/>
    <n v="27331.829999999998"/>
    <n v="12892.68"/>
    <n v="14439.149999999998"/>
    <n v="0.52829064135112791"/>
    <s v="Q3-2024"/>
    <s v="Components"/>
    <s v="Components"/>
    <x v="1"/>
    <s v="On-time"/>
    <n v="0"/>
    <n v="1575.7720000000002"/>
    <n v="9.9"/>
    <n v="30065.012999999999"/>
    <n v="15600.142800000001"/>
    <n v="14464.870199999998"/>
  </r>
  <r>
    <s v="ORD-2024-446699"/>
    <d v="2024-08-28T00:00:00"/>
    <d v="2024-09-25T00:00:00"/>
    <x v="0"/>
    <x v="0"/>
    <x v="0"/>
    <s v="Non-Profit"/>
    <s v="Online"/>
    <s v="Unassigned"/>
    <s v="Accessories"/>
    <s v="ACC-4490"/>
    <n v="1394.65"/>
    <n v="3144.1"/>
    <n v="3144.1"/>
    <s v="High"/>
    <n v="0.13400000000000001"/>
    <n v="0.13400000000000001"/>
    <n v="13"/>
    <s v="OK"/>
    <d v="2024-09-25T00:00:00"/>
    <n v="28"/>
    <n v="35396.277799999996"/>
    <n v="18130.45"/>
    <n v="17265.827799999995"/>
    <n v="0.4877865378263021"/>
    <s v="Q3-2024"/>
    <s v="Accessories"/>
    <s v="Accessories"/>
    <x v="1"/>
    <s v="Late"/>
    <n v="0.13400000000000001"/>
    <n v="1534.1150000000002"/>
    <n v="14.3"/>
    <n v="38935.905579999999"/>
    <n v="21937.844500000003"/>
    <n v="16998.061079999996"/>
  </r>
  <r>
    <s v="ORD-2023-235230"/>
    <d v="2023-08-30T00:00:00"/>
    <d v="2023-09-01T00:00:00"/>
    <x v="2"/>
    <x v="11"/>
    <x v="35"/>
    <s v="Corporate"/>
    <s v="Direct"/>
    <s v="N. Brown"/>
    <s v="Networking"/>
    <s v="NET-9989"/>
    <n v="44.42"/>
    <n v="41.9"/>
    <n v="41.9"/>
    <s v="Low"/>
    <n v="0.14399999999999999"/>
    <n v="0.14399999999999999"/>
    <n v="6"/>
    <s v="OK"/>
    <d v="2023-09-01T00:00:00"/>
    <n v="2"/>
    <n v="215.19839999999996"/>
    <n v="266.52"/>
    <n v="-51.321600000000018"/>
    <n v="-0.23848504449847224"/>
    <s v="Q3-2023"/>
    <s v="Networking"/>
    <s v="Networking"/>
    <x v="1"/>
    <s v="On-time"/>
    <n v="0.14399999999999999"/>
    <n v="48.862000000000009"/>
    <n v="6.6000000000000005"/>
    <n v="236.71824000000001"/>
    <n v="322.4892000000001"/>
    <n v="-85.770960000000088"/>
  </r>
  <r>
    <s v="ORD-2023-274037"/>
    <d v="2023-08-15T00:00:00"/>
    <d v="2023-08-25T00:00:00"/>
    <x v="1"/>
    <x v="1"/>
    <x v="2"/>
    <s v="Small Business"/>
    <s v="Retail"/>
    <s v="N. Brown"/>
    <s v="Phones"/>
    <s v="PHN-1234"/>
    <n v="91.85"/>
    <n v="111.29"/>
    <n v="111.29"/>
    <s v="Low"/>
    <n v="0"/>
    <n v="0"/>
    <n v="6"/>
    <s v="OK"/>
    <d v="2023-08-25T00:00:00"/>
    <n v="10"/>
    <n v="667.74"/>
    <n v="551.09999999999991"/>
    <n v="116.6400000000001"/>
    <n v="0.17467876718483258"/>
    <s v="Q3-2023"/>
    <s v="Phones"/>
    <s v="Phones"/>
    <x v="1"/>
    <s v="Late"/>
    <n v="0"/>
    <n v="101.035"/>
    <n v="6.6000000000000005"/>
    <n v="734.51400000000012"/>
    <n v="666.83100000000002"/>
    <n v="67.683000000000106"/>
  </r>
  <r>
    <s v="ORD-2023-603238"/>
    <d v="2023-08-21T00:00:00"/>
    <d v="2023-09-04T00:00:00"/>
    <x v="0"/>
    <x v="3"/>
    <x v="39"/>
    <s v="Education"/>
    <s v="Distributor"/>
    <s v="F. Müller"/>
    <s v="Components"/>
    <s v="CMP-2136"/>
    <n v="178.19"/>
    <n v="284.43"/>
    <n v="284.43"/>
    <s v="Low"/>
    <n v="8.8999999999999996E-2"/>
    <n v="8.8999999999999996E-2"/>
    <n v="8"/>
    <s v="OK"/>
    <d v="2023-09-04T00:00:00"/>
    <n v="14"/>
    <n v="2072.9258400000003"/>
    <n v="1425.52"/>
    <n v="647.40584000000035"/>
    <n v="0.31231500302972742"/>
    <s v="Q3-2023"/>
    <s v="Components"/>
    <s v="Components"/>
    <x v="1"/>
    <s v="Late"/>
    <n v="8.8999999999999996E-2"/>
    <n v="196.00900000000001"/>
    <n v="8.8000000000000007"/>
    <n v="2280.2184240000006"/>
    <n v="1724.8792000000003"/>
    <n v="555.33922400000029"/>
  </r>
  <r>
    <s v="ORD-2023-253245"/>
    <d v="2023-08-03T00:00:00"/>
    <d v="2023-08-14T00:00:00"/>
    <x v="0"/>
    <x v="0"/>
    <x v="1"/>
    <s v="Corporate"/>
    <s v="Direct"/>
    <s v="J. Njeri"/>
    <s v="Accessories"/>
    <s v="ACC-3951"/>
    <n v="232.73"/>
    <n v="334.19"/>
    <n v="334.19"/>
    <s v="Low"/>
    <n v="0.13400000000000001"/>
    <n v="0.13400000000000001"/>
    <n v="25"/>
    <s v="OK"/>
    <d v="2023-08-14T00:00:00"/>
    <n v="11"/>
    <n v="7235.2134999999998"/>
    <n v="5818.25"/>
    <n v="1416.9634999999998"/>
    <n v="0.1958426658729559"/>
    <s v="Q3-2023"/>
    <s v="Accessories"/>
    <s v="Accessories"/>
    <x v="1"/>
    <s v="Late"/>
    <n v="0.13400000000000001"/>
    <n v="256.00299999999999"/>
    <n v="27.500000000000004"/>
    <n v="7958.7348499999998"/>
    <n v="7040.0825000000004"/>
    <n v="918.65234999999939"/>
  </r>
  <r>
    <s v="ORD-2023-713614"/>
    <d v="2023-08-02T00:00:00"/>
    <d v="2023-08-19T00:00:00"/>
    <x v="0"/>
    <x v="3"/>
    <x v="18"/>
    <s v="Corporate"/>
    <s v="Online"/>
    <s v="F. Müller"/>
    <s v="Networking"/>
    <s v="NET-3689"/>
    <n v="175.38"/>
    <n v="347.9"/>
    <n v="347.9"/>
    <s v="Low"/>
    <n v="7.1999999999999995E-2"/>
    <n v="7.1999999999999995E-2"/>
    <n v="43"/>
    <s v="OK"/>
    <d v="2023-08-19T00:00:00"/>
    <n v="17"/>
    <n v="13882.6016"/>
    <n v="7541.34"/>
    <n v="6341.2615999999998"/>
    <n v="0.45677761148169804"/>
    <s v="Q3-2023"/>
    <s v="Networking"/>
    <s v="Networking"/>
    <x v="1"/>
    <s v="Late"/>
    <n v="7.1999999999999995E-2"/>
    <n v="192.91800000000001"/>
    <n v="47.300000000000004"/>
    <n v="15270.861760000003"/>
    <n v="9125.0214000000014"/>
    <n v="6145.840360000002"/>
  </r>
  <r>
    <s v="ORD-2023-713375"/>
    <d v="2023-08-26T00:00:00"/>
    <d v="2023-09-10T00:00:00"/>
    <x v="1"/>
    <x v="6"/>
    <x v="15"/>
    <s v="Non-Profit"/>
    <s v="Direct"/>
    <s v="N. Brown"/>
    <s v="Components"/>
    <s v="CMP-7063"/>
    <n v="241.14"/>
    <n v="496.52"/>
    <n v="496.52"/>
    <s v="Low"/>
    <n v="9.2999999999999999E-2"/>
    <n v="9.2999999999999999E-2"/>
    <n v="10"/>
    <s v="OK"/>
    <d v="2023-09-10T00:00:00"/>
    <n v="15"/>
    <n v="4503.4363999999996"/>
    <n v="2411.3999999999996"/>
    <n v="2092.0364"/>
    <n v="0.46454223268257994"/>
    <s v="Q3-2023"/>
    <s v="Components"/>
    <s v="Components"/>
    <x v="1"/>
    <s v="Late"/>
    <n v="9.2999999999999999E-2"/>
    <n v="265.25400000000002"/>
    <n v="11"/>
    <n v="4953.7800399999996"/>
    <n v="2917.7940000000003"/>
    <n v="2035.9860399999993"/>
  </r>
  <r>
    <s v="ORD-2023-375011"/>
    <d v="2023-08-23T00:00:00"/>
    <d v="2023-09-22T00:00:00"/>
    <x v="2"/>
    <x v="2"/>
    <x v="3"/>
    <s v="Consumer"/>
    <s v="Distributor"/>
    <s v="O. Wang"/>
    <s v="Accessories"/>
    <s v="ACC-1492"/>
    <n v="209.81"/>
    <n v="523"/>
    <n v="523"/>
    <s v="Low"/>
    <n v="5.8999999999999997E-2"/>
    <n v="5.8999999999999997E-2"/>
    <n v="15"/>
    <s v="OK"/>
    <d v="2023-09-22T00:00:00"/>
    <n v="30"/>
    <n v="7382.1450000000004"/>
    <n v="3147.15"/>
    <n v="4234.9950000000008"/>
    <n v="0.57368082041195356"/>
    <s v="Q3-2023"/>
    <s v="Accessories"/>
    <s v="Accessories"/>
    <x v="1"/>
    <s v="Late"/>
    <n v="5.8999999999999997E-2"/>
    <n v="230.79100000000003"/>
    <n v="16.5"/>
    <n v="8120.3595000000005"/>
    <n v="3808.0515000000005"/>
    <n v="4312.308"/>
  </r>
  <r>
    <s v="ORD-2023-548934"/>
    <d v="2023-08-03T00:00:00"/>
    <d v="2023-08-30T00:00:00"/>
    <x v="3"/>
    <x v="7"/>
    <x v="20"/>
    <s v="Consumer"/>
    <s v="Distributor"/>
    <s v="N. Brown"/>
    <s v="Monitors"/>
    <s v="MON-3773"/>
    <n v="226.04"/>
    <n v="545.72"/>
    <n v="545.72"/>
    <s v="Low"/>
    <n v="0.151"/>
    <n v="0.151"/>
    <n v="11"/>
    <s v="OK"/>
    <d v="2023-08-30T00:00:00"/>
    <n v="27"/>
    <n v="5096.4790800000001"/>
    <n v="2486.44"/>
    <n v="2610.03908"/>
    <n v="0.51212592831834014"/>
    <s v="Q3-2023"/>
    <s v="Monitors"/>
    <s v="Monitors"/>
    <x v="1"/>
    <s v="Late"/>
    <n v="0.151"/>
    <n v="248.64400000000001"/>
    <n v="12.100000000000001"/>
    <n v="5606.1269880000009"/>
    <n v="3008.5924000000005"/>
    <n v="2597.5345880000004"/>
  </r>
  <r>
    <s v="ORD-2023-749324"/>
    <d v="2023-08-19T00:00:00"/>
    <d v="2023-09-07T00:00:00"/>
    <x v="1"/>
    <x v="6"/>
    <x v="38"/>
    <s v="Enterprise"/>
    <s v="Retail"/>
    <s v="D. Smith"/>
    <s v="Monitors"/>
    <s v="MON-2296"/>
    <n v="494.61"/>
    <n v="605.23"/>
    <n v="605.23"/>
    <s v="Middle"/>
    <n v="0.20399999999999999"/>
    <n v="0.20399999999999999"/>
    <n v="18"/>
    <s v="OK"/>
    <d v="2023-09-07T00:00:00"/>
    <n v="19"/>
    <n v="8671.7354400000004"/>
    <n v="8902.98"/>
    <n v="-231.24455999999918"/>
    <n v="-2.6666468505639647E-2"/>
    <s v="Q3-2023"/>
    <s v="Monitors"/>
    <s v="Monitors"/>
    <x v="0"/>
    <s v="Late"/>
    <n v="0.2"/>
    <n v="544.07100000000003"/>
    <n v="19.8"/>
    <n v="9586.8432000000012"/>
    <n v="10772.605800000001"/>
    <n v="-1185.7626"/>
  </r>
  <r>
    <s v="ORD-2023-883066"/>
    <d v="2023-08-12T00:00:00"/>
    <d v="2023-09-06T00:00:00"/>
    <x v="3"/>
    <x v="7"/>
    <x v="20"/>
    <s v="Small Business"/>
    <s v="Retail"/>
    <s v="B. Chen"/>
    <s v="Components"/>
    <s v="CMP-6352"/>
    <n v="950.77"/>
    <n v="694.78"/>
    <n v="694.78"/>
    <s v="Middle"/>
    <n v="8.4000000000000005E-2"/>
    <n v="8.4000000000000005E-2"/>
    <n v="14"/>
    <s v="OK"/>
    <d v="2023-09-06T00:00:00"/>
    <n v="25"/>
    <n v="8909.8587200000002"/>
    <n v="13310.779999999999"/>
    <n v="-4400.9212799999987"/>
    <n v="-0.49393839097821279"/>
    <s v="Q3-2023"/>
    <s v="Components"/>
    <s v="Components"/>
    <x v="1"/>
    <s v="Late"/>
    <n v="8.4000000000000005E-2"/>
    <n v="1045.847"/>
    <n v="15.400000000000002"/>
    <n v="9800.8445920000013"/>
    <n v="16106.043800000001"/>
    <n v="-6305.199208"/>
  </r>
  <r>
    <s v="ORD-2023-197661"/>
    <d v="2023-08-08T00:00:00"/>
    <d v="2023-08-22T00:00:00"/>
    <x v="2"/>
    <x v="2"/>
    <x v="37"/>
    <s v="Non-Profit"/>
    <s v="Direct"/>
    <s v="N. Brown"/>
    <s v="Monitors"/>
    <s v="MON-7511"/>
    <n v="446.69"/>
    <n v="967.25"/>
    <n v="967.25"/>
    <s v="Middle"/>
    <n v="9.4E-2"/>
    <n v="9.4E-2"/>
    <n v="10"/>
    <s v="OK"/>
    <d v="2023-08-22T00:00:00"/>
    <n v="14"/>
    <n v="8763.2849999999999"/>
    <n v="4466.8999999999996"/>
    <n v="4296.3850000000002"/>
    <n v="0.49027105702941309"/>
    <s v="Q3-2023"/>
    <s v="Monitors"/>
    <s v="Monitors"/>
    <x v="1"/>
    <s v="Late"/>
    <n v="9.4E-2"/>
    <n v="491.35900000000004"/>
    <n v="11"/>
    <n v="9639.6134999999995"/>
    <n v="5404.9490000000005"/>
    <n v="4234.664499999999"/>
  </r>
  <r>
    <s v="ORD-2023-133848"/>
    <d v="2023-08-15T00:00:00"/>
    <d v="2023-09-07T00:00:00"/>
    <x v="0"/>
    <x v="9"/>
    <x v="21"/>
    <s v="Enterprise"/>
    <s v="Online"/>
    <s v="K. Singh"/>
    <s v="Phones"/>
    <s v="PHN-2013"/>
    <n v="590.33000000000004"/>
    <n v="973.04"/>
    <n v="973.04"/>
    <s v="Middle"/>
    <n v="0"/>
    <n v="0"/>
    <n v="26"/>
    <s v="OK"/>
    <d v="2023-09-07T00:00:00"/>
    <n v="23"/>
    <n v="25299.040000000001"/>
    <n v="15348.580000000002"/>
    <n v="9950.4599999999991"/>
    <n v="0.39331373838691108"/>
    <s v="Q3-2023"/>
    <s v="Phones"/>
    <s v="Phones"/>
    <x v="1"/>
    <s v="Late"/>
    <n v="0"/>
    <n v="649.36300000000006"/>
    <n v="28.6"/>
    <n v="27828.944"/>
    <n v="18571.781800000004"/>
    <n v="9257.1621999999952"/>
  </r>
  <r>
    <s v="ORD-2023-630430"/>
    <d v="2023-08-04T00:00:00"/>
    <d v="2023-08-24T00:00:00"/>
    <x v="0"/>
    <x v="0"/>
    <x v="1"/>
    <s v="Non-Profit"/>
    <s v="Direct"/>
    <s v="Unassigned"/>
    <s v="Networking"/>
    <s v="NET-9125"/>
    <n v="582.88"/>
    <n v="1044.1400000000001"/>
    <n v="1044.1400000000001"/>
    <s v="Middle"/>
    <n v="0.216"/>
    <n v="0.216"/>
    <n v="10"/>
    <s v="OK"/>
    <d v="2023-08-24T00:00:00"/>
    <n v="20"/>
    <n v="8186.057600000001"/>
    <n v="5828.8"/>
    <n v="2357.2576000000008"/>
    <n v="0.28796005539956138"/>
    <s v="Q3-2023"/>
    <s v="Networking"/>
    <s v="Networking"/>
    <x v="0"/>
    <s v="Late"/>
    <n v="0.2"/>
    <n v="641.16800000000001"/>
    <n v="11"/>
    <n v="9188.4320000000007"/>
    <n v="7052.848"/>
    <n v="2135.5840000000007"/>
  </r>
  <r>
    <s v="ORD-2023-525643"/>
    <d v="2023-08-17T00:00:00"/>
    <d v="2023-09-03T00:00:00"/>
    <x v="1"/>
    <x v="6"/>
    <x v="10"/>
    <s v="Enterprise"/>
    <s v="Retail"/>
    <s v="A. Patel"/>
    <s v="Phones"/>
    <s v="PHN-8072"/>
    <n v="676.37"/>
    <n v="1276.67"/>
    <n v="1276.67"/>
    <s v="High"/>
    <n v="6.6000000000000003E-2"/>
    <n v="6.6000000000000003E-2"/>
    <n v="10"/>
    <s v="OK"/>
    <d v="2023-09-03T00:00:00"/>
    <n v="17"/>
    <n v="11924.0978"/>
    <n v="6763.7"/>
    <n v="5160.3977999999997"/>
    <n v="0.4327705027712872"/>
    <s v="Q3-2023"/>
    <s v="Phones"/>
    <s v="Phones"/>
    <x v="1"/>
    <s v="Late"/>
    <n v="6.6000000000000003E-2"/>
    <n v="744.00700000000006"/>
    <n v="11"/>
    <n v="13116.50758"/>
    <n v="8184.0770000000011"/>
    <n v="4932.4305799999984"/>
  </r>
  <r>
    <s v="ORD-2023-334213"/>
    <d v="2023-08-19T00:00:00"/>
    <d v="2023-08-23T00:00:00"/>
    <x v="1"/>
    <x v="8"/>
    <x v="28"/>
    <s v="Small Business"/>
    <s v="Online"/>
    <s v="J. Njeri"/>
    <s v="Monitors"/>
    <s v="MON-5517"/>
    <n v="790.63"/>
    <n v="1382.31"/>
    <n v="1382.31"/>
    <s v="High"/>
    <n v="0.10100000000000001"/>
    <n v="0.10100000000000001"/>
    <n v="7"/>
    <s v="OK"/>
    <d v="2023-08-23T00:00:00"/>
    <n v="4"/>
    <n v="8698.8768300000011"/>
    <n v="5534.41"/>
    <n v="3164.4668300000012"/>
    <n v="0.36377878338116448"/>
    <s v="Q3-2023"/>
    <s v="Monitors"/>
    <s v="Monitors"/>
    <x v="1"/>
    <s v="On-time"/>
    <n v="0.10100000000000001"/>
    <n v="869.6930000000001"/>
    <n v="7.7000000000000011"/>
    <n v="9568.7645130000001"/>
    <n v="6696.6361000000015"/>
    <n v="2872.1284129999985"/>
  </r>
  <r>
    <s v="ORD-2023-343322"/>
    <d v="2023-08-19T00:00:00"/>
    <d v="2023-09-12T00:00:00"/>
    <x v="0"/>
    <x v="3"/>
    <x v="18"/>
    <s v="Enterprise"/>
    <s v="Retail"/>
    <s v="I. Johnson"/>
    <s v="Printers"/>
    <s v="PRN-9669"/>
    <n v="1183.95"/>
    <n v="1503.53"/>
    <n v="1503.53"/>
    <s v="High"/>
    <n v="0.24099999999999999"/>
    <n v="0.24099999999999999"/>
    <n v="16"/>
    <s v="OK"/>
    <d v="2023-09-12T00:00:00"/>
    <n v="24"/>
    <n v="18258.868320000001"/>
    <n v="18943.2"/>
    <n v="-684.33167999999932"/>
    <n v="-3.7479413729623705E-2"/>
    <s v="Q3-2023"/>
    <s v="Printers"/>
    <s v="Printers"/>
    <x v="0"/>
    <s v="Late"/>
    <n v="0.2"/>
    <n v="1302.3450000000003"/>
    <n v="17.600000000000001"/>
    <n v="21169.702400000002"/>
    <n v="22921.272000000008"/>
    <n v="-1751.5696000000062"/>
  </r>
  <r>
    <s v="ORD-2023-243704"/>
    <d v="2023-08-29T00:00:00"/>
    <d v="2023-09-19T00:00:00"/>
    <x v="2"/>
    <x v="10"/>
    <x v="24"/>
    <s v="Small Business"/>
    <s v="Direct"/>
    <s v="B. Chen"/>
    <s v="Printers"/>
    <s v="PRN-7079"/>
    <n v="784.46"/>
    <n v="1843.51"/>
    <n v="1843.51"/>
    <s v="High"/>
    <n v="0.13800000000000001"/>
    <n v="0.13800000000000001"/>
    <n v="23"/>
    <s v="OK"/>
    <d v="2023-09-19T00:00:00"/>
    <n v="21"/>
    <n v="36549.429260000004"/>
    <n v="18042.580000000002"/>
    <n v="18506.849260000003"/>
    <n v="0.50635125184441798"/>
    <s v="Q3-2023"/>
    <s v="Printers"/>
    <s v="Printers"/>
    <x v="1"/>
    <s v="Late"/>
    <n v="0.13800000000000001"/>
    <n v="862.90600000000006"/>
    <n v="25.3"/>
    <n v="40204.372186000001"/>
    <n v="21831.521800000002"/>
    <n v="18372.850385999998"/>
  </r>
  <r>
    <s v="ORD-2023-664749"/>
    <d v="2023-08-27T00:00:00"/>
    <d v="2023-09-11T00:00:00"/>
    <x v="2"/>
    <x v="2"/>
    <x v="3"/>
    <s v="Consumer"/>
    <s v="Marketplace"/>
    <s v="N. Brown"/>
    <s v="Printers"/>
    <s v="PRN-5107"/>
    <n v="943.79"/>
    <n v="1913.76"/>
    <n v="1913.76"/>
    <s v="High"/>
    <n v="9.0999999999999998E-2"/>
    <n v="9.0999999999999998E-2"/>
    <n v="9"/>
    <s v="OK"/>
    <d v="2023-09-11T00:00:00"/>
    <n v="15"/>
    <n v="15656.47056"/>
    <n v="8494.11"/>
    <n v="7162.3605599999992"/>
    <n v="0.45746967891338081"/>
    <s v="Q3-2023"/>
    <s v="Printers"/>
    <s v="Printers"/>
    <x v="1"/>
    <s v="Late"/>
    <n v="9.0999999999999998E-2"/>
    <n v="1038.1690000000001"/>
    <n v="9.9"/>
    <n v="17222.117616000003"/>
    <n v="10277.873100000001"/>
    <n v="6944.2445160000025"/>
  </r>
  <r>
    <s v="ORD-2023-867175"/>
    <d v="2023-08-10T00:00:00"/>
    <d v="2023-08-15T00:00:00"/>
    <x v="0"/>
    <x v="0"/>
    <x v="17"/>
    <s v="Education"/>
    <s v="Direct"/>
    <s v="G. Dubois"/>
    <s v="Networking"/>
    <s v="NET-2894"/>
    <n v="1307.52"/>
    <n v="1921.65"/>
    <n v="1921.65"/>
    <s v="High"/>
    <n v="0.123"/>
    <n v="0.123"/>
    <n v="13"/>
    <s v="OK"/>
    <d v="2023-08-15T00:00:00"/>
    <n v="5"/>
    <n v="21908.731650000002"/>
    <n v="16997.759999999998"/>
    <n v="4910.9716500000031"/>
    <n v="0.22415590863289445"/>
    <s v="Q3-2023"/>
    <s v="Networking"/>
    <s v="Networking"/>
    <x v="1"/>
    <s v="On-time"/>
    <n v="0.123"/>
    <n v="1438.2720000000002"/>
    <n v="14.3"/>
    <n v="24099.604815000002"/>
    <n v="20567.289600000004"/>
    <n v="3532.3152149999987"/>
  </r>
  <r>
    <s v="ORD-2023-885216"/>
    <d v="2023-08-03T00:00:00"/>
    <d v="2023-08-02T00:00:00"/>
    <x v="3"/>
    <x v="7"/>
    <x v="20"/>
    <s v="Non-Profit"/>
    <s v="Direct"/>
    <s v="J. Njeri"/>
    <s v="Networking"/>
    <s v="NET-4735"/>
    <n v="1021.97"/>
    <n v="2296.25"/>
    <n v="2296.25"/>
    <s v="High"/>
    <n v="0.161"/>
    <n v="0.161"/>
    <n v="26"/>
    <s v="Correct"/>
    <d v="2023-08-10T00:00:00"/>
    <n v="7"/>
    <n v="50090.397499999999"/>
    <n v="26571.22"/>
    <n v="23519.177499999998"/>
    <n v="0.46953465482081669"/>
    <s v="Q3-2023"/>
    <s v="Networking"/>
    <s v="Networking"/>
    <x v="1"/>
    <s v="On-time"/>
    <n v="0.161"/>
    <n v="1124.1670000000001"/>
    <n v="28.6"/>
    <n v="55099.437249999995"/>
    <n v="32151.176200000005"/>
    <n v="22948.26104999999"/>
  </r>
  <r>
    <s v="ORD-2023-944052"/>
    <d v="2023-08-30T00:00:00"/>
    <d v="2023-09-03T00:00:00"/>
    <x v="3"/>
    <x v="4"/>
    <x v="6"/>
    <s v="Small Business"/>
    <s v="Marketplace"/>
    <s v="L. Okafor"/>
    <s v="Accessories"/>
    <s v="ACC-3068"/>
    <n v="1082.25"/>
    <n v="2433.34"/>
    <n v="2433.34"/>
    <s v="High"/>
    <n v="0.27"/>
    <n v="0.27"/>
    <n v="4"/>
    <s v="OK"/>
    <d v="2023-09-03T00:00:00"/>
    <n v="4"/>
    <n v="7105.3528000000006"/>
    <n v="4329"/>
    <n v="2776.3528000000006"/>
    <n v="0.3907410199251472"/>
    <s v="Q3-2023"/>
    <s v="Accessories"/>
    <s v="Accessories"/>
    <x v="0"/>
    <s v="On-time"/>
    <n v="0.2"/>
    <n v="1190.4750000000001"/>
    <n v="4.4000000000000004"/>
    <n v="8565.3568000000014"/>
    <n v="5238.0900000000011"/>
    <n v="3327.2668000000003"/>
  </r>
  <r>
    <s v="ORD-2023-732585"/>
    <d v="2023-08-25T00:00:00"/>
    <d v="2023-09-16T00:00:00"/>
    <x v="1"/>
    <x v="8"/>
    <x v="28"/>
    <s v="Corporate"/>
    <s v="Marketplace"/>
    <s v="L. Okafor"/>
    <s v="Phones"/>
    <s v="PHN-3971"/>
    <n v="1196.83"/>
    <n v="2513.5100000000002"/>
    <n v="2513.5100000000002"/>
    <s v="High"/>
    <n v="8.3000000000000004E-2"/>
    <n v="8.3000000000000004E-2"/>
    <n v="7"/>
    <s v="OK"/>
    <d v="2023-09-16T00:00:00"/>
    <n v="22"/>
    <n v="16134.22069"/>
    <n v="8377.81"/>
    <n v="7756.4106900000006"/>
    <n v="0.48074281609445374"/>
    <s v="Q3-2023"/>
    <s v="Phones"/>
    <s v="Phones"/>
    <x v="1"/>
    <s v="Late"/>
    <n v="8.3000000000000004E-2"/>
    <n v="1316.5129999999999"/>
    <n v="7.7000000000000011"/>
    <n v="17747.642759000006"/>
    <n v="10137.150100000001"/>
    <n v="7610.492659000005"/>
  </r>
  <r>
    <s v="ORD-2023-987081"/>
    <d v="2023-08-29T00:00:00"/>
    <d v="2023-09-13T00:00:00"/>
    <x v="0"/>
    <x v="3"/>
    <x v="18"/>
    <s v="Small Business"/>
    <s v="Marketplace"/>
    <s v="O. Wang"/>
    <s v="Printers"/>
    <s v="PRN-9975"/>
    <n v="1287.6400000000001"/>
    <n v="2717.15"/>
    <n v="2717.15"/>
    <s v="High"/>
    <n v="3.2000000000000001E-2"/>
    <n v="3.2000000000000001E-2"/>
    <n v="7"/>
    <s v="OK"/>
    <d v="2023-09-13T00:00:00"/>
    <n v="15"/>
    <n v="18411.4084"/>
    <n v="9013.4800000000014"/>
    <n v="9397.9283999999989"/>
    <n v="0.51044049405802105"/>
    <s v="Q3-2023"/>
    <s v="Printers"/>
    <s v="Printers"/>
    <x v="1"/>
    <s v="Late"/>
    <n v="3.2000000000000001E-2"/>
    <n v="1416.4040000000002"/>
    <n v="7.7000000000000011"/>
    <n v="20252.549240000004"/>
    <n v="10906.310800000003"/>
    <n v="9346.238440000001"/>
  </r>
  <r>
    <s v="ORD-2023-640022"/>
    <d v="2023-08-24T00:00:00"/>
    <d v="2023-09-20T00:00:00"/>
    <x v="1"/>
    <x v="6"/>
    <x v="10"/>
    <s v="Small Business"/>
    <s v="Marketplace"/>
    <s v="M. Rossi"/>
    <s v="Printers"/>
    <s v="PRN-4732"/>
    <n v="1399.64"/>
    <n v="3342.11"/>
    <n v="3342.11"/>
    <s v="High"/>
    <n v="0"/>
    <n v="0"/>
    <n v="10"/>
    <s v="OK"/>
    <d v="2023-09-20T00:00:00"/>
    <n v="27"/>
    <n v="33421.1"/>
    <n v="13996.400000000001"/>
    <n v="19424.699999999997"/>
    <n v="0.58121067229983447"/>
    <s v="Q3-2023"/>
    <s v="Printers"/>
    <s v="Printers"/>
    <x v="1"/>
    <s v="Late"/>
    <n v="0"/>
    <n v="1539.6040000000003"/>
    <n v="11"/>
    <n v="36763.21"/>
    <n v="16935.644000000004"/>
    <n v="19827.565999999995"/>
  </r>
  <r>
    <s v="ORD-2025-541048"/>
    <d v="2025-04-04T00:00:00"/>
    <d v="2025-04-13T00:00:00"/>
    <x v="2"/>
    <x v="11"/>
    <x v="35"/>
    <s v="Consumer"/>
    <s v="Marketplace"/>
    <s v="F. Müller"/>
    <s v="Phones"/>
    <s v="PHN-3803"/>
    <n v="7.02"/>
    <n v="6.28"/>
    <n v="6.28"/>
    <s v="Low"/>
    <n v="0.13400000000000001"/>
    <n v="0.13400000000000001"/>
    <n v="14"/>
    <s v="OK"/>
    <d v="2025-04-13T00:00:00"/>
    <n v="9"/>
    <n v="76.138720000000006"/>
    <n v="98.28"/>
    <n v="-22.141279999999995"/>
    <n v="-0.29080184169106066"/>
    <s v="Q2-2025"/>
    <s v="Phones"/>
    <s v="Phones"/>
    <x v="1"/>
    <s v="Late"/>
    <n v="0.13400000000000001"/>
    <n v="7.7220000000000004"/>
    <n v="15.400000000000002"/>
    <n v="83.752592000000021"/>
    <n v="118.91880000000002"/>
    <n v="-35.166207999999997"/>
  </r>
  <r>
    <s v="ORD-2025-946490"/>
    <d v="2025-04-22T00:00:00"/>
    <d v="2025-05-02T00:00:00"/>
    <x v="2"/>
    <x v="11"/>
    <x v="36"/>
    <s v="Corporate"/>
    <s v="Marketplace"/>
    <s v="C. Otieno"/>
    <s v="Monitors"/>
    <s v="MON-2842"/>
    <n v="20.149999999999999"/>
    <n v="39.74"/>
    <n v="39.74"/>
    <s v="Low"/>
    <n v="0.151"/>
    <n v="0.151"/>
    <n v="18"/>
    <s v="OK"/>
    <d v="2025-05-02T00:00:00"/>
    <n v="10"/>
    <n v="607.30668000000003"/>
    <n v="362.7"/>
    <n v="244.60668000000004"/>
    <n v="0.4027729120318585"/>
    <s v="Q2-2025"/>
    <s v="Monitors"/>
    <s v="Monitors"/>
    <x v="1"/>
    <s v="Late"/>
    <n v="0.151"/>
    <n v="22.164999999999999"/>
    <n v="19.8"/>
    <n v="668.03734800000007"/>
    <n v="438.86700000000002"/>
    <n v="229.17034800000005"/>
  </r>
  <r>
    <s v="ORD-2025-488349"/>
    <d v="2025-04-23T00:00:00"/>
    <d v="2025-04-22T00:00:00"/>
    <x v="0"/>
    <x v="9"/>
    <x v="32"/>
    <s v="Non-Profit"/>
    <s v="Distributor"/>
    <s v="D. Smith"/>
    <s v="Monitors"/>
    <s v="MON-3371"/>
    <n v="23.24"/>
    <n v="44.57"/>
    <n v="44.57"/>
    <s v="Low"/>
    <n v="0.215"/>
    <n v="0.215"/>
    <n v="15"/>
    <s v="Correct"/>
    <d v="2025-04-30T00:00:00"/>
    <n v="7"/>
    <n v="524.81174999999996"/>
    <n v="348.59999999999997"/>
    <n v="176.21174999999999"/>
    <n v="0.33576182316802167"/>
    <s v="Q2-2025"/>
    <s v="Monitors"/>
    <s v="Monitors"/>
    <x v="0"/>
    <s v="On-time"/>
    <n v="0.2"/>
    <n v="25.564"/>
    <n v="16.5"/>
    <n v="588.32399999999996"/>
    <n v="421.80599999999998"/>
    <n v="166.51799999999997"/>
  </r>
  <r>
    <s v="ORD-2025-778145"/>
    <d v="2025-04-22T00:00:00"/>
    <d v="2025-05-12T00:00:00"/>
    <x v="2"/>
    <x v="10"/>
    <x v="24"/>
    <s v="Enterprise"/>
    <s v="Marketplace"/>
    <s v="K. Singh"/>
    <s v="Monitors"/>
    <s v="MON-9216"/>
    <n v="59.51"/>
    <n v="67.040000000000006"/>
    <n v="67.040000000000006"/>
    <s v="Low"/>
    <n v="0.114"/>
    <n v="0.114"/>
    <n v="9"/>
    <s v="OK"/>
    <d v="2025-05-12T00:00:00"/>
    <n v="20"/>
    <n v="534.57695999999999"/>
    <n v="535.59"/>
    <n v="-1.0130400000000463"/>
    <n v="-1.8950311663264469E-3"/>
    <s v="Q2-2025"/>
    <s v="Monitors"/>
    <s v="Monitors"/>
    <x v="1"/>
    <s v="Late"/>
    <n v="0.114"/>
    <n v="65.460999999999999"/>
    <n v="9.9"/>
    <n v="588.03465600000015"/>
    <n v="648.06389999999999"/>
    <n v="-60.029243999999835"/>
  </r>
  <r>
    <s v="ORD-2025-306251"/>
    <d v="2025-04-10T00:00:00"/>
    <d v="2025-04-19T00:00:00"/>
    <x v="1"/>
    <x v="6"/>
    <x v="10"/>
    <s v="Enterprise"/>
    <s v="Unspecified"/>
    <s v="G. Dubois"/>
    <s v="Networking"/>
    <s v="NET-5270"/>
    <n v="113.74"/>
    <n v="165.7"/>
    <n v="165.7"/>
    <s v="Low"/>
    <n v="0.124"/>
    <n v="0.124"/>
    <n v="13"/>
    <s v="OK"/>
    <d v="2025-04-19T00:00:00"/>
    <n v="9"/>
    <n v="1886.9915999999998"/>
    <n v="1478.62"/>
    <n v="408.37159999999994"/>
    <n v="0.21641410592394794"/>
    <s v="Q2-2025"/>
    <s v="Networking"/>
    <s v="Networking"/>
    <x v="1"/>
    <s v="Late"/>
    <n v="0.124"/>
    <n v="125.114"/>
    <n v="14.3"/>
    <n v="2075.69076"/>
    <n v="1789.1302000000001"/>
    <n v="286.5605599999999"/>
  </r>
  <r>
    <s v="ORD-2025-138578"/>
    <d v="2025-04-09T00:00:00"/>
    <d v="2025-04-12T00:00:00"/>
    <x v="2"/>
    <x v="10"/>
    <x v="24"/>
    <s v="Small Business"/>
    <s v="Distributor"/>
    <s v="H. Kim"/>
    <s v="Monitors"/>
    <s v="MON-5276"/>
    <n v="86.68"/>
    <n v="213.32"/>
    <n v="213.32"/>
    <s v="Low"/>
    <n v="3.7999999999999999E-2"/>
    <n v="3.7999999999999999E-2"/>
    <n v="8"/>
    <s v="OK"/>
    <d v="2025-04-12T00:00:00"/>
    <n v="3"/>
    <n v="1641.7107199999998"/>
    <n v="693.44"/>
    <n v="948.27071999999976"/>
    <n v="0.57761133459614611"/>
    <s v="Q2-2025"/>
    <s v="Monitors"/>
    <s v="Monitors"/>
    <x v="1"/>
    <s v="On-time"/>
    <n v="3.7999999999999999E-2"/>
    <n v="95.348000000000013"/>
    <n v="8.8000000000000007"/>
    <n v="1805.8817920000001"/>
    <n v="839.06240000000014"/>
    <n v="966.81939199999999"/>
  </r>
  <r>
    <s v="ORD-2025-861401"/>
    <d v="2025-04-01T00:00:00"/>
    <d v="2025-04-27T00:00:00"/>
    <x v="0"/>
    <x v="9"/>
    <x v="32"/>
    <s v="Corporate"/>
    <s v="Direct"/>
    <s v="I. Johnson"/>
    <s v="Monitors"/>
    <s v="MON-9319"/>
    <n v="156.55000000000001"/>
    <n v="227.45"/>
    <n v="227.45"/>
    <s v="Low"/>
    <n v="1.4E-2"/>
    <n v="1.4E-2"/>
    <n v="13"/>
    <s v="OK"/>
    <d v="2025-04-27T00:00:00"/>
    <n v="26"/>
    <n v="2915.4540999999999"/>
    <n v="2035.15"/>
    <n v="880.30409999999983"/>
    <n v="0.3019440779396938"/>
    <s v="Q2-2025"/>
    <s v="Monitors"/>
    <s v="Monitors"/>
    <x v="1"/>
    <s v="Late"/>
    <n v="1.4E-2"/>
    <n v="172.20500000000001"/>
    <n v="14.3"/>
    <n v="3206.9995099999996"/>
    <n v="2462.5315000000005"/>
    <n v="744.46800999999914"/>
  </r>
  <r>
    <s v="ORD-2025-269934"/>
    <d v="2025-04-04T00:00:00"/>
    <d v="2025-04-10T00:00:00"/>
    <x v="2"/>
    <x v="2"/>
    <x v="37"/>
    <s v="Non-Profit"/>
    <s v="Direct"/>
    <s v="N. Brown"/>
    <s v="Printers"/>
    <s v="PRN-8657"/>
    <n v="290.14"/>
    <n v="250.73"/>
    <n v="250.73"/>
    <s v="Low"/>
    <n v="3.4000000000000002E-2"/>
    <n v="3.4000000000000002E-2"/>
    <n v="17"/>
    <s v="OK"/>
    <d v="2025-04-10T00:00:00"/>
    <n v="6"/>
    <n v="4117.4880599999997"/>
    <n v="4932.38"/>
    <n v="-814.89194000000043"/>
    <n v="-0.19790997038131072"/>
    <s v="Q2-2025"/>
    <s v="Printers"/>
    <s v="Printers"/>
    <x v="1"/>
    <s v="On-time"/>
    <n v="3.4000000000000002E-2"/>
    <n v="319.154"/>
    <n v="18.700000000000003"/>
    <n v="4529.2368660000002"/>
    <n v="5968.1798000000008"/>
    <n v="-1438.9429340000006"/>
  </r>
  <r>
    <s v="ORD-2025-169093"/>
    <d v="2025-04-13T00:00:00"/>
    <d v="2025-04-14T00:00:00"/>
    <x v="3"/>
    <x v="5"/>
    <x v="9"/>
    <s v="Enterprise"/>
    <s v="Online"/>
    <s v="G. Dubois"/>
    <s v="Components"/>
    <s v="CMP-6495"/>
    <n v="138.9"/>
    <n v="289.92"/>
    <n v="289.92"/>
    <s v="Low"/>
    <n v="2.9000000000000001E-2"/>
    <n v="2.9000000000000001E-2"/>
    <n v="12"/>
    <s v="OK"/>
    <d v="2025-04-14T00:00:00"/>
    <n v="1"/>
    <n v="3378.1478400000001"/>
    <n v="1666.8000000000002"/>
    <n v="1711.3478399999999"/>
    <n v="0.50659353025828491"/>
    <s v="Q2-2025"/>
    <s v="Components"/>
    <s v="Components"/>
    <x v="1"/>
    <s v="On-time"/>
    <n v="2.9000000000000001E-2"/>
    <n v="152.79000000000002"/>
    <n v="13.200000000000001"/>
    <n v="3715.9626240000002"/>
    <n v="2016.8280000000004"/>
    <n v="1699.1346239999998"/>
  </r>
  <r>
    <s v="ORD-2025-907040"/>
    <d v="2025-04-17T00:00:00"/>
    <d v="2025-05-03T00:00:00"/>
    <x v="0"/>
    <x v="0"/>
    <x v="0"/>
    <s v="Consumer"/>
    <s v="Marketplace"/>
    <s v="J. Njeri"/>
    <s v="Networking"/>
    <s v="NET-8610"/>
    <n v="168.68"/>
    <n v="413.34"/>
    <n v="413.34"/>
    <s v="Low"/>
    <n v="0.186"/>
    <n v="0.186"/>
    <n v="7"/>
    <s v="OK"/>
    <d v="2025-05-03T00:00:00"/>
    <n v="16"/>
    <n v="2355.2113199999999"/>
    <n v="1180.76"/>
    <n v="1174.4513199999999"/>
    <n v="0.49866069767361682"/>
    <s v="Q2-2025"/>
    <s v="Networking"/>
    <s v="Networking"/>
    <x v="1"/>
    <s v="Late"/>
    <n v="0.186"/>
    <n v="185.54800000000003"/>
    <n v="7.7000000000000011"/>
    <n v="2590.7324520000006"/>
    <n v="1428.7196000000004"/>
    <n v="1162.0128520000003"/>
  </r>
  <r>
    <s v="ORD-2025-252117"/>
    <d v="2025-04-28T00:00:00"/>
    <d v="2025-05-19T00:00:00"/>
    <x v="2"/>
    <x v="11"/>
    <x v="36"/>
    <s v="Corporate"/>
    <s v="Distributor"/>
    <s v="B. Chen"/>
    <s v="Phones"/>
    <s v="PHN-2462"/>
    <n v="350.76"/>
    <n v="492.18"/>
    <n v="492.18"/>
    <s v="Low"/>
    <n v="5.2999999999999999E-2"/>
    <n v="5.2999999999999999E-2"/>
    <n v="11"/>
    <s v="OK"/>
    <d v="2025-05-19T00:00:00"/>
    <n v="21"/>
    <n v="5127.0390600000001"/>
    <n v="3858.3599999999997"/>
    <n v="1268.6790600000004"/>
    <n v="0.24744868239798437"/>
    <s v="Q2-2025"/>
    <s v="Phones"/>
    <s v="Phones"/>
    <x v="1"/>
    <s v="Late"/>
    <n v="5.2999999999999999E-2"/>
    <n v="385.83600000000001"/>
    <n v="12.100000000000001"/>
    <n v="5639.7429660000007"/>
    <n v="4668.615600000001"/>
    <n v="971.12736599999971"/>
  </r>
  <r>
    <s v="ORD-2025-246470"/>
    <d v="2025-04-16T00:00:00"/>
    <d v="2025-05-16T00:00:00"/>
    <x v="0"/>
    <x v="3"/>
    <x v="39"/>
    <s v="Enterprise"/>
    <s v="Distributor"/>
    <s v="K. Singh"/>
    <s v="Printers"/>
    <s v="PRN-6178"/>
    <n v="763.32"/>
    <n v="568.29"/>
    <n v="568.29"/>
    <s v="Low"/>
    <n v="0.13100000000000001"/>
    <n v="0.13100000000000001"/>
    <n v="16"/>
    <s v="OK"/>
    <d v="2025-05-16T00:00:00"/>
    <n v="30"/>
    <n v="7901.5041599999995"/>
    <n v="12213.12"/>
    <n v="-4311.6158400000013"/>
    <n v="-0.54567026134426555"/>
    <s v="Q2-2025"/>
    <s v="Printers"/>
    <s v="Printers"/>
    <x v="1"/>
    <s v="Late"/>
    <n v="0.13100000000000001"/>
    <n v="839.65200000000016"/>
    <n v="17.600000000000001"/>
    <n v="8691.6545760000008"/>
    <n v="14777.875200000004"/>
    <n v="-6086.2206240000032"/>
  </r>
  <r>
    <s v="ORD-2025-640677"/>
    <d v="2025-04-09T00:00:00"/>
    <d v="2025-05-06T00:00:00"/>
    <x v="0"/>
    <x v="0"/>
    <x v="1"/>
    <s v="Enterprise"/>
    <s v="Marketplace"/>
    <s v="F. Müller"/>
    <s v="Laptops"/>
    <s v="LAP-4517"/>
    <n v="264.19"/>
    <n v="620.92999999999995"/>
    <n v="620.92999999999995"/>
    <s v="Low"/>
    <n v="0.14199999999999999"/>
    <n v="0.14199999999999999"/>
    <n v="12"/>
    <s v="OK"/>
    <d v="2025-05-06T00:00:00"/>
    <n v="27"/>
    <n v="6393.0952799999995"/>
    <n v="3170.2799999999997"/>
    <n v="3222.8152799999998"/>
    <n v="0.50410875152794532"/>
    <s v="Q2-2025"/>
    <s v="Laptops"/>
    <s v="Laptops"/>
    <x v="1"/>
    <s v="Late"/>
    <n v="0.14199999999999999"/>
    <n v="290.60900000000004"/>
    <n v="13.200000000000001"/>
    <n v="7032.4048079999993"/>
    <n v="3836.0388000000007"/>
    <n v="3196.3660079999986"/>
  </r>
  <r>
    <s v="ORD-2025-757957"/>
    <d v="2025-04-24T00:00:00"/>
    <d v="2025-05-06T00:00:00"/>
    <x v="0"/>
    <x v="0"/>
    <x v="1"/>
    <s v="Consumer"/>
    <s v="Online"/>
    <s v="C. Otieno"/>
    <s v="Phones"/>
    <s v="PHN-2787"/>
    <n v="394.13"/>
    <n v="932.29"/>
    <n v="932.29"/>
    <s v="Middle"/>
    <n v="0.109"/>
    <n v="0.109"/>
    <n v="7"/>
    <s v="OK"/>
    <d v="2025-05-06T00:00:00"/>
    <n v="12"/>
    <n v="5814.6927299999998"/>
    <n v="2758.91"/>
    <n v="3055.7827299999999"/>
    <n v="0.5255278089303268"/>
    <s v="Q2-2025"/>
    <s v="Phones"/>
    <s v="Phones"/>
    <x v="1"/>
    <s v="Late"/>
    <n v="0.109"/>
    <n v="433.54300000000001"/>
    <n v="7.7000000000000011"/>
    <n v="6396.1620030000004"/>
    <n v="3338.2811000000006"/>
    <n v="3057.8809029999998"/>
  </r>
  <r>
    <s v="ORD-2025-765220"/>
    <d v="2025-04-06T00:00:00"/>
    <d v="2025-04-30T00:00:00"/>
    <x v="0"/>
    <x v="0"/>
    <x v="1"/>
    <s v="Education"/>
    <s v="Online"/>
    <s v="K. Singh"/>
    <s v="Monitors"/>
    <s v="MON-4925"/>
    <n v="855.78"/>
    <n v="977.38"/>
    <n v="977.38"/>
    <s v="Middle"/>
    <n v="0.14699999999999999"/>
    <n v="0.14699999999999999"/>
    <n v="38"/>
    <s v="OK"/>
    <d v="2025-04-30T00:00:00"/>
    <n v="24"/>
    <n v="31680.795320000001"/>
    <n v="32519.64"/>
    <n v="-838.84467999999833"/>
    <n v="-2.6478018355506307E-2"/>
    <s v="Q2-2025"/>
    <s v="Monitors"/>
    <s v="Monitors"/>
    <x v="1"/>
    <s v="Late"/>
    <n v="0.14699999999999999"/>
    <n v="941.35800000000006"/>
    <n v="41.800000000000004"/>
    <n v="34848.874852000001"/>
    <n v="39348.764400000007"/>
    <n v="-4499.8895480000065"/>
  </r>
  <r>
    <s v="ORD-2025-487025"/>
    <d v="2025-04-11T00:00:00"/>
    <d v="2025-05-04T00:00:00"/>
    <x v="3"/>
    <x v="5"/>
    <x v="9"/>
    <s v="Small Business"/>
    <s v="Online"/>
    <s v="M. Rossi"/>
    <s v="Components"/>
    <s v="CMP-3743"/>
    <n v="786.2"/>
    <n v="1075.3"/>
    <n v="1075.3"/>
    <s v="Middle"/>
    <n v="0.08"/>
    <n v="0.08"/>
    <n v="9"/>
    <s v="OK"/>
    <d v="2025-05-04T00:00:00"/>
    <n v="23"/>
    <n v="8903.4839999999986"/>
    <n v="7075.8"/>
    <n v="1827.6839999999984"/>
    <n v="0.20527739478163815"/>
    <s v="Q2-2025"/>
    <s v="Components"/>
    <s v="Components"/>
    <x v="1"/>
    <s v="Late"/>
    <n v="0.08"/>
    <n v="864.82000000000016"/>
    <n v="9.9"/>
    <n v="9793.8323999999993"/>
    <n v="8561.7180000000026"/>
    <n v="1232.1143999999967"/>
  </r>
  <r>
    <s v="ORD-2025-246692"/>
    <d v="2025-04-17T00:00:00"/>
    <d v="2025-04-17T00:00:00"/>
    <x v="0"/>
    <x v="0"/>
    <x v="17"/>
    <s v="Corporate"/>
    <s v="Distributor"/>
    <s v="L. Okafor"/>
    <s v="Phones"/>
    <s v="PHN-4566"/>
    <n v="719.41"/>
    <n v="1125.99"/>
    <n v="1125.99"/>
    <s v="Middle"/>
    <n v="4.1000000000000002E-2"/>
    <n v="4.1000000000000002E-2"/>
    <n v="21"/>
    <s v="OK"/>
    <d v="2025-04-17T00:00:00"/>
    <n v="0"/>
    <n v="22676.312610000001"/>
    <n v="15107.609999999999"/>
    <n v="7568.7026100000021"/>
    <n v="0.33377131194876403"/>
    <s v="Q2-2025"/>
    <s v="Phones"/>
    <s v="Phones"/>
    <x v="1"/>
    <s v="On-time"/>
    <n v="4.1000000000000002E-2"/>
    <n v="791.351"/>
    <n v="23.1"/>
    <n v="24943.943871000003"/>
    <n v="18280.2081"/>
    <n v="6663.7357710000033"/>
  </r>
  <r>
    <s v="ORD-2025-323492"/>
    <d v="2025-04-27T00:00:00"/>
    <d v="2025-05-27T00:00:00"/>
    <x v="3"/>
    <x v="4"/>
    <x v="25"/>
    <s v="Enterprise"/>
    <s v="Marketplace"/>
    <s v="H. Kim"/>
    <s v="Phones"/>
    <s v="PHN-3854"/>
    <n v="481.32"/>
    <n v="1135.99"/>
    <n v="1135.99"/>
    <s v="Middle"/>
    <n v="0.14499999999999999"/>
    <n v="0.14499999999999999"/>
    <n v="5"/>
    <s v="OK"/>
    <d v="2025-05-27T00:00:00"/>
    <n v="30"/>
    <n v="4856.35725"/>
    <n v="2406.6"/>
    <n v="2449.7572500000001"/>
    <n v="0.50444337677175621"/>
    <s v="Q2-2025"/>
    <s v="Phones"/>
    <s v="Phones"/>
    <x v="1"/>
    <s v="Late"/>
    <n v="0.14499999999999999"/>
    <n v="529.452"/>
    <n v="5.5"/>
    <n v="5341.9929749999992"/>
    <n v="2911.9859999999999"/>
    <n v="2430.0069749999993"/>
  </r>
  <r>
    <s v="ORD-2025-526650"/>
    <d v="2025-04-27T00:00:00"/>
    <d v="2025-05-25T00:00:00"/>
    <x v="2"/>
    <x v="10"/>
    <x v="29"/>
    <s v="Small Business"/>
    <s v="Marketplace"/>
    <s v="I. Johnson"/>
    <s v="Phones"/>
    <s v="PHN-8350"/>
    <n v="603.45000000000005"/>
    <n v="1244.08"/>
    <n v="1244.08"/>
    <s v="Middle"/>
    <n v="0.2"/>
    <n v="0.2"/>
    <n v="11"/>
    <s v="OK"/>
    <d v="2025-05-25T00:00:00"/>
    <n v="28"/>
    <n v="10947.904"/>
    <n v="6637.9500000000007"/>
    <n v="4309.9539999999997"/>
    <n v="0.39367846119220623"/>
    <s v="Q2-2025"/>
    <s v="Phones"/>
    <s v="Phones"/>
    <x v="1"/>
    <s v="Late"/>
    <n v="0.2"/>
    <n v="663.79500000000007"/>
    <n v="12.100000000000001"/>
    <n v="12042.6944"/>
    <n v="8031.9195000000018"/>
    <n v="4010.7748999999985"/>
  </r>
  <r>
    <s v="ORD-2025-626047"/>
    <d v="2025-04-28T00:00:00"/>
    <d v="2025-05-15T00:00:00"/>
    <x v="3"/>
    <x v="5"/>
    <x v="7"/>
    <s v="Education"/>
    <s v="Direct"/>
    <s v="N. Brown"/>
    <s v="Networking"/>
    <s v="NET-1966"/>
    <n v="691.19"/>
    <n v="1284.3"/>
    <n v="1284.3"/>
    <s v="Middle"/>
    <n v="7.3999999999999996E-2"/>
    <n v="7.3999999999999996E-2"/>
    <n v="7"/>
    <s v="OK"/>
    <d v="2025-05-15T00:00:00"/>
    <n v="17"/>
    <n v="8324.8326000000015"/>
    <n v="4838.33"/>
    <n v="3486.5026000000016"/>
    <n v="0.41880753253825198"/>
    <s v="Q2-2025"/>
    <s v="Networking"/>
    <s v="Networking"/>
    <x v="1"/>
    <s v="Late"/>
    <n v="7.3999999999999996E-2"/>
    <n v="760.30900000000008"/>
    <n v="7.7000000000000011"/>
    <n v="9157.3158600000006"/>
    <n v="5854.3793000000014"/>
    <n v="3302.9365599999992"/>
  </r>
  <r>
    <s v="ORD-2025-608069"/>
    <d v="2025-04-12T00:00:00"/>
    <d v="2025-04-30T00:00:00"/>
    <x v="1"/>
    <x v="1"/>
    <x v="16"/>
    <s v="Corporate"/>
    <s v="Marketplace"/>
    <s v="F. Müller"/>
    <s v="Networking"/>
    <s v="NET-3432"/>
    <n v="1119.04"/>
    <n v="1299.02"/>
    <n v="1299.02"/>
    <s v="Middle"/>
    <n v="2.5000000000000001E-2"/>
    <n v="2.5000000000000001E-2"/>
    <n v="14"/>
    <s v="OK"/>
    <d v="2025-04-30T00:00:00"/>
    <n v="18"/>
    <n v="17731.623"/>
    <n v="15666.56"/>
    <n v="2065.0630000000001"/>
    <n v="0.11646215352085933"/>
    <s v="Q2-2025"/>
    <s v="Networking"/>
    <s v="Networking"/>
    <x v="1"/>
    <s v="Late"/>
    <n v="2.5000000000000001E-2"/>
    <n v="1230.944"/>
    <n v="15.400000000000002"/>
    <n v="19504.785300000003"/>
    <n v="18956.537600000003"/>
    <n v="548.2476999999999"/>
  </r>
  <r>
    <s v="ORD-2025-474368"/>
    <d v="2025-04-27T00:00:00"/>
    <d v="2025-05-17T00:00:00"/>
    <x v="0"/>
    <x v="9"/>
    <x v="13"/>
    <s v="Corporate"/>
    <s v="Direct"/>
    <s v="N. Brown"/>
    <s v="Phones"/>
    <s v="PHN-8776"/>
    <n v="932.26"/>
    <n v="1624.67"/>
    <n v="1624.67"/>
    <s v="High"/>
    <n v="0.23499999999999999"/>
    <n v="0.23499999999999999"/>
    <n v="28"/>
    <s v="OK"/>
    <d v="2025-05-17T00:00:00"/>
    <n v="20"/>
    <n v="34800.431400000001"/>
    <n v="26103.279999999999"/>
    <n v="8697.1514000000025"/>
    <n v="0.24991504559337163"/>
    <s v="Q2-2025"/>
    <s v="Phones"/>
    <s v="Phones"/>
    <x v="0"/>
    <s v="Late"/>
    <n v="0.2"/>
    <n v="1025.4860000000001"/>
    <n v="30.800000000000004"/>
    <n v="40031.868800000011"/>
    <n v="31584.968800000006"/>
    <n v="8446.9000000000051"/>
  </r>
  <r>
    <s v="ORD-2025-548982"/>
    <d v="2025-04-07T00:00:00"/>
    <d v="2025-04-11T00:00:00"/>
    <x v="2"/>
    <x v="10"/>
    <x v="24"/>
    <s v="Education"/>
    <s v="Retail"/>
    <s v="E. Garcia"/>
    <s v="Networking"/>
    <s v="NET-9716"/>
    <n v="754.77"/>
    <n v="1666.18"/>
    <n v="1666.18"/>
    <s v="High"/>
    <n v="0.13900000000000001"/>
    <m/>
    <n v="14"/>
    <s v="OK"/>
    <d v="2025-04-11T00:00:00"/>
    <n v="4"/>
    <n v="23326.52"/>
    <n v="10566.779999999999"/>
    <n v="12759.740000000002"/>
    <n v="0.5470057256718962"/>
    <s v="Q2-2025"/>
    <s v="Networking"/>
    <s v="Networking"/>
    <x v="1"/>
    <s v="On-time"/>
    <n v="0.2"/>
    <n v="830.24700000000007"/>
    <n v="15.400000000000002"/>
    <n v="20527.337600000006"/>
    <n v="12785.803800000003"/>
    <n v="7741.5338000000029"/>
  </r>
  <r>
    <s v="ORD-2025-440093"/>
    <d v="2025-04-16T00:00:00"/>
    <d v="2025-04-26T00:00:00"/>
    <x v="1"/>
    <x v="8"/>
    <x v="27"/>
    <s v="Enterprise"/>
    <s v="Marketplace"/>
    <s v="F. Müller"/>
    <s v="Laptops"/>
    <s v="LAP-3490"/>
    <n v="1457.44"/>
    <n v="1996.81"/>
    <n v="1996.81"/>
    <s v="High"/>
    <n v="0.126"/>
    <n v="0.126"/>
    <n v="23"/>
    <s v="OK"/>
    <d v="2025-04-26T00:00:00"/>
    <n v="10"/>
    <n v="40139.874619999995"/>
    <n v="33521.120000000003"/>
    <n v="6618.7546199999924"/>
    <n v="0.16489225944672353"/>
    <s v="Q2-2025"/>
    <s v="Laptops"/>
    <s v="Laptops"/>
    <x v="1"/>
    <s v="Late"/>
    <n v="0.126"/>
    <n v="1603.1840000000002"/>
    <n v="25.3"/>
    <n v="44153.862082"/>
    <n v="40560.555200000003"/>
    <n v="3593.3068819999971"/>
  </r>
  <r>
    <s v="ORD-2025-845715"/>
    <d v="2025-04-14T00:00:00"/>
    <d v="2025-05-04T00:00:00"/>
    <x v="2"/>
    <x v="2"/>
    <x v="37"/>
    <s v="Enterprise"/>
    <s v="Marketplace"/>
    <s v="K. Singh"/>
    <s v="Monitors"/>
    <s v="MON-6962"/>
    <n v="1413.87"/>
    <n v="3275"/>
    <n v="3275"/>
    <s v="High"/>
    <n v="0.255"/>
    <n v="0.255"/>
    <n v="38"/>
    <s v="OK"/>
    <d v="2025-05-04T00:00:00"/>
    <n v="20"/>
    <n v="92715.25"/>
    <n v="53727.06"/>
    <n v="38988.19"/>
    <n v="0.42051539525590453"/>
    <s v="Q2-2025"/>
    <s v="Monitors"/>
    <s v="Monitors"/>
    <x v="0"/>
    <s v="Late"/>
    <n v="0.2"/>
    <n v="1555.2570000000001"/>
    <n v="41.800000000000004"/>
    <n v="109516"/>
    <n v="65009.742600000012"/>
    <n v="44506.257399999988"/>
  </r>
  <r>
    <s v="ORD-2024-247032"/>
    <d v="2024-04-21T00:00:00"/>
    <d v="2024-05-19T00:00:00"/>
    <x v="1"/>
    <x v="8"/>
    <x v="12"/>
    <s v="Corporate"/>
    <s v="Distributor"/>
    <s v="A. Patel"/>
    <s v="Accessories"/>
    <s v="ACC-2990"/>
    <n v="187.22"/>
    <n v="309.47000000000003"/>
    <n v="309.47000000000003"/>
    <s v="Low"/>
    <n v="0"/>
    <n v="0"/>
    <n v="5"/>
    <s v="OK"/>
    <d v="2024-05-19T00:00:00"/>
    <n v="28"/>
    <n v="1547.3500000000001"/>
    <n v="936.1"/>
    <n v="611.25000000000011"/>
    <n v="0.39503021294471197"/>
    <s v="Q2-2024"/>
    <s v="Accessories"/>
    <s v="Accessories"/>
    <x v="1"/>
    <s v="Late"/>
    <n v="0"/>
    <n v="205.94200000000001"/>
    <n v="5.5"/>
    <n v="1702.085"/>
    <n v="1132.681"/>
    <n v="569.404"/>
  </r>
  <r>
    <s v="ORD-2024-364080"/>
    <d v="2024-04-16T00:00:00"/>
    <d v="2024-04-27T00:00:00"/>
    <x v="1"/>
    <x v="1"/>
    <x v="22"/>
    <s v="Enterprise"/>
    <s v="Online"/>
    <s v="D. Smith"/>
    <s v="Printers"/>
    <s v="PRN-2641"/>
    <n v="401.3"/>
    <n v="826.47"/>
    <n v="826.47"/>
    <s v="Low"/>
    <n v="0.22500000000000001"/>
    <n v="0.22500000000000001"/>
    <n v="13"/>
    <s v="OK"/>
    <d v="2024-04-27T00:00:00"/>
    <n v="11"/>
    <n v="8326.6852500000005"/>
    <n v="5216.9000000000005"/>
    <n v="3109.7852499999999"/>
    <n v="0.37347217489696755"/>
    <s v="Q2-2024"/>
    <s v="Printers"/>
    <s v="Printers"/>
    <x v="0"/>
    <s v="Late"/>
    <n v="0.2"/>
    <n v="441.43000000000006"/>
    <n v="14.3"/>
    <n v="9454.8168000000005"/>
    <n v="6312.4490000000014"/>
    <n v="3142.3677999999991"/>
  </r>
  <r>
    <s v="ORD-2024-567435"/>
    <d v="2024-04-26T00:00:00"/>
    <d v="2024-04-24T00:00:00"/>
    <x v="2"/>
    <x v="2"/>
    <x v="3"/>
    <s v="Non-Profit"/>
    <s v="Distributor"/>
    <s v="N. Brown"/>
    <s v="Phones"/>
    <s v="PHN-9107"/>
    <n v="1232.77"/>
    <n v="891.73"/>
    <n v="891.73"/>
    <s v="Middle"/>
    <n v="0.16700000000000001"/>
    <n v="0.16700000000000001"/>
    <n v="10"/>
    <s v="Correct"/>
    <d v="2024-05-03T00:00:00"/>
    <n v="7"/>
    <n v="7428.1108999999988"/>
    <n v="12327.7"/>
    <n v="-4899.589100000002"/>
    <n v="-0.65960096260813805"/>
    <s v="Q2-2024"/>
    <s v="Phones"/>
    <s v="Phones"/>
    <x v="1"/>
    <s v="On-time"/>
    <n v="0.16700000000000001"/>
    <n v="1356.047"/>
    <n v="11"/>
    <n v="8170.9219899999998"/>
    <n v="14916.517"/>
    <n v="-6745.59501"/>
  </r>
  <r>
    <s v="ORD-2024-211453"/>
    <d v="2024-04-04T00:00:00"/>
    <d v="2024-04-24T00:00:00"/>
    <x v="2"/>
    <x v="11"/>
    <x v="34"/>
    <s v="Non-Profit"/>
    <s v="Direct"/>
    <s v="O. Wang"/>
    <s v="Accessories"/>
    <s v="ACC-6543"/>
    <n v="683.42"/>
    <n v="951.51"/>
    <n v="951.51"/>
    <s v="Middle"/>
    <n v="0"/>
    <n v="0"/>
    <n v="14"/>
    <s v="OK"/>
    <d v="2024-04-24T00:00:00"/>
    <n v="20"/>
    <n v="13321.14"/>
    <n v="9567.8799999999992"/>
    <n v="3753.26"/>
    <n v="0.28175216235247136"/>
    <s v="Q2-2024"/>
    <s v="Accessories"/>
    <s v="Accessories"/>
    <x v="1"/>
    <s v="Late"/>
    <n v="0"/>
    <n v="751.76200000000006"/>
    <n v="15.400000000000002"/>
    <n v="14653.254000000003"/>
    <n v="11577.134800000002"/>
    <n v="3076.119200000001"/>
  </r>
  <r>
    <s v="ORD-2024-310809"/>
    <d v="2024-04-05T00:00:00"/>
    <d v="2024-04-09T00:00:00"/>
    <x v="1"/>
    <x v="8"/>
    <x v="12"/>
    <s v="Non-Profit"/>
    <s v="Direct"/>
    <s v="K. Singh"/>
    <s v="Components"/>
    <s v="CMP-6529"/>
    <n v="395.07"/>
    <n v="970.27"/>
    <n v="970.27"/>
    <s v="Middle"/>
    <n v="0.123"/>
    <n v="0.123"/>
    <n v="38"/>
    <s v="OK"/>
    <d v="2024-04-09T00:00:00"/>
    <n v="4"/>
    <n v="32335.21802"/>
    <n v="15012.66"/>
    <n v="17322.55802"/>
    <n v="0.53571799049833657"/>
    <s v="Q2-2024"/>
    <s v="Components"/>
    <s v="Components"/>
    <x v="1"/>
    <s v="On-time"/>
    <n v="0.123"/>
    <n v="434.57700000000006"/>
    <n v="41.800000000000004"/>
    <n v="35568.739822000003"/>
    <n v="18165.318600000006"/>
    <n v="17403.421221999997"/>
  </r>
  <r>
    <s v="ORD-2024-833375"/>
    <d v="2024-04-24T00:00:00"/>
    <d v="2024-05-10T00:00:00"/>
    <x v="1"/>
    <x v="1"/>
    <x v="16"/>
    <s v="Non-Profit"/>
    <s v="Online"/>
    <s v="N. Brown"/>
    <s v="Monitors"/>
    <s v="MON-6190"/>
    <n v="513.30999999999995"/>
    <n v="1186.26"/>
    <n v="1186.26"/>
    <s v="Middle"/>
    <n v="9.4E-2"/>
    <n v="9.4E-2"/>
    <n v="15"/>
    <s v="OK"/>
    <d v="2024-05-10T00:00:00"/>
    <n v="16"/>
    <n v="16121.273400000002"/>
    <n v="7699.65"/>
    <n v="8421.6234000000022"/>
    <n v="0.52239194702820446"/>
    <s v="Q2-2024"/>
    <s v="Monitors"/>
    <s v="Monitors"/>
    <x v="1"/>
    <s v="Late"/>
    <n v="9.4E-2"/>
    <n v="564.64099999999996"/>
    <n v="16.5"/>
    <n v="17733.400740000001"/>
    <n v="9316.5764999999992"/>
    <n v="8416.8242400000017"/>
  </r>
  <r>
    <s v="ORD-2024-629525"/>
    <d v="2024-04-18T00:00:00"/>
    <d v="2024-05-08T00:00:00"/>
    <x v="2"/>
    <x v="2"/>
    <x v="3"/>
    <s v="Non-Profit"/>
    <s v="Unspecified"/>
    <s v="D. Smith"/>
    <s v="Laptops"/>
    <s v="LAP-9932"/>
    <n v="645.33000000000004"/>
    <n v="1321.85"/>
    <n v="1321.85"/>
    <s v="Middle"/>
    <n v="0"/>
    <n v="0"/>
    <n v="10"/>
    <s v="OK"/>
    <d v="2024-05-08T00:00:00"/>
    <n v="20"/>
    <n v="13218.5"/>
    <n v="6453.3"/>
    <n v="6765.2"/>
    <n v="0.51179785906116426"/>
    <s v="Q2-2024"/>
    <s v="Laptops"/>
    <s v="Laptops"/>
    <x v="1"/>
    <s v="Late"/>
    <n v="0"/>
    <n v="709.86300000000006"/>
    <n v="11"/>
    <n v="14540.349999999999"/>
    <n v="7808.4930000000004"/>
    <n v="6731.8569999999982"/>
  </r>
  <r>
    <s v="ORD-2024-219735"/>
    <d v="2024-04-03T00:00:00"/>
    <d v="2024-04-07T00:00:00"/>
    <x v="0"/>
    <x v="0"/>
    <x v="1"/>
    <s v="Non-Profit"/>
    <s v="Direct"/>
    <s v="N. Brown"/>
    <s v="Phones"/>
    <s v="PHN-5445"/>
    <n v="1023.27"/>
    <n v="1343.64"/>
    <n v="1343.64"/>
    <s v="Middle"/>
    <n v="0.13300000000000001"/>
    <n v="0.13300000000000001"/>
    <n v="7"/>
    <s v="OK"/>
    <d v="2024-04-07T00:00:00"/>
    <n v="4"/>
    <n v="8154.5511600000009"/>
    <n v="7162.8899999999994"/>
    <n v="991.66116000000147"/>
    <n v="0.12160830688810116"/>
    <s v="Q2-2024"/>
    <s v="Phones"/>
    <s v="Phones"/>
    <x v="1"/>
    <s v="On-time"/>
    <n v="0.13300000000000001"/>
    <n v="1125.597"/>
    <n v="7.7000000000000011"/>
    <n v="8970.0062760000019"/>
    <n v="8667.0969000000005"/>
    <n v="302.90937600000143"/>
  </r>
  <r>
    <s v="ORD-2024-599522"/>
    <d v="2024-04-19T00:00:00"/>
    <d v="2024-05-06T00:00:00"/>
    <x v="1"/>
    <x v="8"/>
    <x v="27"/>
    <s v="Non-Profit"/>
    <s v="Online"/>
    <s v="A. Patel"/>
    <s v="Printers"/>
    <s v="PRN-7303"/>
    <n v="865.33"/>
    <n v="1395.64"/>
    <n v="1395.64"/>
    <s v="Middle"/>
    <n v="0.17499999999999999"/>
    <n v="0.17499999999999999"/>
    <n v="13"/>
    <s v="OK"/>
    <d v="2024-05-06T00:00:00"/>
    <n v="17"/>
    <n v="14968.239"/>
    <n v="11249.29"/>
    <n v="3718.9489999999987"/>
    <n v="0.24845601409758347"/>
    <s v="Q2-2024"/>
    <s v="Printers"/>
    <s v="Printers"/>
    <x v="1"/>
    <s v="Late"/>
    <n v="0.17499999999999999"/>
    <n v="951.86300000000017"/>
    <n v="14.3"/>
    <n v="16465.062900000001"/>
    <n v="13611.640900000004"/>
    <n v="2853.4219999999968"/>
  </r>
  <r>
    <s v="ORD-2024-939873"/>
    <d v="2024-04-12T00:00:00"/>
    <d v="2024-05-07T00:00:00"/>
    <x v="1"/>
    <x v="6"/>
    <x v="38"/>
    <s v="Education"/>
    <s v="Distributor"/>
    <s v="A. Patel"/>
    <s v="Laptops"/>
    <s v="LAP-8489"/>
    <n v="1376.51"/>
    <n v="1455.91"/>
    <n v="1455.91"/>
    <s v="High"/>
    <n v="0.185"/>
    <n v="0.185"/>
    <n v="17"/>
    <s v="OK"/>
    <d v="2024-05-07T00:00:00"/>
    <n v="25"/>
    <n v="20171.63305"/>
    <n v="23400.67"/>
    <n v="-3229.0369499999979"/>
    <n v="-0.1600781127634085"/>
    <s v="Q2-2024"/>
    <s v="Laptops"/>
    <s v="Laptops"/>
    <x v="1"/>
    <s v="Late"/>
    <n v="0.185"/>
    <n v="1514.1610000000001"/>
    <n v="18.700000000000003"/>
    <n v="22188.796355000006"/>
    <n v="28314.810700000005"/>
    <n v="-6126.0143449999996"/>
  </r>
  <r>
    <s v="ORD-2024-855600"/>
    <d v="2024-04-29T00:00:00"/>
    <d v="2024-05-19T00:00:00"/>
    <x v="2"/>
    <x v="11"/>
    <x v="34"/>
    <s v="Enterprise"/>
    <s v="Marketplace"/>
    <s v="C. Otieno"/>
    <s v="Laptops"/>
    <s v="LAP-5009"/>
    <n v="668.97"/>
    <n v="1667.44"/>
    <n v="1667.44"/>
    <s v="High"/>
    <n v="3.4000000000000002E-2"/>
    <n v="3.4000000000000002E-2"/>
    <n v="15"/>
    <s v="OK"/>
    <d v="2024-05-19T00:00:00"/>
    <n v="20"/>
    <n v="24161.205600000001"/>
    <n v="10034.550000000001"/>
    <n v="14126.6556"/>
    <n v="0.58468339013679016"/>
    <s v="Q2-2024"/>
    <s v="Laptops"/>
    <s v="Laptops"/>
    <x v="1"/>
    <s v="Late"/>
    <n v="3.4000000000000002E-2"/>
    <n v="735.86700000000008"/>
    <n v="16.5"/>
    <n v="26577.326160000001"/>
    <n v="12141.8055"/>
    <n v="14435.52066"/>
  </r>
  <r>
    <s v="ORD-2024-594592"/>
    <d v="2024-04-06T00:00:00"/>
    <d v="2024-04-25T00:00:00"/>
    <x v="3"/>
    <x v="7"/>
    <x v="20"/>
    <s v="Corporate"/>
    <s v="Retail"/>
    <s v="K. Singh"/>
    <s v="Components"/>
    <s v="CMP-8196"/>
    <n v="1366.48"/>
    <n v="1678.14"/>
    <n v="1678.14"/>
    <s v="High"/>
    <n v="0.154"/>
    <n v="0.154"/>
    <n v="10"/>
    <s v="OK"/>
    <d v="2024-04-25T00:00:00"/>
    <n v="19"/>
    <n v="14197.064400000001"/>
    <n v="13664.8"/>
    <n v="532.26440000000184"/>
    <n v="3.7491159087790132E-2"/>
    <s v="Q2-2024"/>
    <s v="Components"/>
    <s v="Components"/>
    <x v="1"/>
    <s v="Late"/>
    <n v="0.154"/>
    <n v="1503.1280000000002"/>
    <n v="11"/>
    <n v="15616.770840000001"/>
    <n v="16534.408000000003"/>
    <n v="-917.63716000000204"/>
  </r>
  <r>
    <s v="ORD-2024-510591"/>
    <d v="2024-04-03T00:00:00"/>
    <d v="2024-04-21T00:00:00"/>
    <x v="0"/>
    <x v="0"/>
    <x v="1"/>
    <s v="Small Business"/>
    <s v="Distributor"/>
    <s v="B. Chen"/>
    <s v="Networking"/>
    <s v="NET-3850"/>
    <n v="1176.69"/>
    <n v="2201.54"/>
    <n v="2201.54"/>
    <s v="High"/>
    <n v="0.17"/>
    <n v="0.17"/>
    <n v="27"/>
    <s v="OK"/>
    <d v="2024-04-21T00:00:00"/>
    <n v="18"/>
    <n v="49336.511399999996"/>
    <n v="31770.63"/>
    <n v="17565.881399999995"/>
    <n v="0.35604222717701106"/>
    <s v="Q2-2024"/>
    <s v="Networking"/>
    <s v="Networking"/>
    <x v="1"/>
    <s v="Late"/>
    <n v="0.17"/>
    <n v="1294.3590000000002"/>
    <n v="29.700000000000003"/>
    <n v="54270.162540000005"/>
    <n v="38442.462300000007"/>
    <n v="15827.700239999998"/>
  </r>
  <r>
    <s v="ORD-2024-332076"/>
    <d v="2024-04-09T00:00:00"/>
    <d v="2024-04-18T00:00:00"/>
    <x v="2"/>
    <x v="10"/>
    <x v="24"/>
    <s v="Consumer"/>
    <s v="Online"/>
    <s v="E. Garcia"/>
    <s v="Printers"/>
    <s v="PRN-1086"/>
    <n v="1288.8499999999999"/>
    <n v="2751.84"/>
    <n v="2751.84"/>
    <s v="High"/>
    <n v="0.158"/>
    <n v="0.158"/>
    <n v="7"/>
    <s v="OK"/>
    <d v="2024-04-18T00:00:00"/>
    <n v="9"/>
    <n v="16219.34496"/>
    <n v="9021.9499999999989"/>
    <n v="7197.3949600000014"/>
    <n v="0.44375373837538756"/>
    <s v="Q2-2024"/>
    <s v="Printers"/>
    <s v="Printers"/>
    <x v="1"/>
    <s v="Late"/>
    <n v="0.158"/>
    <n v="1417.7350000000001"/>
    <n v="7.7000000000000011"/>
    <n v="17841.279456000004"/>
    <n v="10916.559500000003"/>
    <n v="6924.7199560000008"/>
  </r>
  <r>
    <s v="ORD-2023-766015"/>
    <d v="2023-04-13T00:00:00"/>
    <d v="2023-04-11T00:00:00"/>
    <x v="0"/>
    <x v="9"/>
    <x v="32"/>
    <s v="Education"/>
    <s v="Marketplace"/>
    <s v="G. Dubois"/>
    <s v="Networking"/>
    <s v="NET-1816"/>
    <n v="32.1"/>
    <n v="70.599999999999994"/>
    <n v="70.599999999999994"/>
    <s v="Low"/>
    <n v="0.28199999999999997"/>
    <n v="0.28199999999999997"/>
    <n v="22"/>
    <s v="Correct"/>
    <d v="2023-04-20T00:00:00"/>
    <n v="7"/>
    <n v="1115.1975999999997"/>
    <n v="706.2"/>
    <n v="408.99759999999969"/>
    <n v="0.36674899587301818"/>
    <s v="Q2-2023"/>
    <s v="Networking"/>
    <s v="Networking"/>
    <x v="0"/>
    <s v="On-time"/>
    <n v="0.2"/>
    <n v="35.31"/>
    <n v="24.200000000000003"/>
    <n v="1366.816"/>
    <n v="854.50200000000018"/>
    <n v="512.31399999999985"/>
  </r>
  <r>
    <s v="ORD-2023-340056"/>
    <d v="2023-04-26T00:00:00"/>
    <d v="2023-04-26T00:00:00"/>
    <x v="2"/>
    <x v="10"/>
    <x v="33"/>
    <s v="Consumer"/>
    <s v="Direct"/>
    <s v="M. Rossi"/>
    <s v="Components"/>
    <s v="CMP-4945"/>
    <n v="81.489999999999995"/>
    <n v="113.08"/>
    <n v="113.08"/>
    <s v="Low"/>
    <n v="0.121"/>
    <n v="0.121"/>
    <n v="5"/>
    <s v="OK"/>
    <d v="2023-04-26T00:00:00"/>
    <n v="0"/>
    <n v="496.98660000000001"/>
    <n v="407.45"/>
    <n v="89.536600000000021"/>
    <n v="0.18015898215364362"/>
    <s v="Q2-2023"/>
    <s v="Components"/>
    <s v="Components"/>
    <x v="1"/>
    <s v="On-time"/>
    <n v="0.121"/>
    <n v="89.638999999999996"/>
    <n v="5.5"/>
    <n v="546.68525999999997"/>
    <n v="493.0145"/>
    <n v="53.670759999999973"/>
  </r>
  <r>
    <s v="ORD-2023-157993"/>
    <d v="2023-04-18T00:00:00"/>
    <d v="2023-05-18T00:00:00"/>
    <x v="3"/>
    <x v="7"/>
    <x v="14"/>
    <s v="Non-Profit"/>
    <s v="Retail"/>
    <s v="H. Kim"/>
    <s v="Laptops"/>
    <s v="LAP-1482"/>
    <n v="329.03"/>
    <n v="391.15"/>
    <n v="391.15"/>
    <s v="Low"/>
    <n v="0.19700000000000001"/>
    <n v="0.19700000000000001"/>
    <n v="46"/>
    <s v="OK"/>
    <d v="2023-05-18T00:00:00"/>
    <n v="30"/>
    <n v="14448.298699999998"/>
    <n v="15135.38"/>
    <n v="-687.08130000000165"/>
    <n v="-4.7554477815440081E-2"/>
    <s v="Q2-2023"/>
    <s v="Laptops"/>
    <s v="Laptops"/>
    <x v="1"/>
    <s v="Late"/>
    <n v="0.19700000000000001"/>
    <n v="361.93299999999999"/>
    <n v="50.6"/>
    <n v="15893.128569999997"/>
    <n v="18313.809799999999"/>
    <n v="-2420.681230000002"/>
  </r>
  <r>
    <s v="ORD-2023-867166"/>
    <d v="2023-04-13T00:00:00"/>
    <d v="2023-04-20T00:00:00"/>
    <x v="2"/>
    <x v="10"/>
    <x v="24"/>
    <s v="Small Business"/>
    <s v="Online"/>
    <s v="A. Patel"/>
    <s v="Laptops"/>
    <s v="LAP-3565"/>
    <n v="227.02"/>
    <n v="434.72"/>
    <n v="434.72"/>
    <s v="Low"/>
    <n v="9.8000000000000004E-2"/>
    <n v="9.8000000000000004E-2"/>
    <n v="10"/>
    <s v="OK"/>
    <d v="2023-04-20T00:00:00"/>
    <n v="7"/>
    <n v="3921.1744000000008"/>
    <n v="2270.2000000000003"/>
    <n v="1650.9744000000005"/>
    <n v="0.42104079838938052"/>
    <s v="Q2-2023"/>
    <s v="Laptops"/>
    <s v="Laptops"/>
    <x v="1"/>
    <s v="On-time"/>
    <n v="9.8000000000000004E-2"/>
    <n v="249.72200000000004"/>
    <n v="11"/>
    <n v="4313.2918399999999"/>
    <n v="2746.9420000000005"/>
    <n v="1566.3498399999994"/>
  </r>
  <r>
    <s v="ORD-2023-897079"/>
    <d v="2023-04-14T00:00:00"/>
    <d v="2023-05-14T00:00:00"/>
    <x v="1"/>
    <x v="1"/>
    <x v="22"/>
    <s v="Consumer"/>
    <s v="Marketplace"/>
    <s v="M. Rossi"/>
    <s v="Phones"/>
    <s v="PHN-1784"/>
    <n v="209.25"/>
    <n v="434.8"/>
    <n v="434.8"/>
    <s v="Low"/>
    <n v="0"/>
    <n v="0"/>
    <n v="9"/>
    <s v="OK"/>
    <d v="2023-05-14T00:00:00"/>
    <n v="30"/>
    <n v="3913.2000000000003"/>
    <n v="1883.25"/>
    <n v="2029.9500000000003"/>
    <n v="0.51874425022999082"/>
    <s v="Q2-2023"/>
    <s v="Phones"/>
    <s v="Phones"/>
    <x v="1"/>
    <s v="Late"/>
    <n v="0"/>
    <n v="230.17500000000001"/>
    <n v="9.9"/>
    <n v="4304.5200000000004"/>
    <n v="2278.7325000000001"/>
    <n v="2025.7875000000004"/>
  </r>
  <r>
    <s v="ORD-2023-987700"/>
    <d v="2023-04-05T00:00:00"/>
    <d v="2023-04-16T00:00:00"/>
    <x v="0"/>
    <x v="3"/>
    <x v="18"/>
    <s v="Non-Profit"/>
    <s v="Online"/>
    <s v="O. Wang"/>
    <s v="Monitors"/>
    <s v="MON-5259"/>
    <n v="213.1"/>
    <n v="501.31"/>
    <n v="501.31"/>
    <s v="Low"/>
    <n v="5.6000000000000001E-2"/>
    <n v="5.6000000000000001E-2"/>
    <n v="15"/>
    <s v="OK"/>
    <d v="2023-04-16T00:00:00"/>
    <n v="11"/>
    <n v="7098.5495999999994"/>
    <n v="3196.5"/>
    <n v="3902.0495999999994"/>
    <n v="0.54969674368409005"/>
    <s v="Q2-2023"/>
    <s v="Monitors"/>
    <s v="Monitors"/>
    <x v="1"/>
    <s v="Late"/>
    <n v="5.6000000000000001E-2"/>
    <n v="234.41000000000003"/>
    <n v="16.5"/>
    <n v="7808.404559999999"/>
    <n v="3867.7650000000003"/>
    <n v="3940.6395599999987"/>
  </r>
  <r>
    <s v="ORD-2023-727290"/>
    <d v="2023-04-03T00:00:00"/>
    <d v="2023-04-16T00:00:00"/>
    <x v="2"/>
    <x v="10"/>
    <x v="33"/>
    <s v="Non-Profit"/>
    <s v="Marketplace"/>
    <s v="M. Rossi"/>
    <s v="Accessories"/>
    <s v="ACC-4815"/>
    <n v="790.54"/>
    <n v="601.49"/>
    <n v="601.49"/>
    <s v="Low"/>
    <n v="0"/>
    <n v="0"/>
    <n v="15"/>
    <s v="OK"/>
    <d v="2023-04-16T00:00:00"/>
    <n v="13"/>
    <n v="9022.35"/>
    <n v="11858.099999999999"/>
    <n v="-2835.7499999999982"/>
    <n v="-0.31430281467688553"/>
    <s v="Q2-2023"/>
    <s v="Accessories"/>
    <s v="Accessories"/>
    <x v="1"/>
    <s v="Late"/>
    <n v="0"/>
    <n v="869.59400000000005"/>
    <n v="16.5"/>
    <n v="9924.5850000000009"/>
    <n v="14348.301000000001"/>
    <n v="-4423.7160000000003"/>
  </r>
  <r>
    <s v="ORD-2023-609394"/>
    <d v="2023-04-16T00:00:00"/>
    <d v="2023-04-19T00:00:00"/>
    <x v="2"/>
    <x v="11"/>
    <x v="35"/>
    <s v="Corporate"/>
    <s v="Direct"/>
    <s v="B. Chen"/>
    <s v="Accessories"/>
    <s v="ACC-1731"/>
    <n v="553.61"/>
    <n v="699.47"/>
    <n v="699.47"/>
    <s v="Low"/>
    <n v="0.02"/>
    <n v="0.02"/>
    <n v="33"/>
    <s v="OK"/>
    <d v="2023-04-19T00:00:00"/>
    <n v="3"/>
    <n v="22620.859800000002"/>
    <n v="18269.13"/>
    <n v="4351.729800000001"/>
    <n v="0.19237685209472014"/>
    <s v="Q2-2023"/>
    <s v="Accessories"/>
    <s v="Accessories"/>
    <x v="1"/>
    <s v="On-time"/>
    <n v="0.02"/>
    <n v="608.97100000000012"/>
    <n v="36.300000000000004"/>
    <n v="24882.945780000002"/>
    <n v="22105.647300000008"/>
    <n v="2777.298479999994"/>
  </r>
  <r>
    <s v="ORD-2023-256951"/>
    <d v="2023-04-19T00:00:00"/>
    <d v="2023-05-07T00:00:00"/>
    <x v="2"/>
    <x v="2"/>
    <x v="3"/>
    <s v="Non-Profit"/>
    <s v="Direct"/>
    <s v="H. Kim"/>
    <s v="Networking"/>
    <s v="NET-2439"/>
    <n v="516.96"/>
    <n v="745.38"/>
    <n v="745.38"/>
    <s v="Low"/>
    <n v="0.19700000000000001"/>
    <n v="0.19700000000000001"/>
    <n v="4"/>
    <s v="OK"/>
    <d v="2023-05-07T00:00:00"/>
    <n v="18"/>
    <n v="2394.1605599999998"/>
    <n v="2067.84"/>
    <n v="326.32055999999966"/>
    <n v="0.13629852794835101"/>
    <s v="Q2-2023"/>
    <s v="Networking"/>
    <s v="Networking"/>
    <x v="1"/>
    <s v="Late"/>
    <n v="0.19700000000000001"/>
    <n v="568.65600000000006"/>
    <n v="4.4000000000000004"/>
    <n v="2633.5766159999998"/>
    <n v="2502.0864000000006"/>
    <n v="131.49021599999924"/>
  </r>
  <r>
    <s v="ORD-2023-937291"/>
    <d v="2023-04-23T00:00:00"/>
    <d v="2023-04-22T00:00:00"/>
    <x v="1"/>
    <x v="1"/>
    <x v="2"/>
    <s v="Small Business"/>
    <s v="Direct"/>
    <s v="E. Garcia"/>
    <s v="Laptops"/>
    <s v="LAP-1698"/>
    <n v="756.51"/>
    <n v="850.8"/>
    <n v="850.8"/>
    <s v="Low"/>
    <n v="7.3999999999999996E-2"/>
    <n v="7.3999999999999996E-2"/>
    <n v="9"/>
    <s v="Correct"/>
    <d v="2023-04-30T00:00:00"/>
    <n v="7"/>
    <n v="7090.5672000000004"/>
    <n v="6808.59"/>
    <n v="281.97720000000027"/>
    <n v="3.9767932810791252E-2"/>
    <s v="Q2-2023"/>
    <s v="Laptops"/>
    <s v="Laptops"/>
    <x v="1"/>
    <s v="On-time"/>
    <n v="7.3999999999999996E-2"/>
    <n v="832.16100000000006"/>
    <n v="9.9"/>
    <n v="7799.62392"/>
    <n v="8238.3939000000009"/>
    <n v="-438.76998000000094"/>
  </r>
  <r>
    <s v="ORD-2023-747341"/>
    <d v="2023-04-19T00:00:00"/>
    <d v="2023-04-28T00:00:00"/>
    <x v="0"/>
    <x v="0"/>
    <x v="0"/>
    <s v="Corporate"/>
    <s v="Distributor"/>
    <s v="M. Rossi"/>
    <s v="Phones"/>
    <s v="PHN-7132"/>
    <n v="1013.54"/>
    <n v="927.93"/>
    <n v="927.93"/>
    <s v="Low"/>
    <n v="0.17499999999999999"/>
    <n v="0.17499999999999999"/>
    <n v="16"/>
    <s v="OK"/>
    <d v="2023-04-28T00:00:00"/>
    <n v="9"/>
    <n v="12248.675999999999"/>
    <n v="16216.64"/>
    <n v="-3967.9639999999999"/>
    <n v="-0.32395044166406234"/>
    <s v="Q2-2023"/>
    <s v="Phones"/>
    <s v="Phones"/>
    <x v="1"/>
    <s v="Late"/>
    <n v="0.17499999999999999"/>
    <n v="1114.894"/>
    <n v="17.600000000000001"/>
    <n v="13473.543600000001"/>
    <n v="19622.134400000003"/>
    <n v="-6148.5908000000018"/>
  </r>
  <r>
    <s v="ORD-2023-294716"/>
    <d v="2023-04-10T00:00:00"/>
    <d v="2023-04-25T00:00:00"/>
    <x v="2"/>
    <x v="2"/>
    <x v="3"/>
    <s v="Small Business"/>
    <s v="Retail"/>
    <s v="D. Smith"/>
    <s v="Printers"/>
    <s v="PRN-5067"/>
    <n v="405.66"/>
    <n v="962.51"/>
    <n v="962.51"/>
    <s v="Low"/>
    <n v="0.19"/>
    <n v="0.19"/>
    <n v="7"/>
    <s v="OK"/>
    <d v="2023-04-25T00:00:00"/>
    <n v="15"/>
    <n v="5457.4317000000001"/>
    <n v="2839.6200000000003"/>
    <n v="2617.8116999999997"/>
    <n v="0.47967832561239376"/>
    <s v="Q2-2023"/>
    <s v="Printers"/>
    <s v="Printers"/>
    <x v="1"/>
    <s v="Late"/>
    <n v="0.19"/>
    <n v="446.22600000000006"/>
    <n v="7.7000000000000011"/>
    <n v="6003.1748700000016"/>
    <n v="3435.9402000000009"/>
    <n v="2567.2346700000007"/>
  </r>
  <r>
    <s v="ORD-2023-501220"/>
    <d v="2023-04-19T00:00:00"/>
    <d v="2023-05-07T00:00:00"/>
    <x v="2"/>
    <x v="2"/>
    <x v="37"/>
    <s v="Enterprise"/>
    <s v="Retail"/>
    <s v="N. Brown"/>
    <s v="Laptops"/>
    <s v="LAP-9766"/>
    <n v="1089.1500000000001"/>
    <n v="1088.2"/>
    <n v="1088.2"/>
    <s v="Low"/>
    <n v="5.0999999999999997E-2"/>
    <n v="5.0999999999999997E-2"/>
    <n v="15"/>
    <s v="OK"/>
    <d v="2023-05-07T00:00:00"/>
    <n v="18"/>
    <n v="15490.527"/>
    <n v="16337.250000000002"/>
    <n v="-846.72300000000178"/>
    <n v="-5.4660696824582002E-2"/>
    <s v="Q2-2023"/>
    <s v="Laptops"/>
    <s v="Laptops"/>
    <x v="1"/>
    <s v="Late"/>
    <n v="5.0999999999999997E-2"/>
    <n v="1198.0650000000003"/>
    <n v="16.5"/>
    <n v="17039.579699999998"/>
    <n v="19768.072500000006"/>
    <n v="-2728.4928000000073"/>
  </r>
  <r>
    <s v="ORD-2023-752962"/>
    <d v="2023-04-21T00:00:00"/>
    <d v="2023-04-19T00:00:00"/>
    <x v="3"/>
    <x v="5"/>
    <x v="7"/>
    <s v="Small Business"/>
    <s v="Direct"/>
    <s v="M. Rossi"/>
    <s v="Components"/>
    <s v="CMP-8604"/>
    <n v="607.04"/>
    <n v="1229.3399999999999"/>
    <n v="1229.3399999999999"/>
    <s v="Low"/>
    <n v="0.14699999999999999"/>
    <n v="0.14699999999999999"/>
    <n v="7"/>
    <s v="Correct"/>
    <d v="2023-04-28T00:00:00"/>
    <n v="7"/>
    <n v="7340.3891399999993"/>
    <n v="4249.28"/>
    <n v="3091.1091399999996"/>
    <n v="0.42110970972310058"/>
    <s v="Q2-2023"/>
    <s v="Components"/>
    <s v="Components"/>
    <x v="1"/>
    <s v="On-time"/>
    <n v="0.14699999999999999"/>
    <n v="667.74400000000003"/>
    <n v="7.7000000000000011"/>
    <n v="8074.4280540000009"/>
    <n v="5141.6288000000013"/>
    <n v="2932.7992539999996"/>
  </r>
  <r>
    <s v="ORD-2023-308124"/>
    <d v="2023-04-19T00:00:00"/>
    <d v="2023-04-30T00:00:00"/>
    <x v="3"/>
    <x v="4"/>
    <x v="6"/>
    <s v="Small Business"/>
    <s v="Retail"/>
    <s v="A. Patel"/>
    <s v="Networking"/>
    <s v="NET-2062"/>
    <n v="826.55"/>
    <n v="1397.05"/>
    <n v="1397.05"/>
    <s v="Low"/>
    <n v="0.16900000000000001"/>
    <n v="0.16900000000000001"/>
    <n v="28"/>
    <s v="OK"/>
    <d v="2023-04-30T00:00:00"/>
    <n v="11"/>
    <n v="32506.559399999998"/>
    <n v="23143.399999999998"/>
    <n v="9363.1594000000005"/>
    <n v="0.28803907804527601"/>
    <s v="Q2-2023"/>
    <s v="Networking"/>
    <s v="Networking"/>
    <x v="1"/>
    <s v="Late"/>
    <n v="0.16900000000000001"/>
    <n v="909.20500000000004"/>
    <n v="30.800000000000004"/>
    <n v="35757.215340000002"/>
    <n v="28003.514000000006"/>
    <n v="7753.701339999996"/>
  </r>
  <r>
    <s v="ORD-2023-107265"/>
    <d v="2023-04-22T00:00:00"/>
    <d v="2023-05-14T00:00:00"/>
    <x v="3"/>
    <x v="5"/>
    <x v="7"/>
    <s v="Enterprise"/>
    <s v="Retail"/>
    <s v="A. Patel"/>
    <s v="Accessories"/>
    <s v="ACC-7713"/>
    <n v="1209.22"/>
    <n v="1404.33"/>
    <n v="1404.33"/>
    <s v="Low"/>
    <n v="0.10299999999999999"/>
    <n v="0.10299999999999999"/>
    <n v="11"/>
    <s v="OK"/>
    <d v="2023-05-14T00:00:00"/>
    <n v="22"/>
    <n v="13856.52411"/>
    <n v="13301.42"/>
    <n v="555.10411000000022"/>
    <n v="4.0060848275751328E-2"/>
    <s v="Q2-2023"/>
    <s v="Accessories"/>
    <s v="Accessories"/>
    <x v="1"/>
    <s v="Late"/>
    <n v="0.10299999999999999"/>
    <n v="1330.1420000000001"/>
    <n v="12.100000000000001"/>
    <n v="15242.176521000001"/>
    <n v="16094.718200000003"/>
    <n v="-852.54167900000175"/>
  </r>
  <r>
    <s v="ORD-2023-664790"/>
    <d v="2023-04-16T00:00:00"/>
    <d v="2023-04-23T00:00:00"/>
    <x v="0"/>
    <x v="9"/>
    <x v="13"/>
    <s v="Corporate"/>
    <s v="Distributor"/>
    <s v="O. Wang"/>
    <s v="Printers"/>
    <s v="PRN-9249"/>
    <n v="1099.1500000000001"/>
    <n v="1431.37"/>
    <n v="1431.37"/>
    <s v="Low"/>
    <n v="0.104"/>
    <n v="0.104"/>
    <n v="8"/>
    <s v="OK"/>
    <d v="2023-04-23T00:00:00"/>
    <n v="7"/>
    <n v="10260.060159999999"/>
    <n v="8793.2000000000007"/>
    <n v="1466.8601599999984"/>
    <n v="0.14296798821109433"/>
    <s v="Q2-2023"/>
    <s v="Printers"/>
    <s v="Printers"/>
    <x v="1"/>
    <s v="On-time"/>
    <n v="0.104"/>
    <n v="1209.0650000000003"/>
    <n v="8.8000000000000007"/>
    <n v="11286.066176"/>
    <n v="10639.772000000003"/>
    <n v="646.29417599999761"/>
  </r>
  <r>
    <s v="ORD-2023-545150"/>
    <d v="2023-04-06T00:00:00"/>
    <d v="2023-04-08T00:00:00"/>
    <x v="1"/>
    <x v="8"/>
    <x v="28"/>
    <s v="Small Business"/>
    <s v="Marketplace"/>
    <s v="K. Singh"/>
    <s v="Monitors"/>
    <s v="MON-4373"/>
    <n v="720.35"/>
    <n v="1571.66"/>
    <n v="1571.66"/>
    <s v="Low"/>
    <n v="0.107"/>
    <n v="0.107"/>
    <n v="23"/>
    <s v="OK"/>
    <d v="2023-04-08T00:00:00"/>
    <n v="2"/>
    <n v="32280.32474"/>
    <n v="16568.05"/>
    <n v="15712.274740000001"/>
    <n v="0.4867446305622265"/>
    <s v="Q2-2023"/>
    <s v="Monitors"/>
    <s v="Monitors"/>
    <x v="1"/>
    <s v="On-time"/>
    <n v="0.107"/>
    <n v="792.3850000000001"/>
    <n v="25.3"/>
    <n v="35508.357214000003"/>
    <n v="20047.340500000002"/>
    <n v="15461.016714000001"/>
  </r>
  <r>
    <s v="ORD-2023-356427"/>
    <d v="2023-04-13T00:00:00"/>
    <d v="2023-05-02T00:00:00"/>
    <x v="0"/>
    <x v="3"/>
    <x v="39"/>
    <s v="Consumer"/>
    <s v="Distributor"/>
    <s v="E. Garcia"/>
    <s v="Monitors"/>
    <s v="MON-6053"/>
    <n v="671.05"/>
    <n v="1645.48"/>
    <n v="1645.48"/>
    <s v="Low"/>
    <n v="0.13700000000000001"/>
    <n v="0.13700000000000001"/>
    <n v="6"/>
    <s v="OK"/>
    <d v="2023-05-02T00:00:00"/>
    <n v="19"/>
    <n v="8520.2954399999999"/>
    <n v="4026.2999999999997"/>
    <n v="4493.9954400000006"/>
    <n v="0.52744596377517172"/>
    <s v="Q2-2023"/>
    <s v="Monitors"/>
    <s v="Monitors"/>
    <x v="1"/>
    <s v="Late"/>
    <n v="0.13700000000000001"/>
    <n v="738.15499999999997"/>
    <n v="6.6000000000000005"/>
    <n v="9372.3249840000008"/>
    <n v="4871.8230000000003"/>
    <n v="4500.5019840000004"/>
  </r>
  <r>
    <s v="ORD-2023-809913"/>
    <d v="2023-04-21T00:00:00"/>
    <d v="2023-05-10T00:00:00"/>
    <x v="3"/>
    <x v="7"/>
    <x v="20"/>
    <s v="Corporate"/>
    <s v="Retail"/>
    <s v="A. Patel"/>
    <s v="Components"/>
    <s v="CMP-7371"/>
    <n v="882.33"/>
    <n v="1880.15"/>
    <n v="1880.15"/>
    <s v="Low"/>
    <n v="0.05"/>
    <n v="0.05"/>
    <n v="5"/>
    <s v="OK"/>
    <d v="2023-05-10T00:00:00"/>
    <n v="19"/>
    <n v="8930.7124999999996"/>
    <n v="4411.6500000000005"/>
    <n v="4519.0624999999991"/>
    <n v="0.50601365792482955"/>
    <s v="Q2-2023"/>
    <s v="Components"/>
    <s v="Components"/>
    <x v="1"/>
    <s v="Late"/>
    <n v="0.05"/>
    <n v="970.5630000000001"/>
    <n v="5.5"/>
    <n v="9823.7837500000005"/>
    <n v="5338.0965000000006"/>
    <n v="4485.6872499999999"/>
  </r>
  <r>
    <s v="ORD-2023-867285"/>
    <d v="2023-04-12T00:00:00"/>
    <d v="2023-04-17T00:00:00"/>
    <x v="2"/>
    <x v="10"/>
    <x v="24"/>
    <s v="Enterprise"/>
    <s v="Direct"/>
    <s v="E. Garcia"/>
    <s v="Monitors"/>
    <s v="MON-3043"/>
    <n v="1087.81"/>
    <n v="2323.87"/>
    <n v="2323.87"/>
    <s v="Low"/>
    <n v="9.4E-2"/>
    <n v="9.4E-2"/>
    <n v="13"/>
    <s v="OK"/>
    <d v="2023-04-17T00:00:00"/>
    <n v="5"/>
    <n v="27370.540859999997"/>
    <n v="14141.529999999999"/>
    <n v="13229.010859999999"/>
    <n v="0.48333026839572651"/>
    <s v="Q2-2023"/>
    <s v="Monitors"/>
    <s v="Monitors"/>
    <x v="1"/>
    <s v="On-time"/>
    <n v="9.4E-2"/>
    <n v="1196.5910000000001"/>
    <n v="14.3"/>
    <n v="30107.594946000001"/>
    <n v="17111.251300000004"/>
    <n v="12996.343645999998"/>
  </r>
  <r>
    <s v="ORD-2023-390998"/>
    <d v="2023-04-19T00:00:00"/>
    <d v="2023-04-28T00:00:00"/>
    <x v="2"/>
    <x v="11"/>
    <x v="36"/>
    <s v="Education"/>
    <s v="Online"/>
    <s v="E. Garcia"/>
    <s v="Monitors"/>
    <s v="MON-1663"/>
    <n v="1178.42"/>
    <n v="2446.56"/>
    <n v="2446.56"/>
    <s v="Low"/>
    <n v="2.9000000000000001E-2"/>
    <n v="2.9000000000000001E-2"/>
    <n v="11"/>
    <s v="OK"/>
    <d v="2023-04-28T00:00:00"/>
    <n v="9"/>
    <n v="26131.70736"/>
    <n v="12962.62"/>
    <n v="13169.08736"/>
    <n v="0.5039505141618883"/>
    <s v="Q2-2023"/>
    <s v="Monitors"/>
    <s v="Monitors"/>
    <x v="1"/>
    <s v="Late"/>
    <n v="2.9000000000000001E-2"/>
    <n v="1296.2620000000002"/>
    <n v="12.100000000000001"/>
    <n v="28744.878096000004"/>
    <n v="15684.770200000004"/>
    <n v="13060.107896"/>
  </r>
  <r>
    <s v="ORD-2023-868734"/>
    <d v="2023-04-06T00:00:00"/>
    <d v="2023-04-27T00:00:00"/>
    <x v="2"/>
    <x v="2"/>
    <x v="26"/>
    <s v="Enterprise"/>
    <s v="Distributor"/>
    <s v="I. Johnson"/>
    <s v="Printers"/>
    <s v="PRN-8970"/>
    <n v="1084.79"/>
    <n v="2484.9899999999998"/>
    <n v="2484.9899999999998"/>
    <s v="Low"/>
    <n v="3.4000000000000002E-2"/>
    <n v="3.4000000000000002E-2"/>
    <n v="18"/>
    <s v="OK"/>
    <d v="2023-04-27T00:00:00"/>
    <n v="21"/>
    <n v="43209.006119999991"/>
    <n v="19526.22"/>
    <n v="23682.78611999999"/>
    <n v="0.54809837685755114"/>
    <s v="Q2-2023"/>
    <s v="Printers"/>
    <s v="Printers"/>
    <x v="1"/>
    <s v="Late"/>
    <n v="3.4000000000000002E-2"/>
    <n v="1193.269"/>
    <n v="19.8"/>
    <n v="47529.906731999996"/>
    <n v="23626.726200000001"/>
    <n v="23903.180531999995"/>
  </r>
  <r>
    <s v="ORD-2023-701153"/>
    <d v="2023-04-14T00:00:00"/>
    <d v="2023-05-13T00:00:00"/>
    <x v="2"/>
    <x v="11"/>
    <x v="34"/>
    <s v="Consumer"/>
    <s v="Direct"/>
    <s v="J. Njeri"/>
    <s v="Printers"/>
    <s v="PRN-7019"/>
    <n v="1320.33"/>
    <n v="2645.23"/>
    <n v="2645.23"/>
    <s v="Low"/>
    <n v="0.155"/>
    <n v="0.155"/>
    <n v="25"/>
    <s v="OK"/>
    <d v="2023-05-13T00:00:00"/>
    <n v="29"/>
    <n v="55880.483749999999"/>
    <n v="33008.25"/>
    <n v="22872.233749999999"/>
    <n v="0.40930629470436536"/>
    <s v="Q2-2023"/>
    <s v="Printers"/>
    <s v="Printers"/>
    <x v="1"/>
    <s v="Late"/>
    <n v="0.155"/>
    <n v="1452.3630000000001"/>
    <n v="27.500000000000004"/>
    <n v="61468.532125000005"/>
    <n v="39939.982500000006"/>
    <n v="21528.54962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9F00347-02F7-4ED3-AF5B-40552C66ADAC}"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56" firstHeaderRow="1" firstDataRow="1" firstDataCol="1"/>
  <pivotFields count="31">
    <pivotField showAll="0"/>
    <pivotField axis="axisRow" numFmtId="17" showAll="0">
      <items count="15">
        <item x="0"/>
        <item x="1"/>
        <item x="2"/>
        <item x="3"/>
        <item x="4"/>
        <item x="5"/>
        <item x="6"/>
        <item x="7"/>
        <item x="8"/>
        <item x="9"/>
        <item x="10"/>
        <item x="11"/>
        <item x="12"/>
        <item x="13"/>
        <item t="default"/>
      </items>
    </pivotField>
    <pivotField numFmtId="14" showAll="0"/>
    <pivotField axis="axisRow" showAll="0">
      <items count="5">
        <item x="1"/>
        <item x="0"/>
        <item x="3"/>
        <item x="2"/>
        <item t="default"/>
      </items>
    </pivotField>
    <pivotField axis="axisRow" showAll="0">
      <items count="13">
        <item x="0"/>
        <item x="3"/>
        <item x="7"/>
        <item x="10"/>
        <item x="11"/>
        <item x="4"/>
        <item x="5"/>
        <item x="1"/>
        <item x="8"/>
        <item x="6"/>
        <item x="2"/>
        <item x="9"/>
        <item t="default"/>
      </items>
    </pivotField>
    <pivotField showAll="0"/>
    <pivotField showAll="0"/>
    <pivotField showAll="0">
      <items count="7">
        <item x="0"/>
        <item x="2"/>
        <item x="4"/>
        <item x="3"/>
        <item x="1"/>
        <item x="5"/>
        <item t="default"/>
      </items>
    </pivotField>
    <pivotField showAll="0"/>
    <pivotField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dataField="1" numFmtId="2" showAll="0"/>
    <pivotField numFmtId="2" showAll="0"/>
    <pivotField numFmtId="2" showAll="0"/>
    <pivotField numFmtId="2" showAll="0"/>
    <pivotField showAll="0">
      <items count="12">
        <item x="10"/>
        <item x="9"/>
        <item x="8"/>
        <item x="7"/>
        <item x="6"/>
        <item x="5"/>
        <item x="2"/>
        <item x="1"/>
        <item x="0"/>
        <item x="4"/>
        <item x="3"/>
        <item t="default"/>
      </items>
    </pivotField>
    <pivotField showAll="0"/>
    <pivotField showAll="0"/>
    <pivotField showAll="0"/>
    <pivotField showAll="0">
      <items count="3">
        <item x="1"/>
        <item x="0"/>
        <item t="default"/>
      </items>
    </pivotField>
    <pivotField axis="axisRow" showAll="0" defaultSubtotal="0">
      <items count="6">
        <item sd="0" x="0"/>
        <item sd="0" x="1"/>
        <item sd="0" x="2"/>
        <item sd="0" x="3"/>
        <item sd="0" x="4"/>
        <item sd="0" x="5"/>
      </items>
    </pivotField>
    <pivotField axis="axisRow" showAll="0" defaultSubtotal="0">
      <items count="5">
        <item sd="0" x="0"/>
        <item sd="0" x="1"/>
        <item sd="0" x="2"/>
        <item sd="0" x="3"/>
        <item sd="0" x="4"/>
      </items>
    </pivotField>
  </pivotFields>
  <rowFields count="5">
    <field x="3"/>
    <field x="4"/>
    <field x="30"/>
    <field x="29"/>
    <field x="1"/>
  </rowFields>
  <rowItems count="53">
    <i>
      <x/>
    </i>
    <i r="1">
      <x v="7"/>
    </i>
    <i r="2">
      <x v="1"/>
    </i>
    <i r="2">
      <x v="2"/>
    </i>
    <i r="2">
      <x v="3"/>
    </i>
    <i r="1">
      <x v="8"/>
    </i>
    <i r="2">
      <x v="1"/>
    </i>
    <i r="2">
      <x v="2"/>
    </i>
    <i r="2">
      <x v="3"/>
    </i>
    <i r="1">
      <x v="9"/>
    </i>
    <i r="2">
      <x v="1"/>
    </i>
    <i r="2">
      <x v="2"/>
    </i>
    <i r="2">
      <x v="3"/>
    </i>
    <i>
      <x v="1"/>
    </i>
    <i r="1">
      <x/>
    </i>
    <i r="2">
      <x v="1"/>
    </i>
    <i r="2">
      <x v="2"/>
    </i>
    <i r="2">
      <x v="3"/>
    </i>
    <i r="1">
      <x v="1"/>
    </i>
    <i r="2">
      <x v="1"/>
    </i>
    <i r="2">
      <x v="2"/>
    </i>
    <i r="2">
      <x v="3"/>
    </i>
    <i r="1">
      <x v="11"/>
    </i>
    <i r="2">
      <x v="1"/>
    </i>
    <i r="2">
      <x v="2"/>
    </i>
    <i r="2">
      <x v="3"/>
    </i>
    <i>
      <x v="2"/>
    </i>
    <i r="1">
      <x v="2"/>
    </i>
    <i r="2">
      <x v="1"/>
    </i>
    <i r="2">
      <x v="2"/>
    </i>
    <i r="2">
      <x v="3"/>
    </i>
    <i r="1">
      <x v="5"/>
    </i>
    <i r="2">
      <x v="1"/>
    </i>
    <i r="2">
      <x v="2"/>
    </i>
    <i r="2">
      <x v="3"/>
    </i>
    <i r="1">
      <x v="6"/>
    </i>
    <i r="2">
      <x v="1"/>
    </i>
    <i r="2">
      <x v="2"/>
    </i>
    <i r="2">
      <x v="3"/>
    </i>
    <i>
      <x v="3"/>
    </i>
    <i r="1">
      <x v="3"/>
    </i>
    <i r="2">
      <x v="1"/>
    </i>
    <i r="2">
      <x v="2"/>
    </i>
    <i r="2">
      <x v="3"/>
    </i>
    <i r="1">
      <x v="4"/>
    </i>
    <i r="2">
      <x v="1"/>
    </i>
    <i r="2">
      <x v="2"/>
    </i>
    <i r="2">
      <x v="3"/>
    </i>
    <i r="1">
      <x v="10"/>
    </i>
    <i r="2">
      <x v="1"/>
    </i>
    <i r="2">
      <x v="2"/>
    </i>
    <i r="2">
      <x v="3"/>
    </i>
    <i t="grand">
      <x/>
    </i>
  </rowItems>
  <colItems count="1">
    <i/>
  </colItems>
  <dataFields count="1">
    <dataField name="Sum of GrossRevenue" fld="2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I17" firstHeaderRow="1" firstDataRow="2" firstDataCol="1" rowPageCount="1" colPageCount="1"/>
  <pivotFields count="31">
    <pivotField dataField="1" showAll="0"/>
    <pivotField numFmtId="14" showAll="0">
      <items count="15">
        <item x="0"/>
        <item x="1"/>
        <item x="2"/>
        <item x="3"/>
        <item x="4"/>
        <item x="5"/>
        <item x="6"/>
        <item x="7"/>
        <item x="8"/>
        <item x="9"/>
        <item x="10"/>
        <item x="11"/>
        <item x="12"/>
        <item x="13"/>
        <item t="default"/>
      </items>
    </pivotField>
    <pivotField numFmtId="14" showAll="0"/>
    <pivotField showAll="0">
      <items count="5">
        <item x="1"/>
        <item x="0"/>
        <item x="3"/>
        <item x="2"/>
        <item t="default"/>
      </items>
    </pivotField>
    <pivotField axis="axisRow" showAll="0">
      <items count="13">
        <item x="0"/>
        <item x="3"/>
        <item x="7"/>
        <item x="10"/>
        <item x="11"/>
        <item x="4"/>
        <item x="5"/>
        <item x="1"/>
        <item x="8"/>
        <item x="6"/>
        <item x="2"/>
        <item x="9"/>
        <item t="default"/>
      </items>
    </pivotField>
    <pivotField showAll="0"/>
    <pivotField showAll="0"/>
    <pivotField showAll="0">
      <items count="7">
        <item x="0"/>
        <item x="2"/>
        <item x="4"/>
        <item x="3"/>
        <item x="1"/>
        <item x="5"/>
        <item t="default"/>
      </items>
    </pivotField>
    <pivotField showAll="0"/>
    <pivotField axis="axisCol"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numFmtId="2" showAll="0"/>
    <pivotField numFmtId="2" showAll="0"/>
    <pivotField numFmtId="2" showAll="0"/>
    <pivotField numFmtId="2" showAll="0"/>
    <pivotField showAll="0"/>
    <pivotField showAll="0"/>
    <pivotField showAll="0"/>
    <pivotField showAll="0"/>
    <pivotField axis="axisPage" multipleItemSelectionAllowed="1" showAll="0">
      <items count="3">
        <item x="1"/>
        <item x="0"/>
        <item t="default"/>
      </items>
    </pivotField>
    <pivotField showAll="0" defaultSubtotal="0">
      <items count="6">
        <item x="0"/>
        <item x="1"/>
        <item x="2"/>
        <item x="3"/>
        <item x="4"/>
        <item x="5"/>
      </items>
    </pivotField>
    <pivotField showAll="0" defaultSubtotal="0">
      <items count="5">
        <item x="0"/>
        <item x="1"/>
        <item x="2"/>
        <item x="3"/>
        <item x="4"/>
      </items>
    </pivotField>
  </pivotFields>
  <rowFields count="1">
    <field x="4"/>
  </rowFields>
  <rowItems count="13">
    <i>
      <x/>
    </i>
    <i>
      <x v="1"/>
    </i>
    <i>
      <x v="2"/>
    </i>
    <i>
      <x v="3"/>
    </i>
    <i>
      <x v="4"/>
    </i>
    <i>
      <x v="5"/>
    </i>
    <i>
      <x v="6"/>
    </i>
    <i>
      <x v="7"/>
    </i>
    <i>
      <x v="8"/>
    </i>
    <i>
      <x v="9"/>
    </i>
    <i>
      <x v="10"/>
    </i>
    <i>
      <x v="11"/>
    </i>
    <i t="grand">
      <x/>
    </i>
  </rowItems>
  <colFields count="1">
    <field x="9"/>
  </colFields>
  <colItems count="8">
    <i>
      <x/>
    </i>
    <i>
      <x v="1"/>
    </i>
    <i>
      <x v="2"/>
    </i>
    <i>
      <x v="3"/>
    </i>
    <i>
      <x v="4"/>
    </i>
    <i>
      <x v="5"/>
    </i>
    <i>
      <x v="6"/>
    </i>
    <i t="grand">
      <x/>
    </i>
  </colItems>
  <pageFields count="1">
    <pageField fld="28" hier="-1"/>
  </pageFields>
  <dataFields count="1">
    <dataField name="Count of OrderID" fld="0" subtotal="count" showDataAs="percentOfRow" baseField="29"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H9" firstHeaderRow="1" firstDataRow="2" firstDataCol="1"/>
  <pivotFields count="31">
    <pivotField showAll="0"/>
    <pivotField numFmtId="14" showAll="0">
      <items count="15">
        <item x="0"/>
        <item x="1"/>
        <item x="2"/>
        <item x="3"/>
        <item x="4"/>
        <item x="5"/>
        <item x="6"/>
        <item x="7"/>
        <item x="8"/>
        <item x="9"/>
        <item x="10"/>
        <item x="11"/>
        <item x="12"/>
        <item x="13"/>
        <item t="default"/>
      </items>
    </pivotField>
    <pivotField numFmtId="14" showAll="0"/>
    <pivotField axis="axisRow" showAll="0">
      <items count="5">
        <item x="1"/>
        <item x="0"/>
        <item x="3"/>
        <item x="2"/>
        <item t="default"/>
      </items>
    </pivotField>
    <pivotField showAll="0">
      <items count="13">
        <item x="0"/>
        <item x="3"/>
        <item x="7"/>
        <item x="10"/>
        <item x="11"/>
        <item x="4"/>
        <item x="5"/>
        <item x="1"/>
        <item x="8"/>
        <item x="6"/>
        <item x="2"/>
        <item x="9"/>
        <item t="default"/>
      </items>
    </pivotField>
    <pivotField showAll="0"/>
    <pivotField showAll="0"/>
    <pivotField axis="axisCol" showAll="0">
      <items count="7">
        <item x="0"/>
        <item x="2"/>
        <item x="4"/>
        <item x="3"/>
        <item x="1"/>
        <item x="5"/>
        <item t="default"/>
      </items>
    </pivotField>
    <pivotField showAll="0"/>
    <pivotField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dataField="1" numFmtId="2" showAll="0"/>
    <pivotField numFmtId="2" showAll="0"/>
    <pivotField numFmtId="2" showAll="0"/>
    <pivotField numFmtId="2" showAll="0"/>
    <pivotField showAll="0"/>
    <pivotField showAll="0"/>
    <pivotField showAll="0"/>
    <pivotField showAll="0"/>
    <pivotField showAll="0">
      <items count="3">
        <item x="1"/>
        <item x="0"/>
        <item t="default"/>
      </items>
    </pivotField>
    <pivotField showAll="0" defaultSubtotal="0">
      <items count="6">
        <item x="0"/>
        <item x="1"/>
        <item x="2"/>
        <item x="3"/>
        <item x="4"/>
        <item x="5"/>
      </items>
    </pivotField>
    <pivotField showAll="0" defaultSubtotal="0">
      <items count="5">
        <item x="0"/>
        <item x="1"/>
        <item x="2"/>
        <item x="3"/>
        <item x="4"/>
      </items>
    </pivotField>
  </pivotFields>
  <rowFields count="1">
    <field x="3"/>
  </rowFields>
  <rowItems count="5">
    <i>
      <x/>
    </i>
    <i>
      <x v="1"/>
    </i>
    <i>
      <x v="2"/>
    </i>
    <i>
      <x v="3"/>
    </i>
    <i t="grand">
      <x/>
    </i>
  </rowItems>
  <colFields count="1">
    <field x="7"/>
  </colFields>
  <colItems count="7">
    <i>
      <x/>
    </i>
    <i>
      <x v="1"/>
    </i>
    <i>
      <x v="2"/>
    </i>
    <i>
      <x v="3"/>
    </i>
    <i>
      <x v="4"/>
    </i>
    <i>
      <x v="5"/>
    </i>
    <i t="grand">
      <x/>
    </i>
  </colItems>
  <dataFields count="1">
    <dataField name="Sum of GrossRevenue" fld="20" showDataAs="percentOfRow" baseField="3" baseItem="0" numFmtId="10"/>
  </dataFields>
  <formats count="2">
    <format dxfId="91">
      <pivotArea collapsedLevelsAreSubtotals="1" fieldPosition="0">
        <references count="2">
          <reference field="3" count="1">
            <x v="1"/>
          </reference>
          <reference field="7" count="2" selected="0">
            <x v="3"/>
            <x v="4"/>
          </reference>
        </references>
      </pivotArea>
    </format>
    <format dxfId="90">
      <pivotArea collapsedLevelsAreSubtotals="1" fieldPosition="0">
        <references count="2">
          <reference field="3" count="1">
            <x v="3"/>
          </reference>
          <reference field="7" count="2" selected="0">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500-000000000000}" name="PivotTable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40" firstHeaderRow="1" firstDataRow="1" firstDataCol="1"/>
  <pivotFields count="31">
    <pivotField showAll="0"/>
    <pivotField axis="axisRow" numFmtId="14" showAll="0">
      <items count="15">
        <item x="0"/>
        <item x="1"/>
        <item x="2"/>
        <item x="3"/>
        <item x="4"/>
        <item x="5"/>
        <item x="6"/>
        <item x="7"/>
        <item x="8"/>
        <item x="9"/>
        <item x="10"/>
        <item x="11"/>
        <item x="12"/>
        <item x="13"/>
        <item t="default"/>
      </items>
    </pivotField>
    <pivotField numFmtId="14" showAll="0"/>
    <pivotField showAll="0">
      <items count="5">
        <item x="1"/>
        <item x="0"/>
        <item x="3"/>
        <item x="2"/>
        <item t="default"/>
      </items>
    </pivotField>
    <pivotField showAll="0">
      <items count="13">
        <item x="0"/>
        <item x="3"/>
        <item x="7"/>
        <item x="10"/>
        <item x="11"/>
        <item x="4"/>
        <item x="5"/>
        <item x="1"/>
        <item x="8"/>
        <item x="6"/>
        <item x="2"/>
        <item x="9"/>
        <item t="default"/>
      </items>
    </pivotField>
    <pivotField showAll="0"/>
    <pivotField showAll="0"/>
    <pivotField showAll="0">
      <items count="7">
        <item x="0"/>
        <item x="2"/>
        <item x="4"/>
        <item x="3"/>
        <item x="1"/>
        <item x="5"/>
        <item t="default"/>
      </items>
    </pivotField>
    <pivotField showAll="0">
      <items count="17">
        <item x="5"/>
        <item x="12"/>
        <item x="6"/>
        <item x="9"/>
        <item x="11"/>
        <item x="7"/>
        <item x="15"/>
        <item x="10"/>
        <item x="13"/>
        <item x="2"/>
        <item x="1"/>
        <item x="0"/>
        <item x="4"/>
        <item x="3"/>
        <item x="8"/>
        <item x="14"/>
        <item t="default"/>
      </items>
    </pivotField>
    <pivotField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dataField="1" numFmtId="2" showAll="0"/>
    <pivotField numFmtId="2" showAll="0"/>
    <pivotField numFmtId="2" showAll="0"/>
    <pivotField numFmtId="2" showAll="0"/>
    <pivotField showAll="0"/>
    <pivotField showAll="0"/>
    <pivotField showAll="0"/>
    <pivotField showAll="0"/>
    <pivotField showAll="0">
      <items count="3">
        <item x="1"/>
        <item x="0"/>
        <item t="default"/>
      </items>
    </pivotField>
    <pivotField showAll="0" defaultSubtotal="0">
      <items count="6">
        <item sd="0" x="0"/>
        <item sd="0" x="1"/>
        <item sd="0" x="2"/>
        <item sd="0" x="3"/>
        <item sd="0" x="4"/>
        <item sd="0" x="5"/>
      </items>
    </pivotField>
    <pivotField axis="axisRow" showAll="0" defaultSubtotal="0">
      <items count="5">
        <item sd="0" x="0"/>
        <item x="1"/>
        <item x="2"/>
        <item x="3"/>
        <item sd="0" x="4"/>
      </items>
    </pivotField>
  </pivotFields>
  <rowFields count="2">
    <field x="30"/>
    <field x="1"/>
  </rowFields>
  <rowItems count="3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t="grand">
      <x/>
    </i>
  </rowItems>
  <colItems count="1">
    <i/>
  </colItems>
  <dataFields count="1">
    <dataField name="Sum of GrossRevenue" fld="20" baseField="0" baseItem="0"/>
  </dataFields>
  <chartFormats count="3">
    <chartFormat chart="0"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600-000000000000}" name="PivotTable10"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C4" firstHeaderRow="0" firstDataRow="1" firstDataCol="0"/>
  <pivotFields count="31">
    <pivotField showAll="0"/>
    <pivotField numFmtId="14" showAll="0">
      <items count="15">
        <item x="0"/>
        <item x="1"/>
        <item x="2"/>
        <item x="3"/>
        <item x="4"/>
        <item x="5"/>
        <item x="6"/>
        <item x="7"/>
        <item x="8"/>
        <item x="9"/>
        <item x="10"/>
        <item x="11"/>
        <item x="12"/>
        <item x="13"/>
        <item t="default"/>
      </items>
    </pivotField>
    <pivotField numFmtId="14" showAll="0"/>
    <pivotField showAll="0">
      <items count="5">
        <item x="1"/>
        <item x="0"/>
        <item x="3"/>
        <item x="2"/>
        <item t="default"/>
      </items>
    </pivotField>
    <pivotField showAll="0">
      <items count="13">
        <item x="0"/>
        <item x="3"/>
        <item x="7"/>
        <item x="10"/>
        <item x="11"/>
        <item x="4"/>
        <item x="5"/>
        <item x="1"/>
        <item x="8"/>
        <item x="6"/>
        <item x="2"/>
        <item x="9"/>
        <item t="default"/>
      </items>
    </pivotField>
    <pivotField showAll="0"/>
    <pivotField showAll="0"/>
    <pivotField showAll="0">
      <items count="7">
        <item x="0"/>
        <item x="2"/>
        <item x="4"/>
        <item x="3"/>
        <item x="1"/>
        <item x="5"/>
        <item t="default"/>
      </items>
    </pivotField>
    <pivotField showAll="0"/>
    <pivotField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dataField="1" numFmtId="2" showAll="0"/>
    <pivotField numFmtId="2" showAll="0"/>
    <pivotField dataField="1" numFmtId="2" showAll="0"/>
    <pivotField dataField="1" numFmtId="2" showAll="0"/>
    <pivotField showAll="0"/>
    <pivotField showAll="0"/>
    <pivotField showAll="0"/>
    <pivotField showAll="0"/>
    <pivotField showAll="0">
      <items count="3">
        <item x="1"/>
        <item x="0"/>
        <item t="default"/>
      </items>
    </pivotField>
    <pivotField showAll="0" defaultSubtotal="0"/>
    <pivotField showAll="0" defaultSubtotal="0"/>
  </pivotFields>
  <rowItems count="1">
    <i/>
  </rowItems>
  <colFields count="1">
    <field x="-2"/>
  </colFields>
  <colItems count="3">
    <i>
      <x/>
    </i>
    <i i="1">
      <x v="1"/>
    </i>
    <i i="2">
      <x v="2"/>
    </i>
  </colItems>
  <dataFields count="3">
    <dataField name="Sum of GrossRevenue" fld="20" baseField="0" baseItem="0" numFmtId="165"/>
    <dataField name="Sum of GrossProfit" fld="22" baseField="0" baseItem="0"/>
    <dataField name="Sum of MarginPct" fld="23" baseField="0" baseItem="0"/>
  </dataFields>
  <formats count="1">
    <format dxfId="8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700-000000000000}" name="PivotTable1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6" firstHeaderRow="1" firstDataRow="1" firstDataCol="1"/>
  <pivotFields count="31">
    <pivotField dataField="1" showAll="0"/>
    <pivotField numFmtId="14" showAll="0">
      <items count="15">
        <item x="0"/>
        <item x="1"/>
        <item x="2"/>
        <item x="3"/>
        <item x="4"/>
        <item x="5"/>
        <item x="6"/>
        <item x="7"/>
        <item x="8"/>
        <item x="9"/>
        <item x="10"/>
        <item x="11"/>
        <item x="12"/>
        <item x="13"/>
        <item t="default"/>
      </items>
    </pivotField>
    <pivotField numFmtId="14" showAll="0"/>
    <pivotField showAll="0">
      <items count="5">
        <item x="1"/>
        <item x="0"/>
        <item x="3"/>
        <item x="2"/>
        <item t="default"/>
      </items>
    </pivotField>
    <pivotField showAll="0">
      <items count="13">
        <item x="0"/>
        <item x="3"/>
        <item x="7"/>
        <item x="10"/>
        <item x="11"/>
        <item x="4"/>
        <item x="5"/>
        <item x="1"/>
        <item x="8"/>
        <item x="6"/>
        <item x="2"/>
        <item x="9"/>
        <item t="default"/>
      </items>
    </pivotField>
    <pivotField showAll="0"/>
    <pivotField showAll="0"/>
    <pivotField showAll="0">
      <items count="7">
        <item x="0"/>
        <item x="2"/>
        <item x="4"/>
        <item x="3"/>
        <item x="1"/>
        <item x="5"/>
        <item t="default"/>
      </items>
    </pivotField>
    <pivotField showAll="0"/>
    <pivotField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numFmtId="2" showAll="0"/>
    <pivotField numFmtId="2" showAll="0"/>
    <pivotField numFmtId="2" showAll="0"/>
    <pivotField numFmtId="2" showAll="0"/>
    <pivotField showAll="0"/>
    <pivotField showAll="0"/>
    <pivotField showAll="0"/>
    <pivotField showAll="0"/>
    <pivotField axis="axisRow" showAll="0">
      <items count="3">
        <item x="1"/>
        <item x="0"/>
        <item t="default"/>
      </items>
    </pivotField>
    <pivotField showAll="0" defaultSubtotal="0"/>
    <pivotField showAll="0" defaultSubtotal="0"/>
  </pivotFields>
  <rowFields count="1">
    <field x="28"/>
  </rowFields>
  <rowItems count="3">
    <i>
      <x/>
    </i>
    <i>
      <x v="1"/>
    </i>
    <i t="grand">
      <x/>
    </i>
  </rowItems>
  <colItems count="1">
    <i/>
  </colItems>
  <dataFields count="1">
    <dataField name="Count of OrderID" fld="0" subtotal="count" showDataAs="percentOfTotal" baseField="29"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0F4A6-047B-4A6B-95B2-13AFB217435F}"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D22" firstHeaderRow="1" firstDataRow="3" firstDataCol="1"/>
  <pivotFields count="31">
    <pivotField dataField="1" showAll="0"/>
    <pivotField numFmtId="17" showAll="0">
      <items count="15">
        <item x="0"/>
        <item x="1"/>
        <item x="2"/>
        <item x="3"/>
        <item x="4"/>
        <item x="5"/>
        <item x="6"/>
        <item x="7"/>
        <item x="8"/>
        <item x="9"/>
        <item x="10"/>
        <item x="11"/>
        <item x="12"/>
        <item x="13"/>
        <item t="default"/>
      </items>
    </pivotField>
    <pivotField numFmtId="14" showAll="0"/>
    <pivotField axis="axisCol" showAll="0">
      <items count="5">
        <item x="1"/>
        <item x="0"/>
        <item x="3"/>
        <item x="2"/>
        <item t="default"/>
      </items>
    </pivotField>
    <pivotField showAll="0">
      <items count="13">
        <item x="0"/>
        <item x="3"/>
        <item x="7"/>
        <item x="10"/>
        <item x="11"/>
        <item x="4"/>
        <item x="5"/>
        <item x="1"/>
        <item x="8"/>
        <item x="6"/>
        <item x="2"/>
        <item x="9"/>
        <item t="default"/>
      </items>
    </pivotField>
    <pivotField showAll="0"/>
    <pivotField showAll="0"/>
    <pivotField showAll="0">
      <items count="7">
        <item x="0"/>
        <item x="2"/>
        <item x="4"/>
        <item x="3"/>
        <item x="1"/>
        <item x="5"/>
        <item t="default"/>
      </items>
    </pivotField>
    <pivotField axis="axisRow" showAll="0">
      <items count="17">
        <item x="5"/>
        <item x="12"/>
        <item x="6"/>
        <item x="9"/>
        <item x="11"/>
        <item x="7"/>
        <item x="15"/>
        <item x="10"/>
        <item x="13"/>
        <item x="2"/>
        <item x="1"/>
        <item x="0"/>
        <item x="4"/>
        <item x="3"/>
        <item x="8"/>
        <item x="14"/>
        <item t="default"/>
      </items>
    </pivotField>
    <pivotField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numFmtId="2" showAll="0"/>
    <pivotField numFmtId="2" showAll="0"/>
    <pivotField numFmtId="2" showAll="0"/>
    <pivotField numFmtId="2" showAll="0"/>
    <pivotField showAll="0"/>
    <pivotField showAll="0"/>
    <pivotField showAll="0"/>
    <pivotField axis="axisCol" showAll="0">
      <items count="3">
        <item sd="0" x="1"/>
        <item sd="0" x="0"/>
        <item t="default"/>
      </items>
    </pivotField>
    <pivotField showAll="0">
      <items count="3">
        <item x="1"/>
        <item x="0"/>
        <item t="default"/>
      </items>
    </pivotField>
    <pivotField showAll="0" defaultSubtotal="0"/>
    <pivotField showAll="0" defaultSubtotal="0"/>
  </pivotFields>
  <rowFields count="1">
    <field x="8"/>
  </rowFields>
  <rowItems count="17">
    <i>
      <x/>
    </i>
    <i>
      <x v="1"/>
    </i>
    <i>
      <x v="2"/>
    </i>
    <i>
      <x v="3"/>
    </i>
    <i>
      <x v="4"/>
    </i>
    <i>
      <x v="5"/>
    </i>
    <i>
      <x v="6"/>
    </i>
    <i>
      <x v="7"/>
    </i>
    <i>
      <x v="8"/>
    </i>
    <i>
      <x v="9"/>
    </i>
    <i>
      <x v="10"/>
    </i>
    <i>
      <x v="11"/>
    </i>
    <i>
      <x v="12"/>
    </i>
    <i>
      <x v="13"/>
    </i>
    <i>
      <x v="14"/>
    </i>
    <i>
      <x v="15"/>
    </i>
    <i t="grand">
      <x/>
    </i>
  </rowItems>
  <colFields count="2">
    <field x="27"/>
    <field x="3"/>
  </colFields>
  <colItems count="3">
    <i>
      <x/>
    </i>
    <i>
      <x v="1"/>
    </i>
    <i t="grand">
      <x/>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3F9DF9F-FB65-4A95-91C7-5C85C95873E6}" name="PivotTable7"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7" firstHeaderRow="1" firstDataRow="1" firstDataCol="1"/>
  <pivotFields count="2">
    <pivotField dataField="1" numFmtId="2" showAll="0"/>
    <pivotField axis="axisRow" showAll="0">
      <items count="4">
        <item x="2"/>
        <item x="0"/>
        <item x="1"/>
        <item t="default"/>
      </items>
    </pivotField>
  </pivotFields>
  <rowFields count="1">
    <field x="1"/>
  </rowFields>
  <rowItems count="4">
    <i>
      <x/>
    </i>
    <i>
      <x v="1"/>
    </i>
    <i>
      <x v="2"/>
    </i>
    <i t="grand">
      <x/>
    </i>
  </rowItems>
  <colItems count="1">
    <i/>
  </colItems>
  <dataFields count="1">
    <dataField name="Count of CorrectUnitPrice" fld="0" subtotal="count"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201C198-03FE-465F-89FB-65ABF377E9F6}" name="PivotTable8"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D20" firstHeaderRow="0" firstDataRow="1" firstDataCol="1"/>
  <pivotFields count="31">
    <pivotField dataField="1" showAll="0">
      <items count="632">
        <item x="622"/>
        <item x="351"/>
        <item x="396"/>
        <item x="157"/>
        <item x="487"/>
        <item x="287"/>
        <item x="40"/>
        <item x="555"/>
        <item x="233"/>
        <item x="164"/>
        <item x="447"/>
        <item x="609"/>
        <item x="459"/>
        <item x="348"/>
        <item x="80"/>
        <item x="72"/>
        <item x="168"/>
        <item x="296"/>
        <item x="158"/>
        <item x="495"/>
        <item x="106"/>
        <item x="170"/>
        <item x="102"/>
        <item x="34"/>
        <item x="501"/>
        <item x="554"/>
        <item x="497"/>
        <item x="76"/>
        <item x="489"/>
        <item x="337"/>
        <item x="544"/>
        <item x="490"/>
        <item x="222"/>
        <item x="560"/>
        <item x="301"/>
        <item x="488"/>
        <item x="152"/>
        <item x="547"/>
        <item x="615"/>
        <item x="283"/>
        <item x="345"/>
        <item x="457"/>
        <item x="30"/>
        <item x="545"/>
        <item x="226"/>
        <item x="232"/>
        <item x="356"/>
        <item x="445"/>
        <item x="354"/>
        <item x="289"/>
        <item x="349"/>
        <item x="618"/>
        <item x="74"/>
        <item x="73"/>
        <item x="621"/>
        <item x="339"/>
        <item x="558"/>
        <item x="608"/>
        <item x="559"/>
        <item x="295"/>
        <item x="625"/>
        <item x="159"/>
        <item x="78"/>
        <item x="338"/>
        <item x="347"/>
        <item x="444"/>
        <item x="298"/>
        <item x="550"/>
        <item x="69"/>
        <item x="155"/>
        <item x="404"/>
        <item x="167"/>
        <item x="291"/>
        <item x="628"/>
        <item x="293"/>
        <item x="70"/>
        <item x="224"/>
        <item x="455"/>
        <item x="288"/>
        <item x="401"/>
        <item x="492"/>
        <item x="303"/>
        <item x="38"/>
        <item x="355"/>
        <item x="340"/>
        <item x="108"/>
        <item x="177"/>
        <item x="451"/>
        <item x="79"/>
        <item x="344"/>
        <item x="449"/>
        <item x="39"/>
        <item x="341"/>
        <item x="619"/>
        <item x="68"/>
        <item x="32"/>
        <item x="173"/>
        <item x="405"/>
        <item x="557"/>
        <item x="299"/>
        <item x="335"/>
        <item x="624"/>
        <item x="230"/>
        <item x="551"/>
        <item x="33"/>
        <item x="109"/>
        <item x="454"/>
        <item x="36"/>
        <item x="353"/>
        <item x="502"/>
        <item x="165"/>
        <item x="407"/>
        <item x="110"/>
        <item x="494"/>
        <item x="482"/>
        <item x="408"/>
        <item x="166"/>
        <item x="350"/>
        <item x="297"/>
        <item x="486"/>
        <item x="66"/>
        <item x="286"/>
        <item x="546"/>
        <item x="153"/>
        <item x="614"/>
        <item x="290"/>
        <item x="225"/>
        <item x="398"/>
        <item x="35"/>
        <item x="458"/>
        <item x="107"/>
        <item x="343"/>
        <item x="75"/>
        <item x="556"/>
        <item x="172"/>
        <item x="169"/>
        <item x="567"/>
        <item x="284"/>
        <item x="104"/>
        <item x="64"/>
        <item x="336"/>
        <item x="561"/>
        <item x="623"/>
        <item x="77"/>
        <item x="496"/>
        <item x="162"/>
        <item x="402"/>
        <item x="406"/>
        <item x="630"/>
        <item x="154"/>
        <item x="549"/>
        <item x="548"/>
        <item x="302"/>
        <item x="37"/>
        <item x="400"/>
        <item x="613"/>
        <item x="498"/>
        <item x="565"/>
        <item x="446"/>
        <item x="453"/>
        <item x="617"/>
        <item x="552"/>
        <item x="620"/>
        <item x="31"/>
        <item x="607"/>
        <item x="285"/>
        <item x="409"/>
        <item x="223"/>
        <item x="491"/>
        <item x="626"/>
        <item x="399"/>
        <item x="484"/>
        <item x="485"/>
        <item x="342"/>
        <item x="103"/>
        <item x="352"/>
        <item x="229"/>
        <item x="63"/>
        <item x="493"/>
        <item x="71"/>
        <item x="41"/>
        <item x="448"/>
        <item x="234"/>
        <item x="452"/>
        <item x="397"/>
        <item x="221"/>
        <item x="610"/>
        <item x="562"/>
        <item x="627"/>
        <item x="175"/>
        <item x="294"/>
        <item x="629"/>
        <item x="235"/>
        <item x="160"/>
        <item x="553"/>
        <item x="403"/>
        <item x="456"/>
        <item x="563"/>
        <item x="65"/>
        <item x="460"/>
        <item x="292"/>
        <item x="611"/>
        <item x="156"/>
        <item x="171"/>
        <item x="346"/>
        <item x="161"/>
        <item x="334"/>
        <item x="300"/>
        <item x="67"/>
        <item x="176"/>
        <item x="163"/>
        <item x="228"/>
        <item x="616"/>
        <item x="564"/>
        <item x="231"/>
        <item x="227"/>
        <item x="174"/>
        <item x="450"/>
        <item x="500"/>
        <item x="105"/>
        <item x="483"/>
        <item x="499"/>
        <item x="101"/>
        <item x="566"/>
        <item x="612"/>
        <item x="474"/>
        <item x="395"/>
        <item x="433"/>
        <item x="268"/>
        <item x="526"/>
        <item x="478"/>
        <item x="377"/>
        <item x="139"/>
        <item x="467"/>
        <item x="480"/>
        <item x="261"/>
        <item x="542"/>
        <item x="88"/>
        <item x="468"/>
        <item x="97"/>
        <item x="429"/>
        <item x="439"/>
        <item x="144"/>
        <item x="324"/>
        <item x="473"/>
        <item x="427"/>
        <item x="394"/>
        <item x="198"/>
        <item x="385"/>
        <item x="12"/>
        <item x="379"/>
        <item x="596"/>
        <item x="531"/>
        <item x="278"/>
        <item x="600"/>
        <item x="207"/>
        <item x="272"/>
        <item x="81"/>
        <item x="428"/>
        <item x="58"/>
        <item x="217"/>
        <item x="593"/>
        <item x="96"/>
        <item x="45"/>
        <item x="216"/>
        <item x="477"/>
        <item x="42"/>
        <item x="83"/>
        <item x="205"/>
        <item x="391"/>
        <item x="388"/>
        <item x="539"/>
        <item x="213"/>
        <item x="469"/>
        <item x="393"/>
        <item x="331"/>
        <item x="527"/>
        <item x="597"/>
        <item x="87"/>
        <item x="143"/>
        <item x="93"/>
        <item x="437"/>
        <item x="606"/>
        <item x="56"/>
        <item x="470"/>
        <item x="282"/>
        <item x="211"/>
        <item x="137"/>
        <item x="47"/>
        <item x="540"/>
        <item x="380"/>
        <item x="209"/>
        <item x="52"/>
        <item x="48"/>
        <item x="594"/>
        <item x="390"/>
        <item x="98"/>
        <item x="135"/>
        <item x="89"/>
        <item x="465"/>
        <item x="267"/>
        <item x="136"/>
        <item x="476"/>
        <item x="322"/>
        <item x="141"/>
        <item x="129"/>
        <item x="210"/>
        <item x="14"/>
        <item x="264"/>
        <item x="529"/>
        <item x="442"/>
        <item x="26"/>
        <item x="271"/>
        <item x="24"/>
        <item x="204"/>
        <item x="543"/>
        <item x="274"/>
        <item x="281"/>
        <item x="99"/>
        <item x="323"/>
        <item x="443"/>
        <item x="481"/>
        <item x="463"/>
        <item x="84"/>
        <item x="392"/>
        <item x="149"/>
        <item x="60"/>
        <item x="27"/>
        <item x="138"/>
        <item x="100"/>
        <item x="19"/>
        <item x="605"/>
        <item x="441"/>
        <item x="199"/>
        <item x="140"/>
        <item x="383"/>
        <item x="541"/>
        <item x="530"/>
        <item x="440"/>
        <item x="151"/>
        <item x="534"/>
        <item x="537"/>
        <item x="142"/>
        <item x="266"/>
        <item x="595"/>
        <item x="15"/>
        <item x="327"/>
        <item x="280"/>
        <item x="134"/>
        <item x="277"/>
        <item x="13"/>
        <item x="273"/>
        <item x="525"/>
        <item x="90"/>
        <item x="148"/>
        <item x="25"/>
        <item x="604"/>
        <item x="601"/>
        <item x="384"/>
        <item x="133"/>
        <item x="326"/>
        <item x="533"/>
        <item x="275"/>
        <item x="599"/>
        <item x="535"/>
        <item x="145"/>
        <item x="53"/>
        <item x="131"/>
        <item x="438"/>
        <item x="436"/>
        <item x="479"/>
        <item x="86"/>
        <item x="18"/>
        <item x="54"/>
        <item x="325"/>
        <item x="59"/>
        <item x="215"/>
        <item x="23"/>
        <item x="532"/>
        <item x="150"/>
        <item x="208"/>
        <item x="270"/>
        <item x="269"/>
        <item x="375"/>
        <item x="44"/>
        <item x="17"/>
        <item x="61"/>
        <item x="51"/>
        <item x="524"/>
        <item x="214"/>
        <item x="381"/>
        <item x="50"/>
        <item x="432"/>
        <item x="434"/>
        <item x="92"/>
        <item x="29"/>
        <item x="95"/>
        <item x="16"/>
        <item x="94"/>
        <item x="263"/>
        <item x="82"/>
        <item x="203"/>
        <item x="528"/>
        <item x="43"/>
        <item x="333"/>
        <item x="466"/>
        <item x="22"/>
        <item x="430"/>
        <item x="330"/>
        <item x="279"/>
        <item x="147"/>
        <item x="598"/>
        <item x="206"/>
        <item x="475"/>
        <item x="472"/>
        <item x="373"/>
        <item x="374"/>
        <item x="146"/>
        <item x="200"/>
        <item x="321"/>
        <item x="603"/>
        <item x="28"/>
        <item x="462"/>
        <item x="212"/>
        <item x="376"/>
        <item x="262"/>
        <item x="382"/>
        <item x="276"/>
        <item x="389"/>
        <item x="387"/>
        <item x="329"/>
        <item x="320"/>
        <item x="201"/>
        <item x="332"/>
        <item x="471"/>
        <item x="219"/>
        <item x="218"/>
        <item x="265"/>
        <item x="538"/>
        <item x="260"/>
        <item x="386"/>
        <item x="91"/>
        <item x="461"/>
        <item x="602"/>
        <item x="46"/>
        <item x="328"/>
        <item x="220"/>
        <item x="426"/>
        <item x="202"/>
        <item x="85"/>
        <item x="55"/>
        <item x="57"/>
        <item x="431"/>
        <item x="132"/>
        <item x="464"/>
        <item x="21"/>
        <item x="130"/>
        <item x="435"/>
        <item x="20"/>
        <item x="536"/>
        <item x="49"/>
        <item x="62"/>
        <item x="378"/>
        <item x="112"/>
        <item x="188"/>
        <item x="317"/>
        <item x="371"/>
        <item x="573"/>
        <item x="369"/>
        <item x="368"/>
        <item x="311"/>
        <item x="307"/>
        <item x="182"/>
        <item x="576"/>
        <item x="178"/>
        <item x="252"/>
        <item x="241"/>
        <item x="255"/>
        <item x="507"/>
        <item x="120"/>
        <item x="362"/>
        <item x="181"/>
        <item x="244"/>
        <item x="10"/>
        <item x="2"/>
        <item x="579"/>
        <item x="584"/>
        <item x="8"/>
        <item x="578"/>
        <item x="128"/>
        <item x="259"/>
        <item x="503"/>
        <item x="575"/>
        <item x="418"/>
        <item x="248"/>
        <item x="423"/>
        <item x="509"/>
        <item x="516"/>
        <item x="572"/>
        <item x="239"/>
        <item x="257"/>
        <item x="585"/>
        <item x="372"/>
        <item x="191"/>
        <item x="193"/>
        <item x="417"/>
        <item x="414"/>
        <item x="361"/>
        <item x="113"/>
        <item x="258"/>
        <item x="245"/>
        <item x="358"/>
        <item x="522"/>
        <item x="243"/>
        <item x="521"/>
        <item x="505"/>
        <item x="591"/>
        <item x="411"/>
        <item x="183"/>
        <item x="589"/>
        <item x="316"/>
        <item x="256"/>
        <item x="412"/>
        <item x="250"/>
        <item x="115"/>
        <item x="583"/>
        <item x="186"/>
        <item x="570"/>
        <item x="308"/>
        <item x="184"/>
        <item x="119"/>
        <item x="185"/>
        <item x="364"/>
        <item x="586"/>
        <item x="247"/>
        <item x="192"/>
        <item x="504"/>
        <item x="568"/>
        <item x="306"/>
        <item x="366"/>
        <item x="590"/>
        <item x="370"/>
        <item x="360"/>
        <item x="249"/>
        <item x="305"/>
        <item x="11"/>
        <item x="240"/>
        <item x="588"/>
        <item x="196"/>
        <item x="587"/>
        <item x="314"/>
        <item x="511"/>
        <item x="367"/>
        <item x="236"/>
        <item x="580"/>
        <item x="518"/>
        <item x="357"/>
        <item x="310"/>
        <item x="415"/>
        <item x="318"/>
        <item x="506"/>
        <item x="359"/>
        <item x="413"/>
        <item x="194"/>
        <item x="0"/>
        <item x="123"/>
        <item x="523"/>
        <item x="246"/>
        <item x="319"/>
        <item x="189"/>
        <item x="515"/>
        <item x="190"/>
        <item x="197"/>
        <item x="237"/>
        <item x="125"/>
        <item x="309"/>
        <item x="419"/>
        <item x="251"/>
        <item x="5"/>
        <item x="410"/>
        <item x="3"/>
        <item x="124"/>
        <item x="127"/>
        <item x="179"/>
        <item x="581"/>
        <item x="514"/>
        <item x="121"/>
        <item x="582"/>
        <item x="422"/>
        <item x="571"/>
        <item x="116"/>
        <item x="9"/>
        <item x="312"/>
        <item x="313"/>
        <item x="254"/>
        <item x="519"/>
        <item x="118"/>
        <item x="512"/>
        <item x="7"/>
        <item x="111"/>
        <item x="6"/>
        <item x="1"/>
        <item x="315"/>
        <item x="592"/>
        <item x="242"/>
        <item x="574"/>
        <item x="508"/>
        <item x="114"/>
        <item x="122"/>
        <item x="416"/>
        <item x="4"/>
        <item x="421"/>
        <item x="577"/>
        <item x="238"/>
        <item x="365"/>
        <item x="420"/>
        <item x="513"/>
        <item x="180"/>
        <item x="253"/>
        <item x="425"/>
        <item x="363"/>
        <item x="195"/>
        <item x="569"/>
        <item x="187"/>
        <item x="520"/>
        <item x="304"/>
        <item x="517"/>
        <item x="424"/>
        <item x="117"/>
        <item x="510"/>
        <item x="126"/>
        <item t="default"/>
      </items>
    </pivotField>
    <pivotField numFmtId="17" showAll="0">
      <items count="15">
        <item x="0"/>
        <item x="1"/>
        <item x="2"/>
        <item x="3"/>
        <item x="4"/>
        <item x="5"/>
        <item x="6"/>
        <item x="7"/>
        <item x="8"/>
        <item x="9"/>
        <item x="10"/>
        <item x="11"/>
        <item x="12"/>
        <item x="13"/>
        <item t="default"/>
      </items>
    </pivotField>
    <pivotField numFmtId="14" showAll="0"/>
    <pivotField showAll="0">
      <items count="5">
        <item x="1"/>
        <item x="0"/>
        <item x="3"/>
        <item x="2"/>
        <item t="default"/>
      </items>
    </pivotField>
    <pivotField showAll="0">
      <items count="13">
        <item x="0"/>
        <item x="3"/>
        <item x="7"/>
        <item x="10"/>
        <item x="11"/>
        <item x="4"/>
        <item x="5"/>
        <item x="1"/>
        <item x="8"/>
        <item x="6"/>
        <item x="2"/>
        <item x="9"/>
        <item t="default"/>
      </items>
    </pivotField>
    <pivotField showAll="0"/>
    <pivotField showAll="0"/>
    <pivotField showAll="0">
      <items count="7">
        <item x="0"/>
        <item x="2"/>
        <item x="4"/>
        <item x="3"/>
        <item x="1"/>
        <item x="5"/>
        <item t="default"/>
      </items>
    </pivotField>
    <pivotField axis="axisRow" showAll="0">
      <items count="17">
        <item x="5"/>
        <item x="12"/>
        <item x="6"/>
        <item x="9"/>
        <item x="11"/>
        <item x="7"/>
        <item x="15"/>
        <item x="10"/>
        <item x="13"/>
        <item x="2"/>
        <item x="1"/>
        <item x="0"/>
        <item x="4"/>
        <item x="3"/>
        <item x="8"/>
        <item x="14"/>
        <item t="default"/>
      </items>
    </pivotField>
    <pivotField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dataField="1" numFmtId="2" showAll="0"/>
    <pivotField numFmtId="2" showAll="0"/>
    <pivotField dataField="1" numFmtId="2" showAll="0"/>
    <pivotField numFmtId="2" showAll="0"/>
    <pivotField showAll="0"/>
    <pivotField showAll="0"/>
    <pivotField showAll="0"/>
    <pivotField showAll="0"/>
    <pivotField showAll="0">
      <items count="3">
        <item x="1"/>
        <item x="0"/>
        <item t="default"/>
      </items>
    </pivotField>
    <pivotField showAll="0" defaultSubtotal="0"/>
    <pivotField showAll="0" defaultSubtotal="0"/>
  </pivotFields>
  <rowFields count="1">
    <field x="8"/>
  </rowFields>
  <rowItems count="17">
    <i>
      <x/>
    </i>
    <i>
      <x v="1"/>
    </i>
    <i>
      <x v="2"/>
    </i>
    <i>
      <x v="3"/>
    </i>
    <i>
      <x v="4"/>
    </i>
    <i>
      <x v="5"/>
    </i>
    <i>
      <x v="6"/>
    </i>
    <i>
      <x v="7"/>
    </i>
    <i>
      <x v="8"/>
    </i>
    <i>
      <x v="9"/>
    </i>
    <i>
      <x v="10"/>
    </i>
    <i>
      <x v="11"/>
    </i>
    <i>
      <x v="12"/>
    </i>
    <i>
      <x v="13"/>
    </i>
    <i>
      <x v="14"/>
    </i>
    <i>
      <x v="15"/>
    </i>
    <i t="grand">
      <x/>
    </i>
  </rowItems>
  <colFields count="1">
    <field x="-2"/>
  </colFields>
  <colItems count="3">
    <i>
      <x/>
    </i>
    <i i="1">
      <x v="1"/>
    </i>
    <i i="2">
      <x v="2"/>
    </i>
  </colItems>
  <dataFields count="3">
    <dataField name="Sum of GrossRevenue" fld="20" baseField="0" baseItem="0" numFmtId="166"/>
    <dataField name="Sum of GrossProfit" fld="22" baseField="0" baseItem="0" numFmtId="166"/>
    <dataField name="Count of OrderID" fld="0" subtotal="count" baseField="0" baseItem="0"/>
  </dataFields>
  <formats count="1">
    <format dxfId="88">
      <pivotArea outline="0" collapsedLevelsAreSubtotals="1" fieldPosition="0">
        <references count="1">
          <reference field="4294967294" count="2" selected="0">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13340A-E542-48CA-80CF-2731E7EBFAAD}" name="PivotTable1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32" firstHeaderRow="1" firstDataRow="1" firstDataCol="1"/>
  <pivotFields count="31">
    <pivotField showAll="0"/>
    <pivotField numFmtId="17" showAll="0">
      <items count="15">
        <item x="0"/>
        <item x="1"/>
        <item x="2"/>
        <item x="3"/>
        <item x="4"/>
        <item x="5"/>
        <item x="6"/>
        <item x="7"/>
        <item x="8"/>
        <item x="9"/>
        <item x="10"/>
        <item x="11"/>
        <item x="12"/>
        <item x="13"/>
        <item t="default"/>
      </items>
    </pivotField>
    <pivotField numFmtId="14" showAll="0"/>
    <pivotField axis="axisRow" showAll="0">
      <items count="5">
        <item x="1"/>
        <item x="0"/>
        <item x="3"/>
        <item x="2"/>
        <item t="default"/>
      </items>
    </pivotField>
    <pivotField showAll="0">
      <items count="13">
        <item x="0"/>
        <item x="3"/>
        <item x="7"/>
        <item x="10"/>
        <item x="11"/>
        <item x="4"/>
        <item x="5"/>
        <item x="1"/>
        <item x="8"/>
        <item x="6"/>
        <item x="2"/>
        <item x="9"/>
        <item t="default"/>
      </items>
    </pivotField>
    <pivotField showAll="0"/>
    <pivotField showAll="0"/>
    <pivotField axis="axisRow" showAll="0">
      <items count="7">
        <item x="0"/>
        <item x="2"/>
        <item x="4"/>
        <item x="3"/>
        <item x="1"/>
        <item x="5"/>
        <item t="default"/>
      </items>
    </pivotField>
    <pivotField showAll="0"/>
    <pivotField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numFmtId="2" showAll="0"/>
    <pivotField numFmtId="2" showAll="0"/>
    <pivotField dataField="1" numFmtId="2" showAll="0"/>
    <pivotField numFmtId="2" showAll="0"/>
    <pivotField showAll="0"/>
    <pivotField showAll="0"/>
    <pivotField showAll="0"/>
    <pivotField showAll="0"/>
    <pivotField showAll="0">
      <items count="3">
        <item x="1"/>
        <item x="0"/>
        <item t="default"/>
      </items>
    </pivotField>
    <pivotField showAll="0" defaultSubtotal="0"/>
    <pivotField showAll="0" defaultSubtotal="0"/>
  </pivotFields>
  <rowFields count="2">
    <field x="3"/>
    <field x="7"/>
  </rowFields>
  <rowItems count="29">
    <i>
      <x/>
    </i>
    <i r="1">
      <x/>
    </i>
    <i r="1">
      <x v="1"/>
    </i>
    <i r="1">
      <x v="2"/>
    </i>
    <i r="1">
      <x v="3"/>
    </i>
    <i r="1">
      <x v="4"/>
    </i>
    <i r="1">
      <x v="5"/>
    </i>
    <i>
      <x v="1"/>
    </i>
    <i r="1">
      <x/>
    </i>
    <i r="1">
      <x v="1"/>
    </i>
    <i r="1">
      <x v="2"/>
    </i>
    <i r="1">
      <x v="3"/>
    </i>
    <i r="1">
      <x v="4"/>
    </i>
    <i r="1">
      <x v="5"/>
    </i>
    <i>
      <x v="2"/>
    </i>
    <i r="1">
      <x/>
    </i>
    <i r="1">
      <x v="1"/>
    </i>
    <i r="1">
      <x v="2"/>
    </i>
    <i r="1">
      <x v="3"/>
    </i>
    <i r="1">
      <x v="4"/>
    </i>
    <i r="1">
      <x v="5"/>
    </i>
    <i>
      <x v="3"/>
    </i>
    <i r="1">
      <x/>
    </i>
    <i r="1">
      <x v="1"/>
    </i>
    <i r="1">
      <x v="2"/>
    </i>
    <i r="1">
      <x v="3"/>
    </i>
    <i r="1">
      <x v="4"/>
    </i>
    <i r="1">
      <x v="5"/>
    </i>
    <i t="grand">
      <x/>
    </i>
  </rowItems>
  <colItems count="1">
    <i/>
  </colItems>
  <dataFields count="1">
    <dataField name="Sum of GrossProfit" fld="22" baseField="0" baseItem="0" numFmtId="166"/>
  </dataFields>
  <formats count="1">
    <format dxfId="87">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51E7ABD-9553-40C4-A241-66963CDE72D0}"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14" firstHeaderRow="1" firstDataRow="1" firstDataCol="1"/>
  <pivotFields count="31">
    <pivotField showAll="0"/>
    <pivotField numFmtId="17" showAll="0">
      <items count="15">
        <item x="0"/>
        <item x="1"/>
        <item x="2"/>
        <item x="3"/>
        <item x="4"/>
        <item x="5"/>
        <item x="6"/>
        <item x="7"/>
        <item x="8"/>
        <item x="9"/>
        <item x="10"/>
        <item x="11"/>
        <item x="12"/>
        <item x="13"/>
        <item t="default"/>
      </items>
    </pivotField>
    <pivotField numFmtId="14" showAll="0"/>
    <pivotField showAll="0">
      <items count="5">
        <item x="1"/>
        <item x="0"/>
        <item x="3"/>
        <item x="2"/>
        <item t="default"/>
      </items>
    </pivotField>
    <pivotField showAll="0">
      <items count="13">
        <item x="0"/>
        <item x="3"/>
        <item x="7"/>
        <item x="10"/>
        <item x="11"/>
        <item x="4"/>
        <item x="5"/>
        <item x="1"/>
        <item x="8"/>
        <item x="6"/>
        <item x="2"/>
        <item x="9"/>
        <item t="default"/>
      </items>
    </pivotField>
    <pivotField showAll="0"/>
    <pivotField showAll="0"/>
    <pivotField showAll="0">
      <items count="7">
        <item x="0"/>
        <item x="2"/>
        <item x="4"/>
        <item x="3"/>
        <item x="1"/>
        <item x="5"/>
        <item t="default"/>
      </items>
    </pivotField>
    <pivotField showAll="0"/>
    <pivotField showAll="0" sortType="ascending">
      <items count="8">
        <item x="0"/>
        <item x="6"/>
        <item x="1"/>
        <item x="5"/>
        <item x="2"/>
        <item x="4"/>
        <item x="3"/>
        <item t="default"/>
      </items>
    </pivotField>
    <pivotField axis="axisRow" showAll="0" measureFilter="1" sortType="descending">
      <items count="630">
        <item x="427"/>
        <item x="310"/>
        <item x="106"/>
        <item x="86"/>
        <item x="345"/>
        <item x="115"/>
        <item x="41"/>
        <item x="548"/>
        <item x="309"/>
        <item x="422"/>
        <item x="368"/>
        <item x="1"/>
        <item x="612"/>
        <item x="236"/>
        <item x="173"/>
        <item x="121"/>
        <item x="164"/>
        <item x="462"/>
        <item x="326"/>
        <item x="213"/>
        <item x="70"/>
        <item x="245"/>
        <item x="292"/>
        <item x="229"/>
        <item x="591"/>
        <item x="562"/>
        <item x="385"/>
        <item x="111"/>
        <item x="293"/>
        <item x="39"/>
        <item x="30"/>
        <item x="65"/>
        <item x="408"/>
        <item x="323"/>
        <item x="296"/>
        <item x="545"/>
        <item x="249"/>
        <item x="421"/>
        <item x="184"/>
        <item x="71"/>
        <item x="512"/>
        <item x="541"/>
        <item x="357"/>
        <item x="294"/>
        <item x="31"/>
        <item x="611"/>
        <item x="74"/>
        <item x="416"/>
        <item x="413"/>
        <item x="145"/>
        <item x="154"/>
        <item x="104"/>
        <item x="344"/>
        <item x="362"/>
        <item x="468"/>
        <item x="390"/>
        <item x="99"/>
        <item x="594"/>
        <item x="490"/>
        <item x="332"/>
        <item x="0"/>
        <item x="85"/>
        <item x="346"/>
        <item x="134"/>
        <item x="142"/>
        <item x="263"/>
        <item x="620"/>
        <item x="270"/>
        <item x="242"/>
        <item x="378"/>
        <item x="246"/>
        <item x="315"/>
        <item x="336"/>
        <item x="449"/>
        <item x="77"/>
        <item x="476"/>
        <item x="278"/>
        <item x="314"/>
        <item x="49"/>
        <item x="230"/>
        <item x="274"/>
        <item x="174"/>
        <item x="343"/>
        <item x="195"/>
        <item x="420"/>
        <item x="495"/>
        <item x="261"/>
        <item x="37"/>
        <item x="46"/>
        <item x="370"/>
        <item x="312"/>
        <item x="301"/>
        <item x="372"/>
        <item x="487"/>
        <item x="540"/>
        <item x="444"/>
        <item x="499"/>
        <item x="88"/>
        <item x="273"/>
        <item x="78"/>
        <item x="544"/>
        <item x="464"/>
        <item x="393"/>
        <item x="232"/>
        <item x="456"/>
        <item x="507"/>
        <item x="112"/>
        <item x="27"/>
        <item x="202"/>
        <item x="196"/>
        <item x="144"/>
        <item x="186"/>
        <item x="474"/>
        <item x="126"/>
        <item x="581"/>
        <item x="536"/>
        <item x="100"/>
        <item x="59"/>
        <item x="244"/>
        <item x="254"/>
        <item x="492"/>
        <item x="52"/>
        <item x="169"/>
        <item x="496"/>
        <item x="79"/>
        <item x="606"/>
        <item x="513"/>
        <item x="50"/>
        <item x="418"/>
        <item x="376"/>
        <item x="167"/>
        <item x="38"/>
        <item x="509"/>
        <item x="527"/>
        <item x="157"/>
        <item x="308"/>
        <item x="289"/>
        <item x="329"/>
        <item x="434"/>
        <item x="136"/>
        <item x="503"/>
        <item x="551"/>
        <item x="265"/>
        <item x="574"/>
        <item x="595"/>
        <item x="335"/>
        <item x="146"/>
        <item x="11"/>
        <item x="467"/>
        <item x="153"/>
        <item x="9"/>
        <item x="188"/>
        <item x="547"/>
        <item x="334"/>
        <item x="624"/>
        <item x="18"/>
        <item x="208"/>
        <item x="219"/>
        <item x="139"/>
        <item x="55"/>
        <item x="373"/>
        <item x="602"/>
        <item x="231"/>
        <item x="205"/>
        <item x="251"/>
        <item x="176"/>
        <item x="618"/>
        <item x="364"/>
        <item x="338"/>
        <item x="223"/>
        <item x="317"/>
        <item x="217"/>
        <item x="425"/>
        <item x="120"/>
        <item x="172"/>
        <item x="45"/>
        <item x="426"/>
        <item x="131"/>
        <item x="353"/>
        <item x="257"/>
        <item x="607"/>
        <item x="103"/>
        <item x="258"/>
        <item x="614"/>
        <item x="269"/>
        <item x="493"/>
        <item x="531"/>
        <item x="356"/>
        <item x="256"/>
        <item x="304"/>
        <item x="76"/>
        <item x="439"/>
        <item x="162"/>
        <item x="201"/>
        <item x="483"/>
        <item x="409"/>
        <item x="521"/>
        <item x="2"/>
        <item x="124"/>
        <item x="448"/>
        <item x="589"/>
        <item x="608"/>
        <item x="379"/>
        <item x="501"/>
        <item x="454"/>
        <item x="360"/>
        <item x="348"/>
        <item x="510"/>
        <item x="25"/>
        <item x="578"/>
        <item x="402"/>
        <item x="262"/>
        <item x="340"/>
        <item x="517"/>
        <item x="102"/>
        <item x="33"/>
        <item x="149"/>
        <item x="601"/>
        <item x="95"/>
        <item x="29"/>
        <item x="431"/>
        <item x="384"/>
        <item x="35"/>
        <item x="226"/>
        <item x="341"/>
        <item x="177"/>
        <item x="271"/>
        <item x="40"/>
        <item x="424"/>
        <item x="529"/>
        <item x="391"/>
        <item x="125"/>
        <item x="194"/>
        <item x="63"/>
        <item x="367"/>
        <item x="253"/>
        <item x="518"/>
        <item x="224"/>
        <item x="530"/>
        <item x="185"/>
        <item x="480"/>
        <item x="473"/>
        <item x="440"/>
        <item x="600"/>
        <item x="399"/>
        <item x="218"/>
        <item x="478"/>
        <item x="318"/>
        <item x="117"/>
        <item x="80"/>
        <item x="140"/>
        <item x="272"/>
        <item x="617"/>
        <item x="400"/>
        <item x="333"/>
        <item x="325"/>
        <item x="389"/>
        <item x="597"/>
        <item x="342"/>
        <item x="92"/>
        <item x="264"/>
        <item x="411"/>
        <item x="328"/>
        <item x="491"/>
        <item x="365"/>
        <item x="626"/>
        <item x="502"/>
        <item x="234"/>
        <item x="143"/>
        <item x="171"/>
        <item x="550"/>
        <item x="435"/>
        <item x="161"/>
        <item x="397"/>
        <item x="235"/>
        <item x="567"/>
        <item x="524"/>
        <item x="283"/>
        <item x="116"/>
        <item x="8"/>
        <item x="625"/>
        <item x="347"/>
        <item x="429"/>
        <item x="568"/>
        <item x="21"/>
        <item x="110"/>
        <item x="549"/>
        <item x="380"/>
        <item x="460"/>
        <item x="138"/>
        <item x="488"/>
        <item x="504"/>
        <item x="286"/>
        <item x="42"/>
        <item x="207"/>
        <item x="622"/>
        <item x="471"/>
        <item x="165"/>
        <item x="580"/>
        <item x="423"/>
        <item x="160"/>
        <item x="414"/>
        <item x="96"/>
        <item x="15"/>
        <item x="610"/>
        <item x="571"/>
        <item x="276"/>
        <item x="302"/>
        <item x="198"/>
        <item x="556"/>
        <item x="211"/>
        <item x="250"/>
        <item x="623"/>
        <item x="486"/>
        <item x="596"/>
        <item x="324"/>
        <item x="479"/>
        <item x="24"/>
        <item x="455"/>
        <item x="137"/>
        <item x="168"/>
        <item x="148"/>
        <item x="590"/>
        <item x="215"/>
        <item x="183"/>
        <item x="396"/>
        <item x="552"/>
        <item x="73"/>
        <item x="322"/>
        <item x="241"/>
        <item x="305"/>
        <item x="352"/>
        <item x="97"/>
        <item x="51"/>
        <item x="210"/>
        <item x="469"/>
        <item x="214"/>
        <item x="275"/>
        <item x="64"/>
        <item x="53"/>
        <item x="528"/>
        <item x="47"/>
        <item x="383"/>
        <item x="288"/>
        <item x="569"/>
        <item x="222"/>
        <item x="7"/>
        <item x="572"/>
        <item x="522"/>
        <item x="60"/>
        <item x="447"/>
        <item x="534"/>
        <item x="17"/>
        <item x="129"/>
        <item x="303"/>
        <item x="457"/>
        <item x="511"/>
        <item x="392"/>
        <item x="319"/>
        <item x="354"/>
        <item x="350"/>
        <item x="306"/>
        <item x="605"/>
        <item x="465"/>
        <item x="394"/>
        <item x="585"/>
        <item x="619"/>
        <item x="151"/>
        <item x="339"/>
        <item x="613"/>
        <item x="109"/>
        <item x="446"/>
        <item x="412"/>
        <item x="87"/>
        <item x="560"/>
        <item x="84"/>
        <item x="101"/>
        <item x="175"/>
        <item x="586"/>
        <item x="406"/>
        <item x="255"/>
        <item x="546"/>
        <item x="61"/>
        <item x="113"/>
        <item x="508"/>
        <item x="297"/>
        <item x="603"/>
        <item x="107"/>
        <item x="404"/>
        <item x="141"/>
        <item x="260"/>
        <item x="477"/>
        <item x="374"/>
        <item x="330"/>
        <item x="561"/>
        <item x="458"/>
        <item x="459"/>
        <item x="516"/>
        <item x="57"/>
        <item x="570"/>
        <item x="355"/>
        <item x="419"/>
        <item x="220"/>
        <item x="158"/>
        <item x="282"/>
        <item x="497"/>
        <item x="407"/>
        <item x="506"/>
        <item x="189"/>
        <item x="252"/>
        <item x="43"/>
        <item x="337"/>
        <item x="281"/>
        <item x="191"/>
        <item x="233"/>
        <item x="428"/>
        <item x="366"/>
        <item x="525"/>
        <item x="316"/>
        <item x="13"/>
        <item x="193"/>
        <item x="197"/>
        <item x="90"/>
        <item x="575"/>
        <item x="433"/>
        <item x="398"/>
        <item x="68"/>
        <item x="537"/>
        <item x="3"/>
        <item x="554"/>
        <item x="441"/>
        <item x="382"/>
        <item x="320"/>
        <item x="443"/>
        <item x="588"/>
        <item x="463"/>
        <item x="28"/>
        <item x="542"/>
        <item x="417"/>
        <item x="10"/>
        <item x="543"/>
        <item x="156"/>
        <item x="369"/>
        <item x="437"/>
        <item x="609"/>
        <item x="93"/>
        <item x="295"/>
        <item x="553"/>
        <item x="451"/>
        <item x="299"/>
        <item x="538"/>
        <item x="266"/>
        <item x="105"/>
        <item x="576"/>
        <item x="579"/>
        <item x="6"/>
        <item x="361"/>
        <item x="180"/>
        <item x="482"/>
        <item x="535"/>
        <item x="403"/>
        <item x="216"/>
        <item x="247"/>
        <item x="119"/>
        <item x="566"/>
        <item x="238"/>
        <item x="583"/>
        <item x="563"/>
        <item x="204"/>
        <item x="133"/>
        <item x="178"/>
        <item x="182"/>
        <item x="582"/>
        <item x="26"/>
        <item x="489"/>
        <item x="300"/>
        <item x="200"/>
        <item x="453"/>
        <item x="212"/>
        <item x="430"/>
        <item x="248"/>
        <item x="155"/>
        <item x="240"/>
        <item x="598"/>
        <item x="243"/>
        <item x="123"/>
        <item x="415"/>
        <item x="66"/>
        <item x="539"/>
        <item x="159"/>
        <item x="359"/>
        <item x="128"/>
        <item x="481"/>
        <item x="290"/>
        <item x="277"/>
        <item x="321"/>
        <item x="279"/>
        <item x="5"/>
        <item x="363"/>
        <item x="615"/>
        <item x="500"/>
        <item x="259"/>
        <item x="58"/>
        <item x="307"/>
        <item x="327"/>
        <item x="199"/>
        <item x="494"/>
        <item x="150"/>
        <item x="225"/>
        <item x="470"/>
        <item x="555"/>
        <item x="584"/>
        <item x="371"/>
        <item x="75"/>
        <item x="228"/>
        <item x="587"/>
        <item x="22"/>
        <item x="69"/>
        <item x="152"/>
        <item x="593"/>
        <item x="108"/>
        <item x="520"/>
        <item x="147"/>
        <item x="514"/>
        <item x="280"/>
        <item x="54"/>
        <item x="452"/>
        <item x="604"/>
        <item x="14"/>
        <item x="526"/>
        <item x="166"/>
        <item x="4"/>
        <item x="98"/>
        <item x="349"/>
        <item x="405"/>
        <item x="498"/>
        <item x="135"/>
        <item x="36"/>
        <item x="410"/>
        <item x="170"/>
        <item x="515"/>
        <item x="91"/>
        <item x="351"/>
        <item x="122"/>
        <item x="89"/>
        <item x="287"/>
        <item x="592"/>
        <item x="16"/>
        <item x="331"/>
        <item x="358"/>
        <item x="20"/>
        <item x="62"/>
        <item x="187"/>
        <item x="291"/>
        <item x="239"/>
        <item x="132"/>
        <item x="12"/>
        <item x="268"/>
        <item x="82"/>
        <item x="34"/>
        <item x="267"/>
        <item x="221"/>
        <item x="565"/>
        <item x="401"/>
        <item x="466"/>
        <item x="523"/>
        <item x="56"/>
        <item x="436"/>
        <item x="94"/>
        <item x="67"/>
        <item x="32"/>
        <item x="616"/>
        <item x="559"/>
        <item x="192"/>
        <item x="432"/>
        <item x="461"/>
        <item x="83"/>
        <item x="532"/>
        <item x="44"/>
        <item x="311"/>
        <item x="130"/>
        <item x="181"/>
        <item x="313"/>
        <item x="23"/>
        <item x="127"/>
        <item x="577"/>
        <item x="395"/>
        <item x="442"/>
        <item x="237"/>
        <item x="298"/>
        <item x="72"/>
        <item x="284"/>
        <item x="375"/>
        <item x="386"/>
        <item x="381"/>
        <item x="472"/>
        <item x="209"/>
        <item x="628"/>
        <item x="227"/>
        <item x="558"/>
        <item x="438"/>
        <item x="599"/>
        <item x="445"/>
        <item x="387"/>
        <item x="203"/>
        <item x="285"/>
        <item x="484"/>
        <item x="505"/>
        <item x="485"/>
        <item x="388"/>
        <item x="377"/>
        <item x="573"/>
        <item x="206"/>
        <item x="179"/>
        <item x="114"/>
        <item x="627"/>
        <item x="621"/>
        <item x="48"/>
        <item x="475"/>
        <item x="163"/>
        <item x="519"/>
        <item x="19"/>
        <item x="450"/>
        <item x="557"/>
        <item x="118"/>
        <item x="533"/>
        <item x="190"/>
        <item x="81"/>
        <item x="564"/>
        <item t="default"/>
      </items>
      <autoSortScope>
        <pivotArea dataOnly="0" outline="0" fieldPosition="0">
          <references count="1">
            <reference field="4294967294" count="1" selected="0">
              <x v="0"/>
            </reference>
          </references>
        </pivotArea>
      </autoSortScope>
    </pivotField>
    <pivotField numFmtId="2" showAll="0"/>
    <pivotField numFmtId="2" showAll="0"/>
    <pivotField numFmtId="2" showAll="0"/>
    <pivotField numFmtId="2" showAll="0"/>
    <pivotField numFmtId="2" showAll="0"/>
    <pivotField numFmtId="2" showAll="0"/>
    <pivotField showAll="0"/>
    <pivotField numFmtId="14" showAll="0"/>
    <pivotField numFmtId="1" showAll="0"/>
    <pivotField dataField="1" numFmtId="2" showAll="0"/>
    <pivotField numFmtId="2" showAll="0"/>
    <pivotField numFmtId="2" showAll="0"/>
    <pivotField numFmtId="2" showAll="0"/>
    <pivotField showAll="0"/>
    <pivotField showAll="0"/>
    <pivotField showAll="0"/>
    <pivotField showAll="0"/>
    <pivotField showAll="0">
      <items count="3">
        <item x="1"/>
        <item x="0"/>
        <item t="default"/>
      </items>
    </pivotField>
    <pivotField showAll="0" defaultSubtotal="0"/>
    <pivotField showAll="0" defaultSubtotal="0"/>
  </pivotFields>
  <rowFields count="1">
    <field x="10"/>
  </rowFields>
  <rowItems count="11">
    <i>
      <x v="170"/>
    </i>
    <i>
      <x v="367"/>
    </i>
    <i>
      <x v="247"/>
    </i>
    <i>
      <x v="322"/>
    </i>
    <i>
      <x v="269"/>
    </i>
    <i>
      <x v="318"/>
    </i>
    <i>
      <x v="116"/>
    </i>
    <i>
      <x v="206"/>
    </i>
    <i>
      <x v="404"/>
    </i>
    <i>
      <x v="402"/>
    </i>
    <i t="grand">
      <x/>
    </i>
  </rowItems>
  <colItems count="1">
    <i/>
  </colItems>
  <dataFields count="1">
    <dataField name="Sum of GrossRevenue" fld="20" baseField="10" baseItem="170" numFmtId="166"/>
  </dataFields>
  <formats count="4">
    <format dxfId="84">
      <pivotArea outline="0" collapsedLevelsAreSubtotals="1" fieldPosition="0"/>
    </format>
    <format dxfId="83">
      <pivotArea outline="0" fieldPosition="0">
        <references count="1">
          <reference field="4294967294" count="1">
            <x v="0"/>
          </reference>
        </references>
      </pivotArea>
    </format>
    <format dxfId="82">
      <pivotArea outline="0" collapsedLevelsAreSubtotals="1" fieldPosition="0"/>
    </format>
    <format dxfId="81">
      <pivotArea dataOnly="0" labelOnly="1" outline="0" axis="axisValues" fieldPosition="0"/>
    </format>
  </formats>
  <conditionalFormats count="1">
    <conditionalFormat type="all" priority="2">
      <pivotAreas count="1">
        <pivotArea type="data" collapsedLevelsAreSubtotals="1" fieldPosition="0">
          <references count="2">
            <reference field="4294967294" count="1" selected="0">
              <x v="0"/>
            </reference>
            <reference field="10" count="629">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x v="600"/>
              <x v="601"/>
              <x v="602"/>
              <x v="603"/>
              <x v="604"/>
              <x v="605"/>
              <x v="606"/>
              <x v="607"/>
              <x v="608"/>
              <x v="609"/>
              <x v="610"/>
              <x v="611"/>
              <x v="612"/>
              <x v="613"/>
              <x v="614"/>
              <x v="615"/>
              <x v="616"/>
              <x v="617"/>
              <x v="618"/>
              <x v="619"/>
              <x v="620"/>
              <x v="621"/>
              <x v="622"/>
              <x v="623"/>
              <x v="624"/>
              <x v="625"/>
              <x v="626"/>
              <x v="627"/>
              <x v="628"/>
            </reference>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13ACC6C-95EE-4BBF-A6EE-FCF92AEB9E48}"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65" firstHeaderRow="1" firstDataRow="1" firstDataCol="1"/>
  <pivotFields count="31">
    <pivotField showAll="0"/>
    <pivotField numFmtId="17" showAll="0"/>
    <pivotField numFmtId="14" showAll="0"/>
    <pivotField axis="axisRow" showAll="0">
      <items count="5">
        <item x="1"/>
        <item x="0"/>
        <item x="3"/>
        <item x="2"/>
        <item t="default"/>
      </items>
    </pivotField>
    <pivotField axis="axisRow" showAll="0">
      <items count="13">
        <item x="0"/>
        <item x="3"/>
        <item x="7"/>
        <item x="10"/>
        <item x="11"/>
        <item x="4"/>
        <item x="5"/>
        <item x="1"/>
        <item x="8"/>
        <item x="6"/>
        <item x="2"/>
        <item x="9"/>
        <item t="default"/>
      </items>
    </pivotField>
    <pivotField axis="axisRow" showAll="0">
      <items count="41">
        <item x="28"/>
        <item x="13"/>
        <item x="11"/>
        <item x="23"/>
        <item x="36"/>
        <item x="37"/>
        <item x="1"/>
        <item x="15"/>
        <item x="30"/>
        <item x="6"/>
        <item x="10"/>
        <item x="34"/>
        <item x="31"/>
        <item x="38"/>
        <item x="16"/>
        <item x="12"/>
        <item x="3"/>
        <item x="24"/>
        <item x="26"/>
        <item x="33"/>
        <item x="5"/>
        <item x="39"/>
        <item x="19"/>
        <item x="35"/>
        <item x="7"/>
        <item x="2"/>
        <item x="22"/>
        <item x="21"/>
        <item x="9"/>
        <item x="29"/>
        <item x="27"/>
        <item x="0"/>
        <item x="32"/>
        <item x="17"/>
        <item x="20"/>
        <item x="14"/>
        <item x="8"/>
        <item x="4"/>
        <item x="25"/>
        <item x="18"/>
        <item t="default"/>
      </items>
    </pivotField>
    <pivotField showAll="0"/>
    <pivotField showAll="0"/>
    <pivotField showAll="0"/>
    <pivotField showAll="0"/>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numFmtId="2" showAll="0"/>
    <pivotField numFmtId="2" showAll="0"/>
    <pivotField numFmtId="2" showAll="0"/>
    <pivotField numFmtId="2" showAll="0"/>
    <pivotField showAll="0"/>
    <pivotField showAll="0"/>
    <pivotField showAll="0"/>
    <pivotField showAll="0"/>
    <pivotField showAll="0">
      <items count="3">
        <item x="1"/>
        <item x="0"/>
        <item t="default"/>
      </items>
    </pivotField>
    <pivotField showAll="0" defaultSubtotal="0"/>
    <pivotField showAll="0" defaultSubtotal="0"/>
  </pivotFields>
  <rowFields count="3">
    <field x="3"/>
    <field x="4"/>
    <field x="5"/>
  </rowFields>
  <rowItems count="62">
    <i>
      <x/>
    </i>
    <i r="1">
      <x v="7"/>
    </i>
    <i r="2">
      <x v="14"/>
    </i>
    <i r="2">
      <x v="20"/>
    </i>
    <i r="2">
      <x v="25"/>
    </i>
    <i r="2">
      <x v="26"/>
    </i>
    <i r="1">
      <x v="8"/>
    </i>
    <i r="2">
      <x/>
    </i>
    <i r="2">
      <x v="15"/>
    </i>
    <i r="2">
      <x v="30"/>
    </i>
    <i r="2">
      <x v="38"/>
    </i>
    <i r="1">
      <x v="9"/>
    </i>
    <i r="2">
      <x v="7"/>
    </i>
    <i r="2">
      <x v="10"/>
    </i>
    <i r="2">
      <x v="13"/>
    </i>
    <i>
      <x v="1"/>
    </i>
    <i r="1">
      <x/>
    </i>
    <i r="2">
      <x v="6"/>
    </i>
    <i r="2">
      <x v="31"/>
    </i>
    <i r="2">
      <x v="33"/>
    </i>
    <i r="2">
      <x v="38"/>
    </i>
    <i r="1">
      <x v="1"/>
    </i>
    <i r="2">
      <x v="21"/>
    </i>
    <i r="2">
      <x v="37"/>
    </i>
    <i r="2">
      <x v="38"/>
    </i>
    <i r="2">
      <x v="39"/>
    </i>
    <i r="1">
      <x v="11"/>
    </i>
    <i r="2">
      <x v="1"/>
    </i>
    <i r="2">
      <x v="8"/>
    </i>
    <i r="2">
      <x v="27"/>
    </i>
    <i r="2">
      <x v="32"/>
    </i>
    <i>
      <x v="2"/>
    </i>
    <i r="1">
      <x v="2"/>
    </i>
    <i r="2">
      <x v="2"/>
    </i>
    <i r="2">
      <x v="34"/>
    </i>
    <i r="2">
      <x v="35"/>
    </i>
    <i r="2">
      <x v="38"/>
    </i>
    <i r="1">
      <x v="5"/>
    </i>
    <i r="2">
      <x v="3"/>
    </i>
    <i r="2">
      <x v="9"/>
    </i>
    <i r="2">
      <x v="12"/>
    </i>
    <i r="2">
      <x v="22"/>
    </i>
    <i r="2">
      <x v="38"/>
    </i>
    <i r="1">
      <x v="6"/>
    </i>
    <i r="2">
      <x v="24"/>
    </i>
    <i r="2">
      <x v="28"/>
    </i>
    <i r="2">
      <x v="36"/>
    </i>
    <i>
      <x v="3"/>
    </i>
    <i r="1">
      <x v="3"/>
    </i>
    <i r="2">
      <x v="17"/>
    </i>
    <i r="2">
      <x v="19"/>
    </i>
    <i r="2">
      <x v="29"/>
    </i>
    <i r="1">
      <x v="4"/>
    </i>
    <i r="2">
      <x v="4"/>
    </i>
    <i r="2">
      <x v="11"/>
    </i>
    <i r="2">
      <x v="23"/>
    </i>
    <i r="1">
      <x v="10"/>
    </i>
    <i r="2">
      <x v="5"/>
    </i>
    <i r="2">
      <x v="16"/>
    </i>
    <i r="2">
      <x v="18"/>
    </i>
    <i r="2">
      <x v="38"/>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F02665D-BE7B-44BA-9CC7-DAAC01028585}"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E16" firstHeaderRow="0" firstDataRow="1" firstDataCol="1"/>
  <pivotFields count="31">
    <pivotField dataField="1" showAll="0"/>
    <pivotField numFmtId="17" showAll="0">
      <items count="15">
        <item x="0"/>
        <item x="1"/>
        <item x="2"/>
        <item x="3"/>
        <item x="4"/>
        <item x="5"/>
        <item x="6"/>
        <item x="7"/>
        <item x="8"/>
        <item x="9"/>
        <item x="10"/>
        <item x="11"/>
        <item x="12"/>
        <item x="13"/>
        <item t="default"/>
      </items>
    </pivotField>
    <pivotField numFmtId="14" showAll="0"/>
    <pivotField showAll="0">
      <items count="5">
        <item x="1"/>
        <item x="0"/>
        <item x="3"/>
        <item x="2"/>
        <item t="default"/>
      </items>
    </pivotField>
    <pivotField axis="axisRow" showAll="0">
      <items count="13">
        <item x="0"/>
        <item x="3"/>
        <item x="7"/>
        <item x="10"/>
        <item x="11"/>
        <item x="4"/>
        <item x="5"/>
        <item x="1"/>
        <item x="8"/>
        <item x="6"/>
        <item x="2"/>
        <item x="9"/>
        <item t="default"/>
      </items>
    </pivotField>
    <pivotField showAll="0"/>
    <pivotField showAll="0"/>
    <pivotField showAll="0">
      <items count="7">
        <item x="0"/>
        <item x="2"/>
        <item x="4"/>
        <item x="3"/>
        <item x="1"/>
        <item x="5"/>
        <item t="default"/>
      </items>
    </pivotField>
    <pivotField showAll="0"/>
    <pivotField showAll="0">
      <items count="8">
        <item x="0"/>
        <item x="6"/>
        <item x="1"/>
        <item x="5"/>
        <item x="2"/>
        <item x="4"/>
        <item x="3"/>
        <item t="default"/>
      </items>
    </pivotField>
    <pivotField showAll="0"/>
    <pivotField numFmtId="2" showAll="0"/>
    <pivotField numFmtId="2" showAll="0"/>
    <pivotField numFmtId="2" showAll="0"/>
    <pivotField dataField="1" numFmtId="2" showAll="0"/>
    <pivotField numFmtId="2" showAll="0"/>
    <pivotField numFmtId="2" showAll="0"/>
    <pivotField showAll="0"/>
    <pivotField numFmtId="14" showAll="0"/>
    <pivotField numFmtId="1" showAll="0"/>
    <pivotField numFmtId="2" showAll="0"/>
    <pivotField numFmtId="2" showAll="0"/>
    <pivotField numFmtId="2" showAll="0"/>
    <pivotField numFmtId="2" showAll="0"/>
    <pivotField showAll="0"/>
    <pivotField showAll="0"/>
    <pivotField showAll="0"/>
    <pivotField showAll="0"/>
    <pivotField showAll="0">
      <items count="3">
        <item x="1"/>
        <item x="0"/>
        <item t="default"/>
      </items>
    </pivotField>
    <pivotField showAll="0" defaultSubtotal="0"/>
    <pivotField showAll="0" defaultSubtotal="0"/>
  </pivotFields>
  <rowFields count="1">
    <field x="4"/>
  </rowFields>
  <rowItems count="13">
    <i>
      <x/>
    </i>
    <i>
      <x v="1"/>
    </i>
    <i>
      <x v="2"/>
    </i>
    <i>
      <x v="3"/>
    </i>
    <i>
      <x v="4"/>
    </i>
    <i>
      <x v="5"/>
    </i>
    <i>
      <x v="6"/>
    </i>
    <i>
      <x v="7"/>
    </i>
    <i>
      <x v="8"/>
    </i>
    <i>
      <x v="9"/>
    </i>
    <i>
      <x v="10"/>
    </i>
    <i>
      <x v="11"/>
    </i>
    <i t="grand">
      <x/>
    </i>
  </rowItems>
  <colFields count="1">
    <field x="-2"/>
  </colFields>
  <colItems count="4">
    <i>
      <x/>
    </i>
    <i i="1">
      <x v="1"/>
    </i>
    <i i="2">
      <x v="2"/>
    </i>
    <i i="3">
      <x v="3"/>
    </i>
  </colItems>
  <dataFields count="4">
    <dataField name="Average of DiscountPct" fld="14" subtotal="average" baseField="4" baseItem="0"/>
    <dataField name="Max of DiscountPct" fld="14" subtotal="max" baseField="4" baseItem="0"/>
    <dataField name="Min of DiscountPct" fld="14" subtotal="min" baseField="4" baseItem="0"/>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FA6BC07-D048-495B-ABD1-3CA0EDE48294}" name="PivotTable1" cacheId="9"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D4" firstHeaderRow="0" firstDataRow="1" firstDataCol="0"/>
  <pivotFields count="36">
    <pivotField showAll="0"/>
    <pivotField numFmtId="17" showAll="0"/>
    <pivotField numFmtId="14" showAll="0"/>
    <pivotField showAll="0"/>
    <pivotField showAll="0"/>
    <pivotField showAll="0"/>
    <pivotField showAll="0"/>
    <pivotField showAll="0"/>
    <pivotField showAll="0"/>
    <pivotField showAll="0"/>
    <pivotField showAll="0"/>
    <pivotField numFmtId="2" showAll="0"/>
    <pivotField numFmtId="2" showAll="0"/>
    <pivotField numFmtId="2" showAll="0"/>
    <pivotField showAll="0"/>
    <pivotField numFmtId="2" showAll="0"/>
    <pivotField showAll="0"/>
    <pivotField numFmtId="2" showAll="0"/>
    <pivotField showAll="0"/>
    <pivotField numFmtId="14" showAll="0"/>
    <pivotField numFmtId="1" showAll="0"/>
    <pivotField dataField="1" numFmtId="2" showAll="0"/>
    <pivotField numFmtId="2" showAll="0"/>
    <pivotField dataField="1" numFmtId="2" showAll="0"/>
    <pivotField numFmtId="2" showAll="0"/>
    <pivotField showAll="0"/>
    <pivotField showAll="0"/>
    <pivotField showAll="0"/>
    <pivotField showAll="0"/>
    <pivotField showAll="0"/>
    <pivotField numFmtId="9" showAll="0"/>
    <pivotField numFmtId="166" showAll="0"/>
    <pivotField numFmtId="2" showAll="0"/>
    <pivotField dataField="1" numFmtId="166" showAll="0"/>
    <pivotField numFmtId="166" showAll="0"/>
    <pivotField dataField="1" numFmtId="166" showAll="0"/>
  </pivotFields>
  <rowItems count="1">
    <i/>
  </rowItems>
  <colFields count="1">
    <field x="-2"/>
  </colFields>
  <colItems count="4">
    <i>
      <x/>
    </i>
    <i i="1">
      <x v="1"/>
    </i>
    <i i="2">
      <x v="2"/>
    </i>
    <i i="3">
      <x v="3"/>
    </i>
  </colItems>
  <dataFields count="4">
    <dataField name="Sum of GrossRevenue" fld="21" baseField="0" baseItem="0"/>
    <dataField name="Sum of GrossProfit" fld="23" baseField="0" baseItem="0"/>
    <dataField name="Sum of ScenarioRevenue" fld="33" baseField="0" baseItem="0"/>
    <dataField name="Sum of ScenarioGrossProfit" fld="35" baseField="0" baseItem="0"/>
  </dataFields>
  <formats count="1">
    <format dxfId="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A4B187-70FE-461C-8253-03F642E4CFA3}" name="PivotTable2" cacheId="9"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C58" firstHeaderRow="1" firstDataRow="2" firstDataCol="1"/>
  <pivotFields count="36">
    <pivotField showAll="0"/>
    <pivotField numFmtId="17" showAll="0"/>
    <pivotField numFmtId="14" showAll="0"/>
    <pivotField axis="axisRow" showAll="0">
      <items count="5">
        <item x="1"/>
        <item x="0"/>
        <item x="3"/>
        <item x="2"/>
        <item t="default"/>
      </items>
    </pivotField>
    <pivotField axis="axisRow" showAll="0">
      <items count="13">
        <item x="0"/>
        <item x="3"/>
        <item x="7"/>
        <item x="10"/>
        <item x="11"/>
        <item x="4"/>
        <item x="5"/>
        <item x="1"/>
        <item x="8"/>
        <item x="6"/>
        <item x="2"/>
        <item x="9"/>
        <item t="default"/>
      </items>
    </pivotField>
    <pivotField axis="axisRow" showAll="0">
      <items count="41">
        <item x="28"/>
        <item x="13"/>
        <item x="11"/>
        <item x="23"/>
        <item x="36"/>
        <item x="37"/>
        <item x="1"/>
        <item x="15"/>
        <item x="30"/>
        <item x="6"/>
        <item x="10"/>
        <item x="34"/>
        <item x="31"/>
        <item x="38"/>
        <item x="16"/>
        <item x="12"/>
        <item x="3"/>
        <item x="24"/>
        <item x="26"/>
        <item x="33"/>
        <item x="5"/>
        <item x="39"/>
        <item x="19"/>
        <item x="35"/>
        <item x="7"/>
        <item x="2"/>
        <item x="22"/>
        <item x="21"/>
        <item x="9"/>
        <item x="29"/>
        <item x="27"/>
        <item x="0"/>
        <item x="32"/>
        <item x="17"/>
        <item x="20"/>
        <item x="14"/>
        <item x="8"/>
        <item x="4"/>
        <item x="25"/>
        <item x="18"/>
        <item t="default"/>
      </items>
    </pivotField>
    <pivotField showAll="0"/>
    <pivotField showAll="0"/>
    <pivotField showAll="0"/>
    <pivotField showAll="0"/>
    <pivotField showAll="0"/>
    <pivotField numFmtId="2" showAll="0"/>
    <pivotField numFmtId="2" showAll="0"/>
    <pivotField numFmtId="2" showAll="0"/>
    <pivotField showAll="0"/>
    <pivotField numFmtId="2" showAll="0"/>
    <pivotField dataField="1" showAll="0"/>
    <pivotField numFmtId="2" showAll="0"/>
    <pivotField showAll="0"/>
    <pivotField numFmtId="14" showAll="0"/>
    <pivotField numFmtId="1" showAll="0"/>
    <pivotField numFmtId="2" showAll="0"/>
    <pivotField numFmtId="2" showAll="0"/>
    <pivotField numFmtId="2" showAll="0"/>
    <pivotField numFmtId="2" showAll="0"/>
    <pivotField showAll="0"/>
    <pivotField showAll="0"/>
    <pivotField showAll="0"/>
    <pivotField axis="axisCol" showAll="0">
      <items count="3">
        <item h="1" x="1"/>
        <item x="0"/>
        <item t="default"/>
      </items>
    </pivotField>
    <pivotField showAll="0"/>
    <pivotField numFmtId="9" showAll="0"/>
    <pivotField numFmtId="166" showAll="0"/>
    <pivotField numFmtId="2" showAll="0"/>
    <pivotField numFmtId="166" showAll="0"/>
    <pivotField numFmtId="166" showAll="0"/>
    <pivotField numFmtId="166" showAll="0"/>
  </pivotFields>
  <rowFields count="3">
    <field x="3"/>
    <field x="4"/>
    <field x="5"/>
  </rowFields>
  <rowItems count="54">
    <i>
      <x/>
    </i>
    <i r="1">
      <x v="7"/>
    </i>
    <i r="2">
      <x v="14"/>
    </i>
    <i r="2">
      <x v="20"/>
    </i>
    <i r="2">
      <x v="25"/>
    </i>
    <i r="2">
      <x v="26"/>
    </i>
    <i r="1">
      <x v="8"/>
    </i>
    <i r="2">
      <x v="30"/>
    </i>
    <i r="1">
      <x v="9"/>
    </i>
    <i r="2">
      <x v="10"/>
    </i>
    <i r="2">
      <x v="13"/>
    </i>
    <i>
      <x v="1"/>
    </i>
    <i r="1">
      <x/>
    </i>
    <i r="2">
      <x v="6"/>
    </i>
    <i r="2">
      <x v="31"/>
    </i>
    <i r="2">
      <x v="33"/>
    </i>
    <i r="2">
      <x v="38"/>
    </i>
    <i r="1">
      <x v="1"/>
    </i>
    <i r="2">
      <x v="21"/>
    </i>
    <i r="2">
      <x v="37"/>
    </i>
    <i r="2">
      <x v="39"/>
    </i>
    <i r="1">
      <x v="11"/>
    </i>
    <i r="2">
      <x v="1"/>
    </i>
    <i r="2">
      <x v="8"/>
    </i>
    <i r="2">
      <x v="27"/>
    </i>
    <i r="2">
      <x v="32"/>
    </i>
    <i>
      <x v="2"/>
    </i>
    <i r="1">
      <x v="2"/>
    </i>
    <i r="2">
      <x v="2"/>
    </i>
    <i r="2">
      <x v="34"/>
    </i>
    <i r="2">
      <x v="35"/>
    </i>
    <i r="2">
      <x v="38"/>
    </i>
    <i r="1">
      <x v="5"/>
    </i>
    <i r="2">
      <x v="3"/>
    </i>
    <i r="2">
      <x v="9"/>
    </i>
    <i r="2">
      <x v="12"/>
    </i>
    <i r="2">
      <x v="22"/>
    </i>
    <i r="1">
      <x v="6"/>
    </i>
    <i r="2">
      <x v="24"/>
    </i>
    <i r="2">
      <x v="28"/>
    </i>
    <i r="2">
      <x v="36"/>
    </i>
    <i>
      <x v="3"/>
    </i>
    <i r="1">
      <x v="3"/>
    </i>
    <i r="2">
      <x v="19"/>
    </i>
    <i r="2">
      <x v="29"/>
    </i>
    <i r="1">
      <x v="4"/>
    </i>
    <i r="2">
      <x v="4"/>
    </i>
    <i r="2">
      <x v="11"/>
    </i>
    <i r="2">
      <x v="23"/>
    </i>
    <i r="1">
      <x v="10"/>
    </i>
    <i r="2">
      <x v="5"/>
    </i>
    <i r="2">
      <x v="16"/>
    </i>
    <i r="2">
      <x v="18"/>
    </i>
    <i t="grand">
      <x/>
    </i>
  </rowItems>
  <colFields count="1">
    <field x="28"/>
  </colFields>
  <colItems count="2">
    <i>
      <x v="1"/>
    </i>
    <i t="grand">
      <x/>
    </i>
  </colItems>
  <dataFields count="1">
    <dataField name="Max of CorrectDiscountPct" fld="16" subtotal="max" baseField="3" baseItem="0" numFmtId="9"/>
  </dataFields>
  <formats count="1">
    <format dxfId="6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834AAC-05E0-4B59-9CC9-34040C13533F}" name="PivotTable3" cacheId="9"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8" firstHeaderRow="1" firstDataRow="1" firstDataCol="1"/>
  <pivotFields count="36">
    <pivotField showAll="0"/>
    <pivotField numFmtId="17" showAll="0"/>
    <pivotField numFmtId="14" showAll="0"/>
    <pivotField axis="axisRow" showAll="0">
      <items count="5">
        <item x="1"/>
        <item x="0"/>
        <item x="3"/>
        <item x="2"/>
        <item t="default"/>
      </items>
    </pivotField>
    <pivotField showAll="0"/>
    <pivotField showAll="0"/>
    <pivotField showAll="0"/>
    <pivotField showAll="0"/>
    <pivotField showAll="0"/>
    <pivotField showAll="0"/>
    <pivotField showAll="0"/>
    <pivotField numFmtId="2" showAll="0"/>
    <pivotField numFmtId="2" showAll="0"/>
    <pivotField numFmtId="2" showAll="0"/>
    <pivotField showAll="0"/>
    <pivotField numFmtId="2" showAll="0"/>
    <pivotField dataField="1" showAll="0"/>
    <pivotField numFmtId="2" showAll="0"/>
    <pivotField showAll="0"/>
    <pivotField numFmtId="14" showAll="0"/>
    <pivotField numFmtId="1" showAll="0"/>
    <pivotField numFmtId="2" showAll="0"/>
    <pivotField numFmtId="2" showAll="0"/>
    <pivotField numFmtId="2" showAll="0"/>
    <pivotField numFmtId="2" showAll="0"/>
    <pivotField showAll="0"/>
    <pivotField showAll="0"/>
    <pivotField showAll="0"/>
    <pivotField showAll="0"/>
    <pivotField showAll="0"/>
    <pivotField numFmtId="9" showAll="0"/>
    <pivotField numFmtId="166" showAll="0"/>
    <pivotField numFmtId="2" showAll="0"/>
    <pivotField numFmtId="166" showAll="0"/>
    <pivotField numFmtId="166" showAll="0"/>
    <pivotField numFmtId="166" showAll="0"/>
  </pivotFields>
  <rowFields count="1">
    <field x="3"/>
  </rowFields>
  <rowItems count="5">
    <i>
      <x/>
    </i>
    <i>
      <x v="1"/>
    </i>
    <i>
      <x v="2"/>
    </i>
    <i>
      <x v="3"/>
    </i>
    <i t="grand">
      <x/>
    </i>
  </rowItems>
  <colItems count="1">
    <i/>
  </colItems>
  <dataFields count="1">
    <dataField name="Average of CorrectDiscountPct" fld="16" subtotal="average" baseField="3" baseItem="0" numFmtId="9"/>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 xr10:uid="{00000000-0013-0000-FFFF-FFFF01000000}" sourceName="OrderDate">
  <pivotTables>
    <pivotTable tabId="27" name="PivotTable9"/>
    <pivotTable tabId="17" name="PivotTable2"/>
    <pivotTable tabId="29" name="PivotTable11"/>
    <pivotTable tabId="16" name="PivotTable1"/>
    <pivotTable tabId="28" name="PivotTable10"/>
    <pivotTable tabId="33" name="PivotTable3"/>
    <pivotTable tabId="32" name="PivotTable2"/>
    <pivotTable tabId="39" name="PivotTable12"/>
    <pivotTable tabId="38" name="PivotTable8"/>
    <pivotTable tabId="40" name="PivotTable1"/>
    <pivotTable tabId="42" name="PivotTable1"/>
  </pivotTables>
  <data>
    <tabular pivotCacheId="1">
      <items count="14">
        <i x="1" s="1"/>
        <i x="2" s="1"/>
        <i x="3" s="1"/>
        <i x="4" s="1"/>
        <i x="5" s="1"/>
        <i x="6" s="1"/>
        <i x="7" s="1"/>
        <i x="8" s="1"/>
        <i x="10" s="1"/>
        <i x="11" s="1"/>
        <i x="12" s="1"/>
        <i x="9" s="1"/>
        <i x="0" s="1" nd="1"/>
        <i x="1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0000000-0013-0000-FFFF-FFFF02000000}" sourceName="Region">
  <pivotTables>
    <pivotTable tabId="27" name="PivotTable9"/>
    <pivotTable tabId="17" name="PivotTable2"/>
    <pivotTable tabId="29" name="PivotTable11"/>
    <pivotTable tabId="16" name="PivotTable1"/>
    <pivotTable tabId="28" name="PivotTable10"/>
    <pivotTable tabId="33" name="PivotTable3"/>
    <pivotTable tabId="32" name="PivotTable2"/>
    <pivotTable tabId="39" name="PivotTable12"/>
    <pivotTable tabId="38" name="PivotTable8"/>
    <pivotTable tabId="40" name="PivotTable1"/>
    <pivotTable tabId="42" name="PivotTable1"/>
  </pivotTables>
  <data>
    <tabular pivotCacheId="1">
      <items count="4">
        <i x="1" s="1"/>
        <i x="0" s="1"/>
        <i x="3"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0000000-0013-0000-FFFF-FFFF03000000}" sourceName="Country">
  <pivotTables>
    <pivotTable tabId="27" name="PivotTable9"/>
    <pivotTable tabId="17" name="PivotTable2"/>
    <pivotTable tabId="29" name="PivotTable11"/>
    <pivotTable tabId="16" name="PivotTable1"/>
    <pivotTable tabId="28" name="PivotTable10"/>
    <pivotTable tabId="33" name="PivotTable3"/>
    <pivotTable tabId="32" name="PivotTable2"/>
    <pivotTable tabId="39" name="PivotTable12"/>
    <pivotTable tabId="38" name="PivotTable8"/>
    <pivotTable tabId="40" name="PivotTable1"/>
    <pivotTable tabId="42" name="PivotTable1"/>
  </pivotTables>
  <data>
    <tabular pivotCacheId="1">
      <items count="12">
        <i x="0" s="1"/>
        <i x="3" s="1"/>
        <i x="7" s="1"/>
        <i x="10" s="1"/>
        <i x="11" s="1"/>
        <i x="4" s="1"/>
        <i x="5" s="1"/>
        <i x="1" s="1"/>
        <i x="8" s="1"/>
        <i x="6" s="1"/>
        <i x="2" s="1"/>
        <i x="9"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00000000-0013-0000-FFFF-FFFF04000000}" sourceName="Channel">
  <pivotTables>
    <pivotTable tabId="27" name="PivotTable9"/>
    <pivotTable tabId="17" name="PivotTable2"/>
    <pivotTable tabId="29" name="PivotTable11"/>
    <pivotTable tabId="16" name="PivotTable1"/>
    <pivotTable tabId="28" name="PivotTable10"/>
    <pivotTable tabId="33" name="PivotTable3"/>
    <pivotTable tabId="32" name="PivotTable2"/>
    <pivotTable tabId="39" name="PivotTable12"/>
    <pivotTable tabId="38" name="PivotTable8"/>
    <pivotTable tabId="40" name="PivotTable1"/>
    <pivotTable tabId="42" name="PivotTable1"/>
  </pivotTables>
  <data>
    <tabular pivotCacheId="1">
      <items count="6">
        <i x="0" s="1"/>
        <i x="2" s="1"/>
        <i x="4" s="1"/>
        <i x="3" s="1"/>
        <i x="1" s="1"/>
        <i x="5"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00000000-0013-0000-FFFF-FFFF05000000}" sourceName="Salesperson">
  <pivotTables>
    <pivotTable tabId="27" name="PivotTable9"/>
  </pivotTables>
  <data>
    <tabular pivotCacheId="1">
      <items count="16">
        <i x="5" s="1"/>
        <i x="12" s="1"/>
        <i x="6" s="1"/>
        <i x="9" s="1"/>
        <i x="11" s="1"/>
        <i x="7" s="1"/>
        <i x="15" s="1"/>
        <i x="10" s="1"/>
        <i x="13" s="1"/>
        <i x="2" s="1"/>
        <i x="1" s="1"/>
        <i x="0" s="1"/>
        <i x="4" s="1"/>
        <i x="3" s="1"/>
        <i x="8" s="1"/>
        <i x="14"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00000000-0013-0000-FFFF-FFFF06000000}" sourceName="ProductCategory">
  <pivotTables>
    <pivotTable tabId="27" name="PivotTable9"/>
    <pivotTable tabId="17" name="PivotTable2"/>
    <pivotTable tabId="29" name="PivotTable11"/>
    <pivotTable tabId="16" name="PivotTable1"/>
    <pivotTable tabId="28" name="PivotTable10"/>
    <pivotTable tabId="33" name="PivotTable3"/>
    <pivotTable tabId="32" name="PivotTable2"/>
    <pivotTable tabId="39" name="PivotTable12"/>
    <pivotTable tabId="38" name="PivotTable8"/>
    <pivotTable tabId="40" name="PivotTable1"/>
    <pivotTable tabId="42" name="PivotTable1"/>
  </pivotTables>
  <data>
    <tabular pivotCacheId="1">
      <items count="7">
        <i x="0" s="1"/>
        <i x="6" s="1"/>
        <i x="1" s="1"/>
        <i x="5" s="1"/>
        <i x="2" s="1"/>
        <i x="4" s="1"/>
        <i x="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Band" xr10:uid="{B6B795AB-4FC3-4999-8A53-3ABDCE200941}" sourceName="PriceBand">
  <pivotTables>
    <pivotTable tabId="37" name="PivotTable7"/>
  </pivotTables>
  <data>
    <tabular pivotCacheId="1661195059">
      <items count="3">
        <i x="2" s="1"/>
        <i x="0" s="1"/>
        <i x="1"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adTimeDays_≤_7" xr10:uid="{A651A207-5ACC-4C3B-B000-238783118F33}" sourceName="LeadTimeDays ≤ 7">
  <pivotTables>
    <pivotTable tabId="29" name="PivotTable11"/>
    <pivotTable tabId="40" name="PivotTable1"/>
    <pivotTable tabId="17" name="PivotTable2"/>
    <pivotTable tabId="33" name="PivotTable3"/>
    <pivotTable tabId="39" name="PivotTable12"/>
    <pivotTable tabId="41" name="PivotTable1"/>
    <pivotTable tabId="27" name="PivotTable9"/>
    <pivotTable tabId="32" name="PivotTable2"/>
    <pivotTable tabId="42" name="PivotTable1"/>
    <pivotTable tabId="16" name="PivotTable1"/>
    <pivotTable tabId="38" name="PivotTable8"/>
    <pivotTable tabId="28" name="PivotTable10"/>
  </pivotTables>
  <data>
    <tabular pivotCacheId="1">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Date" xr10:uid="{00000000-0014-0000-FFFF-FFFF01000000}" cache="Slicer_OrderDate" caption="OrderDate" startItem="6" rowHeight="241300"/>
  <slicer name="Region" xr10:uid="{00000000-0014-0000-FFFF-FFFF02000000}" cache="Slicer_Region" caption="Region" rowHeight="241300"/>
  <slicer name="Country" xr10:uid="{00000000-0014-0000-FFFF-FFFF03000000}" cache="Slicer_Country" caption="Country" rowHeight="241300"/>
  <slicer name="Channel" xr10:uid="{00000000-0014-0000-FFFF-FFFF04000000}" cache="Slicer_Channel" caption="Channel" rowHeight="241300"/>
  <slicer name="Salesperson" xr10:uid="{00000000-0014-0000-FFFF-FFFF05000000}" cache="Slicer_Salesperson" caption="Salesperson" rowHeight="241300"/>
  <slicer name="ProductCategory" xr10:uid="{00000000-0014-0000-FFFF-FFFF06000000}" cache="Slicer_ProductCategory" caption="ProductCategory"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eadTimeDays ≤ 7" xr10:uid="{2C590036-B3B5-4CFC-B1BC-D8FE9C45D7C7}" cache="Slicer_LeadTimeDays_≤_7" caption="LeadTimeDays ≤ 7"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iceBand" xr10:uid="{676FEF3E-D89B-4AC5-B73F-9E08E13C6AAD}" cache="Slicer_PriceBand" caption="PriceBand"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Category 2" xr10:uid="{1A61837A-7385-42B4-9517-C237D626BCF6}" cache="Slicer_ProductCategory" caption="ProductCategory"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Date 1" xr10:uid="{00000000-0014-0000-FFFF-FFFF07000000}" cache="Slicer_OrderDate" caption="OrderDate" rowHeight="241300"/>
  <slicer name="Region 1" xr10:uid="{00000000-0014-0000-FFFF-FFFF08000000}" cache="Slicer_Region" caption="Region" rowHeight="241300"/>
  <slicer name="Country 1" xr10:uid="{00000000-0014-0000-FFFF-FFFF09000000}" cache="Slicer_Country" caption="Country" rowHeight="241300"/>
  <slicer name="Channel 1" xr10:uid="{00000000-0014-0000-FFFF-FFFF0A000000}" cache="Slicer_Channel" caption="Channel" rowHeight="241300"/>
  <slicer name="ProductCategory 1" xr10:uid="{00000000-0014-0000-FFFF-FFFF0B000000}" cache="Slicer_ProductCategory" caption="ProductCategory" rowHeight="241300"/>
  <slicer name="LeadTimeDays ≤ 8" xr10:uid="{80567FA8-2501-4A00-A05D-72F2B2BA1FF7}" cache="Slicer_LeadTimeDays_≤_7" caption="LeadTimeDays ≤ 7"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3.bin"/><Relationship Id="rId1"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4.bin"/><Relationship Id="rId1" Type="http://schemas.openxmlformats.org/officeDocument/2006/relationships/pivotTable" Target="../pivotTables/pivotTable11.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5.bin"/><Relationship Id="rId1" Type="http://schemas.openxmlformats.org/officeDocument/2006/relationships/pivotTable" Target="../pivotTables/pivotTable13.xml"/><Relationship Id="rId4" Type="http://schemas.microsoft.com/office/2007/relationships/slicer" Target="../slicers/slicer4.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15.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16.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21.xml.rels><?xml version="1.0" encoding="UTF-8" standalone="yes"?>
<Relationships xmlns="http://schemas.openxmlformats.org/package/2006/relationships"><Relationship Id="rId2" Type="http://schemas.microsoft.com/office/2007/relationships/slicer" Target="../slicers/slicer5.xml"/><Relationship Id="rId1" Type="http://schemas.openxmlformats.org/officeDocument/2006/relationships/drawing" Target="../drawings/drawing8.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633"/>
  <sheetViews>
    <sheetView topLeftCell="A557" workbookViewId="0">
      <selection activeCell="T594" sqref="T594"/>
    </sheetView>
  </sheetViews>
  <sheetFormatPr defaultRowHeight="15" x14ac:dyDescent="0.25"/>
  <cols>
    <col min="1" max="1" width="16.42578125" bestFit="1" customWidth="1"/>
    <col min="2" max="2" width="10.42578125" bestFit="1" customWidth="1"/>
    <col min="3" max="3" width="13.42578125" bestFit="1" customWidth="1"/>
    <col min="5" max="5" width="15.42578125" bestFit="1" customWidth="1"/>
    <col min="6" max="6" width="13.5703125" bestFit="1" customWidth="1"/>
    <col min="7" max="7" width="17.7109375" bestFit="1" customWidth="1"/>
    <col min="8" max="8" width="12" bestFit="1" customWidth="1"/>
    <col min="9" max="9" width="11.7109375" bestFit="1" customWidth="1"/>
    <col min="10" max="10" width="15.85546875" bestFit="1" customWidth="1"/>
    <col min="11" max="11" width="10.28515625" bestFit="1" customWidth="1"/>
    <col min="12" max="12" width="8.7109375" bestFit="1" customWidth="1"/>
    <col min="13" max="13" width="9.28515625" bestFit="1" customWidth="1"/>
    <col min="14" max="14" width="11.42578125" bestFit="1" customWidth="1"/>
    <col min="15" max="15" width="8.7109375" bestFit="1" customWidth="1"/>
  </cols>
  <sheetData>
    <row r="1" spans="1:1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25">
      <c r="A2" t="s">
        <v>15</v>
      </c>
      <c r="B2" s="2">
        <v>45362</v>
      </c>
      <c r="C2" s="2">
        <v>45388</v>
      </c>
      <c r="D2" t="s">
        <v>646</v>
      </c>
      <c r="E2" t="s">
        <v>650</v>
      </c>
      <c r="F2" t="s">
        <v>662</v>
      </c>
      <c r="G2" t="s">
        <v>701</v>
      </c>
      <c r="H2" t="s">
        <v>707</v>
      </c>
      <c r="I2" t="s">
        <v>712</v>
      </c>
      <c r="J2" t="s">
        <v>727</v>
      </c>
      <c r="K2" t="s">
        <v>734</v>
      </c>
      <c r="L2">
        <v>279.24</v>
      </c>
      <c r="M2">
        <v>608.9</v>
      </c>
      <c r="N2">
        <v>0.112</v>
      </c>
      <c r="O2">
        <v>9</v>
      </c>
    </row>
    <row r="3" spans="1:15" x14ac:dyDescent="0.25">
      <c r="A3" t="s">
        <v>16</v>
      </c>
      <c r="B3" s="2">
        <v>45588</v>
      </c>
      <c r="C3" s="2">
        <v>45587</v>
      </c>
      <c r="D3" t="s">
        <v>646</v>
      </c>
      <c r="E3" t="s">
        <v>651</v>
      </c>
      <c r="F3" t="s">
        <v>663</v>
      </c>
      <c r="G3" t="s">
        <v>702</v>
      </c>
      <c r="H3" t="s">
        <v>708</v>
      </c>
      <c r="I3" t="s">
        <v>713</v>
      </c>
      <c r="J3" t="s">
        <v>728</v>
      </c>
      <c r="K3" t="s">
        <v>735</v>
      </c>
      <c r="L3">
        <v>1084.3900000000001</v>
      </c>
      <c r="M3">
        <v>759.33</v>
      </c>
      <c r="N3">
        <v>0.23699999999999999</v>
      </c>
      <c r="O3">
        <v>31</v>
      </c>
    </row>
    <row r="4" spans="1:15" x14ac:dyDescent="0.25">
      <c r="A4" t="s">
        <v>17</v>
      </c>
      <c r="B4" s="2">
        <v>44985</v>
      </c>
      <c r="C4" s="2">
        <v>45010</v>
      </c>
      <c r="D4" t="s">
        <v>646</v>
      </c>
      <c r="E4" t="s">
        <v>650</v>
      </c>
      <c r="F4" t="s">
        <v>664</v>
      </c>
      <c r="G4" t="s">
        <v>701</v>
      </c>
      <c r="H4" t="s">
        <v>707</v>
      </c>
      <c r="I4" t="s">
        <v>714</v>
      </c>
      <c r="J4" t="s">
        <v>729</v>
      </c>
      <c r="K4" t="s">
        <v>736</v>
      </c>
      <c r="L4">
        <v>1460.76</v>
      </c>
      <c r="M4">
        <v>-30.66</v>
      </c>
      <c r="N4">
        <v>0.13100000000000001</v>
      </c>
      <c r="O4">
        <v>12</v>
      </c>
    </row>
    <row r="5" spans="1:15" x14ac:dyDescent="0.25">
      <c r="A5" t="s">
        <v>18</v>
      </c>
      <c r="B5" s="2">
        <v>45745</v>
      </c>
      <c r="C5" s="2">
        <v>45749</v>
      </c>
      <c r="D5" t="s">
        <v>646</v>
      </c>
      <c r="E5" t="s">
        <v>651</v>
      </c>
      <c r="F5" t="s">
        <v>665</v>
      </c>
      <c r="G5" t="s">
        <v>703</v>
      </c>
      <c r="H5" t="s">
        <v>709</v>
      </c>
      <c r="I5" t="s">
        <v>715</v>
      </c>
      <c r="J5" t="s">
        <v>730</v>
      </c>
      <c r="K5" t="s">
        <v>737</v>
      </c>
      <c r="L5">
        <v>259.93</v>
      </c>
      <c r="M5">
        <v>255.94</v>
      </c>
      <c r="N5">
        <v>7.1999999999999995E-2</v>
      </c>
      <c r="O5">
        <v>22</v>
      </c>
    </row>
    <row r="6" spans="1:15" x14ac:dyDescent="0.25">
      <c r="A6" t="s">
        <v>19</v>
      </c>
      <c r="B6" s="2">
        <v>45266</v>
      </c>
      <c r="C6" s="2">
        <v>45291</v>
      </c>
      <c r="D6" t="s">
        <v>647</v>
      </c>
      <c r="E6" t="s">
        <v>652</v>
      </c>
      <c r="F6" t="s">
        <v>666</v>
      </c>
      <c r="G6" t="s">
        <v>704</v>
      </c>
      <c r="H6" t="s">
        <v>707</v>
      </c>
      <c r="I6" t="s">
        <v>716</v>
      </c>
      <c r="J6" t="s">
        <v>728</v>
      </c>
      <c r="K6" t="s">
        <v>738</v>
      </c>
      <c r="L6">
        <v>663.03</v>
      </c>
      <c r="M6">
        <v>813.51</v>
      </c>
      <c r="N6">
        <v>0.10199999999999999</v>
      </c>
      <c r="O6">
        <v>15</v>
      </c>
    </row>
    <row r="7" spans="1:15" x14ac:dyDescent="0.25">
      <c r="A7" t="s">
        <v>20</v>
      </c>
      <c r="B7" s="2">
        <v>44928</v>
      </c>
      <c r="C7" s="2">
        <v>44931</v>
      </c>
      <c r="D7" t="s">
        <v>648</v>
      </c>
      <c r="E7" t="s">
        <v>653</v>
      </c>
      <c r="F7" t="s">
        <v>667</v>
      </c>
      <c r="G7" t="s">
        <v>701</v>
      </c>
      <c r="H7" t="s">
        <v>710</v>
      </c>
      <c r="I7" t="s">
        <v>717</v>
      </c>
      <c r="J7" t="s">
        <v>731</v>
      </c>
      <c r="K7" t="s">
        <v>739</v>
      </c>
      <c r="L7">
        <v>315.87</v>
      </c>
      <c r="M7">
        <v>591.67999999999995</v>
      </c>
      <c r="N7">
        <v>0</v>
      </c>
      <c r="O7">
        <v>7</v>
      </c>
    </row>
    <row r="8" spans="1:15" x14ac:dyDescent="0.25">
      <c r="A8" t="s">
        <v>21</v>
      </c>
      <c r="B8" s="2">
        <v>45653</v>
      </c>
      <c r="C8" s="2">
        <v>45671</v>
      </c>
      <c r="D8" t="s">
        <v>647</v>
      </c>
      <c r="E8" t="s">
        <v>654</v>
      </c>
      <c r="F8" t="s">
        <v>668</v>
      </c>
      <c r="G8" t="s">
        <v>705</v>
      </c>
      <c r="H8" t="s">
        <v>709</v>
      </c>
      <c r="I8" t="s">
        <v>718</v>
      </c>
      <c r="J8" t="s">
        <v>732</v>
      </c>
      <c r="K8" t="s">
        <v>740</v>
      </c>
      <c r="L8">
        <v>586.07000000000005</v>
      </c>
      <c r="M8">
        <v>845.97</v>
      </c>
      <c r="N8">
        <v>0.14699999999999999</v>
      </c>
      <c r="O8">
        <v>4</v>
      </c>
    </row>
    <row r="9" spans="1:15" x14ac:dyDescent="0.25">
      <c r="A9" t="s">
        <v>22</v>
      </c>
      <c r="B9" s="2">
        <v>44941</v>
      </c>
      <c r="C9" s="2">
        <v>44939</v>
      </c>
      <c r="D9" t="s">
        <v>646</v>
      </c>
      <c r="E9" t="s">
        <v>651</v>
      </c>
      <c r="F9" t="s">
        <v>669</v>
      </c>
      <c r="G9" t="s">
        <v>702</v>
      </c>
      <c r="H9" t="s">
        <v>708</v>
      </c>
      <c r="I9" t="s">
        <v>719</v>
      </c>
      <c r="J9" t="s">
        <v>728</v>
      </c>
      <c r="K9" t="s">
        <v>741</v>
      </c>
      <c r="L9">
        <v>28.38</v>
      </c>
      <c r="M9">
        <v>47.22</v>
      </c>
      <c r="N9">
        <v>0.19400000000000001</v>
      </c>
      <c r="O9">
        <v>18</v>
      </c>
    </row>
    <row r="10" spans="1:15" x14ac:dyDescent="0.25">
      <c r="A10" t="s">
        <v>23</v>
      </c>
      <c r="B10" s="2">
        <v>45416</v>
      </c>
      <c r="C10" s="2">
        <v>45441</v>
      </c>
      <c r="D10" t="s">
        <v>646</v>
      </c>
      <c r="E10" t="s">
        <v>651</v>
      </c>
      <c r="F10" t="s">
        <v>669</v>
      </c>
      <c r="G10" t="s">
        <v>703</v>
      </c>
      <c r="H10" t="s">
        <v>709</v>
      </c>
      <c r="I10" t="s">
        <v>719</v>
      </c>
      <c r="J10" t="s">
        <v>732</v>
      </c>
      <c r="K10" t="s">
        <v>742</v>
      </c>
      <c r="L10">
        <v>1295.3399999999999</v>
      </c>
      <c r="M10">
        <v>2530.81</v>
      </c>
      <c r="N10">
        <v>3.1E-2</v>
      </c>
      <c r="O10">
        <v>6</v>
      </c>
    </row>
    <row r="11" spans="1:15" x14ac:dyDescent="0.25">
      <c r="A11" t="s">
        <v>24</v>
      </c>
      <c r="B11" s="2">
        <v>45798</v>
      </c>
      <c r="C11" s="2">
        <v>45817</v>
      </c>
      <c r="D11" t="s">
        <v>648</v>
      </c>
      <c r="E11" t="s">
        <v>655</v>
      </c>
      <c r="F11" t="s">
        <v>670</v>
      </c>
      <c r="G11" t="s">
        <v>703</v>
      </c>
      <c r="H11" t="s">
        <v>708</v>
      </c>
      <c r="I11" t="s">
        <v>720</v>
      </c>
      <c r="J11" t="s">
        <v>727</v>
      </c>
      <c r="K11" t="s">
        <v>743</v>
      </c>
      <c r="L11">
        <v>1331.38</v>
      </c>
      <c r="M11">
        <v>2309.56</v>
      </c>
      <c r="N11">
        <v>0.14899999999999999</v>
      </c>
      <c r="O11">
        <v>31</v>
      </c>
    </row>
    <row r="12" spans="1:15" x14ac:dyDescent="0.25">
      <c r="A12" t="s">
        <v>25</v>
      </c>
      <c r="B12" s="2">
        <v>45319</v>
      </c>
      <c r="C12" s="2">
        <v>45331</v>
      </c>
      <c r="D12" t="s">
        <v>649</v>
      </c>
      <c r="E12" t="s">
        <v>656</v>
      </c>
      <c r="F12" t="s">
        <v>671</v>
      </c>
      <c r="G12" t="s">
        <v>701</v>
      </c>
      <c r="H12" t="s">
        <v>708</v>
      </c>
      <c r="I12" t="s">
        <v>715</v>
      </c>
      <c r="J12" t="s">
        <v>733</v>
      </c>
      <c r="K12" t="s">
        <v>744</v>
      </c>
      <c r="L12">
        <v>644.16999999999996</v>
      </c>
      <c r="M12">
        <v>700.12</v>
      </c>
      <c r="N12">
        <v>6.0000000000000001E-3</v>
      </c>
      <c r="O12">
        <v>23</v>
      </c>
    </row>
    <row r="13" spans="1:15" x14ac:dyDescent="0.25">
      <c r="A13" t="s">
        <v>26</v>
      </c>
      <c r="B13" s="2">
        <v>45660</v>
      </c>
      <c r="C13" s="2">
        <v>45680</v>
      </c>
      <c r="D13" t="s">
        <v>647</v>
      </c>
      <c r="E13" t="s">
        <v>652</v>
      </c>
      <c r="F13" t="s">
        <v>666</v>
      </c>
      <c r="G13" t="s">
        <v>701</v>
      </c>
      <c r="H13" t="s">
        <v>710</v>
      </c>
      <c r="I13" t="s">
        <v>721</v>
      </c>
      <c r="J13" t="s">
        <v>730</v>
      </c>
      <c r="K13" t="s">
        <v>745</v>
      </c>
      <c r="L13">
        <v>908.6</v>
      </c>
      <c r="M13">
        <v>691.37</v>
      </c>
      <c r="N13">
        <v>0.25</v>
      </c>
      <c r="O13">
        <v>20</v>
      </c>
    </row>
    <row r="14" spans="1:15" x14ac:dyDescent="0.25">
      <c r="A14" t="s">
        <v>27</v>
      </c>
      <c r="B14" s="2">
        <v>45722</v>
      </c>
      <c r="C14" s="2">
        <v>45747</v>
      </c>
      <c r="D14" t="s">
        <v>648</v>
      </c>
      <c r="E14" t="s">
        <v>655</v>
      </c>
      <c r="F14" t="s">
        <v>672</v>
      </c>
      <c r="G14" t="s">
        <v>703</v>
      </c>
      <c r="H14" t="s">
        <v>708</v>
      </c>
      <c r="I14" t="s">
        <v>713</v>
      </c>
      <c r="J14" t="s">
        <v>727</v>
      </c>
      <c r="K14" t="s">
        <v>746</v>
      </c>
      <c r="L14">
        <v>331.57</v>
      </c>
      <c r="M14">
        <v>548.4</v>
      </c>
      <c r="N14">
        <v>9.4E-2</v>
      </c>
      <c r="O14">
        <v>10</v>
      </c>
    </row>
    <row r="15" spans="1:15" x14ac:dyDescent="0.25">
      <c r="A15" t="s">
        <v>28</v>
      </c>
      <c r="B15" s="2">
        <v>45311</v>
      </c>
      <c r="C15" s="2">
        <v>45335</v>
      </c>
      <c r="D15" t="s">
        <v>649</v>
      </c>
      <c r="E15" t="s">
        <v>657</v>
      </c>
      <c r="F15" t="s">
        <v>673</v>
      </c>
      <c r="G15" t="s">
        <v>701</v>
      </c>
      <c r="H15" t="s">
        <v>707</v>
      </c>
      <c r="I15" t="s">
        <v>722</v>
      </c>
      <c r="J15" t="s">
        <v>728</v>
      </c>
      <c r="K15" t="s">
        <v>747</v>
      </c>
      <c r="L15">
        <v>643.53</v>
      </c>
      <c r="M15">
        <v>1439.01</v>
      </c>
      <c r="N15">
        <v>0</v>
      </c>
      <c r="O15">
        <v>15</v>
      </c>
    </row>
    <row r="16" spans="1:15" x14ac:dyDescent="0.25">
      <c r="A16" t="s">
        <v>29</v>
      </c>
      <c r="B16" s="2">
        <v>45901</v>
      </c>
      <c r="C16" s="2">
        <v>45930</v>
      </c>
      <c r="D16" t="s">
        <v>648</v>
      </c>
      <c r="E16" t="s">
        <v>655</v>
      </c>
      <c r="F16" t="s">
        <v>672</v>
      </c>
      <c r="G16" t="s">
        <v>702</v>
      </c>
      <c r="H16" t="s">
        <v>707</v>
      </c>
      <c r="I16" t="s">
        <v>723</v>
      </c>
      <c r="J16" t="s">
        <v>733</v>
      </c>
      <c r="K16" t="s">
        <v>748</v>
      </c>
      <c r="L16">
        <v>780.59</v>
      </c>
      <c r="M16">
        <v>631.57000000000005</v>
      </c>
      <c r="N16">
        <v>0</v>
      </c>
      <c r="O16">
        <v>12</v>
      </c>
    </row>
    <row r="17" spans="1:15" x14ac:dyDescent="0.25">
      <c r="A17" t="s">
        <v>30</v>
      </c>
      <c r="B17" s="2">
        <v>45039</v>
      </c>
      <c r="C17" s="2">
        <v>45038</v>
      </c>
      <c r="D17" t="s">
        <v>646</v>
      </c>
      <c r="E17" t="s">
        <v>650</v>
      </c>
      <c r="F17" t="s">
        <v>664</v>
      </c>
      <c r="G17" t="s">
        <v>705</v>
      </c>
      <c r="H17" t="s">
        <v>711</v>
      </c>
      <c r="I17" t="s">
        <v>718</v>
      </c>
      <c r="J17" t="s">
        <v>731</v>
      </c>
      <c r="K17" t="s">
        <v>749</v>
      </c>
      <c r="L17">
        <v>756.51</v>
      </c>
      <c r="M17">
        <v>850.8</v>
      </c>
      <c r="N17">
        <v>7.3999999999999996E-2</v>
      </c>
      <c r="O17">
        <v>9</v>
      </c>
    </row>
    <row r="18" spans="1:15" x14ac:dyDescent="0.25">
      <c r="A18" t="s">
        <v>31</v>
      </c>
      <c r="B18" s="2">
        <v>45636</v>
      </c>
      <c r="C18" s="2">
        <v>45665</v>
      </c>
      <c r="D18" t="s">
        <v>649</v>
      </c>
      <c r="E18" t="s">
        <v>657</v>
      </c>
      <c r="F18" t="s">
        <v>673</v>
      </c>
      <c r="G18" t="s">
        <v>705</v>
      </c>
      <c r="H18" t="s">
        <v>707</v>
      </c>
      <c r="I18" t="s">
        <v>723</v>
      </c>
      <c r="J18" t="s">
        <v>728</v>
      </c>
      <c r="K18" t="s">
        <v>750</v>
      </c>
      <c r="L18">
        <v>891.08</v>
      </c>
      <c r="M18">
        <v>1040.0999999999999</v>
      </c>
      <c r="N18">
        <v>0.109</v>
      </c>
      <c r="O18">
        <v>28</v>
      </c>
    </row>
    <row r="19" spans="1:15" x14ac:dyDescent="0.25">
      <c r="A19" t="s">
        <v>32</v>
      </c>
      <c r="B19" s="2">
        <v>45908</v>
      </c>
      <c r="C19" s="2">
        <v>45916</v>
      </c>
      <c r="D19" t="s">
        <v>647</v>
      </c>
      <c r="E19" t="s">
        <v>652</v>
      </c>
      <c r="F19" t="s">
        <v>666</v>
      </c>
      <c r="G19" t="s">
        <v>701</v>
      </c>
      <c r="H19" t="s">
        <v>710</v>
      </c>
      <c r="I19" t="s">
        <v>712</v>
      </c>
      <c r="J19" t="s">
        <v>730</v>
      </c>
      <c r="K19" t="s">
        <v>751</v>
      </c>
      <c r="L19">
        <v>1225.57</v>
      </c>
      <c r="M19">
        <v>2705.57</v>
      </c>
      <c r="N19">
        <v>0.183</v>
      </c>
      <c r="O19">
        <v>16</v>
      </c>
    </row>
    <row r="20" spans="1:15" x14ac:dyDescent="0.25">
      <c r="A20" t="s">
        <v>33</v>
      </c>
      <c r="B20" s="2">
        <v>45858</v>
      </c>
      <c r="C20" s="2">
        <v>45874</v>
      </c>
      <c r="D20" t="s">
        <v>648</v>
      </c>
      <c r="E20" t="s">
        <v>655</v>
      </c>
      <c r="F20" t="s">
        <v>672</v>
      </c>
      <c r="G20" t="s">
        <v>706</v>
      </c>
      <c r="H20" t="s">
        <v>709</v>
      </c>
      <c r="I20" t="s">
        <v>715</v>
      </c>
      <c r="J20" t="s">
        <v>733</v>
      </c>
      <c r="K20" t="s">
        <v>752</v>
      </c>
      <c r="L20">
        <v>1068.17</v>
      </c>
      <c r="M20">
        <v>2375.37</v>
      </c>
      <c r="N20">
        <v>0.109</v>
      </c>
      <c r="O20">
        <v>18</v>
      </c>
    </row>
    <row r="21" spans="1:15" x14ac:dyDescent="0.25">
      <c r="A21" t="s">
        <v>34</v>
      </c>
      <c r="B21" s="2">
        <v>45798</v>
      </c>
      <c r="C21" s="2">
        <v>45796</v>
      </c>
      <c r="D21" t="s">
        <v>649</v>
      </c>
      <c r="E21" t="s">
        <v>658</v>
      </c>
      <c r="F21" t="s">
        <v>674</v>
      </c>
      <c r="G21" t="s">
        <v>706</v>
      </c>
      <c r="H21" t="s">
        <v>708</v>
      </c>
      <c r="I21" t="s">
        <v>724</v>
      </c>
      <c r="J21" t="s">
        <v>731</v>
      </c>
      <c r="K21" t="s">
        <v>753</v>
      </c>
      <c r="L21">
        <v>1015.16</v>
      </c>
      <c r="M21">
        <v>2148.14</v>
      </c>
      <c r="N21">
        <v>3.7999999999999999E-2</v>
      </c>
      <c r="O21">
        <v>19</v>
      </c>
    </row>
    <row r="22" spans="1:15" x14ac:dyDescent="0.25">
      <c r="A22" t="s">
        <v>35</v>
      </c>
      <c r="B22" s="2">
        <v>45498</v>
      </c>
      <c r="C22" s="2">
        <v>45497</v>
      </c>
      <c r="D22" t="s">
        <v>646</v>
      </c>
      <c r="E22" t="s">
        <v>650</v>
      </c>
      <c r="F22" t="s">
        <v>675</v>
      </c>
      <c r="G22" t="s">
        <v>703</v>
      </c>
      <c r="H22" t="s">
        <v>711</v>
      </c>
      <c r="I22" t="s">
        <v>713</v>
      </c>
      <c r="J22" t="s">
        <v>731</v>
      </c>
      <c r="K22" t="s">
        <v>754</v>
      </c>
      <c r="L22">
        <v>1494.4</v>
      </c>
      <c r="M22">
        <v>3661.07</v>
      </c>
      <c r="N22">
        <v>7.1999999999999995E-2</v>
      </c>
      <c r="O22">
        <v>7</v>
      </c>
    </row>
    <row r="23" spans="1:15" x14ac:dyDescent="0.25">
      <c r="A23" t="s">
        <v>36</v>
      </c>
      <c r="B23" s="2">
        <v>45057</v>
      </c>
      <c r="C23" s="2">
        <v>45074</v>
      </c>
      <c r="D23" t="s">
        <v>647</v>
      </c>
      <c r="E23" t="s">
        <v>659</v>
      </c>
      <c r="F23" t="s">
        <v>676</v>
      </c>
      <c r="G23" t="s">
        <v>706</v>
      </c>
      <c r="H23" t="s">
        <v>709</v>
      </c>
      <c r="I23" t="s">
        <v>718</v>
      </c>
      <c r="J23" t="s">
        <v>729</v>
      </c>
      <c r="K23" t="s">
        <v>755</v>
      </c>
      <c r="L23">
        <v>1331.19</v>
      </c>
      <c r="M23">
        <v>2903.09</v>
      </c>
      <c r="N23">
        <v>0.14299999999999999</v>
      </c>
      <c r="O23">
        <v>8</v>
      </c>
    </row>
    <row r="24" spans="1:15" x14ac:dyDescent="0.25">
      <c r="A24" t="s">
        <v>37</v>
      </c>
      <c r="B24" s="2">
        <v>45822</v>
      </c>
      <c r="C24" s="2">
        <v>45837</v>
      </c>
      <c r="D24" t="s">
        <v>646</v>
      </c>
      <c r="E24" t="s">
        <v>651</v>
      </c>
      <c r="F24" t="s">
        <v>663</v>
      </c>
      <c r="G24" t="s">
        <v>704</v>
      </c>
      <c r="H24" t="s">
        <v>709</v>
      </c>
      <c r="I24" t="s">
        <v>724</v>
      </c>
      <c r="J24" t="s">
        <v>733</v>
      </c>
      <c r="K24" t="s">
        <v>756</v>
      </c>
      <c r="L24">
        <v>730.99</v>
      </c>
      <c r="M24">
        <v>1242.8399999999999</v>
      </c>
      <c r="N24">
        <v>0.12</v>
      </c>
      <c r="O24">
        <v>10</v>
      </c>
    </row>
    <row r="25" spans="1:15" x14ac:dyDescent="0.25">
      <c r="A25" t="s">
        <v>38</v>
      </c>
      <c r="B25" s="2">
        <v>45430</v>
      </c>
      <c r="C25" s="2">
        <v>45435</v>
      </c>
      <c r="D25" t="s">
        <v>648</v>
      </c>
      <c r="E25" t="s">
        <v>660</v>
      </c>
      <c r="F25" t="s">
        <v>677</v>
      </c>
      <c r="G25" t="s">
        <v>706</v>
      </c>
      <c r="H25" t="s">
        <v>707</v>
      </c>
      <c r="I25" t="s">
        <v>722</v>
      </c>
      <c r="J25" t="s">
        <v>731</v>
      </c>
      <c r="K25" t="s">
        <v>757</v>
      </c>
      <c r="L25">
        <v>1274.5899999999999</v>
      </c>
      <c r="M25">
        <v>2553.69</v>
      </c>
      <c r="N25">
        <v>0.01</v>
      </c>
      <c r="O25">
        <v>8</v>
      </c>
    </row>
    <row r="26" spans="1:15" x14ac:dyDescent="0.25">
      <c r="A26" t="s">
        <v>39</v>
      </c>
      <c r="B26" s="2">
        <v>44964</v>
      </c>
      <c r="C26" s="2">
        <v>44969</v>
      </c>
      <c r="D26" t="s">
        <v>648</v>
      </c>
      <c r="E26" t="s">
        <v>655</v>
      </c>
      <c r="F26" t="s">
        <v>670</v>
      </c>
      <c r="G26" t="s">
        <v>702</v>
      </c>
      <c r="H26" t="s">
        <v>708</v>
      </c>
      <c r="I26" t="s">
        <v>725</v>
      </c>
      <c r="J26" t="s">
        <v>727</v>
      </c>
      <c r="K26" t="s">
        <v>758</v>
      </c>
      <c r="L26">
        <v>948.55</v>
      </c>
      <c r="M26">
        <v>2089.16</v>
      </c>
      <c r="N26">
        <v>7.0000000000000001E-3</v>
      </c>
      <c r="O26">
        <v>12</v>
      </c>
    </row>
    <row r="27" spans="1:15" x14ac:dyDescent="0.25">
      <c r="A27" t="s">
        <v>40</v>
      </c>
      <c r="B27" s="2">
        <v>45473</v>
      </c>
      <c r="C27" s="2">
        <v>45487</v>
      </c>
      <c r="D27" t="s">
        <v>648</v>
      </c>
      <c r="E27" t="s">
        <v>655</v>
      </c>
      <c r="F27" t="s">
        <v>672</v>
      </c>
      <c r="G27" t="s">
        <v>702</v>
      </c>
      <c r="H27" t="s">
        <v>707</v>
      </c>
      <c r="I27" t="s">
        <v>712</v>
      </c>
      <c r="J27" t="s">
        <v>733</v>
      </c>
      <c r="K27" t="s">
        <v>759</v>
      </c>
      <c r="L27">
        <v>1491.85</v>
      </c>
      <c r="M27">
        <v>2583.02</v>
      </c>
      <c r="N27">
        <v>0.16800000000000001</v>
      </c>
      <c r="O27">
        <v>4</v>
      </c>
    </row>
    <row r="28" spans="1:15" x14ac:dyDescent="0.25">
      <c r="A28" t="s">
        <v>41</v>
      </c>
      <c r="B28" s="2">
        <v>45626</v>
      </c>
      <c r="C28" s="2">
        <v>45656</v>
      </c>
      <c r="D28" t="s">
        <v>649</v>
      </c>
      <c r="E28" t="s">
        <v>657</v>
      </c>
      <c r="F28" t="s">
        <v>673</v>
      </c>
      <c r="G28" t="s">
        <v>704</v>
      </c>
      <c r="H28" t="s">
        <v>709</v>
      </c>
      <c r="I28" t="s">
        <v>721</v>
      </c>
      <c r="J28" t="s">
        <v>728</v>
      </c>
      <c r="K28" t="s">
        <v>760</v>
      </c>
      <c r="L28">
        <v>117.64</v>
      </c>
      <c r="M28">
        <v>175.67</v>
      </c>
      <c r="N28">
        <v>0</v>
      </c>
      <c r="O28">
        <v>10</v>
      </c>
    </row>
    <row r="29" spans="1:15" x14ac:dyDescent="0.25">
      <c r="A29" t="s">
        <v>42</v>
      </c>
      <c r="B29" s="2">
        <v>45492</v>
      </c>
      <c r="C29" s="2">
        <v>45492</v>
      </c>
      <c r="D29" t="s">
        <v>646</v>
      </c>
      <c r="E29" t="s">
        <v>650</v>
      </c>
      <c r="F29" t="s">
        <v>662</v>
      </c>
      <c r="G29" t="s">
        <v>705</v>
      </c>
      <c r="H29" t="s">
        <v>707</v>
      </c>
      <c r="I29" t="s">
        <v>720</v>
      </c>
      <c r="J29" t="s">
        <v>730</v>
      </c>
      <c r="K29" t="s">
        <v>761</v>
      </c>
      <c r="L29">
        <v>857.24</v>
      </c>
      <c r="M29">
        <v>758.23</v>
      </c>
      <c r="N29">
        <v>0.125</v>
      </c>
      <c r="O29">
        <v>6</v>
      </c>
    </row>
    <row r="30" spans="1:15" x14ac:dyDescent="0.25">
      <c r="A30" t="s">
        <v>43</v>
      </c>
      <c r="B30" s="2">
        <v>45030</v>
      </c>
      <c r="C30" s="2">
        <v>45060</v>
      </c>
      <c r="D30" t="s">
        <v>646</v>
      </c>
      <c r="E30" t="s">
        <v>650</v>
      </c>
      <c r="F30" t="s">
        <v>678</v>
      </c>
      <c r="G30" t="s">
        <v>704</v>
      </c>
      <c r="H30" t="s">
        <v>709</v>
      </c>
      <c r="I30" t="s">
        <v>724</v>
      </c>
      <c r="J30" t="s">
        <v>730</v>
      </c>
      <c r="K30" t="s">
        <v>762</v>
      </c>
      <c r="L30">
        <v>209.25</v>
      </c>
      <c r="M30">
        <v>434.8</v>
      </c>
      <c r="N30">
        <v>0</v>
      </c>
      <c r="O30">
        <v>9</v>
      </c>
    </row>
    <row r="31" spans="1:15" x14ac:dyDescent="0.25">
      <c r="A31" t="s">
        <v>44</v>
      </c>
      <c r="B31" s="2">
        <v>45754</v>
      </c>
      <c r="C31" s="2">
        <v>45758</v>
      </c>
      <c r="D31" t="s">
        <v>649</v>
      </c>
      <c r="E31" t="s">
        <v>657</v>
      </c>
      <c r="F31" t="s">
        <v>679</v>
      </c>
      <c r="G31" t="s">
        <v>702</v>
      </c>
      <c r="H31" t="s">
        <v>707</v>
      </c>
      <c r="I31" t="s">
        <v>718</v>
      </c>
      <c r="J31" t="s">
        <v>729</v>
      </c>
      <c r="K31" t="s">
        <v>763</v>
      </c>
      <c r="L31">
        <v>754.77</v>
      </c>
      <c r="M31">
        <v>1666.18</v>
      </c>
      <c r="N31">
        <v>0.13900000000000001</v>
      </c>
      <c r="O31">
        <v>14</v>
      </c>
    </row>
    <row r="32" spans="1:15" x14ac:dyDescent="0.25">
      <c r="A32" t="s">
        <v>45</v>
      </c>
      <c r="B32" s="2">
        <v>45653</v>
      </c>
      <c r="C32" s="2">
        <v>45672</v>
      </c>
      <c r="D32" t="s">
        <v>647</v>
      </c>
      <c r="E32" t="s">
        <v>654</v>
      </c>
      <c r="F32" t="s">
        <v>680</v>
      </c>
      <c r="G32" t="s">
        <v>703</v>
      </c>
      <c r="H32" t="s">
        <v>710</v>
      </c>
      <c r="I32" t="s">
        <v>715</v>
      </c>
      <c r="J32" t="s">
        <v>727</v>
      </c>
      <c r="K32" t="s">
        <v>764</v>
      </c>
      <c r="L32">
        <v>495.59</v>
      </c>
      <c r="M32">
        <v>631.78</v>
      </c>
      <c r="N32">
        <v>8.6999999999999994E-2</v>
      </c>
      <c r="O32">
        <v>17</v>
      </c>
    </row>
    <row r="33" spans="1:15" x14ac:dyDescent="0.25">
      <c r="A33" t="s">
        <v>46</v>
      </c>
      <c r="B33" s="2">
        <v>44980</v>
      </c>
      <c r="C33" s="2">
        <v>45010</v>
      </c>
      <c r="D33" t="s">
        <v>648</v>
      </c>
      <c r="E33" t="s">
        <v>653</v>
      </c>
      <c r="F33" t="s">
        <v>681</v>
      </c>
      <c r="G33" t="s">
        <v>706</v>
      </c>
      <c r="H33" t="s">
        <v>708</v>
      </c>
      <c r="I33" t="s">
        <v>726</v>
      </c>
      <c r="J33" t="s">
        <v>730</v>
      </c>
      <c r="K33" t="s">
        <v>765</v>
      </c>
      <c r="L33">
        <v>1242.6600000000001</v>
      </c>
      <c r="M33">
        <v>1794.07</v>
      </c>
      <c r="N33">
        <v>8.8999999999999996E-2</v>
      </c>
      <c r="O33">
        <v>16</v>
      </c>
    </row>
    <row r="34" spans="1:15" x14ac:dyDescent="0.25">
      <c r="A34" t="s">
        <v>47</v>
      </c>
      <c r="B34" s="2">
        <v>45862</v>
      </c>
      <c r="C34" s="2">
        <v>45875</v>
      </c>
      <c r="D34" t="s">
        <v>646</v>
      </c>
      <c r="E34" t="s">
        <v>661</v>
      </c>
      <c r="F34" t="s">
        <v>682</v>
      </c>
      <c r="G34" t="s">
        <v>702</v>
      </c>
      <c r="H34" t="s">
        <v>709</v>
      </c>
      <c r="I34" t="s">
        <v>726</v>
      </c>
      <c r="J34" t="s">
        <v>729</v>
      </c>
      <c r="K34" t="s">
        <v>766</v>
      </c>
      <c r="L34">
        <v>1463.9</v>
      </c>
      <c r="M34">
        <v>2633.02</v>
      </c>
      <c r="N34">
        <v>8.4000000000000005E-2</v>
      </c>
      <c r="O34">
        <v>4</v>
      </c>
    </row>
    <row r="35" spans="1:15" x14ac:dyDescent="0.25">
      <c r="A35" t="s">
        <v>48</v>
      </c>
      <c r="B35" s="2">
        <v>45400</v>
      </c>
      <c r="C35" s="2">
        <v>45420</v>
      </c>
      <c r="D35" t="s">
        <v>649</v>
      </c>
      <c r="E35" t="s">
        <v>658</v>
      </c>
      <c r="F35" t="s">
        <v>683</v>
      </c>
      <c r="G35" t="s">
        <v>703</v>
      </c>
      <c r="I35" t="s">
        <v>726</v>
      </c>
      <c r="J35" t="s">
        <v>731</v>
      </c>
      <c r="K35" t="s">
        <v>767</v>
      </c>
      <c r="L35">
        <v>645.33000000000004</v>
      </c>
      <c r="M35">
        <v>1321.85</v>
      </c>
      <c r="N35">
        <v>0</v>
      </c>
      <c r="O35">
        <v>10</v>
      </c>
    </row>
    <row r="36" spans="1:15" x14ac:dyDescent="0.25">
      <c r="A36" t="s">
        <v>49</v>
      </c>
      <c r="B36" s="2">
        <v>45527</v>
      </c>
      <c r="C36" s="2">
        <v>45525</v>
      </c>
      <c r="D36" t="s">
        <v>646</v>
      </c>
      <c r="E36" t="s">
        <v>661</v>
      </c>
      <c r="F36" t="s">
        <v>682</v>
      </c>
      <c r="G36" t="s">
        <v>702</v>
      </c>
      <c r="H36" t="s">
        <v>707</v>
      </c>
      <c r="I36" t="s">
        <v>718</v>
      </c>
      <c r="J36" t="s">
        <v>727</v>
      </c>
      <c r="K36" t="s">
        <v>768</v>
      </c>
      <c r="L36">
        <v>1432.52</v>
      </c>
      <c r="M36">
        <v>3036.87</v>
      </c>
      <c r="N36">
        <v>0</v>
      </c>
      <c r="O36">
        <v>9</v>
      </c>
    </row>
    <row r="37" spans="1:15" x14ac:dyDescent="0.25">
      <c r="A37" t="s">
        <v>50</v>
      </c>
      <c r="B37" s="2">
        <v>45012</v>
      </c>
      <c r="C37" s="2">
        <v>45038</v>
      </c>
      <c r="D37" t="s">
        <v>647</v>
      </c>
      <c r="E37" t="s">
        <v>654</v>
      </c>
      <c r="F37" t="s">
        <v>680</v>
      </c>
      <c r="G37" t="s">
        <v>703</v>
      </c>
      <c r="H37" t="s">
        <v>709</v>
      </c>
      <c r="I37" t="s">
        <v>713</v>
      </c>
      <c r="J37" t="s">
        <v>728</v>
      </c>
      <c r="K37" t="s">
        <v>769</v>
      </c>
      <c r="L37">
        <v>178.53</v>
      </c>
      <c r="M37">
        <v>199.37</v>
      </c>
      <c r="N37">
        <v>0.10100000000000001</v>
      </c>
      <c r="O37">
        <v>37</v>
      </c>
    </row>
    <row r="38" spans="1:15" x14ac:dyDescent="0.25">
      <c r="A38" t="s">
        <v>51</v>
      </c>
      <c r="B38" s="2">
        <v>45358</v>
      </c>
      <c r="C38" s="2">
        <v>45376</v>
      </c>
      <c r="D38" t="s">
        <v>649</v>
      </c>
      <c r="E38" t="s">
        <v>656</v>
      </c>
      <c r="F38" t="s">
        <v>684</v>
      </c>
      <c r="G38" t="s">
        <v>701</v>
      </c>
      <c r="H38" t="s">
        <v>708</v>
      </c>
      <c r="I38" t="s">
        <v>717</v>
      </c>
      <c r="J38" t="s">
        <v>727</v>
      </c>
      <c r="K38" t="s">
        <v>770</v>
      </c>
      <c r="L38">
        <v>712.84</v>
      </c>
      <c r="M38">
        <v>927.51</v>
      </c>
      <c r="N38">
        <v>0.24299999999999999</v>
      </c>
      <c r="O38">
        <v>27</v>
      </c>
    </row>
    <row r="39" spans="1:15" x14ac:dyDescent="0.25">
      <c r="A39" t="s">
        <v>52</v>
      </c>
      <c r="B39" s="2">
        <v>45832</v>
      </c>
      <c r="C39" s="2">
        <v>45848</v>
      </c>
      <c r="D39" t="s">
        <v>647</v>
      </c>
      <c r="E39" t="s">
        <v>659</v>
      </c>
      <c r="F39" t="s">
        <v>685</v>
      </c>
      <c r="G39" t="s">
        <v>706</v>
      </c>
      <c r="H39" t="s">
        <v>711</v>
      </c>
      <c r="I39" t="s">
        <v>725</v>
      </c>
      <c r="J39" t="s">
        <v>727</v>
      </c>
      <c r="K39" t="s">
        <v>771</v>
      </c>
      <c r="L39">
        <v>757.19</v>
      </c>
      <c r="M39">
        <v>1735.41</v>
      </c>
      <c r="N39">
        <v>0.13600000000000001</v>
      </c>
      <c r="O39">
        <v>8</v>
      </c>
    </row>
    <row r="40" spans="1:15" x14ac:dyDescent="0.25">
      <c r="A40" t="s">
        <v>53</v>
      </c>
      <c r="B40" s="2">
        <v>45401</v>
      </c>
      <c r="C40" s="2">
        <v>45418</v>
      </c>
      <c r="D40" t="s">
        <v>646</v>
      </c>
      <c r="E40" t="s">
        <v>651</v>
      </c>
      <c r="F40" t="s">
        <v>663</v>
      </c>
      <c r="G40" t="s">
        <v>703</v>
      </c>
      <c r="H40" t="s">
        <v>708</v>
      </c>
      <c r="I40" t="s">
        <v>720</v>
      </c>
      <c r="J40" t="s">
        <v>728</v>
      </c>
      <c r="K40" t="s">
        <v>772</v>
      </c>
      <c r="L40">
        <v>865.33</v>
      </c>
      <c r="M40">
        <v>1395.64</v>
      </c>
      <c r="N40">
        <v>0.17499999999999999</v>
      </c>
      <c r="O40">
        <v>13</v>
      </c>
    </row>
    <row r="41" spans="1:15" x14ac:dyDescent="0.25">
      <c r="A41" t="s">
        <v>54</v>
      </c>
      <c r="B41" s="2">
        <v>45094</v>
      </c>
      <c r="C41" s="2">
        <v>45101</v>
      </c>
      <c r="D41" t="s">
        <v>648</v>
      </c>
      <c r="E41" t="s">
        <v>660</v>
      </c>
      <c r="F41" t="s">
        <v>686</v>
      </c>
      <c r="G41" t="s">
        <v>701</v>
      </c>
      <c r="H41" t="s">
        <v>707</v>
      </c>
      <c r="I41" t="s">
        <v>714</v>
      </c>
      <c r="J41" t="s">
        <v>728</v>
      </c>
      <c r="K41" t="s">
        <v>773</v>
      </c>
      <c r="L41">
        <v>313.99</v>
      </c>
      <c r="M41">
        <v>454.42</v>
      </c>
      <c r="N41">
        <v>0.129</v>
      </c>
      <c r="O41">
        <v>9</v>
      </c>
    </row>
    <row r="42" spans="1:15" x14ac:dyDescent="0.25">
      <c r="A42" t="s">
        <v>55</v>
      </c>
      <c r="B42" s="2">
        <v>45531</v>
      </c>
      <c r="C42" s="2">
        <v>45554</v>
      </c>
      <c r="D42" t="s">
        <v>649</v>
      </c>
      <c r="E42" t="s">
        <v>656</v>
      </c>
      <c r="F42" t="s">
        <v>671</v>
      </c>
      <c r="G42" t="s">
        <v>705</v>
      </c>
      <c r="H42" t="s">
        <v>711</v>
      </c>
      <c r="I42" t="s">
        <v>726</v>
      </c>
      <c r="J42" t="s">
        <v>732</v>
      </c>
      <c r="K42" t="s">
        <v>774</v>
      </c>
      <c r="L42">
        <v>1024.01</v>
      </c>
      <c r="M42">
        <v>1580.97</v>
      </c>
      <c r="N42">
        <v>3.6999999999999998E-2</v>
      </c>
      <c r="O42">
        <v>27</v>
      </c>
    </row>
    <row r="43" spans="1:15" x14ac:dyDescent="0.25">
      <c r="A43" t="s">
        <v>56</v>
      </c>
      <c r="B43" s="2">
        <v>45302</v>
      </c>
      <c r="C43" s="2">
        <v>45324</v>
      </c>
      <c r="D43" t="s">
        <v>646</v>
      </c>
      <c r="E43" t="s">
        <v>661</v>
      </c>
      <c r="F43" t="s">
        <v>687</v>
      </c>
      <c r="G43" t="s">
        <v>704</v>
      </c>
      <c r="H43" t="s">
        <v>708</v>
      </c>
      <c r="I43" t="s">
        <v>723</v>
      </c>
      <c r="J43" t="s">
        <v>729</v>
      </c>
      <c r="K43" t="s">
        <v>775</v>
      </c>
      <c r="L43">
        <v>1206.2</v>
      </c>
      <c r="M43">
        <v>1759.79</v>
      </c>
      <c r="N43">
        <v>0</v>
      </c>
      <c r="O43">
        <v>6</v>
      </c>
    </row>
    <row r="44" spans="1:15" x14ac:dyDescent="0.25">
      <c r="A44" t="s">
        <v>57</v>
      </c>
      <c r="B44" s="2">
        <v>45590</v>
      </c>
      <c r="C44" s="2">
        <v>45610</v>
      </c>
      <c r="D44" t="s">
        <v>646</v>
      </c>
      <c r="E44" t="s">
        <v>650</v>
      </c>
      <c r="F44" t="s">
        <v>675</v>
      </c>
      <c r="G44" t="s">
        <v>701</v>
      </c>
      <c r="H44" t="s">
        <v>711</v>
      </c>
      <c r="I44" t="s">
        <v>722</v>
      </c>
      <c r="J44" t="s">
        <v>728</v>
      </c>
      <c r="K44" t="s">
        <v>776</v>
      </c>
      <c r="L44">
        <v>1396.48</v>
      </c>
      <c r="M44">
        <v>3204.5</v>
      </c>
      <c r="N44">
        <v>0.318</v>
      </c>
      <c r="O44">
        <v>14</v>
      </c>
    </row>
    <row r="45" spans="1:15" x14ac:dyDescent="0.25">
      <c r="A45" t="s">
        <v>58</v>
      </c>
      <c r="B45" s="2">
        <v>45806</v>
      </c>
      <c r="C45" s="2">
        <v>45828</v>
      </c>
      <c r="D45" t="s">
        <v>649</v>
      </c>
      <c r="E45" t="s">
        <v>656</v>
      </c>
      <c r="F45" t="s">
        <v>671</v>
      </c>
      <c r="G45" t="s">
        <v>701</v>
      </c>
      <c r="H45" t="s">
        <v>711</v>
      </c>
      <c r="I45" t="s">
        <v>720</v>
      </c>
      <c r="J45" t="s">
        <v>728</v>
      </c>
      <c r="K45" t="s">
        <v>777</v>
      </c>
      <c r="L45">
        <v>483.47</v>
      </c>
      <c r="M45">
        <v>1135.43</v>
      </c>
      <c r="N45">
        <v>0.14599999999999999</v>
      </c>
      <c r="O45">
        <v>11</v>
      </c>
    </row>
    <row r="46" spans="1:15" x14ac:dyDescent="0.25">
      <c r="A46" t="s">
        <v>59</v>
      </c>
      <c r="B46" s="2">
        <v>45432</v>
      </c>
      <c r="C46" s="2">
        <v>45445</v>
      </c>
      <c r="D46" t="s">
        <v>648</v>
      </c>
      <c r="E46" t="s">
        <v>653</v>
      </c>
      <c r="F46" t="s">
        <v>688</v>
      </c>
      <c r="G46" t="s">
        <v>706</v>
      </c>
      <c r="H46" t="s">
        <v>709</v>
      </c>
      <c r="I46" t="s">
        <v>723</v>
      </c>
      <c r="J46" t="s">
        <v>727</v>
      </c>
      <c r="K46" t="s">
        <v>778</v>
      </c>
      <c r="L46">
        <v>675.43</v>
      </c>
      <c r="M46">
        <v>996.36</v>
      </c>
      <c r="N46">
        <v>0.182</v>
      </c>
      <c r="O46">
        <v>22</v>
      </c>
    </row>
    <row r="47" spans="1:15" x14ac:dyDescent="0.25">
      <c r="A47" t="s">
        <v>60</v>
      </c>
      <c r="B47" s="2">
        <v>45035</v>
      </c>
      <c r="C47" s="2">
        <v>45046</v>
      </c>
      <c r="D47" t="s">
        <v>647</v>
      </c>
      <c r="E47" t="s">
        <v>654</v>
      </c>
      <c r="F47" t="s">
        <v>680</v>
      </c>
      <c r="G47" t="s">
        <v>705</v>
      </c>
      <c r="H47" t="s">
        <v>707</v>
      </c>
      <c r="I47" t="s">
        <v>720</v>
      </c>
      <c r="J47" t="s">
        <v>729</v>
      </c>
      <c r="K47" t="s">
        <v>779</v>
      </c>
      <c r="L47">
        <v>826.55</v>
      </c>
      <c r="M47">
        <v>1397.05</v>
      </c>
      <c r="N47">
        <v>0.16900000000000001</v>
      </c>
      <c r="O47">
        <v>28</v>
      </c>
    </row>
    <row r="48" spans="1:15" x14ac:dyDescent="0.25">
      <c r="A48" t="s">
        <v>61</v>
      </c>
      <c r="B48" s="2">
        <v>45100</v>
      </c>
      <c r="C48" s="2">
        <v>45110</v>
      </c>
      <c r="D48" t="s">
        <v>646</v>
      </c>
      <c r="E48" t="s">
        <v>651</v>
      </c>
      <c r="F48" t="s">
        <v>669</v>
      </c>
      <c r="G48" t="s">
        <v>704</v>
      </c>
      <c r="H48" t="s">
        <v>708</v>
      </c>
      <c r="I48" t="s">
        <v>713</v>
      </c>
      <c r="J48" t="s">
        <v>728</v>
      </c>
      <c r="K48" t="s">
        <v>780</v>
      </c>
      <c r="L48">
        <v>337.75</v>
      </c>
      <c r="M48">
        <v>548.89</v>
      </c>
      <c r="N48">
        <v>0</v>
      </c>
      <c r="O48">
        <v>13</v>
      </c>
    </row>
    <row r="49" spans="1:15" x14ac:dyDescent="0.25">
      <c r="A49" t="s">
        <v>62</v>
      </c>
      <c r="B49" s="2">
        <v>45426</v>
      </c>
      <c r="C49" s="2">
        <v>45440</v>
      </c>
      <c r="D49" t="s">
        <v>649</v>
      </c>
      <c r="E49" t="s">
        <v>658</v>
      </c>
      <c r="F49" t="s">
        <v>674</v>
      </c>
      <c r="G49" t="s">
        <v>704</v>
      </c>
      <c r="H49" t="s">
        <v>707</v>
      </c>
      <c r="I49" t="s">
        <v>717</v>
      </c>
      <c r="J49" t="s">
        <v>729</v>
      </c>
      <c r="K49" t="s">
        <v>781</v>
      </c>
      <c r="L49">
        <v>1421.14</v>
      </c>
      <c r="M49">
        <v>3524</v>
      </c>
      <c r="N49">
        <v>0</v>
      </c>
      <c r="O49">
        <v>31</v>
      </c>
    </row>
    <row r="50" spans="1:15" x14ac:dyDescent="0.25">
      <c r="A50" t="s">
        <v>63</v>
      </c>
      <c r="B50" s="2">
        <v>45579</v>
      </c>
      <c r="C50" s="2">
        <v>45604</v>
      </c>
      <c r="D50" t="s">
        <v>646</v>
      </c>
      <c r="E50" t="s">
        <v>651</v>
      </c>
      <c r="F50" t="s">
        <v>665</v>
      </c>
      <c r="G50" t="s">
        <v>706</v>
      </c>
      <c r="H50" t="s">
        <v>708</v>
      </c>
      <c r="I50" t="s">
        <v>719</v>
      </c>
      <c r="J50" t="s">
        <v>729</v>
      </c>
      <c r="K50" t="s">
        <v>782</v>
      </c>
      <c r="L50">
        <v>859.35</v>
      </c>
      <c r="M50">
        <v>1825.61</v>
      </c>
      <c r="N50">
        <v>0.187</v>
      </c>
      <c r="O50">
        <v>24</v>
      </c>
    </row>
    <row r="51" spans="1:15" x14ac:dyDescent="0.25">
      <c r="A51" t="s">
        <v>64</v>
      </c>
      <c r="B51" s="2">
        <v>45117</v>
      </c>
      <c r="C51" s="2">
        <v>45139</v>
      </c>
      <c r="D51" t="s">
        <v>649</v>
      </c>
      <c r="E51" t="s">
        <v>657</v>
      </c>
      <c r="F51" t="s">
        <v>673</v>
      </c>
      <c r="G51" t="s">
        <v>704</v>
      </c>
      <c r="H51" t="s">
        <v>709</v>
      </c>
      <c r="I51" t="s">
        <v>717</v>
      </c>
      <c r="J51" t="s">
        <v>728</v>
      </c>
      <c r="K51" t="s">
        <v>783</v>
      </c>
      <c r="L51">
        <v>1303.56</v>
      </c>
      <c r="M51">
        <v>1791.37</v>
      </c>
      <c r="N51">
        <v>0.126</v>
      </c>
      <c r="O51">
        <v>22</v>
      </c>
    </row>
    <row r="52" spans="1:15" x14ac:dyDescent="0.25">
      <c r="A52" t="s">
        <v>65</v>
      </c>
      <c r="B52" s="2">
        <v>45602</v>
      </c>
      <c r="C52" s="2">
        <v>45618</v>
      </c>
      <c r="D52" t="s">
        <v>648</v>
      </c>
      <c r="E52" t="s">
        <v>653</v>
      </c>
      <c r="F52" t="s">
        <v>667</v>
      </c>
      <c r="G52" t="s">
        <v>703</v>
      </c>
      <c r="H52" t="s">
        <v>710</v>
      </c>
      <c r="I52" t="s">
        <v>726</v>
      </c>
      <c r="J52" t="s">
        <v>733</v>
      </c>
      <c r="K52" t="s">
        <v>784</v>
      </c>
      <c r="L52">
        <v>1454.11</v>
      </c>
      <c r="M52">
        <v>2629.75</v>
      </c>
      <c r="N52">
        <v>0.29199999999999998</v>
      </c>
      <c r="O52">
        <v>8</v>
      </c>
    </row>
    <row r="53" spans="1:15" x14ac:dyDescent="0.25">
      <c r="A53" t="s">
        <v>66</v>
      </c>
      <c r="B53" s="2">
        <v>45582</v>
      </c>
      <c r="C53" s="2">
        <v>45602</v>
      </c>
      <c r="D53" t="s">
        <v>647</v>
      </c>
      <c r="E53" t="s">
        <v>654</v>
      </c>
      <c r="F53" t="s">
        <v>668</v>
      </c>
      <c r="G53" t="s">
        <v>706</v>
      </c>
      <c r="H53" t="s">
        <v>710</v>
      </c>
      <c r="I53" t="s">
        <v>719</v>
      </c>
      <c r="J53" t="s">
        <v>732</v>
      </c>
      <c r="K53" t="s">
        <v>785</v>
      </c>
      <c r="L53">
        <v>72.94</v>
      </c>
      <c r="M53">
        <v>106.3</v>
      </c>
      <c r="N53">
        <v>0.29499999999999998</v>
      </c>
      <c r="O53">
        <v>8</v>
      </c>
    </row>
    <row r="54" spans="1:15" x14ac:dyDescent="0.25">
      <c r="A54" t="s">
        <v>67</v>
      </c>
      <c r="B54" s="2">
        <v>45016</v>
      </c>
      <c r="C54" s="2">
        <v>45021</v>
      </c>
      <c r="D54" t="s">
        <v>646</v>
      </c>
      <c r="E54" t="s">
        <v>650</v>
      </c>
      <c r="F54" t="s">
        <v>678</v>
      </c>
      <c r="G54" t="s">
        <v>702</v>
      </c>
      <c r="H54" t="s">
        <v>709</v>
      </c>
      <c r="I54" t="s">
        <v>717</v>
      </c>
      <c r="J54" t="s">
        <v>731</v>
      </c>
      <c r="K54" t="s">
        <v>786</v>
      </c>
      <c r="L54">
        <v>533.26</v>
      </c>
      <c r="M54">
        <v>385.72</v>
      </c>
      <c r="N54">
        <v>0</v>
      </c>
      <c r="O54">
        <v>15</v>
      </c>
    </row>
    <row r="55" spans="1:15" x14ac:dyDescent="0.25">
      <c r="A55" t="s">
        <v>68</v>
      </c>
      <c r="B55" s="2">
        <v>45678</v>
      </c>
      <c r="C55" s="2">
        <v>45704</v>
      </c>
      <c r="D55" t="s">
        <v>649</v>
      </c>
      <c r="E55" t="s">
        <v>657</v>
      </c>
      <c r="F55" t="s">
        <v>679</v>
      </c>
      <c r="G55" t="s">
        <v>701</v>
      </c>
      <c r="H55" t="s">
        <v>710</v>
      </c>
      <c r="I55" t="s">
        <v>719</v>
      </c>
      <c r="J55" t="s">
        <v>731</v>
      </c>
      <c r="K55" t="s">
        <v>787</v>
      </c>
      <c r="L55">
        <v>204.11</v>
      </c>
      <c r="M55">
        <v>236.87</v>
      </c>
      <c r="N55">
        <v>0.182</v>
      </c>
      <c r="O55">
        <v>13</v>
      </c>
    </row>
    <row r="56" spans="1:15" x14ac:dyDescent="0.25">
      <c r="A56" t="s">
        <v>69</v>
      </c>
      <c r="B56" s="2">
        <v>45168</v>
      </c>
      <c r="C56" s="2">
        <v>45170</v>
      </c>
      <c r="D56" t="s">
        <v>649</v>
      </c>
      <c r="E56" t="s">
        <v>656</v>
      </c>
      <c r="F56" t="s">
        <v>684</v>
      </c>
      <c r="G56" t="s">
        <v>701</v>
      </c>
      <c r="H56" t="s">
        <v>711</v>
      </c>
      <c r="I56" t="s">
        <v>725</v>
      </c>
      <c r="J56" t="s">
        <v>729</v>
      </c>
      <c r="K56" t="s">
        <v>788</v>
      </c>
      <c r="L56">
        <v>44.42</v>
      </c>
      <c r="M56">
        <v>41.9</v>
      </c>
      <c r="N56">
        <v>0.14399999999999999</v>
      </c>
      <c r="O56">
        <v>6</v>
      </c>
    </row>
    <row r="57" spans="1:15" x14ac:dyDescent="0.25">
      <c r="A57" t="s">
        <v>70</v>
      </c>
      <c r="B57" s="2">
        <v>45753</v>
      </c>
      <c r="C57" s="2">
        <v>45777</v>
      </c>
      <c r="D57" t="s">
        <v>648</v>
      </c>
      <c r="E57" t="s">
        <v>655</v>
      </c>
      <c r="F57" t="s">
        <v>672</v>
      </c>
      <c r="G57" t="s">
        <v>702</v>
      </c>
      <c r="H57" t="s">
        <v>708</v>
      </c>
      <c r="I57" t="s">
        <v>723</v>
      </c>
      <c r="J57" t="s">
        <v>732</v>
      </c>
      <c r="K57" t="s">
        <v>789</v>
      </c>
      <c r="L57">
        <v>855.78</v>
      </c>
      <c r="M57">
        <v>977.38</v>
      </c>
      <c r="N57">
        <v>0.14699999999999999</v>
      </c>
      <c r="O57">
        <v>38</v>
      </c>
    </row>
    <row r="58" spans="1:15" x14ac:dyDescent="0.25">
      <c r="A58" t="s">
        <v>71</v>
      </c>
      <c r="B58" s="2">
        <v>45697</v>
      </c>
      <c r="C58" s="2">
        <v>45717</v>
      </c>
      <c r="D58" t="s">
        <v>648</v>
      </c>
      <c r="E58" t="s">
        <v>655</v>
      </c>
      <c r="F58" t="s">
        <v>670</v>
      </c>
      <c r="G58" t="s">
        <v>701</v>
      </c>
      <c r="H58" t="s">
        <v>710</v>
      </c>
      <c r="I58" t="s">
        <v>717</v>
      </c>
      <c r="J58" t="s">
        <v>731</v>
      </c>
      <c r="K58" t="s">
        <v>790</v>
      </c>
      <c r="L58">
        <v>1154.6400000000001</v>
      </c>
      <c r="M58">
        <v>2794.13</v>
      </c>
      <c r="N58">
        <v>3.5000000000000003E-2</v>
      </c>
      <c r="O58">
        <v>11</v>
      </c>
    </row>
    <row r="59" spans="1:15" x14ac:dyDescent="0.25">
      <c r="A59" t="s">
        <v>72</v>
      </c>
      <c r="B59" s="2">
        <v>45643</v>
      </c>
      <c r="C59" s="2">
        <v>45644</v>
      </c>
      <c r="D59" t="s">
        <v>649</v>
      </c>
      <c r="E59" t="s">
        <v>656</v>
      </c>
      <c r="F59" t="s">
        <v>684</v>
      </c>
      <c r="G59" t="s">
        <v>702</v>
      </c>
      <c r="H59" t="s">
        <v>707</v>
      </c>
      <c r="I59" t="s">
        <v>716</v>
      </c>
      <c r="J59" t="s">
        <v>733</v>
      </c>
      <c r="K59" t="s">
        <v>791</v>
      </c>
      <c r="L59">
        <v>346.82</v>
      </c>
      <c r="M59">
        <v>701.95</v>
      </c>
      <c r="N59">
        <v>0.14699999999999999</v>
      </c>
      <c r="O59">
        <v>8</v>
      </c>
    </row>
    <row r="60" spans="1:15" x14ac:dyDescent="0.25">
      <c r="A60" t="s">
        <v>73</v>
      </c>
      <c r="B60" s="2">
        <v>45817</v>
      </c>
      <c r="C60" s="2">
        <v>45826</v>
      </c>
      <c r="D60" t="s">
        <v>649</v>
      </c>
      <c r="E60" t="s">
        <v>657</v>
      </c>
      <c r="F60" t="s">
        <v>673</v>
      </c>
      <c r="G60" t="s">
        <v>705</v>
      </c>
      <c r="H60" t="s">
        <v>709</v>
      </c>
      <c r="I60" t="s">
        <v>722</v>
      </c>
      <c r="J60" t="s">
        <v>733</v>
      </c>
      <c r="K60" t="s">
        <v>792</v>
      </c>
      <c r="L60">
        <v>1225.5</v>
      </c>
      <c r="M60">
        <v>-5.27</v>
      </c>
      <c r="N60">
        <v>7.4999999999999997E-2</v>
      </c>
      <c r="O60">
        <v>56</v>
      </c>
    </row>
    <row r="61" spans="1:15" x14ac:dyDescent="0.25">
      <c r="A61" t="s">
        <v>74</v>
      </c>
      <c r="B61" s="2">
        <v>45779</v>
      </c>
      <c r="C61" s="2">
        <v>45790</v>
      </c>
      <c r="D61" t="s">
        <v>646</v>
      </c>
      <c r="E61" t="s">
        <v>650</v>
      </c>
      <c r="F61" t="s">
        <v>678</v>
      </c>
      <c r="G61" t="s">
        <v>705</v>
      </c>
      <c r="H61" t="s">
        <v>708</v>
      </c>
      <c r="I61" t="s">
        <v>720</v>
      </c>
      <c r="J61" t="s">
        <v>733</v>
      </c>
      <c r="K61" t="s">
        <v>793</v>
      </c>
      <c r="L61">
        <v>1057.5999999999999</v>
      </c>
      <c r="M61">
        <v>1437.06</v>
      </c>
      <c r="N61">
        <v>0.20499999999999999</v>
      </c>
      <c r="O61">
        <v>4</v>
      </c>
    </row>
    <row r="62" spans="1:15" x14ac:dyDescent="0.25">
      <c r="A62" t="s">
        <v>75</v>
      </c>
      <c r="B62" s="2">
        <v>45361</v>
      </c>
      <c r="C62" s="2">
        <v>45391</v>
      </c>
      <c r="D62" t="s">
        <v>649</v>
      </c>
      <c r="E62" t="s">
        <v>657</v>
      </c>
      <c r="F62" t="s">
        <v>679</v>
      </c>
      <c r="G62" t="s">
        <v>701</v>
      </c>
      <c r="H62" t="s">
        <v>711</v>
      </c>
      <c r="I62" t="s">
        <v>714</v>
      </c>
      <c r="J62" t="s">
        <v>727</v>
      </c>
      <c r="K62" t="s">
        <v>794</v>
      </c>
      <c r="L62">
        <v>1176.56</v>
      </c>
      <c r="M62">
        <v>1911.89</v>
      </c>
      <c r="N62">
        <v>0.11899999999999999</v>
      </c>
      <c r="O62">
        <v>20</v>
      </c>
    </row>
    <row r="63" spans="1:15" x14ac:dyDescent="0.25">
      <c r="A63" t="s">
        <v>76</v>
      </c>
      <c r="B63" s="2">
        <v>45910</v>
      </c>
      <c r="C63" s="2">
        <v>45912</v>
      </c>
      <c r="D63" t="s">
        <v>647</v>
      </c>
      <c r="E63" t="s">
        <v>652</v>
      </c>
      <c r="F63" t="s">
        <v>689</v>
      </c>
      <c r="G63" t="s">
        <v>704</v>
      </c>
      <c r="H63" t="s">
        <v>708</v>
      </c>
      <c r="I63" t="s">
        <v>719</v>
      </c>
      <c r="J63" t="s">
        <v>727</v>
      </c>
      <c r="K63" t="s">
        <v>795</v>
      </c>
      <c r="L63">
        <v>1470.15</v>
      </c>
      <c r="M63">
        <v>2593.7800000000002</v>
      </c>
      <c r="N63">
        <v>0.11</v>
      </c>
      <c r="O63">
        <v>12</v>
      </c>
    </row>
    <row r="64" spans="1:15" x14ac:dyDescent="0.25">
      <c r="A64" t="s">
        <v>77</v>
      </c>
      <c r="B64" s="2">
        <v>45774</v>
      </c>
      <c r="C64" s="2">
        <v>45802</v>
      </c>
      <c r="D64" t="s">
        <v>649</v>
      </c>
      <c r="E64" t="s">
        <v>657</v>
      </c>
      <c r="F64" t="s">
        <v>690</v>
      </c>
      <c r="G64" t="s">
        <v>705</v>
      </c>
      <c r="H64" t="s">
        <v>709</v>
      </c>
      <c r="I64" t="s">
        <v>714</v>
      </c>
      <c r="J64" t="s">
        <v>730</v>
      </c>
      <c r="K64" t="s">
        <v>796</v>
      </c>
      <c r="L64">
        <v>603.45000000000005</v>
      </c>
      <c r="M64">
        <v>1244.08</v>
      </c>
      <c r="N64">
        <v>0.2</v>
      </c>
      <c r="O64">
        <v>11</v>
      </c>
    </row>
    <row r="65" spans="1:15" x14ac:dyDescent="0.25">
      <c r="A65" t="s">
        <v>78</v>
      </c>
      <c r="B65" s="2">
        <v>45598</v>
      </c>
      <c r="C65" s="2">
        <v>45614</v>
      </c>
      <c r="D65" t="s">
        <v>647</v>
      </c>
      <c r="E65" t="s">
        <v>654</v>
      </c>
      <c r="F65" t="s">
        <v>691</v>
      </c>
      <c r="G65" t="s">
        <v>705</v>
      </c>
      <c r="H65" t="s">
        <v>710</v>
      </c>
      <c r="I65" t="s">
        <v>719</v>
      </c>
      <c r="J65" t="s">
        <v>732</v>
      </c>
      <c r="K65" t="s">
        <v>797</v>
      </c>
      <c r="L65">
        <v>1233.58</v>
      </c>
      <c r="M65">
        <v>1912.51</v>
      </c>
      <c r="N65">
        <v>0.255</v>
      </c>
      <c r="O65">
        <v>51</v>
      </c>
    </row>
    <row r="66" spans="1:15" x14ac:dyDescent="0.25">
      <c r="A66" t="s">
        <v>79</v>
      </c>
      <c r="B66" s="2">
        <v>44972</v>
      </c>
      <c r="C66" s="2">
        <v>44983</v>
      </c>
      <c r="D66" t="s">
        <v>646</v>
      </c>
      <c r="E66" t="s">
        <v>661</v>
      </c>
      <c r="F66" t="s">
        <v>682</v>
      </c>
      <c r="G66" t="s">
        <v>703</v>
      </c>
      <c r="H66" t="s">
        <v>707</v>
      </c>
      <c r="I66" t="s">
        <v>723</v>
      </c>
      <c r="J66" t="s">
        <v>731</v>
      </c>
      <c r="K66" t="s">
        <v>798</v>
      </c>
      <c r="L66">
        <v>498.5</v>
      </c>
      <c r="M66">
        <v>755.87</v>
      </c>
      <c r="N66">
        <v>0.13</v>
      </c>
      <c r="O66">
        <v>40</v>
      </c>
    </row>
    <row r="67" spans="1:15" x14ac:dyDescent="0.25">
      <c r="A67" t="s">
        <v>80</v>
      </c>
      <c r="B67" s="2">
        <v>45263</v>
      </c>
      <c r="C67" s="2">
        <v>45286</v>
      </c>
      <c r="D67" t="s">
        <v>648</v>
      </c>
      <c r="E67" t="s">
        <v>655</v>
      </c>
      <c r="F67" t="s">
        <v>692</v>
      </c>
      <c r="G67" t="s">
        <v>702</v>
      </c>
      <c r="H67" t="s">
        <v>707</v>
      </c>
      <c r="I67" t="s">
        <v>719</v>
      </c>
      <c r="J67" t="s">
        <v>730</v>
      </c>
      <c r="K67" t="s">
        <v>799</v>
      </c>
      <c r="L67">
        <v>1303.1099999999999</v>
      </c>
      <c r="M67">
        <v>1145.67</v>
      </c>
      <c r="N67">
        <v>0.184</v>
      </c>
      <c r="O67">
        <v>13</v>
      </c>
    </row>
    <row r="68" spans="1:15" x14ac:dyDescent="0.25">
      <c r="A68" t="s">
        <v>81</v>
      </c>
      <c r="B68" s="2">
        <v>45004</v>
      </c>
      <c r="C68" s="2">
        <v>45025</v>
      </c>
      <c r="D68" t="s">
        <v>649</v>
      </c>
      <c r="E68" t="s">
        <v>658</v>
      </c>
      <c r="F68" t="s">
        <v>693</v>
      </c>
      <c r="G68" t="s">
        <v>704</v>
      </c>
      <c r="H68" t="s">
        <v>707</v>
      </c>
      <c r="I68" t="s">
        <v>716</v>
      </c>
      <c r="J68" t="s">
        <v>733</v>
      </c>
      <c r="K68" t="s">
        <v>800</v>
      </c>
      <c r="L68">
        <v>1082.17</v>
      </c>
      <c r="M68">
        <v>1234.0999999999999</v>
      </c>
      <c r="N68">
        <v>0.189</v>
      </c>
      <c r="O68">
        <v>16</v>
      </c>
    </row>
    <row r="69" spans="1:15" x14ac:dyDescent="0.25">
      <c r="A69" t="s">
        <v>82</v>
      </c>
      <c r="B69" s="2">
        <v>45434</v>
      </c>
      <c r="C69" s="2">
        <v>45449</v>
      </c>
      <c r="D69" t="s">
        <v>647</v>
      </c>
      <c r="E69" t="s">
        <v>652</v>
      </c>
      <c r="F69" t="s">
        <v>694</v>
      </c>
      <c r="G69" t="s">
        <v>701</v>
      </c>
      <c r="H69" t="s">
        <v>710</v>
      </c>
      <c r="I69" t="s">
        <v>712</v>
      </c>
      <c r="J69" t="s">
        <v>732</v>
      </c>
      <c r="K69" t="s">
        <v>801</v>
      </c>
      <c r="L69">
        <v>673.88</v>
      </c>
      <c r="M69">
        <v>1228.01</v>
      </c>
      <c r="N69">
        <v>0.105</v>
      </c>
      <c r="O69">
        <v>13</v>
      </c>
    </row>
    <row r="70" spans="1:15" x14ac:dyDescent="0.25">
      <c r="A70" t="s">
        <v>83</v>
      </c>
      <c r="B70" s="2">
        <v>45157</v>
      </c>
      <c r="C70" s="2">
        <v>45176</v>
      </c>
      <c r="D70" t="s">
        <v>646</v>
      </c>
      <c r="E70" t="s">
        <v>661</v>
      </c>
      <c r="F70" t="s">
        <v>682</v>
      </c>
      <c r="G70" t="s">
        <v>706</v>
      </c>
      <c r="H70" t="s">
        <v>707</v>
      </c>
      <c r="I70" t="s">
        <v>726</v>
      </c>
      <c r="J70" t="s">
        <v>732</v>
      </c>
      <c r="K70" t="s">
        <v>802</v>
      </c>
      <c r="L70">
        <v>494.61</v>
      </c>
      <c r="M70">
        <v>605.23</v>
      </c>
      <c r="N70">
        <v>0.20399999999999999</v>
      </c>
      <c r="O70">
        <v>18</v>
      </c>
    </row>
    <row r="71" spans="1:15" x14ac:dyDescent="0.25">
      <c r="A71" t="s">
        <v>84</v>
      </c>
      <c r="B71" s="2">
        <v>45037</v>
      </c>
      <c r="C71" s="2">
        <v>45056</v>
      </c>
      <c r="D71" t="s">
        <v>647</v>
      </c>
      <c r="E71" t="s">
        <v>659</v>
      </c>
      <c r="F71" t="s">
        <v>685</v>
      </c>
      <c r="G71" t="s">
        <v>701</v>
      </c>
      <c r="H71" t="s">
        <v>707</v>
      </c>
      <c r="I71" t="s">
        <v>720</v>
      </c>
      <c r="J71" t="s">
        <v>727</v>
      </c>
      <c r="K71" t="s">
        <v>803</v>
      </c>
      <c r="L71">
        <v>882.33</v>
      </c>
      <c r="M71">
        <v>1880.15</v>
      </c>
      <c r="N71">
        <v>0.05</v>
      </c>
      <c r="O71">
        <v>5</v>
      </c>
    </row>
    <row r="72" spans="1:15" x14ac:dyDescent="0.25">
      <c r="A72" t="s">
        <v>85</v>
      </c>
      <c r="B72" s="2">
        <v>45369</v>
      </c>
      <c r="C72" s="2">
        <v>45372</v>
      </c>
      <c r="D72" t="s">
        <v>649</v>
      </c>
      <c r="E72" t="s">
        <v>656</v>
      </c>
      <c r="F72" t="s">
        <v>684</v>
      </c>
      <c r="G72" t="s">
        <v>705</v>
      </c>
      <c r="H72" t="s">
        <v>708</v>
      </c>
      <c r="I72" t="s">
        <v>724</v>
      </c>
      <c r="J72" t="s">
        <v>733</v>
      </c>
      <c r="K72" t="s">
        <v>804</v>
      </c>
      <c r="L72">
        <v>910.63</v>
      </c>
      <c r="M72">
        <v>1269.4000000000001</v>
      </c>
      <c r="N72">
        <v>6.8000000000000005E-2</v>
      </c>
      <c r="O72">
        <v>9</v>
      </c>
    </row>
    <row r="73" spans="1:15" x14ac:dyDescent="0.25">
      <c r="A73" t="s">
        <v>86</v>
      </c>
      <c r="B73" s="2">
        <v>45756</v>
      </c>
      <c r="C73" s="2">
        <v>45783</v>
      </c>
      <c r="D73" t="s">
        <v>648</v>
      </c>
      <c r="E73" t="s">
        <v>655</v>
      </c>
      <c r="F73" t="s">
        <v>672</v>
      </c>
      <c r="G73" t="s">
        <v>706</v>
      </c>
      <c r="H73" t="s">
        <v>709</v>
      </c>
      <c r="I73" t="s">
        <v>721</v>
      </c>
      <c r="J73" t="s">
        <v>731</v>
      </c>
      <c r="K73" t="s">
        <v>805</v>
      </c>
      <c r="L73">
        <v>264.19</v>
      </c>
      <c r="M73">
        <v>620.92999999999995</v>
      </c>
      <c r="N73">
        <v>0.14199999999999999</v>
      </c>
      <c r="O73">
        <v>12</v>
      </c>
    </row>
    <row r="74" spans="1:15" x14ac:dyDescent="0.25">
      <c r="A74" t="s">
        <v>87</v>
      </c>
      <c r="B74" s="2">
        <v>45394</v>
      </c>
      <c r="C74" s="2">
        <v>45419</v>
      </c>
      <c r="D74" t="s">
        <v>646</v>
      </c>
      <c r="E74" t="s">
        <v>661</v>
      </c>
      <c r="F74" t="s">
        <v>682</v>
      </c>
      <c r="G74" t="s">
        <v>702</v>
      </c>
      <c r="H74" t="s">
        <v>710</v>
      </c>
      <c r="I74" t="s">
        <v>720</v>
      </c>
      <c r="J74" t="s">
        <v>731</v>
      </c>
      <c r="K74" t="s">
        <v>806</v>
      </c>
      <c r="L74">
        <v>1376.51</v>
      </c>
      <c r="M74">
        <v>1455.91</v>
      </c>
      <c r="N74">
        <v>0.185</v>
      </c>
      <c r="O74">
        <v>17</v>
      </c>
    </row>
    <row r="75" spans="1:15" x14ac:dyDescent="0.25">
      <c r="A75" t="s">
        <v>88</v>
      </c>
      <c r="B75" s="2">
        <v>45641</v>
      </c>
      <c r="C75" s="2">
        <v>45646</v>
      </c>
      <c r="D75" t="s">
        <v>647</v>
      </c>
      <c r="E75" t="s">
        <v>659</v>
      </c>
      <c r="F75" t="s">
        <v>676</v>
      </c>
      <c r="G75" t="s">
        <v>705</v>
      </c>
      <c r="H75" t="s">
        <v>711</v>
      </c>
      <c r="I75" t="s">
        <v>713</v>
      </c>
      <c r="J75" t="s">
        <v>729</v>
      </c>
      <c r="K75" t="s">
        <v>807</v>
      </c>
      <c r="L75">
        <v>717.55</v>
      </c>
      <c r="M75">
        <v>546.42999999999995</v>
      </c>
      <c r="N75">
        <v>4.7E-2</v>
      </c>
      <c r="O75">
        <v>18</v>
      </c>
    </row>
    <row r="76" spans="1:15" x14ac:dyDescent="0.25">
      <c r="A76" t="s">
        <v>89</v>
      </c>
      <c r="B76" s="2">
        <v>45066</v>
      </c>
      <c r="C76" s="2">
        <v>45064</v>
      </c>
      <c r="D76" t="s">
        <v>646</v>
      </c>
      <c r="E76" t="s">
        <v>661</v>
      </c>
      <c r="F76" t="s">
        <v>687</v>
      </c>
      <c r="G76" t="s">
        <v>701</v>
      </c>
      <c r="H76" t="s">
        <v>710</v>
      </c>
      <c r="I76" t="s">
        <v>720</v>
      </c>
      <c r="J76" t="s">
        <v>727</v>
      </c>
      <c r="K76" t="s">
        <v>808</v>
      </c>
      <c r="L76">
        <v>917.88</v>
      </c>
      <c r="M76">
        <v>1347.92</v>
      </c>
      <c r="N76">
        <v>0.34300000000000003</v>
      </c>
      <c r="O76">
        <v>5</v>
      </c>
    </row>
    <row r="77" spans="1:15" x14ac:dyDescent="0.25">
      <c r="A77" t="s">
        <v>90</v>
      </c>
      <c r="B77" s="2">
        <v>45187</v>
      </c>
      <c r="C77" s="2">
        <v>45207</v>
      </c>
      <c r="D77" t="s">
        <v>647</v>
      </c>
      <c r="E77" t="s">
        <v>654</v>
      </c>
      <c r="F77" t="s">
        <v>680</v>
      </c>
      <c r="G77" t="s">
        <v>705</v>
      </c>
      <c r="H77" t="s">
        <v>711</v>
      </c>
      <c r="I77" t="s">
        <v>717</v>
      </c>
      <c r="J77" t="s">
        <v>727</v>
      </c>
      <c r="K77" t="s">
        <v>809</v>
      </c>
      <c r="L77">
        <v>825.64</v>
      </c>
      <c r="M77">
        <v>1108.43</v>
      </c>
      <c r="N77">
        <v>0.114</v>
      </c>
      <c r="O77">
        <v>7</v>
      </c>
    </row>
    <row r="78" spans="1:15" x14ac:dyDescent="0.25">
      <c r="A78" t="s">
        <v>91</v>
      </c>
      <c r="B78" s="2">
        <v>45532</v>
      </c>
      <c r="C78" s="2">
        <v>45560</v>
      </c>
      <c r="D78" t="s">
        <v>648</v>
      </c>
      <c r="E78" t="s">
        <v>655</v>
      </c>
      <c r="F78" t="s">
        <v>692</v>
      </c>
      <c r="G78" t="s">
        <v>703</v>
      </c>
      <c r="H78" t="s">
        <v>708</v>
      </c>
      <c r="J78" t="s">
        <v>733</v>
      </c>
      <c r="K78" t="s">
        <v>810</v>
      </c>
      <c r="L78">
        <v>1394.65</v>
      </c>
      <c r="M78">
        <v>3144.1</v>
      </c>
      <c r="N78">
        <v>0.13400000000000001</v>
      </c>
      <c r="O78">
        <v>13</v>
      </c>
    </row>
    <row r="79" spans="1:15" x14ac:dyDescent="0.25">
      <c r="A79" t="s">
        <v>92</v>
      </c>
      <c r="B79" s="2">
        <v>45473</v>
      </c>
      <c r="C79" s="2">
        <v>45471</v>
      </c>
      <c r="D79" t="s">
        <v>648</v>
      </c>
      <c r="E79" t="s">
        <v>655</v>
      </c>
      <c r="F79" t="s">
        <v>692</v>
      </c>
      <c r="G79" t="s">
        <v>705</v>
      </c>
      <c r="H79" t="s">
        <v>711</v>
      </c>
      <c r="I79" t="s">
        <v>716</v>
      </c>
      <c r="J79" t="s">
        <v>733</v>
      </c>
      <c r="K79" t="s">
        <v>811</v>
      </c>
      <c r="L79">
        <v>1112.98</v>
      </c>
      <c r="M79">
        <v>2095.73</v>
      </c>
      <c r="N79">
        <v>7.1999999999999995E-2</v>
      </c>
      <c r="O79">
        <v>17</v>
      </c>
    </row>
    <row r="80" spans="1:15" x14ac:dyDescent="0.25">
      <c r="A80" t="s">
        <v>93</v>
      </c>
      <c r="B80" s="2">
        <v>45091</v>
      </c>
      <c r="C80" s="2">
        <v>45093</v>
      </c>
      <c r="D80" t="s">
        <v>649</v>
      </c>
      <c r="E80" t="s">
        <v>658</v>
      </c>
      <c r="F80" t="s">
        <v>693</v>
      </c>
      <c r="G80" t="s">
        <v>703</v>
      </c>
      <c r="H80" t="s">
        <v>711</v>
      </c>
      <c r="I80" t="s">
        <v>723</v>
      </c>
      <c r="J80" t="s">
        <v>727</v>
      </c>
      <c r="K80" t="s">
        <v>812</v>
      </c>
      <c r="L80">
        <v>357.36</v>
      </c>
      <c r="M80">
        <v>703.62</v>
      </c>
      <c r="N80">
        <v>0.25700000000000001</v>
      </c>
      <c r="O80">
        <v>20</v>
      </c>
    </row>
    <row r="81" spans="1:15" x14ac:dyDescent="0.25">
      <c r="A81" t="s">
        <v>94</v>
      </c>
      <c r="B81" s="2">
        <v>45617</v>
      </c>
      <c r="C81" s="2">
        <v>45647</v>
      </c>
      <c r="D81" t="s">
        <v>649</v>
      </c>
      <c r="E81" t="s">
        <v>657</v>
      </c>
      <c r="F81" t="s">
        <v>673</v>
      </c>
      <c r="G81" t="s">
        <v>705</v>
      </c>
      <c r="H81" t="s">
        <v>711</v>
      </c>
      <c r="I81" t="s">
        <v>714</v>
      </c>
      <c r="J81" t="s">
        <v>732</v>
      </c>
      <c r="K81" t="s">
        <v>813</v>
      </c>
      <c r="L81">
        <v>1122.68</v>
      </c>
      <c r="M81">
        <v>1997.19</v>
      </c>
      <c r="N81">
        <v>0.186</v>
      </c>
      <c r="O81">
        <v>3</v>
      </c>
    </row>
    <row r="82" spans="1:15" x14ac:dyDescent="0.25">
      <c r="A82" t="s">
        <v>95</v>
      </c>
      <c r="B82" s="2">
        <v>44965</v>
      </c>
      <c r="C82" s="2">
        <v>44968</v>
      </c>
      <c r="D82" t="s">
        <v>646</v>
      </c>
      <c r="E82" t="s">
        <v>661</v>
      </c>
      <c r="F82" t="s">
        <v>695</v>
      </c>
      <c r="G82" t="s">
        <v>701</v>
      </c>
      <c r="H82" t="s">
        <v>711</v>
      </c>
      <c r="I82" t="s">
        <v>724</v>
      </c>
      <c r="J82" t="s">
        <v>729</v>
      </c>
      <c r="K82" t="s">
        <v>814</v>
      </c>
      <c r="L82">
        <v>1410.05</v>
      </c>
      <c r="M82">
        <v>2763.95</v>
      </c>
      <c r="N82">
        <v>0.161</v>
      </c>
      <c r="O82">
        <v>26</v>
      </c>
    </row>
    <row r="83" spans="1:15" x14ac:dyDescent="0.25">
      <c r="A83" t="s">
        <v>96</v>
      </c>
      <c r="B83" s="2">
        <v>45157</v>
      </c>
      <c r="C83" s="2">
        <v>45181</v>
      </c>
      <c r="D83" t="s">
        <v>648</v>
      </c>
      <c r="E83" t="s">
        <v>653</v>
      </c>
      <c r="F83" t="s">
        <v>688</v>
      </c>
      <c r="G83" t="s">
        <v>706</v>
      </c>
      <c r="H83" t="s">
        <v>707</v>
      </c>
      <c r="I83" t="s">
        <v>714</v>
      </c>
      <c r="J83" t="s">
        <v>728</v>
      </c>
      <c r="K83" t="s">
        <v>815</v>
      </c>
      <c r="L83">
        <v>1183.95</v>
      </c>
      <c r="M83">
        <v>1503.53</v>
      </c>
      <c r="N83">
        <v>0.24099999999999999</v>
      </c>
      <c r="O83">
        <v>16</v>
      </c>
    </row>
    <row r="84" spans="1:15" x14ac:dyDescent="0.25">
      <c r="A84" t="s">
        <v>97</v>
      </c>
      <c r="B84" s="2">
        <v>45791</v>
      </c>
      <c r="C84" s="2">
        <v>45801</v>
      </c>
      <c r="D84" t="s">
        <v>649</v>
      </c>
      <c r="E84" t="s">
        <v>657</v>
      </c>
      <c r="F84" t="s">
        <v>690</v>
      </c>
      <c r="G84" t="s">
        <v>705</v>
      </c>
      <c r="H84" t="s">
        <v>709</v>
      </c>
      <c r="I84" t="s">
        <v>723</v>
      </c>
      <c r="J84" t="s">
        <v>727</v>
      </c>
      <c r="K84" t="s">
        <v>816</v>
      </c>
      <c r="L84">
        <v>170.39</v>
      </c>
      <c r="M84">
        <v>388.04</v>
      </c>
      <c r="N84">
        <v>8.4000000000000005E-2</v>
      </c>
      <c r="O84">
        <v>15</v>
      </c>
    </row>
    <row r="85" spans="1:15" x14ac:dyDescent="0.25">
      <c r="A85" t="s">
        <v>98</v>
      </c>
      <c r="B85" s="2">
        <v>45770</v>
      </c>
      <c r="C85" s="2">
        <v>45769</v>
      </c>
      <c r="D85" t="s">
        <v>648</v>
      </c>
      <c r="E85" t="s">
        <v>660</v>
      </c>
      <c r="F85" t="s">
        <v>686</v>
      </c>
      <c r="G85" t="s">
        <v>703</v>
      </c>
      <c r="H85" t="s">
        <v>710</v>
      </c>
      <c r="I85" t="s">
        <v>726</v>
      </c>
      <c r="J85" t="s">
        <v>732</v>
      </c>
      <c r="K85" t="s">
        <v>817</v>
      </c>
      <c r="L85">
        <v>23.24</v>
      </c>
      <c r="M85">
        <v>44.57</v>
      </c>
      <c r="N85">
        <v>0.215</v>
      </c>
      <c r="O85">
        <v>15</v>
      </c>
    </row>
    <row r="86" spans="1:15" x14ac:dyDescent="0.25">
      <c r="A86" t="s">
        <v>99</v>
      </c>
      <c r="B86" s="2">
        <v>45741</v>
      </c>
      <c r="C86" s="2">
        <v>45764</v>
      </c>
      <c r="D86" t="s">
        <v>649</v>
      </c>
      <c r="E86" t="s">
        <v>658</v>
      </c>
      <c r="F86" t="s">
        <v>683</v>
      </c>
      <c r="G86" t="s">
        <v>704</v>
      </c>
      <c r="H86" t="s">
        <v>707</v>
      </c>
      <c r="I86" t="s">
        <v>722</v>
      </c>
      <c r="J86" t="s">
        <v>729</v>
      </c>
      <c r="K86" t="s">
        <v>818</v>
      </c>
      <c r="L86">
        <v>1421.19</v>
      </c>
      <c r="M86">
        <v>1808.26</v>
      </c>
      <c r="N86">
        <v>0.104</v>
      </c>
      <c r="O86">
        <v>13</v>
      </c>
    </row>
    <row r="87" spans="1:15" x14ac:dyDescent="0.25">
      <c r="A87" t="s">
        <v>100</v>
      </c>
      <c r="B87" s="2">
        <v>45282</v>
      </c>
      <c r="C87" s="2">
        <v>45283</v>
      </c>
      <c r="D87" t="s">
        <v>646</v>
      </c>
      <c r="E87" t="s">
        <v>661</v>
      </c>
      <c r="F87" t="s">
        <v>695</v>
      </c>
      <c r="G87" t="s">
        <v>703</v>
      </c>
      <c r="H87" t="s">
        <v>709</v>
      </c>
      <c r="I87" t="s">
        <v>726</v>
      </c>
      <c r="J87" t="s">
        <v>727</v>
      </c>
      <c r="K87" t="s">
        <v>819</v>
      </c>
      <c r="L87">
        <v>1186.18</v>
      </c>
      <c r="M87">
        <v>1285.0899999999999</v>
      </c>
      <c r="N87">
        <v>7.0000000000000007E-2</v>
      </c>
      <c r="O87">
        <v>11</v>
      </c>
    </row>
    <row r="88" spans="1:15" x14ac:dyDescent="0.25">
      <c r="A88" t="s">
        <v>101</v>
      </c>
      <c r="B88" s="2">
        <v>45388</v>
      </c>
      <c r="C88" s="2">
        <v>45407</v>
      </c>
      <c r="D88" t="s">
        <v>647</v>
      </c>
      <c r="E88" t="s">
        <v>659</v>
      </c>
      <c r="F88" t="s">
        <v>685</v>
      </c>
      <c r="G88" t="s">
        <v>701</v>
      </c>
      <c r="H88" t="s">
        <v>707</v>
      </c>
      <c r="I88" t="s">
        <v>723</v>
      </c>
      <c r="J88" t="s">
        <v>727</v>
      </c>
      <c r="K88" t="s">
        <v>820</v>
      </c>
      <c r="L88">
        <v>1366.48</v>
      </c>
      <c r="M88">
        <v>1678.14</v>
      </c>
      <c r="N88">
        <v>0.154</v>
      </c>
      <c r="O88">
        <v>10</v>
      </c>
    </row>
    <row r="89" spans="1:15" x14ac:dyDescent="0.25">
      <c r="A89" t="s">
        <v>102</v>
      </c>
      <c r="B89" s="2">
        <v>45876</v>
      </c>
      <c r="C89" s="2">
        <v>45888</v>
      </c>
      <c r="D89" t="s">
        <v>646</v>
      </c>
      <c r="E89" t="s">
        <v>650</v>
      </c>
      <c r="F89" t="s">
        <v>678</v>
      </c>
      <c r="G89" t="s">
        <v>701</v>
      </c>
      <c r="I89" t="s">
        <v>724</v>
      </c>
      <c r="J89" t="s">
        <v>727</v>
      </c>
      <c r="K89" t="s">
        <v>821</v>
      </c>
      <c r="L89">
        <v>601.51</v>
      </c>
      <c r="M89">
        <v>679.35</v>
      </c>
      <c r="N89">
        <v>0.188</v>
      </c>
      <c r="O89">
        <v>3</v>
      </c>
    </row>
    <row r="90" spans="1:15" x14ac:dyDescent="0.25">
      <c r="A90" t="s">
        <v>103</v>
      </c>
      <c r="B90" s="2">
        <v>45312</v>
      </c>
      <c r="C90" s="2">
        <v>45316</v>
      </c>
      <c r="D90" t="s">
        <v>647</v>
      </c>
      <c r="E90" t="s">
        <v>654</v>
      </c>
      <c r="F90" t="s">
        <v>680</v>
      </c>
      <c r="G90" t="s">
        <v>704</v>
      </c>
      <c r="H90" t="s">
        <v>711</v>
      </c>
      <c r="I90" t="s">
        <v>712</v>
      </c>
      <c r="J90" t="s">
        <v>732</v>
      </c>
      <c r="K90" t="s">
        <v>822</v>
      </c>
      <c r="L90">
        <v>523.70000000000005</v>
      </c>
      <c r="M90">
        <v>1109.92</v>
      </c>
      <c r="N90">
        <v>0.03</v>
      </c>
      <c r="O90">
        <v>11</v>
      </c>
    </row>
    <row r="91" spans="1:15" x14ac:dyDescent="0.25">
      <c r="A91" t="s">
        <v>104</v>
      </c>
      <c r="B91" s="2">
        <v>45106</v>
      </c>
      <c r="C91" s="2">
        <v>45109</v>
      </c>
      <c r="D91" t="s">
        <v>647</v>
      </c>
      <c r="E91" t="s">
        <v>652</v>
      </c>
      <c r="F91" t="s">
        <v>694</v>
      </c>
      <c r="G91" t="s">
        <v>702</v>
      </c>
      <c r="H91" t="s">
        <v>709</v>
      </c>
      <c r="I91" t="s">
        <v>721</v>
      </c>
      <c r="J91" t="s">
        <v>732</v>
      </c>
      <c r="K91" t="s">
        <v>823</v>
      </c>
      <c r="L91">
        <v>55.65</v>
      </c>
      <c r="M91">
        <v>83.57</v>
      </c>
      <c r="N91">
        <v>6.6000000000000003E-2</v>
      </c>
      <c r="O91">
        <v>8</v>
      </c>
    </row>
    <row r="92" spans="1:15" x14ac:dyDescent="0.25">
      <c r="A92" t="s">
        <v>105</v>
      </c>
      <c r="B92" s="2">
        <v>45775</v>
      </c>
      <c r="C92" s="2">
        <v>45792</v>
      </c>
      <c r="D92" t="s">
        <v>647</v>
      </c>
      <c r="E92" t="s">
        <v>652</v>
      </c>
      <c r="F92" t="s">
        <v>694</v>
      </c>
      <c r="G92" t="s">
        <v>702</v>
      </c>
      <c r="H92" t="s">
        <v>711</v>
      </c>
      <c r="I92" t="s">
        <v>725</v>
      </c>
      <c r="J92" t="s">
        <v>729</v>
      </c>
      <c r="K92" t="s">
        <v>824</v>
      </c>
      <c r="L92">
        <v>691.19</v>
      </c>
      <c r="M92">
        <v>1284.3</v>
      </c>
      <c r="N92">
        <v>7.3999999999999996E-2</v>
      </c>
      <c r="O92">
        <v>7</v>
      </c>
    </row>
    <row r="93" spans="1:15" x14ac:dyDescent="0.25">
      <c r="A93" t="s">
        <v>106</v>
      </c>
      <c r="B93" s="2">
        <v>45817</v>
      </c>
      <c r="C93" s="2">
        <v>45833</v>
      </c>
      <c r="D93" t="s">
        <v>647</v>
      </c>
      <c r="E93" t="s">
        <v>654</v>
      </c>
      <c r="F93" t="s">
        <v>696</v>
      </c>
      <c r="G93" t="s">
        <v>706</v>
      </c>
      <c r="H93" t="s">
        <v>710</v>
      </c>
      <c r="I93" t="s">
        <v>724</v>
      </c>
      <c r="J93" t="s">
        <v>730</v>
      </c>
      <c r="K93" t="s">
        <v>825</v>
      </c>
      <c r="L93">
        <v>527.33000000000004</v>
      </c>
      <c r="M93">
        <v>911.72</v>
      </c>
      <c r="N93">
        <v>0.14399999999999999</v>
      </c>
      <c r="O93">
        <v>25</v>
      </c>
    </row>
    <row r="94" spans="1:15" x14ac:dyDescent="0.25">
      <c r="A94" t="s">
        <v>107</v>
      </c>
      <c r="B94" s="2">
        <v>45101</v>
      </c>
      <c r="C94" s="2">
        <v>45100</v>
      </c>
      <c r="D94" t="s">
        <v>648</v>
      </c>
      <c r="E94" t="s">
        <v>655</v>
      </c>
      <c r="F94" t="s">
        <v>692</v>
      </c>
      <c r="G94" t="s">
        <v>703</v>
      </c>
      <c r="H94" t="s">
        <v>707</v>
      </c>
      <c r="I94" t="s">
        <v>718</v>
      </c>
      <c r="J94" t="s">
        <v>728</v>
      </c>
      <c r="K94" t="s">
        <v>826</v>
      </c>
      <c r="L94">
        <v>804.01</v>
      </c>
      <c r="M94">
        <v>1405.07</v>
      </c>
      <c r="N94">
        <v>9.6000000000000002E-2</v>
      </c>
      <c r="O94">
        <v>8</v>
      </c>
    </row>
    <row r="95" spans="1:15" x14ac:dyDescent="0.25">
      <c r="A95" t="s">
        <v>108</v>
      </c>
      <c r="B95" s="2">
        <v>45569</v>
      </c>
      <c r="C95" s="2">
        <v>45598</v>
      </c>
      <c r="D95" t="s">
        <v>646</v>
      </c>
      <c r="E95" t="s">
        <v>651</v>
      </c>
      <c r="F95" t="s">
        <v>669</v>
      </c>
      <c r="G95" t="s">
        <v>701</v>
      </c>
      <c r="H95" t="s">
        <v>710</v>
      </c>
      <c r="I95" t="s">
        <v>721</v>
      </c>
      <c r="J95" t="s">
        <v>733</v>
      </c>
      <c r="K95" t="s">
        <v>827</v>
      </c>
      <c r="L95">
        <v>412.09</v>
      </c>
      <c r="M95">
        <v>968.94</v>
      </c>
      <c r="N95">
        <v>9.9000000000000005E-2</v>
      </c>
      <c r="O95">
        <v>23</v>
      </c>
    </row>
    <row r="96" spans="1:15" x14ac:dyDescent="0.25">
      <c r="A96" t="s">
        <v>109</v>
      </c>
      <c r="B96" s="2">
        <v>45910</v>
      </c>
      <c r="C96" s="2">
        <v>45930</v>
      </c>
      <c r="D96" t="s">
        <v>646</v>
      </c>
      <c r="E96" t="s">
        <v>650</v>
      </c>
      <c r="F96" t="s">
        <v>675</v>
      </c>
      <c r="G96" t="s">
        <v>701</v>
      </c>
      <c r="H96" t="s">
        <v>711</v>
      </c>
      <c r="I96" t="s">
        <v>716</v>
      </c>
      <c r="J96" t="s">
        <v>730</v>
      </c>
      <c r="K96" t="s">
        <v>828</v>
      </c>
      <c r="L96">
        <v>1009.48</v>
      </c>
      <c r="M96">
        <v>1088.81</v>
      </c>
      <c r="N96">
        <v>0.16</v>
      </c>
      <c r="O96">
        <v>6</v>
      </c>
    </row>
    <row r="97" spans="1:15" x14ac:dyDescent="0.25">
      <c r="A97" t="s">
        <v>110</v>
      </c>
      <c r="B97" s="2">
        <v>45022</v>
      </c>
      <c r="C97" s="2">
        <v>45043</v>
      </c>
      <c r="D97" t="s">
        <v>649</v>
      </c>
      <c r="E97" t="s">
        <v>658</v>
      </c>
      <c r="F97" t="s">
        <v>693</v>
      </c>
      <c r="G97" t="s">
        <v>706</v>
      </c>
      <c r="H97" t="s">
        <v>710</v>
      </c>
      <c r="I97" t="s">
        <v>714</v>
      </c>
      <c r="J97" t="s">
        <v>728</v>
      </c>
      <c r="K97" t="s">
        <v>829</v>
      </c>
      <c r="L97">
        <v>1084.79</v>
      </c>
      <c r="M97">
        <v>2484.9899999999998</v>
      </c>
      <c r="N97">
        <v>3.4000000000000002E-2</v>
      </c>
      <c r="O97">
        <v>18</v>
      </c>
    </row>
    <row r="98" spans="1:15" x14ac:dyDescent="0.25">
      <c r="A98" t="s">
        <v>111</v>
      </c>
      <c r="B98" s="2">
        <v>45870</v>
      </c>
      <c r="C98" s="2">
        <v>45885</v>
      </c>
      <c r="D98" t="s">
        <v>647</v>
      </c>
      <c r="E98" t="s">
        <v>654</v>
      </c>
      <c r="G98" t="s">
        <v>706</v>
      </c>
      <c r="H98" t="s">
        <v>711</v>
      </c>
      <c r="I98" t="s">
        <v>719</v>
      </c>
      <c r="J98" t="s">
        <v>732</v>
      </c>
      <c r="K98" t="s">
        <v>830</v>
      </c>
      <c r="L98">
        <v>24.44</v>
      </c>
      <c r="M98">
        <v>28.69</v>
      </c>
      <c r="N98">
        <v>0.14599999999999999</v>
      </c>
      <c r="O98">
        <v>6</v>
      </c>
    </row>
    <row r="99" spans="1:15" x14ac:dyDescent="0.25">
      <c r="A99" t="s">
        <v>112</v>
      </c>
      <c r="B99" s="2">
        <v>45440</v>
      </c>
      <c r="C99" s="2">
        <v>45438</v>
      </c>
      <c r="D99" t="s">
        <v>646</v>
      </c>
      <c r="E99" t="s">
        <v>651</v>
      </c>
      <c r="F99" t="s">
        <v>669</v>
      </c>
      <c r="G99" t="s">
        <v>706</v>
      </c>
      <c r="H99" t="s">
        <v>708</v>
      </c>
      <c r="I99" t="s">
        <v>721</v>
      </c>
      <c r="J99" t="s">
        <v>733</v>
      </c>
      <c r="K99" t="s">
        <v>831</v>
      </c>
      <c r="L99">
        <v>1227.08</v>
      </c>
      <c r="M99">
        <v>1896.62</v>
      </c>
      <c r="N99">
        <v>0</v>
      </c>
      <c r="O99">
        <v>18</v>
      </c>
    </row>
    <row r="100" spans="1:15" x14ac:dyDescent="0.25">
      <c r="A100" t="s">
        <v>113</v>
      </c>
      <c r="B100" s="2">
        <v>45860</v>
      </c>
      <c r="C100" s="2">
        <v>45887</v>
      </c>
      <c r="D100" t="s">
        <v>647</v>
      </c>
      <c r="E100" t="s">
        <v>659</v>
      </c>
      <c r="F100" t="s">
        <v>676</v>
      </c>
      <c r="G100" t="s">
        <v>703</v>
      </c>
      <c r="H100" t="s">
        <v>709</v>
      </c>
      <c r="I100" t="s">
        <v>724</v>
      </c>
      <c r="J100" t="s">
        <v>729</v>
      </c>
      <c r="K100" t="s">
        <v>832</v>
      </c>
      <c r="L100">
        <v>547.32000000000005</v>
      </c>
      <c r="M100">
        <v>419.17</v>
      </c>
      <c r="N100">
        <v>9.1999999999999998E-2</v>
      </c>
      <c r="O100">
        <v>14</v>
      </c>
    </row>
    <row r="101" spans="1:15" x14ac:dyDescent="0.25">
      <c r="A101" t="s">
        <v>114</v>
      </c>
      <c r="B101" s="2">
        <v>44985</v>
      </c>
      <c r="C101" s="2">
        <v>45005</v>
      </c>
      <c r="D101" t="s">
        <v>649</v>
      </c>
      <c r="E101" t="s">
        <v>656</v>
      </c>
      <c r="F101" t="s">
        <v>671</v>
      </c>
      <c r="G101" t="s">
        <v>705</v>
      </c>
      <c r="H101" t="s">
        <v>711</v>
      </c>
      <c r="I101" t="s">
        <v>722</v>
      </c>
      <c r="J101" t="s">
        <v>731</v>
      </c>
      <c r="K101" t="s">
        <v>833</v>
      </c>
      <c r="L101">
        <v>1200.78</v>
      </c>
      <c r="M101">
        <v>2001.17</v>
      </c>
      <c r="N101">
        <v>0.29199999999999998</v>
      </c>
      <c r="O101">
        <v>18</v>
      </c>
    </row>
    <row r="102" spans="1:15" x14ac:dyDescent="0.25">
      <c r="A102" t="s">
        <v>115</v>
      </c>
      <c r="B102" s="2">
        <v>45684</v>
      </c>
      <c r="C102" s="2">
        <v>45703</v>
      </c>
      <c r="D102" t="s">
        <v>647</v>
      </c>
      <c r="E102" t="s">
        <v>659</v>
      </c>
      <c r="F102" t="s">
        <v>676</v>
      </c>
      <c r="G102" t="s">
        <v>703</v>
      </c>
      <c r="H102" t="s">
        <v>711</v>
      </c>
      <c r="I102" t="s">
        <v>716</v>
      </c>
      <c r="J102" t="s">
        <v>730</v>
      </c>
      <c r="K102" t="s">
        <v>834</v>
      </c>
      <c r="L102">
        <v>1253.22</v>
      </c>
      <c r="M102">
        <v>3104.71</v>
      </c>
      <c r="N102">
        <v>0</v>
      </c>
      <c r="O102">
        <v>17</v>
      </c>
    </row>
    <row r="103" spans="1:15" x14ac:dyDescent="0.25">
      <c r="A103" t="s">
        <v>116</v>
      </c>
      <c r="B103" s="2">
        <v>45304</v>
      </c>
      <c r="C103" s="2">
        <v>45313</v>
      </c>
      <c r="D103" t="s">
        <v>647</v>
      </c>
      <c r="E103" t="s">
        <v>654</v>
      </c>
      <c r="F103" t="s">
        <v>691</v>
      </c>
      <c r="G103" t="s">
        <v>706</v>
      </c>
      <c r="H103" t="s">
        <v>709</v>
      </c>
      <c r="I103" t="s">
        <v>713</v>
      </c>
      <c r="J103" t="s">
        <v>727</v>
      </c>
      <c r="K103" t="s">
        <v>835</v>
      </c>
      <c r="L103">
        <v>313.60000000000002</v>
      </c>
      <c r="M103">
        <v>334.28</v>
      </c>
      <c r="N103">
        <v>0.14000000000000001</v>
      </c>
      <c r="O103">
        <v>22</v>
      </c>
    </row>
    <row r="104" spans="1:15" x14ac:dyDescent="0.25">
      <c r="A104" t="s">
        <v>117</v>
      </c>
      <c r="B104" s="2">
        <v>45747</v>
      </c>
      <c r="C104" s="2">
        <v>45751</v>
      </c>
      <c r="D104" t="s">
        <v>646</v>
      </c>
      <c r="E104" t="s">
        <v>650</v>
      </c>
      <c r="F104" t="s">
        <v>678</v>
      </c>
      <c r="G104" t="s">
        <v>701</v>
      </c>
      <c r="H104" t="s">
        <v>711</v>
      </c>
      <c r="I104" t="s">
        <v>712</v>
      </c>
      <c r="J104" t="s">
        <v>731</v>
      </c>
      <c r="K104" t="s">
        <v>836</v>
      </c>
      <c r="L104">
        <v>862.08</v>
      </c>
      <c r="M104">
        <v>1952.83</v>
      </c>
      <c r="N104">
        <v>0</v>
      </c>
      <c r="O104">
        <v>7</v>
      </c>
    </row>
    <row r="105" spans="1:15" x14ac:dyDescent="0.25">
      <c r="A105" t="s">
        <v>118</v>
      </c>
      <c r="B105" s="2">
        <v>45631</v>
      </c>
      <c r="C105" s="2">
        <v>45654</v>
      </c>
      <c r="D105" t="s">
        <v>648</v>
      </c>
      <c r="E105" t="s">
        <v>653</v>
      </c>
      <c r="F105" t="s">
        <v>688</v>
      </c>
      <c r="G105" t="s">
        <v>701</v>
      </c>
      <c r="H105" t="s">
        <v>711</v>
      </c>
      <c r="I105" t="s">
        <v>721</v>
      </c>
      <c r="J105" t="s">
        <v>733</v>
      </c>
      <c r="K105" t="s">
        <v>837</v>
      </c>
      <c r="L105">
        <v>107.03</v>
      </c>
      <c r="M105">
        <v>242.29</v>
      </c>
      <c r="N105">
        <v>0.18</v>
      </c>
      <c r="O105">
        <v>30</v>
      </c>
    </row>
    <row r="106" spans="1:15" x14ac:dyDescent="0.25">
      <c r="A106" t="s">
        <v>119</v>
      </c>
      <c r="B106" s="2">
        <v>45549</v>
      </c>
      <c r="C106" s="2">
        <v>45570</v>
      </c>
      <c r="D106" t="s">
        <v>647</v>
      </c>
      <c r="E106" t="s">
        <v>659</v>
      </c>
      <c r="F106" t="s">
        <v>685</v>
      </c>
      <c r="G106" t="s">
        <v>705</v>
      </c>
      <c r="H106" t="s">
        <v>708</v>
      </c>
      <c r="I106" t="s">
        <v>722</v>
      </c>
      <c r="J106" t="s">
        <v>731</v>
      </c>
      <c r="K106" t="s">
        <v>838</v>
      </c>
      <c r="L106">
        <v>1405.56</v>
      </c>
      <c r="M106">
        <v>2968.87</v>
      </c>
      <c r="N106">
        <v>0.16900000000000001</v>
      </c>
      <c r="O106">
        <v>5</v>
      </c>
    </row>
    <row r="107" spans="1:15" x14ac:dyDescent="0.25">
      <c r="A107" t="s">
        <v>120</v>
      </c>
      <c r="B107" s="2">
        <v>45433</v>
      </c>
      <c r="C107" s="2">
        <v>45439</v>
      </c>
      <c r="D107" t="s">
        <v>646</v>
      </c>
      <c r="E107" t="s">
        <v>661</v>
      </c>
      <c r="F107" t="s">
        <v>682</v>
      </c>
      <c r="G107" t="s">
        <v>703</v>
      </c>
      <c r="H107" t="s">
        <v>708</v>
      </c>
      <c r="I107" t="s">
        <v>724</v>
      </c>
      <c r="J107" t="s">
        <v>727</v>
      </c>
      <c r="K107" t="s">
        <v>839</v>
      </c>
      <c r="L107">
        <v>1157.51</v>
      </c>
      <c r="M107">
        <v>1394.3</v>
      </c>
      <c r="N107">
        <v>0.27800000000000002</v>
      </c>
      <c r="O107">
        <v>12</v>
      </c>
    </row>
    <row r="108" spans="1:15" x14ac:dyDescent="0.25">
      <c r="A108" t="s">
        <v>121</v>
      </c>
      <c r="B108" s="2">
        <v>45057</v>
      </c>
      <c r="C108" s="2">
        <v>45084</v>
      </c>
      <c r="D108" t="s">
        <v>646</v>
      </c>
      <c r="E108" t="s">
        <v>650</v>
      </c>
      <c r="F108" t="s">
        <v>675</v>
      </c>
      <c r="G108" t="s">
        <v>701</v>
      </c>
      <c r="H108" t="s">
        <v>708</v>
      </c>
      <c r="I108" t="s">
        <v>713</v>
      </c>
      <c r="J108" t="s">
        <v>730</v>
      </c>
      <c r="K108" t="s">
        <v>840</v>
      </c>
      <c r="L108">
        <v>12.85</v>
      </c>
      <c r="M108">
        <v>15.41</v>
      </c>
      <c r="N108">
        <v>0.13700000000000001</v>
      </c>
      <c r="O108">
        <v>39</v>
      </c>
    </row>
    <row r="109" spans="1:15" x14ac:dyDescent="0.25">
      <c r="A109" t="s">
        <v>122</v>
      </c>
      <c r="B109" s="2">
        <v>45518</v>
      </c>
      <c r="C109" s="2">
        <v>45539</v>
      </c>
      <c r="D109" t="s">
        <v>649</v>
      </c>
      <c r="E109" t="s">
        <v>658</v>
      </c>
      <c r="F109" t="s">
        <v>693</v>
      </c>
      <c r="G109" t="s">
        <v>703</v>
      </c>
      <c r="H109" t="s">
        <v>708</v>
      </c>
      <c r="I109" t="s">
        <v>713</v>
      </c>
      <c r="J109" t="s">
        <v>730</v>
      </c>
      <c r="K109" t="s">
        <v>841</v>
      </c>
      <c r="L109">
        <v>1138.8</v>
      </c>
      <c r="M109">
        <v>2250.81</v>
      </c>
      <c r="N109">
        <v>0.123</v>
      </c>
      <c r="O109">
        <v>12</v>
      </c>
    </row>
    <row r="110" spans="1:15" x14ac:dyDescent="0.25">
      <c r="A110" t="s">
        <v>123</v>
      </c>
      <c r="B110" s="2">
        <v>45581</v>
      </c>
      <c r="C110" s="2">
        <v>45604</v>
      </c>
      <c r="D110" t="s">
        <v>647</v>
      </c>
      <c r="E110" t="s">
        <v>652</v>
      </c>
      <c r="F110" t="s">
        <v>666</v>
      </c>
      <c r="G110" t="s">
        <v>705</v>
      </c>
      <c r="H110" t="s">
        <v>707</v>
      </c>
      <c r="I110" t="s">
        <v>713</v>
      </c>
      <c r="J110" t="s">
        <v>729</v>
      </c>
      <c r="K110" t="s">
        <v>842</v>
      </c>
      <c r="L110">
        <v>82.14</v>
      </c>
      <c r="M110">
        <v>166.04</v>
      </c>
      <c r="N110">
        <v>0</v>
      </c>
      <c r="O110">
        <v>10</v>
      </c>
    </row>
    <row r="111" spans="1:15" x14ac:dyDescent="0.25">
      <c r="A111" t="s">
        <v>124</v>
      </c>
      <c r="B111" s="2">
        <v>45445</v>
      </c>
      <c r="C111" s="2">
        <v>45451</v>
      </c>
      <c r="D111" t="s">
        <v>646</v>
      </c>
      <c r="E111" t="s">
        <v>650</v>
      </c>
      <c r="F111" t="s">
        <v>662</v>
      </c>
      <c r="G111" t="s">
        <v>704</v>
      </c>
      <c r="H111" t="s">
        <v>709</v>
      </c>
      <c r="I111" t="s">
        <v>720</v>
      </c>
      <c r="J111" t="s">
        <v>733</v>
      </c>
      <c r="K111" t="s">
        <v>843</v>
      </c>
      <c r="L111">
        <v>292.94</v>
      </c>
      <c r="M111">
        <v>356.55</v>
      </c>
      <c r="N111">
        <v>0.22900000000000001</v>
      </c>
      <c r="O111">
        <v>2</v>
      </c>
    </row>
    <row r="112" spans="1:15" x14ac:dyDescent="0.25">
      <c r="A112" t="s">
        <v>125</v>
      </c>
      <c r="B112" s="2">
        <v>45452</v>
      </c>
      <c r="C112" s="2">
        <v>45480</v>
      </c>
      <c r="D112" t="s">
        <v>647</v>
      </c>
      <c r="E112" t="s">
        <v>659</v>
      </c>
      <c r="F112" t="s">
        <v>676</v>
      </c>
      <c r="G112" t="s">
        <v>701</v>
      </c>
      <c r="H112" t="s">
        <v>708</v>
      </c>
      <c r="I112" t="s">
        <v>713</v>
      </c>
      <c r="J112" t="s">
        <v>727</v>
      </c>
      <c r="K112" t="s">
        <v>844</v>
      </c>
      <c r="L112">
        <v>550.22</v>
      </c>
      <c r="M112">
        <v>1025.05</v>
      </c>
      <c r="N112">
        <v>0</v>
      </c>
      <c r="O112">
        <v>27</v>
      </c>
    </row>
    <row r="113" spans="1:15" x14ac:dyDescent="0.25">
      <c r="A113" t="s">
        <v>126</v>
      </c>
      <c r="B113" s="2">
        <v>45453</v>
      </c>
      <c r="C113" s="2">
        <v>45454</v>
      </c>
      <c r="D113" t="s">
        <v>649</v>
      </c>
      <c r="E113" t="s">
        <v>658</v>
      </c>
      <c r="F113" t="s">
        <v>674</v>
      </c>
      <c r="G113" t="s">
        <v>705</v>
      </c>
      <c r="H113" t="s">
        <v>709</v>
      </c>
      <c r="I113" t="s">
        <v>724</v>
      </c>
      <c r="J113" t="s">
        <v>731</v>
      </c>
      <c r="K113" t="s">
        <v>845</v>
      </c>
      <c r="L113">
        <v>1187.1300000000001</v>
      </c>
      <c r="M113">
        <v>1795.17</v>
      </c>
      <c r="N113">
        <v>1.2E-2</v>
      </c>
      <c r="O113">
        <v>17</v>
      </c>
    </row>
    <row r="114" spans="1:15" x14ac:dyDescent="0.25">
      <c r="A114" t="s">
        <v>127</v>
      </c>
      <c r="B114" s="2">
        <v>45472</v>
      </c>
      <c r="C114" s="2">
        <v>45499</v>
      </c>
      <c r="D114" t="s">
        <v>646</v>
      </c>
      <c r="E114" t="s">
        <v>661</v>
      </c>
      <c r="F114" t="s">
        <v>687</v>
      </c>
      <c r="G114" t="s">
        <v>706</v>
      </c>
      <c r="H114" t="s">
        <v>710</v>
      </c>
      <c r="I114" t="s">
        <v>717</v>
      </c>
      <c r="J114" t="s">
        <v>729</v>
      </c>
      <c r="K114" t="s">
        <v>846</v>
      </c>
      <c r="L114">
        <v>5.36</v>
      </c>
      <c r="M114">
        <v>4.37</v>
      </c>
      <c r="N114">
        <v>0.11799999999999999</v>
      </c>
      <c r="O114">
        <v>9</v>
      </c>
    </row>
    <row r="115" spans="1:15" x14ac:dyDescent="0.25">
      <c r="A115" t="s">
        <v>128</v>
      </c>
      <c r="B115" s="2">
        <v>45674</v>
      </c>
      <c r="C115" s="2">
        <v>45681</v>
      </c>
      <c r="D115" t="s">
        <v>648</v>
      </c>
      <c r="E115" t="s">
        <v>660</v>
      </c>
      <c r="F115" t="s">
        <v>697</v>
      </c>
      <c r="G115" t="s">
        <v>706</v>
      </c>
      <c r="H115" t="s">
        <v>708</v>
      </c>
      <c r="I115" t="s">
        <v>715</v>
      </c>
      <c r="J115" t="s">
        <v>733</v>
      </c>
      <c r="K115" t="s">
        <v>847</v>
      </c>
      <c r="L115">
        <v>142.09</v>
      </c>
      <c r="M115">
        <v>218.5</v>
      </c>
      <c r="N115">
        <v>0.11899999999999999</v>
      </c>
      <c r="O115">
        <v>11</v>
      </c>
    </row>
    <row r="116" spans="1:15" x14ac:dyDescent="0.25">
      <c r="A116" t="s">
        <v>129</v>
      </c>
      <c r="B116" s="2">
        <v>45250</v>
      </c>
      <c r="C116" s="2">
        <v>45265</v>
      </c>
      <c r="D116" t="s">
        <v>647</v>
      </c>
      <c r="E116" t="s">
        <v>652</v>
      </c>
      <c r="F116" t="s">
        <v>689</v>
      </c>
      <c r="G116" t="s">
        <v>706</v>
      </c>
      <c r="H116" t="s">
        <v>707</v>
      </c>
      <c r="I116" t="s">
        <v>716</v>
      </c>
      <c r="J116" t="s">
        <v>729</v>
      </c>
      <c r="K116" t="s">
        <v>848</v>
      </c>
      <c r="L116">
        <v>354.24</v>
      </c>
      <c r="M116">
        <v>249.87</v>
      </c>
      <c r="N116">
        <v>0</v>
      </c>
      <c r="O116">
        <v>6</v>
      </c>
    </row>
    <row r="117" spans="1:15" x14ac:dyDescent="0.25">
      <c r="A117" t="s">
        <v>130</v>
      </c>
      <c r="B117" s="2">
        <v>44987</v>
      </c>
      <c r="C117" s="2">
        <v>44990</v>
      </c>
      <c r="D117" t="s">
        <v>648</v>
      </c>
      <c r="E117" t="s">
        <v>655</v>
      </c>
      <c r="F117" t="s">
        <v>672</v>
      </c>
      <c r="G117" t="s">
        <v>706</v>
      </c>
      <c r="H117" t="s">
        <v>711</v>
      </c>
      <c r="I117" t="s">
        <v>715</v>
      </c>
      <c r="J117" t="s">
        <v>732</v>
      </c>
      <c r="K117" t="s">
        <v>849</v>
      </c>
      <c r="L117">
        <v>1473.58</v>
      </c>
      <c r="M117">
        <v>3436.52</v>
      </c>
      <c r="N117">
        <v>0.108</v>
      </c>
      <c r="O117">
        <v>8</v>
      </c>
    </row>
    <row r="118" spans="1:15" x14ac:dyDescent="0.25">
      <c r="A118" t="s">
        <v>131</v>
      </c>
      <c r="B118" s="2">
        <v>45811</v>
      </c>
      <c r="C118" s="2">
        <v>45818</v>
      </c>
      <c r="D118" t="s">
        <v>648</v>
      </c>
      <c r="E118" t="s">
        <v>653</v>
      </c>
      <c r="F118" t="s">
        <v>667</v>
      </c>
      <c r="G118" t="s">
        <v>704</v>
      </c>
      <c r="H118" t="s">
        <v>710</v>
      </c>
      <c r="I118" t="s">
        <v>719</v>
      </c>
      <c r="J118" t="s">
        <v>728</v>
      </c>
      <c r="K118" t="s">
        <v>850</v>
      </c>
      <c r="L118">
        <v>75.180000000000007</v>
      </c>
      <c r="M118">
        <v>53.45</v>
      </c>
      <c r="N118">
        <v>0.157</v>
      </c>
      <c r="O118">
        <v>17</v>
      </c>
    </row>
    <row r="119" spans="1:15" x14ac:dyDescent="0.25">
      <c r="A119" t="s">
        <v>132</v>
      </c>
      <c r="B119" s="2">
        <v>45653</v>
      </c>
      <c r="C119" s="2">
        <v>45659</v>
      </c>
      <c r="D119" t="s">
        <v>649</v>
      </c>
      <c r="E119" t="s">
        <v>656</v>
      </c>
      <c r="F119" t="s">
        <v>698</v>
      </c>
      <c r="G119" t="s">
        <v>702</v>
      </c>
      <c r="H119" t="s">
        <v>711</v>
      </c>
      <c r="I119" t="s">
        <v>721</v>
      </c>
      <c r="J119" t="s">
        <v>731</v>
      </c>
      <c r="K119" t="s">
        <v>851</v>
      </c>
      <c r="L119">
        <v>1391.99</v>
      </c>
      <c r="M119">
        <v>3469.7</v>
      </c>
      <c r="N119">
        <v>0.184</v>
      </c>
      <c r="O119">
        <v>23</v>
      </c>
    </row>
    <row r="120" spans="1:15" x14ac:dyDescent="0.25">
      <c r="A120" t="s">
        <v>133</v>
      </c>
      <c r="B120" s="2">
        <v>45086</v>
      </c>
      <c r="C120" s="2">
        <v>45096</v>
      </c>
      <c r="D120" t="s">
        <v>647</v>
      </c>
      <c r="E120" t="s">
        <v>659</v>
      </c>
      <c r="F120" t="s">
        <v>699</v>
      </c>
      <c r="G120" t="s">
        <v>706</v>
      </c>
      <c r="H120" t="s">
        <v>707</v>
      </c>
      <c r="I120" t="s">
        <v>721</v>
      </c>
      <c r="J120" t="s">
        <v>732</v>
      </c>
      <c r="K120" t="s">
        <v>852</v>
      </c>
      <c r="L120">
        <v>339.61</v>
      </c>
      <c r="M120">
        <v>621.02</v>
      </c>
      <c r="N120">
        <v>7.0999999999999994E-2</v>
      </c>
      <c r="O120">
        <v>10</v>
      </c>
    </row>
    <row r="121" spans="1:15" x14ac:dyDescent="0.25">
      <c r="A121" t="s">
        <v>134</v>
      </c>
      <c r="B121" s="2">
        <v>45847</v>
      </c>
      <c r="C121" s="2">
        <v>45856</v>
      </c>
      <c r="D121" t="s">
        <v>648</v>
      </c>
      <c r="E121" t="s">
        <v>653</v>
      </c>
      <c r="F121" t="s">
        <v>688</v>
      </c>
      <c r="G121" t="s">
        <v>702</v>
      </c>
      <c r="H121" t="s">
        <v>710</v>
      </c>
      <c r="I121" t="s">
        <v>714</v>
      </c>
      <c r="J121" t="s">
        <v>731</v>
      </c>
      <c r="K121" t="s">
        <v>853</v>
      </c>
      <c r="L121">
        <v>57.96</v>
      </c>
      <c r="M121">
        <v>88.51</v>
      </c>
      <c r="N121">
        <v>4.2999999999999997E-2</v>
      </c>
      <c r="O121">
        <v>7</v>
      </c>
    </row>
    <row r="122" spans="1:15" x14ac:dyDescent="0.25">
      <c r="A122" t="s">
        <v>135</v>
      </c>
      <c r="B122" s="2">
        <v>45827</v>
      </c>
      <c r="C122" s="2">
        <v>45850</v>
      </c>
      <c r="D122" t="s">
        <v>649</v>
      </c>
      <c r="E122" t="s">
        <v>658</v>
      </c>
      <c r="G122" t="s">
        <v>703</v>
      </c>
      <c r="H122" t="s">
        <v>711</v>
      </c>
      <c r="J122" t="s">
        <v>729</v>
      </c>
      <c r="K122" t="s">
        <v>854</v>
      </c>
      <c r="L122">
        <v>801.24</v>
      </c>
      <c r="M122">
        <v>1959.09</v>
      </c>
      <c r="N122">
        <v>0.123</v>
      </c>
      <c r="O122">
        <v>23</v>
      </c>
    </row>
    <row r="123" spans="1:15" x14ac:dyDescent="0.25">
      <c r="A123" t="s">
        <v>136</v>
      </c>
      <c r="B123" s="2">
        <v>45249</v>
      </c>
      <c r="C123" s="2">
        <v>45273</v>
      </c>
      <c r="D123" t="s">
        <v>649</v>
      </c>
      <c r="E123" t="s">
        <v>657</v>
      </c>
      <c r="F123" t="s">
        <v>679</v>
      </c>
      <c r="G123" t="s">
        <v>703</v>
      </c>
      <c r="H123" t="s">
        <v>711</v>
      </c>
      <c r="I123" t="s">
        <v>722</v>
      </c>
      <c r="J123" t="s">
        <v>732</v>
      </c>
      <c r="K123" t="s">
        <v>855</v>
      </c>
      <c r="L123">
        <v>1297.42</v>
      </c>
      <c r="M123">
        <v>2742.97</v>
      </c>
      <c r="N123">
        <v>6.9000000000000006E-2</v>
      </c>
      <c r="O123">
        <v>9</v>
      </c>
    </row>
    <row r="124" spans="1:15" x14ac:dyDescent="0.25">
      <c r="A124" t="s">
        <v>137</v>
      </c>
      <c r="B124" s="2">
        <v>45289</v>
      </c>
      <c r="C124" s="2">
        <v>45311</v>
      </c>
      <c r="D124" t="s">
        <v>646</v>
      </c>
      <c r="E124" t="s">
        <v>650</v>
      </c>
      <c r="F124" t="s">
        <v>662</v>
      </c>
      <c r="G124" t="s">
        <v>701</v>
      </c>
      <c r="H124" t="s">
        <v>711</v>
      </c>
      <c r="I124" t="s">
        <v>716</v>
      </c>
      <c r="J124" t="s">
        <v>730</v>
      </c>
      <c r="K124" t="s">
        <v>856</v>
      </c>
      <c r="L124">
        <v>1395.49</v>
      </c>
      <c r="M124">
        <v>1679.42</v>
      </c>
      <c r="N124">
        <v>0.20300000000000001</v>
      </c>
      <c r="O124">
        <v>12</v>
      </c>
    </row>
    <row r="125" spans="1:15" x14ac:dyDescent="0.25">
      <c r="A125" t="s">
        <v>138</v>
      </c>
      <c r="B125" s="2">
        <v>45598</v>
      </c>
      <c r="C125" s="2">
        <v>45625</v>
      </c>
      <c r="D125" t="s">
        <v>648</v>
      </c>
      <c r="E125" t="s">
        <v>655</v>
      </c>
      <c r="F125" t="s">
        <v>672</v>
      </c>
      <c r="G125" t="s">
        <v>705</v>
      </c>
      <c r="H125" t="s">
        <v>711</v>
      </c>
      <c r="I125" t="s">
        <v>714</v>
      </c>
      <c r="J125" t="s">
        <v>729</v>
      </c>
      <c r="K125" t="s">
        <v>857</v>
      </c>
      <c r="L125">
        <v>1363.51</v>
      </c>
      <c r="M125">
        <v>1433.9</v>
      </c>
      <c r="N125">
        <v>5.7000000000000002E-2</v>
      </c>
      <c r="O125">
        <v>8</v>
      </c>
    </row>
    <row r="126" spans="1:15" x14ac:dyDescent="0.25">
      <c r="A126" t="s">
        <v>139</v>
      </c>
      <c r="B126" s="2">
        <v>45159</v>
      </c>
      <c r="C126" s="2">
        <v>45173</v>
      </c>
      <c r="D126" t="s">
        <v>648</v>
      </c>
      <c r="E126" t="s">
        <v>653</v>
      </c>
      <c r="F126" t="s">
        <v>681</v>
      </c>
      <c r="G126" t="s">
        <v>702</v>
      </c>
      <c r="H126" t="s">
        <v>710</v>
      </c>
      <c r="I126" t="s">
        <v>721</v>
      </c>
      <c r="J126" t="s">
        <v>727</v>
      </c>
      <c r="K126" t="s">
        <v>858</v>
      </c>
      <c r="L126">
        <v>178.19</v>
      </c>
      <c r="M126">
        <v>284.43</v>
      </c>
      <c r="N126">
        <v>8.8999999999999996E-2</v>
      </c>
      <c r="O126">
        <v>8</v>
      </c>
    </row>
    <row r="127" spans="1:15" x14ac:dyDescent="0.25">
      <c r="A127" t="s">
        <v>140</v>
      </c>
      <c r="B127" s="2">
        <v>45150</v>
      </c>
      <c r="C127" s="2">
        <v>45175</v>
      </c>
      <c r="D127" t="s">
        <v>647</v>
      </c>
      <c r="E127" t="s">
        <v>659</v>
      </c>
      <c r="F127" t="s">
        <v>685</v>
      </c>
      <c r="G127" t="s">
        <v>705</v>
      </c>
      <c r="H127" t="s">
        <v>707</v>
      </c>
      <c r="I127" t="s">
        <v>717</v>
      </c>
      <c r="J127" t="s">
        <v>727</v>
      </c>
      <c r="K127" t="s">
        <v>859</v>
      </c>
      <c r="L127">
        <v>950.77</v>
      </c>
      <c r="M127">
        <v>694.78</v>
      </c>
      <c r="N127">
        <v>8.4000000000000005E-2</v>
      </c>
      <c r="O127">
        <v>14</v>
      </c>
    </row>
    <row r="128" spans="1:15" x14ac:dyDescent="0.25">
      <c r="A128" t="s">
        <v>141</v>
      </c>
      <c r="B128" s="2">
        <v>45450</v>
      </c>
      <c r="C128" s="2">
        <v>45469</v>
      </c>
      <c r="D128" t="s">
        <v>649</v>
      </c>
      <c r="E128" t="s">
        <v>656</v>
      </c>
      <c r="F128" t="s">
        <v>671</v>
      </c>
      <c r="G128" t="s">
        <v>703</v>
      </c>
      <c r="H128" t="s">
        <v>709</v>
      </c>
      <c r="I128" t="s">
        <v>724</v>
      </c>
      <c r="J128" t="s">
        <v>727</v>
      </c>
      <c r="K128" t="s">
        <v>860</v>
      </c>
      <c r="L128">
        <v>1064.32</v>
      </c>
      <c r="M128">
        <v>1848.39</v>
      </c>
      <c r="N128">
        <v>7.2999999999999995E-2</v>
      </c>
      <c r="O128">
        <v>38</v>
      </c>
    </row>
    <row r="129" spans="1:15" x14ac:dyDescent="0.25">
      <c r="A129" t="s">
        <v>142</v>
      </c>
      <c r="B129" s="2">
        <v>45874</v>
      </c>
      <c r="C129" s="2">
        <v>45883</v>
      </c>
      <c r="D129" t="s">
        <v>649</v>
      </c>
      <c r="E129" t="s">
        <v>658</v>
      </c>
      <c r="F129" t="s">
        <v>683</v>
      </c>
      <c r="G129" t="s">
        <v>703</v>
      </c>
      <c r="H129" t="s">
        <v>711</v>
      </c>
      <c r="I129" t="s">
        <v>718</v>
      </c>
      <c r="J129" t="s">
        <v>727</v>
      </c>
      <c r="K129" t="s">
        <v>861</v>
      </c>
      <c r="L129">
        <v>41.76</v>
      </c>
      <c r="M129">
        <v>45.19</v>
      </c>
      <c r="N129">
        <v>0.17899999999999999</v>
      </c>
      <c r="O129">
        <v>23</v>
      </c>
    </row>
    <row r="130" spans="1:15" x14ac:dyDescent="0.25">
      <c r="A130" t="s">
        <v>143</v>
      </c>
      <c r="B130" s="2">
        <v>45442</v>
      </c>
      <c r="C130" s="2">
        <v>45456</v>
      </c>
      <c r="D130" t="s">
        <v>648</v>
      </c>
      <c r="E130" t="s">
        <v>660</v>
      </c>
      <c r="F130" t="s">
        <v>686</v>
      </c>
      <c r="G130" t="s">
        <v>705</v>
      </c>
      <c r="H130" t="s">
        <v>707</v>
      </c>
      <c r="I130" t="s">
        <v>721</v>
      </c>
      <c r="J130" t="s">
        <v>730</v>
      </c>
      <c r="K130" t="s">
        <v>862</v>
      </c>
      <c r="L130">
        <v>157.78</v>
      </c>
      <c r="M130">
        <v>361.1</v>
      </c>
      <c r="N130">
        <v>0.187</v>
      </c>
      <c r="O130">
        <v>9</v>
      </c>
    </row>
    <row r="131" spans="1:15" x14ac:dyDescent="0.25">
      <c r="A131" t="s">
        <v>144</v>
      </c>
      <c r="B131" s="2">
        <v>44948</v>
      </c>
      <c r="C131" s="2">
        <v>44956</v>
      </c>
      <c r="D131" t="s">
        <v>648</v>
      </c>
      <c r="E131" t="s">
        <v>660</v>
      </c>
      <c r="F131" t="s">
        <v>686</v>
      </c>
      <c r="G131" t="s">
        <v>705</v>
      </c>
      <c r="H131" t="s">
        <v>708</v>
      </c>
      <c r="I131" t="s">
        <v>720</v>
      </c>
      <c r="J131" t="s">
        <v>729</v>
      </c>
      <c r="K131" t="s">
        <v>863</v>
      </c>
      <c r="L131">
        <v>413.52</v>
      </c>
      <c r="M131">
        <v>1004.34</v>
      </c>
      <c r="N131">
        <v>0.111</v>
      </c>
      <c r="O131">
        <v>18</v>
      </c>
    </row>
    <row r="132" spans="1:15" x14ac:dyDescent="0.25">
      <c r="A132" t="s">
        <v>145</v>
      </c>
      <c r="B132" s="2">
        <v>45700</v>
      </c>
      <c r="C132" s="2">
        <v>45716</v>
      </c>
      <c r="D132" t="s">
        <v>648</v>
      </c>
      <c r="E132" t="s">
        <v>655</v>
      </c>
      <c r="F132" t="s">
        <v>670</v>
      </c>
      <c r="G132" t="s">
        <v>703</v>
      </c>
      <c r="H132" t="s">
        <v>711</v>
      </c>
      <c r="I132" t="s">
        <v>717</v>
      </c>
      <c r="J132" t="s">
        <v>732</v>
      </c>
      <c r="K132" t="s">
        <v>864</v>
      </c>
      <c r="L132">
        <v>414.95</v>
      </c>
      <c r="M132">
        <v>1027.73</v>
      </c>
      <c r="N132">
        <v>6.3E-2</v>
      </c>
      <c r="O132">
        <v>8</v>
      </c>
    </row>
    <row r="133" spans="1:15" x14ac:dyDescent="0.25">
      <c r="A133" t="s">
        <v>146</v>
      </c>
      <c r="B133" s="2">
        <v>45719</v>
      </c>
      <c r="C133" s="2">
        <v>45740</v>
      </c>
      <c r="D133" t="s">
        <v>646</v>
      </c>
      <c r="E133" t="s">
        <v>651</v>
      </c>
      <c r="F133" t="s">
        <v>669</v>
      </c>
      <c r="G133" t="s">
        <v>706</v>
      </c>
      <c r="H133" t="s">
        <v>711</v>
      </c>
      <c r="I133" t="s">
        <v>722</v>
      </c>
      <c r="J133" t="s">
        <v>733</v>
      </c>
      <c r="K133" t="s">
        <v>865</v>
      </c>
      <c r="L133">
        <v>555.95000000000005</v>
      </c>
      <c r="M133">
        <v>468.09</v>
      </c>
      <c r="N133">
        <v>0.14199999999999999</v>
      </c>
      <c r="O133">
        <v>11</v>
      </c>
    </row>
    <row r="134" spans="1:15" x14ac:dyDescent="0.25">
      <c r="A134" t="s">
        <v>147</v>
      </c>
      <c r="B134" s="2">
        <v>44953</v>
      </c>
      <c r="C134" s="2">
        <v>44957</v>
      </c>
      <c r="D134" t="s">
        <v>649</v>
      </c>
      <c r="E134" t="s">
        <v>658</v>
      </c>
      <c r="F134" t="s">
        <v>693</v>
      </c>
      <c r="G134" t="s">
        <v>706</v>
      </c>
      <c r="H134" t="s">
        <v>708</v>
      </c>
      <c r="I134" t="s">
        <v>725</v>
      </c>
      <c r="J134" t="s">
        <v>731</v>
      </c>
      <c r="K134" t="s">
        <v>866</v>
      </c>
      <c r="L134">
        <v>941.2</v>
      </c>
      <c r="M134">
        <v>668.02</v>
      </c>
      <c r="N134">
        <v>0.22</v>
      </c>
      <c r="O134">
        <v>16</v>
      </c>
    </row>
    <row r="135" spans="1:15" x14ac:dyDescent="0.25">
      <c r="A135" t="s">
        <v>148</v>
      </c>
      <c r="B135" s="2">
        <v>45666</v>
      </c>
      <c r="C135" s="2">
        <v>45672</v>
      </c>
      <c r="D135" t="s">
        <v>647</v>
      </c>
      <c r="E135" t="s">
        <v>659</v>
      </c>
      <c r="F135" t="s">
        <v>699</v>
      </c>
      <c r="G135" t="s">
        <v>702</v>
      </c>
      <c r="H135" t="s">
        <v>708</v>
      </c>
      <c r="I135" t="s">
        <v>712</v>
      </c>
      <c r="J135" t="s">
        <v>730</v>
      </c>
      <c r="K135" t="s">
        <v>867</v>
      </c>
      <c r="L135">
        <v>304.77999999999997</v>
      </c>
      <c r="M135">
        <v>537.27</v>
      </c>
      <c r="N135">
        <v>0.187</v>
      </c>
      <c r="O135">
        <v>8</v>
      </c>
    </row>
    <row r="136" spans="1:15" x14ac:dyDescent="0.25">
      <c r="A136" t="s">
        <v>149</v>
      </c>
      <c r="B136" s="2">
        <v>45647</v>
      </c>
      <c r="C136" s="2">
        <v>45652</v>
      </c>
      <c r="D136" t="s">
        <v>648</v>
      </c>
      <c r="E136" t="s">
        <v>660</v>
      </c>
      <c r="F136" t="s">
        <v>686</v>
      </c>
      <c r="G136" t="s">
        <v>704</v>
      </c>
      <c r="H136" t="s">
        <v>709</v>
      </c>
      <c r="I136" t="s">
        <v>724</v>
      </c>
      <c r="J136" t="s">
        <v>728</v>
      </c>
      <c r="K136" t="s">
        <v>868</v>
      </c>
      <c r="L136">
        <v>699.57</v>
      </c>
      <c r="M136">
        <v>572.71</v>
      </c>
      <c r="N136">
        <v>0.192</v>
      </c>
      <c r="O136">
        <v>26</v>
      </c>
    </row>
    <row r="137" spans="1:15" x14ac:dyDescent="0.25">
      <c r="A137" t="s">
        <v>150</v>
      </c>
      <c r="B137" s="2">
        <v>45028</v>
      </c>
      <c r="C137" s="2">
        <v>45033</v>
      </c>
      <c r="D137" t="s">
        <v>649</v>
      </c>
      <c r="E137" t="s">
        <v>657</v>
      </c>
      <c r="F137" t="s">
        <v>679</v>
      </c>
      <c r="G137" t="s">
        <v>706</v>
      </c>
      <c r="H137" t="s">
        <v>711</v>
      </c>
      <c r="I137" t="s">
        <v>718</v>
      </c>
      <c r="J137" t="s">
        <v>732</v>
      </c>
      <c r="K137" t="s">
        <v>869</v>
      </c>
      <c r="L137">
        <v>1087.81</v>
      </c>
      <c r="M137">
        <v>2323.87</v>
      </c>
      <c r="N137">
        <v>9.4E-2</v>
      </c>
      <c r="O137">
        <v>13</v>
      </c>
    </row>
    <row r="138" spans="1:15" x14ac:dyDescent="0.25">
      <c r="A138" t="s">
        <v>151</v>
      </c>
      <c r="B138" s="2">
        <v>45640</v>
      </c>
      <c r="C138" s="2">
        <v>45669</v>
      </c>
      <c r="D138" t="s">
        <v>647</v>
      </c>
      <c r="E138" t="s">
        <v>659</v>
      </c>
      <c r="F138" t="s">
        <v>676</v>
      </c>
      <c r="G138" t="s">
        <v>702</v>
      </c>
      <c r="H138" t="s">
        <v>708</v>
      </c>
      <c r="I138" t="s">
        <v>713</v>
      </c>
      <c r="J138" t="s">
        <v>727</v>
      </c>
      <c r="K138" t="s">
        <v>870</v>
      </c>
      <c r="L138">
        <v>1412.15</v>
      </c>
      <c r="M138">
        <v>1631.04</v>
      </c>
      <c r="N138">
        <v>8.9999999999999993E-3</v>
      </c>
      <c r="O138">
        <v>6</v>
      </c>
    </row>
    <row r="139" spans="1:15" x14ac:dyDescent="0.25">
      <c r="A139" t="s">
        <v>152</v>
      </c>
      <c r="B139" s="2">
        <v>45016</v>
      </c>
      <c r="C139" s="2">
        <v>45028</v>
      </c>
      <c r="D139" t="s">
        <v>646</v>
      </c>
      <c r="E139" t="s">
        <v>650</v>
      </c>
      <c r="F139" t="s">
        <v>675</v>
      </c>
      <c r="G139" t="s">
        <v>705</v>
      </c>
      <c r="H139" t="s">
        <v>708</v>
      </c>
      <c r="I139" t="s">
        <v>712</v>
      </c>
      <c r="J139" t="s">
        <v>730</v>
      </c>
      <c r="K139" t="s">
        <v>871</v>
      </c>
      <c r="L139">
        <v>304.22000000000003</v>
      </c>
      <c r="M139">
        <v>393.31</v>
      </c>
      <c r="N139">
        <v>0.26500000000000001</v>
      </c>
      <c r="O139">
        <v>15</v>
      </c>
    </row>
    <row r="140" spans="1:15" x14ac:dyDescent="0.25">
      <c r="A140" t="s">
        <v>153</v>
      </c>
      <c r="B140" s="2">
        <v>45616</v>
      </c>
      <c r="C140" s="2">
        <v>45641</v>
      </c>
      <c r="D140" t="s">
        <v>649</v>
      </c>
      <c r="E140" t="s">
        <v>657</v>
      </c>
      <c r="F140" t="s">
        <v>690</v>
      </c>
      <c r="G140" t="s">
        <v>701</v>
      </c>
      <c r="H140" t="s">
        <v>708</v>
      </c>
      <c r="I140" t="s">
        <v>715</v>
      </c>
      <c r="J140" t="s">
        <v>728</v>
      </c>
      <c r="K140" t="s">
        <v>872</v>
      </c>
      <c r="L140">
        <v>1203.58</v>
      </c>
      <c r="M140">
        <v>1856.16</v>
      </c>
      <c r="N140">
        <v>0.129</v>
      </c>
      <c r="O140">
        <v>22</v>
      </c>
    </row>
    <row r="141" spans="1:15" x14ac:dyDescent="0.25">
      <c r="A141" t="s">
        <v>154</v>
      </c>
      <c r="B141" s="2">
        <v>45336</v>
      </c>
      <c r="C141" s="2">
        <v>45336</v>
      </c>
      <c r="D141" t="s">
        <v>647</v>
      </c>
      <c r="E141" t="s">
        <v>659</v>
      </c>
      <c r="F141" t="s">
        <v>699</v>
      </c>
      <c r="G141" t="s">
        <v>701</v>
      </c>
      <c r="H141" t="s">
        <v>710</v>
      </c>
      <c r="I141" t="s">
        <v>716</v>
      </c>
      <c r="J141" t="s">
        <v>733</v>
      </c>
      <c r="K141" t="s">
        <v>873</v>
      </c>
      <c r="L141">
        <v>65.930000000000007</v>
      </c>
      <c r="M141">
        <v>84.9</v>
      </c>
      <c r="N141">
        <v>0.25900000000000001</v>
      </c>
      <c r="O141">
        <v>23</v>
      </c>
    </row>
    <row r="142" spans="1:15" x14ac:dyDescent="0.25">
      <c r="A142" t="s">
        <v>155</v>
      </c>
      <c r="B142" s="2">
        <v>45048</v>
      </c>
      <c r="C142" s="2">
        <v>45064</v>
      </c>
      <c r="D142" t="s">
        <v>647</v>
      </c>
      <c r="E142" t="s">
        <v>654</v>
      </c>
      <c r="F142" t="s">
        <v>680</v>
      </c>
      <c r="G142" t="s">
        <v>705</v>
      </c>
      <c r="H142" t="s">
        <v>709</v>
      </c>
      <c r="I142" t="s">
        <v>723</v>
      </c>
      <c r="J142" t="s">
        <v>732</v>
      </c>
      <c r="K142" t="s">
        <v>874</v>
      </c>
      <c r="L142">
        <v>1463.92</v>
      </c>
      <c r="M142">
        <v>2252.2399999999998</v>
      </c>
      <c r="N142">
        <v>0.11799999999999999</v>
      </c>
      <c r="O142">
        <v>44</v>
      </c>
    </row>
    <row r="143" spans="1:15" x14ac:dyDescent="0.25">
      <c r="A143" t="s">
        <v>156</v>
      </c>
      <c r="B143" s="2">
        <v>45649</v>
      </c>
      <c r="C143" s="2">
        <v>45668</v>
      </c>
      <c r="D143" t="s">
        <v>649</v>
      </c>
      <c r="E143" t="s">
        <v>656</v>
      </c>
      <c r="F143" t="s">
        <v>671</v>
      </c>
      <c r="G143" t="s">
        <v>702</v>
      </c>
      <c r="H143" t="s">
        <v>707</v>
      </c>
      <c r="I143" t="s">
        <v>723</v>
      </c>
      <c r="J143" t="s">
        <v>730</v>
      </c>
      <c r="K143" t="s">
        <v>875</v>
      </c>
      <c r="L143">
        <v>501.81</v>
      </c>
      <c r="M143">
        <v>921.62</v>
      </c>
      <c r="N143">
        <v>0.01</v>
      </c>
      <c r="O143">
        <v>9</v>
      </c>
    </row>
    <row r="144" spans="1:15" x14ac:dyDescent="0.25">
      <c r="A144" t="s">
        <v>157</v>
      </c>
      <c r="B144" s="2">
        <v>45133</v>
      </c>
      <c r="C144" s="2">
        <v>45163</v>
      </c>
      <c r="D144" t="s">
        <v>648</v>
      </c>
      <c r="E144" t="s">
        <v>660</v>
      </c>
      <c r="F144" t="s">
        <v>700</v>
      </c>
      <c r="G144" t="s">
        <v>704</v>
      </c>
      <c r="H144" t="s">
        <v>707</v>
      </c>
      <c r="I144" t="s">
        <v>724</v>
      </c>
      <c r="J144" t="s">
        <v>733</v>
      </c>
      <c r="K144" t="s">
        <v>876</v>
      </c>
      <c r="L144">
        <v>1261.48</v>
      </c>
      <c r="M144">
        <v>1643.18</v>
      </c>
      <c r="N144">
        <v>0.151</v>
      </c>
      <c r="O144">
        <v>23</v>
      </c>
    </row>
    <row r="145" spans="1:15" x14ac:dyDescent="0.25">
      <c r="A145" t="s">
        <v>158</v>
      </c>
      <c r="B145" s="2">
        <v>45458</v>
      </c>
      <c r="C145" s="2">
        <v>45479</v>
      </c>
      <c r="D145" t="s">
        <v>648</v>
      </c>
      <c r="E145" t="s">
        <v>653</v>
      </c>
      <c r="F145" t="s">
        <v>667</v>
      </c>
      <c r="G145" t="s">
        <v>706</v>
      </c>
      <c r="H145" t="s">
        <v>710</v>
      </c>
      <c r="I145" t="s">
        <v>716</v>
      </c>
      <c r="J145" t="s">
        <v>728</v>
      </c>
      <c r="K145" t="s">
        <v>877</v>
      </c>
      <c r="L145">
        <v>817.23</v>
      </c>
      <c r="M145">
        <v>1467.17</v>
      </c>
      <c r="N145">
        <v>0.245</v>
      </c>
      <c r="O145">
        <v>9</v>
      </c>
    </row>
    <row r="146" spans="1:15" x14ac:dyDescent="0.25">
      <c r="A146" t="s">
        <v>159</v>
      </c>
      <c r="B146" s="2">
        <v>45112</v>
      </c>
      <c r="C146" s="2">
        <v>45121</v>
      </c>
      <c r="D146" t="s">
        <v>648</v>
      </c>
      <c r="E146" t="s">
        <v>655</v>
      </c>
      <c r="F146" t="s">
        <v>672</v>
      </c>
      <c r="G146" t="s">
        <v>706</v>
      </c>
      <c r="H146" t="s">
        <v>711</v>
      </c>
      <c r="I146" t="s">
        <v>717</v>
      </c>
      <c r="J146" t="s">
        <v>729</v>
      </c>
      <c r="K146" t="s">
        <v>878</v>
      </c>
      <c r="L146">
        <v>578.85</v>
      </c>
      <c r="M146">
        <v>998.76</v>
      </c>
      <c r="N146">
        <v>8.2000000000000003E-2</v>
      </c>
      <c r="O146">
        <v>28</v>
      </c>
    </row>
    <row r="147" spans="1:15" x14ac:dyDescent="0.25">
      <c r="A147" t="s">
        <v>160</v>
      </c>
      <c r="B147" s="2">
        <v>45260</v>
      </c>
      <c r="C147" s="2">
        <v>45259</v>
      </c>
      <c r="D147" t="s">
        <v>646</v>
      </c>
      <c r="E147" t="s">
        <v>661</v>
      </c>
      <c r="F147" t="s">
        <v>687</v>
      </c>
      <c r="G147" t="s">
        <v>705</v>
      </c>
      <c r="H147" t="s">
        <v>709</v>
      </c>
      <c r="I147" t="s">
        <v>718</v>
      </c>
      <c r="J147" t="s">
        <v>731</v>
      </c>
      <c r="K147" t="s">
        <v>879</v>
      </c>
      <c r="L147">
        <v>275.56</v>
      </c>
      <c r="M147">
        <v>630.72</v>
      </c>
      <c r="N147">
        <v>0.107</v>
      </c>
      <c r="O147">
        <v>23</v>
      </c>
    </row>
    <row r="148" spans="1:15" x14ac:dyDescent="0.25">
      <c r="A148" t="s">
        <v>161</v>
      </c>
      <c r="B148" s="2">
        <v>45911</v>
      </c>
      <c r="C148" s="2">
        <v>45928</v>
      </c>
      <c r="D148" t="s">
        <v>646</v>
      </c>
      <c r="E148" t="s">
        <v>650</v>
      </c>
      <c r="F148" t="s">
        <v>664</v>
      </c>
      <c r="G148" t="s">
        <v>703</v>
      </c>
      <c r="H148" t="s">
        <v>710</v>
      </c>
      <c r="I148" t="s">
        <v>713</v>
      </c>
      <c r="J148" t="s">
        <v>731</v>
      </c>
      <c r="K148" t="s">
        <v>880</v>
      </c>
      <c r="L148">
        <v>891.46</v>
      </c>
      <c r="M148">
        <v>728.61</v>
      </c>
      <c r="N148">
        <v>0.185</v>
      </c>
      <c r="O148">
        <v>6</v>
      </c>
    </row>
    <row r="149" spans="1:15" x14ac:dyDescent="0.25">
      <c r="A149" t="s">
        <v>162</v>
      </c>
      <c r="B149" s="2">
        <v>45386</v>
      </c>
      <c r="C149" s="2">
        <v>45406</v>
      </c>
      <c r="D149" t="s">
        <v>649</v>
      </c>
      <c r="E149" t="s">
        <v>656</v>
      </c>
      <c r="F149" t="s">
        <v>698</v>
      </c>
      <c r="G149" t="s">
        <v>703</v>
      </c>
      <c r="H149" t="s">
        <v>711</v>
      </c>
      <c r="I149" t="s">
        <v>719</v>
      </c>
      <c r="J149" t="s">
        <v>733</v>
      </c>
      <c r="K149" t="s">
        <v>881</v>
      </c>
      <c r="L149">
        <v>683.42</v>
      </c>
      <c r="M149">
        <v>951.51</v>
      </c>
      <c r="N149">
        <v>0</v>
      </c>
      <c r="O149">
        <v>14</v>
      </c>
    </row>
    <row r="150" spans="1:15" x14ac:dyDescent="0.25">
      <c r="A150" t="s">
        <v>163</v>
      </c>
      <c r="B150" s="2">
        <v>45183</v>
      </c>
      <c r="C150" s="2">
        <v>45185</v>
      </c>
      <c r="D150" t="s">
        <v>649</v>
      </c>
      <c r="E150" t="s">
        <v>657</v>
      </c>
      <c r="F150" t="s">
        <v>679</v>
      </c>
      <c r="G150" t="s">
        <v>703</v>
      </c>
      <c r="H150" t="s">
        <v>711</v>
      </c>
      <c r="I150" t="s">
        <v>717</v>
      </c>
      <c r="J150" t="s">
        <v>728</v>
      </c>
      <c r="K150" t="s">
        <v>882</v>
      </c>
      <c r="L150">
        <v>376.83</v>
      </c>
      <c r="M150">
        <v>732.88</v>
      </c>
      <c r="N150">
        <v>0.188</v>
      </c>
      <c r="O150">
        <v>25</v>
      </c>
    </row>
    <row r="151" spans="1:15" x14ac:dyDescent="0.25">
      <c r="A151" t="s">
        <v>164</v>
      </c>
      <c r="B151" s="2">
        <v>45558</v>
      </c>
      <c r="C151" s="2">
        <v>45583</v>
      </c>
      <c r="D151" t="s">
        <v>648</v>
      </c>
      <c r="E151" t="s">
        <v>653</v>
      </c>
      <c r="F151" t="s">
        <v>688</v>
      </c>
      <c r="G151" t="s">
        <v>705</v>
      </c>
      <c r="H151" t="s">
        <v>708</v>
      </c>
      <c r="I151" t="s">
        <v>725</v>
      </c>
      <c r="J151" t="s">
        <v>730</v>
      </c>
      <c r="K151" t="s">
        <v>883</v>
      </c>
      <c r="L151">
        <v>1297</v>
      </c>
      <c r="M151">
        <v>2411.52</v>
      </c>
      <c r="N151">
        <v>2.1000000000000001E-2</v>
      </c>
      <c r="O151">
        <v>18</v>
      </c>
    </row>
    <row r="152" spans="1:15" x14ac:dyDescent="0.25">
      <c r="A152" t="s">
        <v>165</v>
      </c>
      <c r="B152" s="2">
        <v>45763</v>
      </c>
      <c r="C152" s="2">
        <v>45793</v>
      </c>
      <c r="D152" t="s">
        <v>648</v>
      </c>
      <c r="E152" t="s">
        <v>653</v>
      </c>
      <c r="F152" t="s">
        <v>681</v>
      </c>
      <c r="G152" t="s">
        <v>706</v>
      </c>
      <c r="H152" t="s">
        <v>710</v>
      </c>
      <c r="I152" t="s">
        <v>723</v>
      </c>
      <c r="J152" t="s">
        <v>728</v>
      </c>
      <c r="K152" t="s">
        <v>884</v>
      </c>
      <c r="L152">
        <v>763.32</v>
      </c>
      <c r="M152">
        <v>568.29</v>
      </c>
      <c r="N152">
        <v>0.13100000000000001</v>
      </c>
      <c r="O152">
        <v>16</v>
      </c>
    </row>
    <row r="153" spans="1:15" x14ac:dyDescent="0.25">
      <c r="A153" t="s">
        <v>166</v>
      </c>
      <c r="B153" s="2">
        <v>45110</v>
      </c>
      <c r="C153" s="2">
        <v>45130</v>
      </c>
      <c r="D153" t="s">
        <v>646</v>
      </c>
      <c r="E153" t="s">
        <v>661</v>
      </c>
      <c r="F153" t="s">
        <v>682</v>
      </c>
      <c r="G153" t="s">
        <v>705</v>
      </c>
      <c r="H153" t="s">
        <v>710</v>
      </c>
      <c r="I153" t="s">
        <v>721</v>
      </c>
      <c r="J153" t="s">
        <v>731</v>
      </c>
      <c r="K153" t="s">
        <v>885</v>
      </c>
      <c r="L153">
        <v>1001.96</v>
      </c>
      <c r="M153">
        <v>1254.95</v>
      </c>
      <c r="N153">
        <v>4.4999999999999998E-2</v>
      </c>
      <c r="O153">
        <v>18</v>
      </c>
    </row>
    <row r="154" spans="1:15" x14ac:dyDescent="0.25">
      <c r="A154" t="s">
        <v>167</v>
      </c>
      <c r="B154" s="2">
        <v>45267</v>
      </c>
      <c r="C154" s="2">
        <v>45265</v>
      </c>
      <c r="D154" t="s">
        <v>647</v>
      </c>
      <c r="E154" t="s">
        <v>652</v>
      </c>
      <c r="F154" t="s">
        <v>689</v>
      </c>
      <c r="G154" t="s">
        <v>703</v>
      </c>
      <c r="H154" t="s">
        <v>709</v>
      </c>
      <c r="I154" t="s">
        <v>722</v>
      </c>
      <c r="J154" t="s">
        <v>728</v>
      </c>
      <c r="K154" t="s">
        <v>886</v>
      </c>
      <c r="L154">
        <v>1097.5899999999999</v>
      </c>
      <c r="M154">
        <v>845.55</v>
      </c>
      <c r="N154">
        <v>0.184</v>
      </c>
      <c r="O154">
        <v>6</v>
      </c>
    </row>
    <row r="155" spans="1:15" x14ac:dyDescent="0.25">
      <c r="A155" t="s">
        <v>168</v>
      </c>
      <c r="B155" s="2">
        <v>45340</v>
      </c>
      <c r="C155" s="2">
        <v>45355</v>
      </c>
      <c r="D155" t="s">
        <v>646</v>
      </c>
      <c r="E155" t="s">
        <v>650</v>
      </c>
      <c r="F155" t="s">
        <v>662</v>
      </c>
      <c r="G155" t="s">
        <v>702</v>
      </c>
      <c r="H155" t="s">
        <v>711</v>
      </c>
      <c r="I155" t="s">
        <v>723</v>
      </c>
      <c r="J155" t="s">
        <v>728</v>
      </c>
      <c r="K155" t="s">
        <v>887</v>
      </c>
      <c r="L155">
        <v>928.68</v>
      </c>
      <c r="M155">
        <v>2145.17</v>
      </c>
      <c r="N155">
        <v>0.13600000000000001</v>
      </c>
      <c r="O155">
        <v>16</v>
      </c>
    </row>
    <row r="156" spans="1:15" x14ac:dyDescent="0.25">
      <c r="A156" t="s">
        <v>169</v>
      </c>
      <c r="B156" s="2">
        <v>45230</v>
      </c>
      <c r="C156" s="2">
        <v>45232</v>
      </c>
      <c r="D156" t="s">
        <v>646</v>
      </c>
      <c r="E156" t="s">
        <v>650</v>
      </c>
      <c r="F156" t="s">
        <v>662</v>
      </c>
      <c r="G156" t="s">
        <v>702</v>
      </c>
      <c r="H156" t="s">
        <v>707</v>
      </c>
      <c r="I156" t="s">
        <v>719</v>
      </c>
      <c r="J156" t="s">
        <v>733</v>
      </c>
      <c r="K156" t="s">
        <v>888</v>
      </c>
      <c r="L156">
        <v>867.89</v>
      </c>
      <c r="M156">
        <v>1349.94</v>
      </c>
      <c r="N156">
        <v>0.184</v>
      </c>
      <c r="O156">
        <v>10</v>
      </c>
    </row>
    <row r="157" spans="1:15" x14ac:dyDescent="0.25">
      <c r="A157" t="s">
        <v>170</v>
      </c>
      <c r="B157" s="2">
        <v>45511</v>
      </c>
      <c r="C157" s="2">
        <v>45521</v>
      </c>
      <c r="D157" t="s">
        <v>647</v>
      </c>
      <c r="E157" t="s">
        <v>652</v>
      </c>
      <c r="F157" t="s">
        <v>666</v>
      </c>
      <c r="G157" t="s">
        <v>704</v>
      </c>
      <c r="H157" t="s">
        <v>708</v>
      </c>
      <c r="I157" t="s">
        <v>723</v>
      </c>
      <c r="J157" t="s">
        <v>729</v>
      </c>
      <c r="K157" t="s">
        <v>889</v>
      </c>
      <c r="L157">
        <v>436.58</v>
      </c>
      <c r="M157">
        <v>527.48</v>
      </c>
      <c r="N157">
        <v>0.111</v>
      </c>
      <c r="O157">
        <v>19</v>
      </c>
    </row>
    <row r="158" spans="1:15" x14ac:dyDescent="0.25">
      <c r="A158" t="s">
        <v>171</v>
      </c>
      <c r="B158" s="2">
        <v>45323</v>
      </c>
      <c r="C158" s="2">
        <v>45343</v>
      </c>
      <c r="D158" t="s">
        <v>649</v>
      </c>
      <c r="E158" t="s">
        <v>657</v>
      </c>
      <c r="F158" t="s">
        <v>690</v>
      </c>
      <c r="G158" t="s">
        <v>705</v>
      </c>
      <c r="H158" t="s">
        <v>709</v>
      </c>
      <c r="I158" t="s">
        <v>720</v>
      </c>
      <c r="J158" t="s">
        <v>729</v>
      </c>
      <c r="K158" t="s">
        <v>890</v>
      </c>
      <c r="L158">
        <v>656.2</v>
      </c>
      <c r="M158">
        <v>1467.17</v>
      </c>
      <c r="N158">
        <v>1.7999999999999999E-2</v>
      </c>
      <c r="O158">
        <v>5</v>
      </c>
    </row>
    <row r="159" spans="1:15" x14ac:dyDescent="0.25">
      <c r="A159" t="s">
        <v>172</v>
      </c>
      <c r="B159" s="2">
        <v>45531</v>
      </c>
      <c r="C159" s="2">
        <v>45553</v>
      </c>
      <c r="D159" t="s">
        <v>647</v>
      </c>
      <c r="E159" t="s">
        <v>654</v>
      </c>
      <c r="F159" t="s">
        <v>680</v>
      </c>
      <c r="G159" t="s">
        <v>704</v>
      </c>
      <c r="H159" t="s">
        <v>711</v>
      </c>
      <c r="I159" t="s">
        <v>717</v>
      </c>
      <c r="J159" t="s">
        <v>727</v>
      </c>
      <c r="K159" t="s">
        <v>891</v>
      </c>
      <c r="L159">
        <v>896.75</v>
      </c>
      <c r="M159">
        <v>1651.14</v>
      </c>
      <c r="N159">
        <v>2.5000000000000001E-2</v>
      </c>
      <c r="O159">
        <v>15</v>
      </c>
    </row>
    <row r="160" spans="1:15" x14ac:dyDescent="0.25">
      <c r="A160" t="s">
        <v>173</v>
      </c>
      <c r="B160" s="2">
        <v>45703</v>
      </c>
      <c r="C160" s="2">
        <v>45703</v>
      </c>
      <c r="D160" t="s">
        <v>649</v>
      </c>
      <c r="E160" t="s">
        <v>656</v>
      </c>
      <c r="F160" t="s">
        <v>698</v>
      </c>
      <c r="G160" t="s">
        <v>705</v>
      </c>
      <c r="H160" t="s">
        <v>709</v>
      </c>
      <c r="I160" t="s">
        <v>716</v>
      </c>
      <c r="J160" t="s">
        <v>733</v>
      </c>
      <c r="K160" t="s">
        <v>892</v>
      </c>
      <c r="L160">
        <v>815.83</v>
      </c>
      <c r="M160">
        <v>1982.18</v>
      </c>
      <c r="N160">
        <v>0.127</v>
      </c>
      <c r="O160">
        <v>6</v>
      </c>
    </row>
    <row r="161" spans="1:15" x14ac:dyDescent="0.25">
      <c r="A161" t="s">
        <v>174</v>
      </c>
      <c r="B161" s="2">
        <v>45870</v>
      </c>
      <c r="C161" s="2">
        <v>45890</v>
      </c>
      <c r="D161" t="s">
        <v>647</v>
      </c>
      <c r="E161" t="s">
        <v>659</v>
      </c>
      <c r="F161" t="s">
        <v>685</v>
      </c>
      <c r="G161" t="s">
        <v>701</v>
      </c>
      <c r="H161" t="s">
        <v>711</v>
      </c>
      <c r="I161" t="s">
        <v>714</v>
      </c>
      <c r="J161" t="s">
        <v>730</v>
      </c>
      <c r="K161" t="s">
        <v>893</v>
      </c>
      <c r="L161">
        <v>1220.4100000000001</v>
      </c>
      <c r="M161">
        <v>2552.2199999999998</v>
      </c>
      <c r="N161">
        <v>0.18099999999999999</v>
      </c>
      <c r="O161">
        <v>14</v>
      </c>
    </row>
    <row r="162" spans="1:15" x14ac:dyDescent="0.25">
      <c r="A162" t="s">
        <v>175</v>
      </c>
      <c r="B162" s="2">
        <v>44977</v>
      </c>
      <c r="C162" s="2">
        <v>44989</v>
      </c>
      <c r="D162" t="s">
        <v>647</v>
      </c>
      <c r="E162" t="s">
        <v>654</v>
      </c>
      <c r="F162" t="s">
        <v>680</v>
      </c>
      <c r="G162" t="s">
        <v>704</v>
      </c>
      <c r="H162" t="s">
        <v>710</v>
      </c>
      <c r="I162" t="s">
        <v>724</v>
      </c>
      <c r="J162" t="s">
        <v>732</v>
      </c>
      <c r="K162" t="s">
        <v>894</v>
      </c>
      <c r="L162">
        <v>299.75</v>
      </c>
      <c r="M162">
        <v>523.01</v>
      </c>
      <c r="N162">
        <v>0.157</v>
      </c>
      <c r="O162">
        <v>50</v>
      </c>
    </row>
    <row r="163" spans="1:15" x14ac:dyDescent="0.25">
      <c r="A163" t="s">
        <v>176</v>
      </c>
      <c r="B163" s="2">
        <v>45595</v>
      </c>
      <c r="C163" s="2">
        <v>45620</v>
      </c>
      <c r="D163" t="s">
        <v>647</v>
      </c>
      <c r="E163" t="s">
        <v>659</v>
      </c>
      <c r="F163" t="s">
        <v>676</v>
      </c>
      <c r="G163" t="s">
        <v>705</v>
      </c>
      <c r="H163" t="s">
        <v>708</v>
      </c>
      <c r="I163" t="s">
        <v>718</v>
      </c>
      <c r="J163" t="s">
        <v>727</v>
      </c>
      <c r="K163" t="s">
        <v>895</v>
      </c>
      <c r="L163">
        <v>811.05</v>
      </c>
      <c r="M163">
        <v>1217.71</v>
      </c>
      <c r="N163">
        <v>7.1999999999999995E-2</v>
      </c>
      <c r="O163">
        <v>5</v>
      </c>
    </row>
    <row r="164" spans="1:15" x14ac:dyDescent="0.25">
      <c r="A164" t="s">
        <v>177</v>
      </c>
      <c r="B164" s="2">
        <v>45385</v>
      </c>
      <c r="C164" s="2">
        <v>45389</v>
      </c>
      <c r="D164" t="s">
        <v>648</v>
      </c>
      <c r="E164" t="s">
        <v>655</v>
      </c>
      <c r="F164" t="s">
        <v>672</v>
      </c>
      <c r="G164" t="s">
        <v>703</v>
      </c>
      <c r="H164" t="s">
        <v>711</v>
      </c>
      <c r="I164" t="s">
        <v>725</v>
      </c>
      <c r="J164" t="s">
        <v>730</v>
      </c>
      <c r="K164" t="s">
        <v>896</v>
      </c>
      <c r="L164">
        <v>1023.27</v>
      </c>
      <c r="M164">
        <v>1343.64</v>
      </c>
      <c r="N164">
        <v>0.13300000000000001</v>
      </c>
      <c r="O164">
        <v>7</v>
      </c>
    </row>
    <row r="165" spans="1:15" x14ac:dyDescent="0.25">
      <c r="A165" t="s">
        <v>178</v>
      </c>
      <c r="B165" s="2">
        <v>45010</v>
      </c>
      <c r="C165" s="2">
        <v>45011</v>
      </c>
      <c r="D165" t="s">
        <v>647</v>
      </c>
      <c r="E165" t="s">
        <v>652</v>
      </c>
      <c r="F165" t="s">
        <v>666</v>
      </c>
      <c r="G165" t="s">
        <v>705</v>
      </c>
      <c r="H165" t="s">
        <v>710</v>
      </c>
      <c r="I165" t="s">
        <v>714</v>
      </c>
      <c r="J165" t="s">
        <v>732</v>
      </c>
      <c r="K165" t="s">
        <v>897</v>
      </c>
      <c r="L165">
        <v>135.12</v>
      </c>
      <c r="M165">
        <v>301.7</v>
      </c>
      <c r="N165">
        <v>0.14000000000000001</v>
      </c>
      <c r="O165">
        <v>47</v>
      </c>
    </row>
    <row r="166" spans="1:15" x14ac:dyDescent="0.25">
      <c r="A166" t="s">
        <v>179</v>
      </c>
      <c r="B166" s="2">
        <v>45447</v>
      </c>
      <c r="C166" s="2">
        <v>45459</v>
      </c>
      <c r="D166" t="s">
        <v>647</v>
      </c>
      <c r="E166" t="s">
        <v>659</v>
      </c>
      <c r="F166" t="s">
        <v>685</v>
      </c>
      <c r="G166" t="s">
        <v>701</v>
      </c>
      <c r="H166" t="s">
        <v>707</v>
      </c>
      <c r="I166" t="s">
        <v>713</v>
      </c>
      <c r="J166" t="s">
        <v>728</v>
      </c>
      <c r="K166" t="s">
        <v>898</v>
      </c>
      <c r="L166">
        <v>918.42</v>
      </c>
      <c r="M166">
        <v>1511.71</v>
      </c>
      <c r="N166">
        <v>0.02</v>
      </c>
      <c r="O166">
        <v>8</v>
      </c>
    </row>
    <row r="167" spans="1:15" x14ac:dyDescent="0.25">
      <c r="A167" t="s">
        <v>180</v>
      </c>
      <c r="B167" s="2">
        <v>44976</v>
      </c>
      <c r="C167" s="2">
        <v>44997</v>
      </c>
      <c r="D167" t="s">
        <v>649</v>
      </c>
      <c r="E167" t="s">
        <v>656</v>
      </c>
      <c r="F167" t="s">
        <v>671</v>
      </c>
      <c r="G167" t="s">
        <v>705</v>
      </c>
      <c r="H167" t="s">
        <v>711</v>
      </c>
      <c r="I167" t="s">
        <v>716</v>
      </c>
      <c r="J167" t="s">
        <v>732</v>
      </c>
      <c r="K167" t="s">
        <v>899</v>
      </c>
      <c r="L167">
        <v>1234.81</v>
      </c>
      <c r="M167">
        <v>2055.2399999999998</v>
      </c>
      <c r="N167">
        <v>5.2999999999999999E-2</v>
      </c>
      <c r="O167">
        <v>44</v>
      </c>
    </row>
    <row r="168" spans="1:15" x14ac:dyDescent="0.25">
      <c r="A168" t="s">
        <v>181</v>
      </c>
      <c r="B168" s="2">
        <v>45034</v>
      </c>
      <c r="C168" s="2">
        <v>45064</v>
      </c>
      <c r="D168" t="s">
        <v>647</v>
      </c>
      <c r="E168" t="s">
        <v>659</v>
      </c>
      <c r="F168" t="s">
        <v>676</v>
      </c>
      <c r="G168" t="s">
        <v>703</v>
      </c>
      <c r="H168" t="s">
        <v>707</v>
      </c>
      <c r="I168" t="s">
        <v>722</v>
      </c>
      <c r="J168" t="s">
        <v>731</v>
      </c>
      <c r="K168" t="s">
        <v>900</v>
      </c>
      <c r="L168">
        <v>329.03</v>
      </c>
      <c r="M168">
        <v>391.15</v>
      </c>
      <c r="N168">
        <v>0.19700000000000001</v>
      </c>
      <c r="O168">
        <v>46</v>
      </c>
    </row>
    <row r="169" spans="1:15" x14ac:dyDescent="0.25">
      <c r="A169" t="s">
        <v>182</v>
      </c>
      <c r="B169" s="2">
        <v>45435</v>
      </c>
      <c r="C169" s="2">
        <v>45457</v>
      </c>
      <c r="D169" t="s">
        <v>649</v>
      </c>
      <c r="E169" t="s">
        <v>657</v>
      </c>
      <c r="F169" t="s">
        <v>673</v>
      </c>
      <c r="G169" t="s">
        <v>705</v>
      </c>
      <c r="H169" t="s">
        <v>708</v>
      </c>
      <c r="I169" t="s">
        <v>725</v>
      </c>
      <c r="J169" t="s">
        <v>732</v>
      </c>
      <c r="K169" t="s">
        <v>901</v>
      </c>
      <c r="L169">
        <v>1481.74</v>
      </c>
      <c r="M169">
        <v>1848.97</v>
      </c>
      <c r="N169">
        <v>0.254</v>
      </c>
      <c r="O169">
        <v>9</v>
      </c>
    </row>
    <row r="170" spans="1:15" x14ac:dyDescent="0.25">
      <c r="A170" t="s">
        <v>183</v>
      </c>
      <c r="B170" s="2">
        <v>45206</v>
      </c>
      <c r="C170" s="2">
        <v>45222</v>
      </c>
      <c r="D170" t="s">
        <v>647</v>
      </c>
      <c r="E170" t="s">
        <v>654</v>
      </c>
      <c r="F170" t="s">
        <v>696</v>
      </c>
      <c r="G170" t="s">
        <v>704</v>
      </c>
      <c r="H170" t="s">
        <v>707</v>
      </c>
      <c r="I170" t="s">
        <v>715</v>
      </c>
      <c r="J170" t="s">
        <v>732</v>
      </c>
      <c r="K170" t="s">
        <v>902</v>
      </c>
      <c r="L170">
        <v>906.81</v>
      </c>
      <c r="M170">
        <v>1395.56</v>
      </c>
      <c r="N170">
        <v>0.185</v>
      </c>
      <c r="O170">
        <v>6</v>
      </c>
    </row>
    <row r="171" spans="1:15" x14ac:dyDescent="0.25">
      <c r="A171" t="s">
        <v>184</v>
      </c>
      <c r="B171" s="2">
        <v>45574</v>
      </c>
      <c r="C171" s="2">
        <v>45604</v>
      </c>
      <c r="D171" t="s">
        <v>649</v>
      </c>
      <c r="E171" t="s">
        <v>658</v>
      </c>
      <c r="F171" t="s">
        <v>693</v>
      </c>
      <c r="G171" t="s">
        <v>705</v>
      </c>
      <c r="H171" t="s">
        <v>710</v>
      </c>
      <c r="I171" t="s">
        <v>713</v>
      </c>
      <c r="J171" t="s">
        <v>727</v>
      </c>
      <c r="K171" t="s">
        <v>903</v>
      </c>
      <c r="L171">
        <v>343.85</v>
      </c>
      <c r="M171">
        <v>538.04</v>
      </c>
      <c r="N171">
        <v>0.13900000000000001</v>
      </c>
      <c r="O171">
        <v>5</v>
      </c>
    </row>
    <row r="172" spans="1:15" x14ac:dyDescent="0.25">
      <c r="A172" t="s">
        <v>185</v>
      </c>
      <c r="B172" s="2">
        <v>45488</v>
      </c>
      <c r="C172" s="2">
        <v>45488</v>
      </c>
      <c r="D172" t="s">
        <v>647</v>
      </c>
      <c r="E172" t="s">
        <v>652</v>
      </c>
      <c r="F172" t="s">
        <v>689</v>
      </c>
      <c r="G172" t="s">
        <v>705</v>
      </c>
      <c r="H172" t="s">
        <v>709</v>
      </c>
      <c r="I172" t="s">
        <v>715</v>
      </c>
      <c r="J172" t="s">
        <v>733</v>
      </c>
      <c r="K172" t="s">
        <v>904</v>
      </c>
      <c r="L172">
        <v>801.77</v>
      </c>
      <c r="M172">
        <v>1218.92</v>
      </c>
      <c r="N172">
        <v>0.254</v>
      </c>
      <c r="O172">
        <v>16</v>
      </c>
    </row>
    <row r="173" spans="1:15" x14ac:dyDescent="0.25">
      <c r="A173" t="s">
        <v>186</v>
      </c>
      <c r="B173" s="2">
        <v>45190</v>
      </c>
      <c r="C173" s="2">
        <v>45209</v>
      </c>
      <c r="D173" t="s">
        <v>647</v>
      </c>
      <c r="E173" t="s">
        <v>652</v>
      </c>
      <c r="F173" t="s">
        <v>689</v>
      </c>
      <c r="G173" t="s">
        <v>702</v>
      </c>
      <c r="H173" t="s">
        <v>708</v>
      </c>
      <c r="I173" t="s">
        <v>726</v>
      </c>
      <c r="J173" t="s">
        <v>727</v>
      </c>
      <c r="K173" t="s">
        <v>905</v>
      </c>
      <c r="L173">
        <v>845.63</v>
      </c>
      <c r="M173">
        <v>2062.12</v>
      </c>
      <c r="N173">
        <v>0.13400000000000001</v>
      </c>
      <c r="O173">
        <v>5</v>
      </c>
    </row>
    <row r="174" spans="1:15" x14ac:dyDescent="0.25">
      <c r="A174" t="s">
        <v>187</v>
      </c>
      <c r="B174" s="2">
        <v>44981</v>
      </c>
      <c r="C174" s="2">
        <v>44994</v>
      </c>
      <c r="D174" t="s">
        <v>648</v>
      </c>
      <c r="E174" t="s">
        <v>660</v>
      </c>
      <c r="F174" t="s">
        <v>700</v>
      </c>
      <c r="G174" t="s">
        <v>706</v>
      </c>
      <c r="H174" t="s">
        <v>708</v>
      </c>
      <c r="I174" t="s">
        <v>724</v>
      </c>
      <c r="J174" t="s">
        <v>727</v>
      </c>
      <c r="K174" t="s">
        <v>906</v>
      </c>
      <c r="L174">
        <v>6.85</v>
      </c>
      <c r="M174">
        <v>10.18</v>
      </c>
      <c r="N174">
        <v>4.7E-2</v>
      </c>
      <c r="O174">
        <v>10</v>
      </c>
    </row>
    <row r="175" spans="1:15" x14ac:dyDescent="0.25">
      <c r="A175" t="s">
        <v>188</v>
      </c>
      <c r="B175" s="2">
        <v>45798</v>
      </c>
      <c r="C175" s="2">
        <v>45796</v>
      </c>
      <c r="D175" t="s">
        <v>646</v>
      </c>
      <c r="E175" t="s">
        <v>661</v>
      </c>
      <c r="F175" t="s">
        <v>682</v>
      </c>
      <c r="G175" t="s">
        <v>703</v>
      </c>
      <c r="H175" t="s">
        <v>710</v>
      </c>
      <c r="I175" t="s">
        <v>719</v>
      </c>
      <c r="J175" t="s">
        <v>731</v>
      </c>
      <c r="K175" t="s">
        <v>907</v>
      </c>
      <c r="L175">
        <v>1263.8399999999999</v>
      </c>
      <c r="M175">
        <v>2281.7199999999998</v>
      </c>
      <c r="N175">
        <v>7.8E-2</v>
      </c>
      <c r="O175">
        <v>15</v>
      </c>
    </row>
    <row r="176" spans="1:15" x14ac:dyDescent="0.25">
      <c r="A176" t="s">
        <v>189</v>
      </c>
      <c r="B176" s="2">
        <v>45435</v>
      </c>
      <c r="C176" s="2">
        <v>45446</v>
      </c>
      <c r="D176" t="s">
        <v>646</v>
      </c>
      <c r="E176" t="s">
        <v>661</v>
      </c>
      <c r="F176" t="s">
        <v>682</v>
      </c>
      <c r="G176" t="s">
        <v>705</v>
      </c>
      <c r="H176" t="s">
        <v>710</v>
      </c>
      <c r="I176" t="s">
        <v>721</v>
      </c>
      <c r="J176" t="s">
        <v>728</v>
      </c>
      <c r="K176" t="s">
        <v>908</v>
      </c>
      <c r="L176">
        <v>180.89</v>
      </c>
      <c r="M176">
        <v>249.57</v>
      </c>
      <c r="N176">
        <v>2.1999999999999999E-2</v>
      </c>
      <c r="O176">
        <v>8</v>
      </c>
    </row>
    <row r="177" spans="1:15" x14ac:dyDescent="0.25">
      <c r="A177" t="s">
        <v>190</v>
      </c>
      <c r="B177" s="2">
        <v>45761</v>
      </c>
      <c r="C177" s="2">
        <v>45781</v>
      </c>
      <c r="D177" t="s">
        <v>649</v>
      </c>
      <c r="E177" t="s">
        <v>658</v>
      </c>
      <c r="F177" t="s">
        <v>674</v>
      </c>
      <c r="G177" t="s">
        <v>706</v>
      </c>
      <c r="H177" t="s">
        <v>709</v>
      </c>
      <c r="I177" t="s">
        <v>723</v>
      </c>
      <c r="J177" t="s">
        <v>732</v>
      </c>
      <c r="K177" t="s">
        <v>909</v>
      </c>
      <c r="L177">
        <v>1413.87</v>
      </c>
      <c r="M177">
        <v>3275</v>
      </c>
      <c r="N177">
        <v>0.255</v>
      </c>
      <c r="O177">
        <v>38</v>
      </c>
    </row>
    <row r="178" spans="1:15" x14ac:dyDescent="0.25">
      <c r="A178" t="s">
        <v>191</v>
      </c>
      <c r="B178" s="2">
        <v>45165</v>
      </c>
      <c r="C178" s="2">
        <v>45180</v>
      </c>
      <c r="D178" t="s">
        <v>649</v>
      </c>
      <c r="E178" t="s">
        <v>658</v>
      </c>
      <c r="F178" t="s">
        <v>683</v>
      </c>
      <c r="G178" t="s">
        <v>704</v>
      </c>
      <c r="H178" t="s">
        <v>709</v>
      </c>
      <c r="I178" t="s">
        <v>725</v>
      </c>
      <c r="J178" t="s">
        <v>728</v>
      </c>
      <c r="K178" t="s">
        <v>910</v>
      </c>
      <c r="L178">
        <v>943.79</v>
      </c>
      <c r="M178">
        <v>1913.76</v>
      </c>
      <c r="N178">
        <v>9.0999999999999998E-2</v>
      </c>
      <c r="O178">
        <v>9</v>
      </c>
    </row>
    <row r="179" spans="1:15" x14ac:dyDescent="0.25">
      <c r="A179" t="s">
        <v>192</v>
      </c>
      <c r="B179" s="2">
        <v>45325</v>
      </c>
      <c r="C179" s="2">
        <v>45343</v>
      </c>
      <c r="D179" t="s">
        <v>649</v>
      </c>
      <c r="E179" t="s">
        <v>656</v>
      </c>
      <c r="F179" t="s">
        <v>698</v>
      </c>
      <c r="G179" t="s">
        <v>701</v>
      </c>
      <c r="H179" t="s">
        <v>707</v>
      </c>
      <c r="I179" t="s">
        <v>722</v>
      </c>
      <c r="J179" t="s">
        <v>727</v>
      </c>
      <c r="K179" t="s">
        <v>911</v>
      </c>
      <c r="L179">
        <v>39.229999999999997</v>
      </c>
      <c r="M179">
        <v>30.09</v>
      </c>
      <c r="N179">
        <v>0.17699999999999999</v>
      </c>
      <c r="O179">
        <v>13</v>
      </c>
    </row>
    <row r="180" spans="1:15" x14ac:dyDescent="0.25">
      <c r="A180" t="s">
        <v>193</v>
      </c>
      <c r="B180" s="2">
        <v>45021</v>
      </c>
      <c r="C180" s="2">
        <v>45032</v>
      </c>
      <c r="D180" t="s">
        <v>648</v>
      </c>
      <c r="E180" t="s">
        <v>653</v>
      </c>
      <c r="F180" t="s">
        <v>688</v>
      </c>
      <c r="G180" t="s">
        <v>703</v>
      </c>
      <c r="H180" t="s">
        <v>708</v>
      </c>
      <c r="I180" t="s">
        <v>719</v>
      </c>
      <c r="J180" t="s">
        <v>732</v>
      </c>
      <c r="K180" t="s">
        <v>912</v>
      </c>
      <c r="L180">
        <v>213.1</v>
      </c>
      <c r="M180">
        <v>501.31</v>
      </c>
      <c r="N180">
        <v>5.6000000000000001E-2</v>
      </c>
      <c r="O180">
        <v>15</v>
      </c>
    </row>
    <row r="181" spans="1:15" x14ac:dyDescent="0.25">
      <c r="A181" t="s">
        <v>194</v>
      </c>
      <c r="B181" s="2">
        <v>45890</v>
      </c>
      <c r="C181" s="2">
        <v>45912</v>
      </c>
      <c r="D181" t="s">
        <v>647</v>
      </c>
      <c r="E181" t="s">
        <v>659</v>
      </c>
      <c r="F181" t="s">
        <v>676</v>
      </c>
      <c r="G181" t="s">
        <v>702</v>
      </c>
      <c r="H181" t="s">
        <v>707</v>
      </c>
      <c r="I181" t="s">
        <v>717</v>
      </c>
      <c r="J181" t="s">
        <v>728</v>
      </c>
      <c r="K181" t="s">
        <v>913</v>
      </c>
      <c r="L181">
        <v>352.66</v>
      </c>
      <c r="M181">
        <v>411.18</v>
      </c>
      <c r="N181">
        <v>0.17299999999999999</v>
      </c>
      <c r="O181">
        <v>13</v>
      </c>
    </row>
    <row r="182" spans="1:15" x14ac:dyDescent="0.25">
      <c r="A182" t="s">
        <v>195</v>
      </c>
      <c r="B182" s="2">
        <v>45915</v>
      </c>
      <c r="C182" s="2">
        <v>45918</v>
      </c>
      <c r="D182" t="s">
        <v>648</v>
      </c>
      <c r="E182" t="s">
        <v>655</v>
      </c>
      <c r="F182" t="s">
        <v>692</v>
      </c>
      <c r="G182" t="s">
        <v>703</v>
      </c>
      <c r="H182" t="s">
        <v>711</v>
      </c>
      <c r="I182" t="s">
        <v>716</v>
      </c>
      <c r="J182" t="s">
        <v>733</v>
      </c>
      <c r="K182" t="s">
        <v>914</v>
      </c>
      <c r="L182">
        <v>5.5</v>
      </c>
      <c r="M182">
        <v>5.92</v>
      </c>
      <c r="N182">
        <v>0.21199999999999999</v>
      </c>
      <c r="O182">
        <v>4</v>
      </c>
    </row>
    <row r="183" spans="1:15" x14ac:dyDescent="0.25">
      <c r="A183" t="s">
        <v>196</v>
      </c>
      <c r="B183" s="2">
        <v>45568</v>
      </c>
      <c r="C183" s="2">
        <v>45576</v>
      </c>
      <c r="D183" t="s">
        <v>647</v>
      </c>
      <c r="E183" t="s">
        <v>659</v>
      </c>
      <c r="F183" t="s">
        <v>699</v>
      </c>
      <c r="G183" t="s">
        <v>706</v>
      </c>
      <c r="H183" t="s">
        <v>711</v>
      </c>
      <c r="I183" t="s">
        <v>717</v>
      </c>
      <c r="J183" t="s">
        <v>730</v>
      </c>
      <c r="K183" t="s">
        <v>915</v>
      </c>
      <c r="L183">
        <v>1132.6099999999999</v>
      </c>
      <c r="M183">
        <v>2206.63</v>
      </c>
      <c r="N183">
        <v>6.3E-2</v>
      </c>
      <c r="O183">
        <v>20</v>
      </c>
    </row>
    <row r="184" spans="1:15" x14ac:dyDescent="0.25">
      <c r="A184" t="s">
        <v>197</v>
      </c>
      <c r="B184" s="2">
        <v>45690</v>
      </c>
      <c r="C184" s="2">
        <v>45720</v>
      </c>
      <c r="D184" t="s">
        <v>647</v>
      </c>
      <c r="E184" t="s">
        <v>652</v>
      </c>
      <c r="F184" t="s">
        <v>666</v>
      </c>
      <c r="G184" t="s">
        <v>702</v>
      </c>
      <c r="H184" t="s">
        <v>710</v>
      </c>
      <c r="I184" t="s">
        <v>716</v>
      </c>
      <c r="J184" t="s">
        <v>733</v>
      </c>
      <c r="K184" t="s">
        <v>916</v>
      </c>
      <c r="L184">
        <v>766.59</v>
      </c>
      <c r="M184">
        <v>1912.8</v>
      </c>
      <c r="N184">
        <v>0.19600000000000001</v>
      </c>
      <c r="O184">
        <v>5</v>
      </c>
    </row>
    <row r="185" spans="1:15" x14ac:dyDescent="0.25">
      <c r="A185" t="s">
        <v>198</v>
      </c>
      <c r="B185" s="2">
        <v>45157</v>
      </c>
      <c r="C185" s="2">
        <v>45161</v>
      </c>
      <c r="D185" t="s">
        <v>646</v>
      </c>
      <c r="E185" t="s">
        <v>651</v>
      </c>
      <c r="F185" t="s">
        <v>669</v>
      </c>
      <c r="G185" t="s">
        <v>705</v>
      </c>
      <c r="H185" t="s">
        <v>708</v>
      </c>
      <c r="I185" t="s">
        <v>713</v>
      </c>
      <c r="J185" t="s">
        <v>732</v>
      </c>
      <c r="K185" t="s">
        <v>917</v>
      </c>
      <c r="L185">
        <v>790.63</v>
      </c>
      <c r="M185">
        <v>1382.31</v>
      </c>
      <c r="N185">
        <v>0.10100000000000001</v>
      </c>
      <c r="O185">
        <v>7</v>
      </c>
    </row>
    <row r="186" spans="1:15" x14ac:dyDescent="0.25">
      <c r="A186" t="s">
        <v>199</v>
      </c>
      <c r="B186" s="2">
        <v>45587</v>
      </c>
      <c r="C186" s="2">
        <v>45594</v>
      </c>
      <c r="D186" t="s">
        <v>646</v>
      </c>
      <c r="E186" t="s">
        <v>651</v>
      </c>
      <c r="F186" t="s">
        <v>663</v>
      </c>
      <c r="G186" t="s">
        <v>706</v>
      </c>
      <c r="H186" t="s">
        <v>710</v>
      </c>
      <c r="I186" t="s">
        <v>724</v>
      </c>
      <c r="J186" t="s">
        <v>732</v>
      </c>
      <c r="K186" t="s">
        <v>918</v>
      </c>
      <c r="L186">
        <v>1023.06</v>
      </c>
      <c r="M186">
        <v>1355.61</v>
      </c>
      <c r="N186">
        <v>0.153</v>
      </c>
      <c r="O186">
        <v>23</v>
      </c>
    </row>
    <row r="187" spans="1:15" x14ac:dyDescent="0.25">
      <c r="A187" t="s">
        <v>200</v>
      </c>
      <c r="B187" s="2">
        <v>45099</v>
      </c>
      <c r="C187" s="2">
        <v>45128</v>
      </c>
      <c r="D187" t="s">
        <v>649</v>
      </c>
      <c r="E187" t="s">
        <v>657</v>
      </c>
      <c r="F187" t="s">
        <v>679</v>
      </c>
      <c r="G187" t="s">
        <v>701</v>
      </c>
      <c r="H187" t="s">
        <v>707</v>
      </c>
      <c r="I187" t="s">
        <v>713</v>
      </c>
      <c r="J187" t="s">
        <v>733</v>
      </c>
      <c r="K187" t="s">
        <v>919</v>
      </c>
      <c r="L187">
        <v>734.34</v>
      </c>
      <c r="M187">
        <v>887.9</v>
      </c>
      <c r="N187">
        <v>2.5000000000000001E-2</v>
      </c>
      <c r="O187">
        <v>12</v>
      </c>
    </row>
    <row r="188" spans="1:15" x14ac:dyDescent="0.25">
      <c r="A188" t="s">
        <v>201</v>
      </c>
      <c r="B188" s="2">
        <v>45670</v>
      </c>
      <c r="C188" s="2">
        <v>45696</v>
      </c>
      <c r="D188" t="s">
        <v>649</v>
      </c>
      <c r="E188" t="s">
        <v>657</v>
      </c>
      <c r="F188" t="s">
        <v>690</v>
      </c>
      <c r="G188" t="s">
        <v>703</v>
      </c>
      <c r="I188" t="s">
        <v>718</v>
      </c>
      <c r="J188" t="s">
        <v>732</v>
      </c>
      <c r="K188" t="s">
        <v>920</v>
      </c>
      <c r="L188">
        <v>594.74</v>
      </c>
      <c r="M188">
        <v>1020.69</v>
      </c>
      <c r="N188">
        <v>0.21099999999999999</v>
      </c>
      <c r="O188">
        <v>6</v>
      </c>
    </row>
    <row r="189" spans="1:15" x14ac:dyDescent="0.25">
      <c r="A189" t="s">
        <v>144</v>
      </c>
      <c r="B189" s="2">
        <v>44955</v>
      </c>
      <c r="C189" s="2">
        <v>44985</v>
      </c>
      <c r="D189" t="s">
        <v>647</v>
      </c>
      <c r="E189" t="s">
        <v>654</v>
      </c>
      <c r="F189" t="s">
        <v>668</v>
      </c>
      <c r="G189" t="s">
        <v>703</v>
      </c>
      <c r="H189" t="s">
        <v>707</v>
      </c>
      <c r="I189" t="s">
        <v>717</v>
      </c>
      <c r="J189" t="s">
        <v>733</v>
      </c>
      <c r="K189" t="s">
        <v>921</v>
      </c>
      <c r="L189">
        <v>1262.0999999999999</v>
      </c>
      <c r="M189">
        <v>1395.53</v>
      </c>
      <c r="N189">
        <v>0.23300000000000001</v>
      </c>
      <c r="O189">
        <v>25</v>
      </c>
    </row>
    <row r="190" spans="1:15" x14ac:dyDescent="0.25">
      <c r="A190" t="s">
        <v>202</v>
      </c>
      <c r="B190" s="2">
        <v>45126</v>
      </c>
      <c r="C190" s="2">
        <v>45138</v>
      </c>
      <c r="D190" t="s">
        <v>648</v>
      </c>
      <c r="E190" t="s">
        <v>655</v>
      </c>
      <c r="F190" t="s">
        <v>692</v>
      </c>
      <c r="G190" t="s">
        <v>701</v>
      </c>
      <c r="H190" t="s">
        <v>707</v>
      </c>
      <c r="I190" t="s">
        <v>712</v>
      </c>
      <c r="J190" t="s">
        <v>732</v>
      </c>
      <c r="K190" t="s">
        <v>922</v>
      </c>
      <c r="L190">
        <v>1334.64</v>
      </c>
      <c r="M190">
        <v>2273.42</v>
      </c>
      <c r="N190">
        <v>0.11799999999999999</v>
      </c>
      <c r="O190">
        <v>14</v>
      </c>
    </row>
    <row r="191" spans="1:15" x14ac:dyDescent="0.25">
      <c r="A191" t="s">
        <v>203</v>
      </c>
      <c r="B191" s="2">
        <v>45431</v>
      </c>
      <c r="C191" s="2">
        <v>45451</v>
      </c>
      <c r="D191" t="s">
        <v>648</v>
      </c>
      <c r="E191" t="s">
        <v>655</v>
      </c>
      <c r="F191" t="s">
        <v>672</v>
      </c>
      <c r="G191" t="s">
        <v>705</v>
      </c>
      <c r="H191" t="s">
        <v>707</v>
      </c>
      <c r="I191" t="s">
        <v>718</v>
      </c>
      <c r="J191" t="s">
        <v>732</v>
      </c>
      <c r="K191" t="s">
        <v>923</v>
      </c>
      <c r="L191">
        <v>1075.9000000000001</v>
      </c>
      <c r="M191">
        <v>1242.1500000000001</v>
      </c>
      <c r="N191">
        <v>1.2E-2</v>
      </c>
      <c r="O191">
        <v>7</v>
      </c>
    </row>
    <row r="192" spans="1:15" x14ac:dyDescent="0.25">
      <c r="A192" t="s">
        <v>204</v>
      </c>
      <c r="B192" s="2">
        <v>45325</v>
      </c>
      <c r="C192" s="2">
        <v>45341</v>
      </c>
      <c r="D192" t="s">
        <v>647</v>
      </c>
      <c r="E192" t="s">
        <v>659</v>
      </c>
      <c r="F192" t="s">
        <v>676</v>
      </c>
      <c r="G192" t="s">
        <v>705</v>
      </c>
      <c r="H192" t="s">
        <v>708</v>
      </c>
      <c r="I192" t="s">
        <v>722</v>
      </c>
      <c r="J192" t="s">
        <v>731</v>
      </c>
      <c r="K192" t="s">
        <v>924</v>
      </c>
      <c r="L192">
        <v>993.75</v>
      </c>
      <c r="M192">
        <v>1310.29</v>
      </c>
      <c r="N192">
        <v>0.215</v>
      </c>
      <c r="O192">
        <v>19</v>
      </c>
    </row>
    <row r="193" spans="1:15" x14ac:dyDescent="0.25">
      <c r="A193" t="s">
        <v>205</v>
      </c>
      <c r="B193" s="2">
        <v>45146</v>
      </c>
      <c r="C193" s="2">
        <v>45160</v>
      </c>
      <c r="D193" t="s">
        <v>649</v>
      </c>
      <c r="E193" t="s">
        <v>658</v>
      </c>
      <c r="F193" t="s">
        <v>674</v>
      </c>
      <c r="G193" t="s">
        <v>703</v>
      </c>
      <c r="H193" t="s">
        <v>711</v>
      </c>
      <c r="I193" t="s">
        <v>725</v>
      </c>
      <c r="J193" t="s">
        <v>732</v>
      </c>
      <c r="K193" t="s">
        <v>925</v>
      </c>
      <c r="L193">
        <v>446.69</v>
      </c>
      <c r="M193">
        <v>967.25</v>
      </c>
      <c r="N193">
        <v>9.4E-2</v>
      </c>
      <c r="O193">
        <v>10</v>
      </c>
    </row>
    <row r="194" spans="1:15" x14ac:dyDescent="0.25">
      <c r="A194" t="s">
        <v>206</v>
      </c>
      <c r="B194" s="2">
        <v>45516</v>
      </c>
      <c r="C194" s="2">
        <v>45538</v>
      </c>
      <c r="D194" t="s">
        <v>648</v>
      </c>
      <c r="E194" t="s">
        <v>660</v>
      </c>
      <c r="F194" t="s">
        <v>697</v>
      </c>
      <c r="G194" t="s">
        <v>704</v>
      </c>
      <c r="H194" t="s">
        <v>710</v>
      </c>
      <c r="I194" t="s">
        <v>714</v>
      </c>
      <c r="J194" t="s">
        <v>731</v>
      </c>
      <c r="K194" t="s">
        <v>926</v>
      </c>
      <c r="L194">
        <v>797.8</v>
      </c>
      <c r="M194">
        <v>886.22</v>
      </c>
      <c r="N194">
        <v>0.23599999999999999</v>
      </c>
      <c r="O194">
        <v>36</v>
      </c>
    </row>
    <row r="195" spans="1:15" x14ac:dyDescent="0.25">
      <c r="A195" t="s">
        <v>207</v>
      </c>
      <c r="B195" s="2">
        <v>45214</v>
      </c>
      <c r="C195" s="2">
        <v>45243</v>
      </c>
      <c r="D195" t="s">
        <v>647</v>
      </c>
      <c r="E195" t="s">
        <v>659</v>
      </c>
      <c r="F195" t="s">
        <v>676</v>
      </c>
      <c r="G195" t="s">
        <v>703</v>
      </c>
      <c r="H195" t="s">
        <v>710</v>
      </c>
      <c r="I195" t="s">
        <v>713</v>
      </c>
      <c r="J195" t="s">
        <v>728</v>
      </c>
      <c r="K195" t="s">
        <v>927</v>
      </c>
      <c r="L195">
        <v>986.44</v>
      </c>
      <c r="M195">
        <v>790.61</v>
      </c>
      <c r="N195">
        <v>7.1999999999999995E-2</v>
      </c>
      <c r="O195">
        <v>6</v>
      </c>
    </row>
    <row r="196" spans="1:15" x14ac:dyDescent="0.25">
      <c r="A196" t="s">
        <v>208</v>
      </c>
      <c r="B196" s="2">
        <v>45050</v>
      </c>
      <c r="C196" s="2">
        <v>45072</v>
      </c>
      <c r="D196" t="s">
        <v>648</v>
      </c>
      <c r="E196" t="s">
        <v>660</v>
      </c>
      <c r="F196" t="s">
        <v>686</v>
      </c>
      <c r="G196" t="s">
        <v>706</v>
      </c>
      <c r="H196" t="s">
        <v>708</v>
      </c>
      <c r="I196" t="s">
        <v>713</v>
      </c>
      <c r="J196" t="s">
        <v>729</v>
      </c>
      <c r="K196" t="s">
        <v>928</v>
      </c>
      <c r="L196">
        <v>249.71</v>
      </c>
      <c r="M196">
        <v>361.33</v>
      </c>
      <c r="N196">
        <v>9.4E-2</v>
      </c>
      <c r="O196">
        <v>12</v>
      </c>
    </row>
    <row r="197" spans="1:15" x14ac:dyDescent="0.25">
      <c r="A197" t="s">
        <v>209</v>
      </c>
      <c r="B197" s="2">
        <v>45557</v>
      </c>
      <c r="C197" s="2">
        <v>45566</v>
      </c>
      <c r="D197" t="s">
        <v>648</v>
      </c>
      <c r="E197" t="s">
        <v>655</v>
      </c>
      <c r="F197" t="s">
        <v>670</v>
      </c>
      <c r="G197" t="s">
        <v>703</v>
      </c>
      <c r="H197" t="s">
        <v>708</v>
      </c>
      <c r="I197" t="s">
        <v>723</v>
      </c>
      <c r="J197" t="s">
        <v>732</v>
      </c>
      <c r="K197" t="s">
        <v>929</v>
      </c>
      <c r="L197">
        <v>1378.8</v>
      </c>
      <c r="M197">
        <v>1952.04</v>
      </c>
      <c r="N197">
        <v>0.159</v>
      </c>
      <c r="O197">
        <v>19</v>
      </c>
    </row>
    <row r="198" spans="1:15" x14ac:dyDescent="0.25">
      <c r="A198" t="s">
        <v>210</v>
      </c>
      <c r="B198" s="2">
        <v>45588</v>
      </c>
      <c r="C198" s="2">
        <v>45610</v>
      </c>
      <c r="D198" t="s">
        <v>647</v>
      </c>
      <c r="E198" t="s">
        <v>652</v>
      </c>
      <c r="F198" t="s">
        <v>666</v>
      </c>
      <c r="G198" t="s">
        <v>703</v>
      </c>
      <c r="H198" t="s">
        <v>711</v>
      </c>
      <c r="I198" t="s">
        <v>717</v>
      </c>
      <c r="J198" t="s">
        <v>730</v>
      </c>
      <c r="K198" t="s">
        <v>930</v>
      </c>
      <c r="L198">
        <v>1406.4</v>
      </c>
      <c r="M198">
        <v>1564.76</v>
      </c>
      <c r="N198">
        <v>0.185</v>
      </c>
      <c r="O198">
        <v>17</v>
      </c>
    </row>
    <row r="199" spans="1:15" x14ac:dyDescent="0.25">
      <c r="A199" t="s">
        <v>211</v>
      </c>
      <c r="B199" s="2">
        <v>45333</v>
      </c>
      <c r="C199" s="2">
        <v>45354</v>
      </c>
      <c r="D199" t="s">
        <v>646</v>
      </c>
      <c r="E199" t="s">
        <v>650</v>
      </c>
      <c r="F199" t="s">
        <v>662</v>
      </c>
      <c r="G199" t="s">
        <v>706</v>
      </c>
      <c r="H199" t="s">
        <v>708</v>
      </c>
      <c r="I199" t="s">
        <v>717</v>
      </c>
      <c r="J199" t="s">
        <v>730</v>
      </c>
      <c r="K199" t="s">
        <v>931</v>
      </c>
      <c r="L199">
        <v>516.86</v>
      </c>
      <c r="M199">
        <v>852.54</v>
      </c>
      <c r="N199">
        <v>5.0999999999999997E-2</v>
      </c>
      <c r="O199">
        <v>14</v>
      </c>
    </row>
    <row r="200" spans="1:15" x14ac:dyDescent="0.25">
      <c r="A200" t="s">
        <v>212</v>
      </c>
      <c r="B200" s="2">
        <v>44956</v>
      </c>
      <c r="C200" s="2">
        <v>44978</v>
      </c>
      <c r="D200" t="s">
        <v>649</v>
      </c>
      <c r="E200" t="s">
        <v>656</v>
      </c>
      <c r="F200" t="s">
        <v>684</v>
      </c>
      <c r="G200" t="s">
        <v>705</v>
      </c>
      <c r="H200" t="s">
        <v>709</v>
      </c>
      <c r="I200" t="s">
        <v>715</v>
      </c>
      <c r="J200" t="s">
        <v>729</v>
      </c>
      <c r="K200" t="s">
        <v>932</v>
      </c>
      <c r="L200">
        <v>1142.8800000000001</v>
      </c>
      <c r="M200">
        <v>1465.29</v>
      </c>
      <c r="N200">
        <v>0.186</v>
      </c>
      <c r="O200">
        <v>7</v>
      </c>
    </row>
    <row r="201" spans="1:15" x14ac:dyDescent="0.25">
      <c r="A201" t="s">
        <v>213</v>
      </c>
      <c r="B201" s="2">
        <v>45030</v>
      </c>
      <c r="C201" s="2">
        <v>45059</v>
      </c>
      <c r="D201" t="s">
        <v>649</v>
      </c>
      <c r="E201" t="s">
        <v>656</v>
      </c>
      <c r="F201" t="s">
        <v>698</v>
      </c>
      <c r="G201" t="s">
        <v>704</v>
      </c>
      <c r="H201" t="s">
        <v>711</v>
      </c>
      <c r="I201" t="s">
        <v>713</v>
      </c>
      <c r="J201" t="s">
        <v>728</v>
      </c>
      <c r="K201" t="s">
        <v>933</v>
      </c>
      <c r="L201">
        <v>1320.33</v>
      </c>
      <c r="M201">
        <v>2645.23</v>
      </c>
      <c r="N201">
        <v>0.155</v>
      </c>
      <c r="O201">
        <v>25</v>
      </c>
    </row>
    <row r="202" spans="1:15" x14ac:dyDescent="0.25">
      <c r="A202" t="s">
        <v>214</v>
      </c>
      <c r="B202" s="2">
        <v>44939</v>
      </c>
      <c r="C202" s="2">
        <v>44945</v>
      </c>
      <c r="D202" t="s">
        <v>648</v>
      </c>
      <c r="E202" t="s">
        <v>660</v>
      </c>
      <c r="F202" t="s">
        <v>677</v>
      </c>
      <c r="G202" t="s">
        <v>701</v>
      </c>
      <c r="H202" t="s">
        <v>711</v>
      </c>
      <c r="I202" t="s">
        <v>722</v>
      </c>
      <c r="J202" t="s">
        <v>730</v>
      </c>
      <c r="K202" t="s">
        <v>934</v>
      </c>
      <c r="L202">
        <v>833.57</v>
      </c>
      <c r="M202">
        <v>881.57</v>
      </c>
      <c r="N202">
        <v>5.7000000000000002E-2</v>
      </c>
      <c r="O202">
        <v>18</v>
      </c>
    </row>
    <row r="203" spans="1:15" x14ac:dyDescent="0.25">
      <c r="A203" t="s">
        <v>215</v>
      </c>
      <c r="B203" s="2">
        <v>45303</v>
      </c>
      <c r="C203" s="2">
        <v>45320</v>
      </c>
      <c r="D203" t="s">
        <v>648</v>
      </c>
      <c r="E203" t="s">
        <v>660</v>
      </c>
      <c r="F203" t="s">
        <v>677</v>
      </c>
      <c r="G203" t="s">
        <v>702</v>
      </c>
      <c r="H203" t="s">
        <v>710</v>
      </c>
      <c r="I203" t="s">
        <v>720</v>
      </c>
      <c r="J203" t="s">
        <v>728</v>
      </c>
      <c r="K203" t="s">
        <v>935</v>
      </c>
      <c r="L203">
        <v>493.76</v>
      </c>
      <c r="M203">
        <v>625.04</v>
      </c>
      <c r="N203">
        <v>0.25800000000000001</v>
      </c>
      <c r="O203">
        <v>10</v>
      </c>
    </row>
    <row r="204" spans="1:15" x14ac:dyDescent="0.25">
      <c r="A204" t="s">
        <v>216</v>
      </c>
      <c r="B204" s="2">
        <v>45153</v>
      </c>
      <c r="C204" s="2">
        <v>45176</v>
      </c>
      <c r="D204" t="s">
        <v>648</v>
      </c>
      <c r="E204" t="s">
        <v>660</v>
      </c>
      <c r="F204" t="s">
        <v>700</v>
      </c>
      <c r="G204" t="s">
        <v>706</v>
      </c>
      <c r="H204" t="s">
        <v>708</v>
      </c>
      <c r="I204" t="s">
        <v>723</v>
      </c>
      <c r="J204" t="s">
        <v>730</v>
      </c>
      <c r="K204" t="s">
        <v>936</v>
      </c>
      <c r="L204">
        <v>590.33000000000004</v>
      </c>
      <c r="M204">
        <v>973.04</v>
      </c>
      <c r="N204">
        <v>0</v>
      </c>
      <c r="O204">
        <v>26</v>
      </c>
    </row>
    <row r="205" spans="1:15" x14ac:dyDescent="0.25">
      <c r="A205" t="s">
        <v>217</v>
      </c>
      <c r="B205" s="2">
        <v>44946</v>
      </c>
      <c r="C205" s="2">
        <v>44960</v>
      </c>
      <c r="D205" t="s">
        <v>646</v>
      </c>
      <c r="E205" t="s">
        <v>650</v>
      </c>
      <c r="F205" t="s">
        <v>662</v>
      </c>
      <c r="G205" t="s">
        <v>701</v>
      </c>
      <c r="H205" t="s">
        <v>707</v>
      </c>
      <c r="I205" t="s">
        <v>724</v>
      </c>
      <c r="J205" t="s">
        <v>729</v>
      </c>
      <c r="K205" t="s">
        <v>937</v>
      </c>
      <c r="L205">
        <v>884.36</v>
      </c>
      <c r="M205">
        <v>1545.34</v>
      </c>
      <c r="N205">
        <v>0.24299999999999999</v>
      </c>
      <c r="O205">
        <v>41</v>
      </c>
    </row>
    <row r="206" spans="1:15" x14ac:dyDescent="0.25">
      <c r="A206" t="s">
        <v>218</v>
      </c>
      <c r="B206" s="2">
        <v>45692</v>
      </c>
      <c r="C206" s="2">
        <v>45713</v>
      </c>
      <c r="D206" t="s">
        <v>649</v>
      </c>
      <c r="E206" t="s">
        <v>658</v>
      </c>
      <c r="F206" t="s">
        <v>674</v>
      </c>
      <c r="G206" t="s">
        <v>701</v>
      </c>
      <c r="H206" t="s">
        <v>709</v>
      </c>
      <c r="I206" t="s">
        <v>726</v>
      </c>
      <c r="J206" t="s">
        <v>732</v>
      </c>
      <c r="K206" t="s">
        <v>938</v>
      </c>
      <c r="L206">
        <v>1016.32</v>
      </c>
      <c r="M206">
        <v>2253.42</v>
      </c>
      <c r="N206">
        <v>5.5E-2</v>
      </c>
      <c r="O206">
        <v>12</v>
      </c>
    </row>
    <row r="207" spans="1:15" x14ac:dyDescent="0.25">
      <c r="A207" t="s">
        <v>219</v>
      </c>
      <c r="B207" s="2">
        <v>45035</v>
      </c>
      <c r="C207" s="2">
        <v>45044</v>
      </c>
      <c r="D207" t="s">
        <v>649</v>
      </c>
      <c r="E207" t="s">
        <v>656</v>
      </c>
      <c r="F207" t="s">
        <v>671</v>
      </c>
      <c r="G207" t="s">
        <v>702</v>
      </c>
      <c r="H207" t="s">
        <v>708</v>
      </c>
      <c r="I207" t="s">
        <v>718</v>
      </c>
      <c r="J207" t="s">
        <v>732</v>
      </c>
      <c r="K207" t="s">
        <v>939</v>
      </c>
      <c r="L207">
        <v>1178.42</v>
      </c>
      <c r="M207">
        <v>2446.56</v>
      </c>
      <c r="N207">
        <v>2.9000000000000001E-2</v>
      </c>
      <c r="O207">
        <v>11</v>
      </c>
    </row>
    <row r="208" spans="1:15" x14ac:dyDescent="0.25">
      <c r="A208" t="s">
        <v>220</v>
      </c>
      <c r="B208" s="2">
        <v>45109</v>
      </c>
      <c r="C208" s="2">
        <v>45139</v>
      </c>
      <c r="D208" t="s">
        <v>649</v>
      </c>
      <c r="E208" t="s">
        <v>658</v>
      </c>
      <c r="F208" t="s">
        <v>674</v>
      </c>
      <c r="G208" t="s">
        <v>705</v>
      </c>
      <c r="H208" t="s">
        <v>707</v>
      </c>
      <c r="I208" t="s">
        <v>717</v>
      </c>
      <c r="J208" t="s">
        <v>727</v>
      </c>
      <c r="K208" t="s">
        <v>940</v>
      </c>
      <c r="L208">
        <v>137.46</v>
      </c>
      <c r="M208">
        <v>188.3</v>
      </c>
      <c r="N208">
        <v>3.7999999999999999E-2</v>
      </c>
      <c r="O208">
        <v>37</v>
      </c>
    </row>
    <row r="209" spans="1:15" x14ac:dyDescent="0.25">
      <c r="A209" t="s">
        <v>221</v>
      </c>
      <c r="B209" s="2">
        <v>45678</v>
      </c>
      <c r="C209" s="2">
        <v>45702</v>
      </c>
      <c r="D209" t="s">
        <v>646</v>
      </c>
      <c r="E209" t="s">
        <v>650</v>
      </c>
      <c r="F209" t="s">
        <v>664</v>
      </c>
      <c r="G209" t="s">
        <v>705</v>
      </c>
      <c r="H209" t="s">
        <v>707</v>
      </c>
      <c r="I209" t="s">
        <v>713</v>
      </c>
      <c r="J209" t="s">
        <v>733</v>
      </c>
      <c r="K209" t="s">
        <v>941</v>
      </c>
      <c r="L209">
        <v>1030.44</v>
      </c>
      <c r="M209">
        <v>2562.84</v>
      </c>
      <c r="N209">
        <v>0.14799999999999999</v>
      </c>
      <c r="O209">
        <v>13</v>
      </c>
    </row>
    <row r="210" spans="1:15" x14ac:dyDescent="0.25">
      <c r="A210" t="s">
        <v>222</v>
      </c>
      <c r="B210" s="2">
        <v>45545</v>
      </c>
      <c r="C210" s="2">
        <v>45572</v>
      </c>
      <c r="D210" t="s">
        <v>646</v>
      </c>
      <c r="E210" t="s">
        <v>650</v>
      </c>
      <c r="F210" t="s">
        <v>662</v>
      </c>
      <c r="G210" t="s">
        <v>704</v>
      </c>
      <c r="H210" t="s">
        <v>707</v>
      </c>
      <c r="I210" t="s">
        <v>716</v>
      </c>
      <c r="J210" t="s">
        <v>728</v>
      </c>
      <c r="K210" t="s">
        <v>942</v>
      </c>
      <c r="L210">
        <v>1248.3900000000001</v>
      </c>
      <c r="M210">
        <v>1805.11</v>
      </c>
      <c r="N210">
        <v>0.20300000000000001</v>
      </c>
      <c r="O210">
        <v>11</v>
      </c>
    </row>
    <row r="211" spans="1:15" x14ac:dyDescent="0.25">
      <c r="A211" t="s">
        <v>223</v>
      </c>
      <c r="B211" s="2">
        <v>45859</v>
      </c>
      <c r="C211" s="2">
        <v>45876</v>
      </c>
      <c r="D211" t="s">
        <v>646</v>
      </c>
      <c r="E211" t="s">
        <v>651</v>
      </c>
      <c r="F211" t="s">
        <v>665</v>
      </c>
      <c r="G211" t="s">
        <v>706</v>
      </c>
      <c r="H211" t="s">
        <v>711</v>
      </c>
      <c r="I211" t="s">
        <v>724</v>
      </c>
      <c r="J211" t="s">
        <v>733</v>
      </c>
      <c r="K211" t="s">
        <v>943</v>
      </c>
      <c r="L211">
        <v>1204.95</v>
      </c>
      <c r="M211">
        <v>2065.73</v>
      </c>
      <c r="N211">
        <v>0.13600000000000001</v>
      </c>
      <c r="O211">
        <v>10</v>
      </c>
    </row>
    <row r="212" spans="1:15" x14ac:dyDescent="0.25">
      <c r="A212" t="s">
        <v>224</v>
      </c>
      <c r="B212" s="2">
        <v>45567</v>
      </c>
      <c r="C212" s="2">
        <v>45588</v>
      </c>
      <c r="D212" t="s">
        <v>646</v>
      </c>
      <c r="E212" t="s">
        <v>661</v>
      </c>
      <c r="F212" t="s">
        <v>687</v>
      </c>
      <c r="G212" t="s">
        <v>701</v>
      </c>
      <c r="H212" t="s">
        <v>709</v>
      </c>
      <c r="I212" t="s">
        <v>720</v>
      </c>
      <c r="J212" t="s">
        <v>727</v>
      </c>
      <c r="K212" t="s">
        <v>944</v>
      </c>
      <c r="L212">
        <v>1095.6099999999999</v>
      </c>
      <c r="M212">
        <v>2366.5100000000002</v>
      </c>
      <c r="N212">
        <v>0.152</v>
      </c>
      <c r="O212">
        <v>9</v>
      </c>
    </row>
    <row r="213" spans="1:15" x14ac:dyDescent="0.25">
      <c r="A213" t="s">
        <v>225</v>
      </c>
      <c r="B213" s="2">
        <v>45852</v>
      </c>
      <c r="C213" s="2">
        <v>45873</v>
      </c>
      <c r="D213" t="s">
        <v>648</v>
      </c>
      <c r="E213" t="s">
        <v>653</v>
      </c>
      <c r="F213" t="s">
        <v>681</v>
      </c>
      <c r="G213" t="s">
        <v>704</v>
      </c>
      <c r="H213" t="s">
        <v>708</v>
      </c>
      <c r="I213" t="s">
        <v>722</v>
      </c>
      <c r="J213" t="s">
        <v>732</v>
      </c>
      <c r="K213" t="s">
        <v>945</v>
      </c>
      <c r="L213">
        <v>90.3</v>
      </c>
      <c r="M213">
        <v>131.76</v>
      </c>
      <c r="N213">
        <v>0.10199999999999999</v>
      </c>
      <c r="O213">
        <v>15</v>
      </c>
    </row>
    <row r="214" spans="1:15" x14ac:dyDescent="0.25">
      <c r="A214" t="s">
        <v>226</v>
      </c>
      <c r="B214" s="2">
        <v>45544</v>
      </c>
      <c r="C214" s="2">
        <v>45566</v>
      </c>
      <c r="D214" t="s">
        <v>647</v>
      </c>
      <c r="E214" t="s">
        <v>659</v>
      </c>
      <c r="F214" t="s">
        <v>676</v>
      </c>
      <c r="G214" t="s">
        <v>704</v>
      </c>
      <c r="H214" t="s">
        <v>711</v>
      </c>
      <c r="I214" t="s">
        <v>716</v>
      </c>
      <c r="J214" t="s">
        <v>728</v>
      </c>
      <c r="K214" t="s">
        <v>946</v>
      </c>
      <c r="L214">
        <v>1166.18</v>
      </c>
      <c r="M214">
        <v>1335.02</v>
      </c>
      <c r="N214">
        <v>0.128</v>
      </c>
      <c r="O214">
        <v>6</v>
      </c>
    </row>
    <row r="215" spans="1:15" x14ac:dyDescent="0.25">
      <c r="A215" t="s">
        <v>227</v>
      </c>
      <c r="B215" s="2">
        <v>45686</v>
      </c>
      <c r="C215" s="2">
        <v>45694</v>
      </c>
      <c r="D215" t="s">
        <v>646</v>
      </c>
      <c r="E215" t="s">
        <v>650</v>
      </c>
      <c r="F215" t="s">
        <v>662</v>
      </c>
      <c r="G215" t="s">
        <v>702</v>
      </c>
      <c r="H215" t="s">
        <v>707</v>
      </c>
      <c r="I215" t="s">
        <v>717</v>
      </c>
      <c r="J215" t="s">
        <v>730</v>
      </c>
      <c r="K215" t="s">
        <v>947</v>
      </c>
      <c r="L215">
        <v>1445.27</v>
      </c>
      <c r="M215">
        <v>2691.45</v>
      </c>
      <c r="N215">
        <v>0</v>
      </c>
      <c r="O215">
        <v>9</v>
      </c>
    </row>
    <row r="216" spans="1:15" x14ac:dyDescent="0.25">
      <c r="A216" t="s">
        <v>228</v>
      </c>
      <c r="B216" s="2">
        <v>45240</v>
      </c>
      <c r="C216" s="2">
        <v>45258</v>
      </c>
      <c r="D216" t="s">
        <v>648</v>
      </c>
      <c r="E216" t="s">
        <v>655</v>
      </c>
      <c r="F216" t="s">
        <v>672</v>
      </c>
      <c r="G216" t="s">
        <v>702</v>
      </c>
      <c r="H216" t="s">
        <v>709</v>
      </c>
      <c r="I216" t="s">
        <v>716</v>
      </c>
      <c r="J216" t="s">
        <v>733</v>
      </c>
      <c r="K216" t="s">
        <v>948</v>
      </c>
      <c r="L216">
        <v>388.51</v>
      </c>
      <c r="M216">
        <v>776.46</v>
      </c>
      <c r="N216">
        <v>0.157</v>
      </c>
      <c r="O216">
        <v>12</v>
      </c>
    </row>
    <row r="217" spans="1:15" x14ac:dyDescent="0.25">
      <c r="A217" t="s">
        <v>229</v>
      </c>
      <c r="B217" s="2">
        <v>45351</v>
      </c>
      <c r="C217" s="2">
        <v>45381</v>
      </c>
      <c r="D217" t="s">
        <v>647</v>
      </c>
      <c r="E217" t="s">
        <v>652</v>
      </c>
      <c r="F217" t="s">
        <v>694</v>
      </c>
      <c r="G217" t="s">
        <v>705</v>
      </c>
      <c r="H217" t="s">
        <v>711</v>
      </c>
      <c r="I217" t="s">
        <v>714</v>
      </c>
      <c r="J217" t="s">
        <v>729</v>
      </c>
      <c r="K217" t="s">
        <v>949</v>
      </c>
      <c r="L217">
        <v>231.11</v>
      </c>
      <c r="M217">
        <v>318.17</v>
      </c>
      <c r="N217">
        <v>0.20100000000000001</v>
      </c>
      <c r="O217">
        <v>60</v>
      </c>
    </row>
    <row r="218" spans="1:15" x14ac:dyDescent="0.25">
      <c r="A218" t="s">
        <v>230</v>
      </c>
      <c r="B218" s="2">
        <v>45280</v>
      </c>
      <c r="C218" s="2">
        <v>45305</v>
      </c>
      <c r="D218" t="s">
        <v>647</v>
      </c>
      <c r="E218" t="s">
        <v>654</v>
      </c>
      <c r="F218" t="s">
        <v>691</v>
      </c>
      <c r="G218" t="s">
        <v>703</v>
      </c>
      <c r="H218" t="s">
        <v>709</v>
      </c>
      <c r="I218" t="s">
        <v>716</v>
      </c>
      <c r="J218" t="s">
        <v>732</v>
      </c>
      <c r="K218" t="s">
        <v>950</v>
      </c>
      <c r="L218">
        <v>1085.6099999999999</v>
      </c>
      <c r="M218">
        <v>1246.4100000000001</v>
      </c>
      <c r="N218">
        <v>0.113</v>
      </c>
      <c r="O218">
        <v>7</v>
      </c>
    </row>
    <row r="219" spans="1:15" x14ac:dyDescent="0.25">
      <c r="A219" t="s">
        <v>231</v>
      </c>
      <c r="B219" s="2">
        <v>44948</v>
      </c>
      <c r="C219" s="2">
        <v>44947</v>
      </c>
      <c r="D219" t="s">
        <v>649</v>
      </c>
      <c r="E219" t="s">
        <v>656</v>
      </c>
      <c r="F219" t="s">
        <v>684</v>
      </c>
      <c r="G219" t="s">
        <v>701</v>
      </c>
      <c r="H219" t="s">
        <v>711</v>
      </c>
      <c r="I219" t="s">
        <v>721</v>
      </c>
      <c r="J219" t="s">
        <v>732</v>
      </c>
      <c r="K219" t="s">
        <v>951</v>
      </c>
      <c r="L219">
        <v>150.86000000000001</v>
      </c>
      <c r="M219">
        <v>346.96</v>
      </c>
      <c r="N219">
        <v>0.19600000000000001</v>
      </c>
      <c r="O219">
        <v>8</v>
      </c>
    </row>
    <row r="220" spans="1:15" x14ac:dyDescent="0.25">
      <c r="A220" t="s">
        <v>232</v>
      </c>
      <c r="B220" s="2">
        <v>45576</v>
      </c>
      <c r="C220" s="2">
        <v>45605</v>
      </c>
      <c r="D220" t="s">
        <v>647</v>
      </c>
      <c r="E220" t="s">
        <v>659</v>
      </c>
      <c r="F220" t="s">
        <v>685</v>
      </c>
      <c r="G220" t="s">
        <v>703</v>
      </c>
      <c r="H220" t="s">
        <v>708</v>
      </c>
      <c r="I220" t="s">
        <v>721</v>
      </c>
      <c r="J220" t="s">
        <v>728</v>
      </c>
      <c r="K220" t="s">
        <v>952</v>
      </c>
      <c r="L220">
        <v>391.64</v>
      </c>
      <c r="M220">
        <v>504.76</v>
      </c>
      <c r="N220">
        <v>4.0000000000000001E-3</v>
      </c>
      <c r="O220">
        <v>13</v>
      </c>
    </row>
    <row r="221" spans="1:15" x14ac:dyDescent="0.25">
      <c r="A221" t="s">
        <v>233</v>
      </c>
      <c r="B221" s="2">
        <v>45554</v>
      </c>
      <c r="C221" s="2">
        <v>45579</v>
      </c>
      <c r="D221" t="s">
        <v>648</v>
      </c>
      <c r="E221" t="s">
        <v>655</v>
      </c>
      <c r="F221" t="s">
        <v>692</v>
      </c>
      <c r="G221" t="s">
        <v>705</v>
      </c>
      <c r="H221" t="s">
        <v>707</v>
      </c>
      <c r="I221" t="s">
        <v>723</v>
      </c>
      <c r="J221" t="s">
        <v>728</v>
      </c>
      <c r="K221" t="s">
        <v>953</v>
      </c>
      <c r="L221">
        <v>386.96</v>
      </c>
      <c r="M221">
        <v>937.46</v>
      </c>
      <c r="N221">
        <v>0.26600000000000001</v>
      </c>
      <c r="O221">
        <v>41</v>
      </c>
    </row>
    <row r="222" spans="1:15" x14ac:dyDescent="0.25">
      <c r="A222" t="s">
        <v>234</v>
      </c>
      <c r="B222" s="2">
        <v>45894</v>
      </c>
      <c r="C222" s="2">
        <v>45924</v>
      </c>
      <c r="D222" t="s">
        <v>646</v>
      </c>
      <c r="E222" t="s">
        <v>650</v>
      </c>
      <c r="F222" t="s">
        <v>664</v>
      </c>
      <c r="G222" t="s">
        <v>704</v>
      </c>
      <c r="H222" t="s">
        <v>711</v>
      </c>
      <c r="I222" t="s">
        <v>717</v>
      </c>
      <c r="J222" t="s">
        <v>727</v>
      </c>
      <c r="K222" t="s">
        <v>954</v>
      </c>
      <c r="L222">
        <v>589.14</v>
      </c>
      <c r="M222">
        <v>1300.58</v>
      </c>
      <c r="N222">
        <v>5.5E-2</v>
      </c>
      <c r="O222">
        <v>11</v>
      </c>
    </row>
    <row r="223" spans="1:15" x14ac:dyDescent="0.25">
      <c r="A223" t="s">
        <v>235</v>
      </c>
      <c r="B223" s="2">
        <v>45194</v>
      </c>
      <c r="C223" s="2">
        <v>45201</v>
      </c>
      <c r="D223" t="s">
        <v>648</v>
      </c>
      <c r="E223" t="s">
        <v>660</v>
      </c>
      <c r="F223" t="s">
        <v>700</v>
      </c>
      <c r="G223" t="s">
        <v>702</v>
      </c>
      <c r="H223" t="s">
        <v>709</v>
      </c>
      <c r="I223" t="s">
        <v>714</v>
      </c>
      <c r="J223" t="s">
        <v>733</v>
      </c>
      <c r="K223" t="s">
        <v>955</v>
      </c>
      <c r="L223">
        <v>145.58000000000001</v>
      </c>
      <c r="M223">
        <v>228.15</v>
      </c>
      <c r="N223">
        <v>0.20399999999999999</v>
      </c>
      <c r="O223">
        <v>5</v>
      </c>
    </row>
    <row r="224" spans="1:15" x14ac:dyDescent="0.25">
      <c r="A224" t="s">
        <v>236</v>
      </c>
      <c r="B224" s="2">
        <v>45164</v>
      </c>
      <c r="C224" s="2">
        <v>45179</v>
      </c>
      <c r="D224" t="s">
        <v>646</v>
      </c>
      <c r="E224" t="s">
        <v>661</v>
      </c>
      <c r="F224" t="s">
        <v>695</v>
      </c>
      <c r="G224" t="s">
        <v>703</v>
      </c>
      <c r="H224" t="s">
        <v>711</v>
      </c>
      <c r="I224" t="s">
        <v>725</v>
      </c>
      <c r="J224" t="s">
        <v>727</v>
      </c>
      <c r="K224" t="s">
        <v>956</v>
      </c>
      <c r="L224">
        <v>241.14</v>
      </c>
      <c r="M224">
        <v>496.52</v>
      </c>
      <c r="N224">
        <v>9.2999999999999999E-2</v>
      </c>
      <c r="O224">
        <v>10</v>
      </c>
    </row>
    <row r="225" spans="1:15" x14ac:dyDescent="0.25">
      <c r="A225" t="s">
        <v>237</v>
      </c>
      <c r="B225" s="2">
        <v>45854</v>
      </c>
      <c r="C225" s="2">
        <v>45855</v>
      </c>
      <c r="D225" t="s">
        <v>646</v>
      </c>
      <c r="E225" t="s">
        <v>661</v>
      </c>
      <c r="F225" t="s">
        <v>687</v>
      </c>
      <c r="G225" t="s">
        <v>705</v>
      </c>
      <c r="H225" t="s">
        <v>710</v>
      </c>
      <c r="I225" t="s">
        <v>717</v>
      </c>
      <c r="J225" t="s">
        <v>729</v>
      </c>
      <c r="K225" t="s">
        <v>957</v>
      </c>
      <c r="L225">
        <v>1198.9000000000001</v>
      </c>
      <c r="M225">
        <v>2941.2</v>
      </c>
      <c r="N225">
        <v>5.0999999999999997E-2</v>
      </c>
      <c r="O225">
        <v>24</v>
      </c>
    </row>
    <row r="226" spans="1:15" x14ac:dyDescent="0.25">
      <c r="A226" t="s">
        <v>238</v>
      </c>
      <c r="B226" s="2">
        <v>45035</v>
      </c>
      <c r="C226" s="2">
        <v>45053</v>
      </c>
      <c r="D226" t="s">
        <v>649</v>
      </c>
      <c r="E226" t="s">
        <v>658</v>
      </c>
      <c r="F226" t="s">
        <v>674</v>
      </c>
      <c r="G226" t="s">
        <v>706</v>
      </c>
      <c r="H226" t="s">
        <v>707</v>
      </c>
      <c r="I226" t="s">
        <v>725</v>
      </c>
      <c r="J226" t="s">
        <v>731</v>
      </c>
      <c r="K226" t="s">
        <v>958</v>
      </c>
      <c r="L226">
        <v>1089.1500000000001</v>
      </c>
      <c r="M226">
        <v>1088.2</v>
      </c>
      <c r="N226">
        <v>5.0999999999999997E-2</v>
      </c>
      <c r="O226">
        <v>15</v>
      </c>
    </row>
    <row r="227" spans="1:15" x14ac:dyDescent="0.25">
      <c r="A227" t="s">
        <v>239</v>
      </c>
      <c r="B227" s="2">
        <v>45279</v>
      </c>
      <c r="C227" s="2">
        <v>45280</v>
      </c>
      <c r="D227" t="s">
        <v>648</v>
      </c>
      <c r="E227" t="s">
        <v>655</v>
      </c>
      <c r="F227" t="s">
        <v>692</v>
      </c>
      <c r="G227" t="s">
        <v>704</v>
      </c>
      <c r="H227" t="s">
        <v>710</v>
      </c>
      <c r="I227" t="s">
        <v>713</v>
      </c>
      <c r="J227" t="s">
        <v>730</v>
      </c>
      <c r="K227" t="s">
        <v>959</v>
      </c>
      <c r="L227">
        <v>1080.43</v>
      </c>
      <c r="M227">
        <v>2529.15</v>
      </c>
      <c r="N227">
        <v>0.14699999999999999</v>
      </c>
      <c r="O227">
        <v>10</v>
      </c>
    </row>
    <row r="228" spans="1:15" x14ac:dyDescent="0.25">
      <c r="A228" t="s">
        <v>240</v>
      </c>
      <c r="B228" s="2">
        <v>45137</v>
      </c>
      <c r="C228" s="2">
        <v>45145</v>
      </c>
      <c r="D228" t="s">
        <v>647</v>
      </c>
      <c r="E228" t="s">
        <v>652</v>
      </c>
      <c r="F228" t="s">
        <v>694</v>
      </c>
      <c r="G228" t="s">
        <v>702</v>
      </c>
      <c r="H228" t="s">
        <v>709</v>
      </c>
      <c r="I228" t="s">
        <v>720</v>
      </c>
      <c r="J228" t="s">
        <v>729</v>
      </c>
      <c r="K228" t="s">
        <v>960</v>
      </c>
      <c r="L228">
        <v>1352.44</v>
      </c>
      <c r="M228">
        <v>2698.01</v>
      </c>
      <c r="N228">
        <v>0.13100000000000001</v>
      </c>
      <c r="O228">
        <v>13</v>
      </c>
    </row>
    <row r="229" spans="1:15" x14ac:dyDescent="0.25">
      <c r="A229" t="s">
        <v>241</v>
      </c>
      <c r="B229" s="2">
        <v>45203</v>
      </c>
      <c r="C229" s="2">
        <v>45228</v>
      </c>
      <c r="D229" t="s">
        <v>648</v>
      </c>
      <c r="E229" t="s">
        <v>660</v>
      </c>
      <c r="F229" t="s">
        <v>686</v>
      </c>
      <c r="G229" t="s">
        <v>705</v>
      </c>
      <c r="H229" t="s">
        <v>710</v>
      </c>
      <c r="I229" t="s">
        <v>719</v>
      </c>
      <c r="J229" t="s">
        <v>733</v>
      </c>
      <c r="K229" t="s">
        <v>961</v>
      </c>
      <c r="L229">
        <v>1239.8399999999999</v>
      </c>
      <c r="M229">
        <v>1482.75</v>
      </c>
      <c r="N229">
        <v>6.7000000000000004E-2</v>
      </c>
      <c r="O229">
        <v>4</v>
      </c>
    </row>
    <row r="230" spans="1:15" x14ac:dyDescent="0.25">
      <c r="A230" t="s">
        <v>242</v>
      </c>
      <c r="B230" s="2">
        <v>45879</v>
      </c>
      <c r="C230" s="2">
        <v>45899</v>
      </c>
      <c r="D230" t="s">
        <v>648</v>
      </c>
      <c r="E230" t="s">
        <v>660</v>
      </c>
      <c r="F230" t="s">
        <v>686</v>
      </c>
      <c r="G230" t="s">
        <v>701</v>
      </c>
      <c r="H230" t="s">
        <v>709</v>
      </c>
      <c r="I230" t="s">
        <v>723</v>
      </c>
      <c r="J230" t="s">
        <v>728</v>
      </c>
      <c r="K230" t="s">
        <v>962</v>
      </c>
      <c r="L230">
        <v>933.29</v>
      </c>
      <c r="M230">
        <v>1456.81</v>
      </c>
      <c r="N230">
        <v>0.123</v>
      </c>
      <c r="O230">
        <v>13</v>
      </c>
    </row>
    <row r="231" spans="1:15" x14ac:dyDescent="0.25">
      <c r="A231" t="s">
        <v>243</v>
      </c>
      <c r="B231" s="2">
        <v>44992</v>
      </c>
      <c r="C231" s="2">
        <v>45017</v>
      </c>
      <c r="D231" t="s">
        <v>646</v>
      </c>
      <c r="E231" t="s">
        <v>650</v>
      </c>
      <c r="F231" t="s">
        <v>664</v>
      </c>
      <c r="G231" t="s">
        <v>704</v>
      </c>
      <c r="H231" t="s">
        <v>709</v>
      </c>
      <c r="I231" t="s">
        <v>726</v>
      </c>
      <c r="J231" t="s">
        <v>728</v>
      </c>
      <c r="K231" t="s">
        <v>963</v>
      </c>
      <c r="L231">
        <v>1024.0999999999999</v>
      </c>
      <c r="M231">
        <v>918.19</v>
      </c>
      <c r="N231">
        <v>0.189</v>
      </c>
      <c r="O231">
        <v>10</v>
      </c>
    </row>
    <row r="232" spans="1:15" x14ac:dyDescent="0.25">
      <c r="A232" t="s">
        <v>244</v>
      </c>
      <c r="B232" s="2">
        <v>45069</v>
      </c>
      <c r="C232" s="2">
        <v>45087</v>
      </c>
      <c r="D232" t="s">
        <v>647</v>
      </c>
      <c r="E232" t="s">
        <v>659</v>
      </c>
      <c r="F232" t="s">
        <v>685</v>
      </c>
      <c r="G232" t="s">
        <v>701</v>
      </c>
      <c r="H232" t="s">
        <v>710</v>
      </c>
      <c r="I232" t="s">
        <v>718</v>
      </c>
      <c r="J232" t="s">
        <v>727</v>
      </c>
      <c r="K232" t="s">
        <v>964</v>
      </c>
      <c r="L232">
        <v>54.62</v>
      </c>
      <c r="M232">
        <v>48.94</v>
      </c>
      <c r="N232">
        <v>0.14799999999999999</v>
      </c>
      <c r="O232">
        <v>16</v>
      </c>
    </row>
    <row r="233" spans="1:15" x14ac:dyDescent="0.25">
      <c r="A233" t="s">
        <v>245</v>
      </c>
      <c r="B233" s="2">
        <v>45771</v>
      </c>
      <c r="C233" s="2">
        <v>45783</v>
      </c>
      <c r="D233" t="s">
        <v>648</v>
      </c>
      <c r="E233" t="s">
        <v>655</v>
      </c>
      <c r="F233" t="s">
        <v>672</v>
      </c>
      <c r="G233" t="s">
        <v>704</v>
      </c>
      <c r="H233" t="s">
        <v>708</v>
      </c>
      <c r="I233" t="s">
        <v>712</v>
      </c>
      <c r="J233" t="s">
        <v>730</v>
      </c>
      <c r="K233" t="s">
        <v>965</v>
      </c>
      <c r="L233">
        <v>394.13</v>
      </c>
      <c r="M233">
        <v>932.29</v>
      </c>
      <c r="N233">
        <v>0.109</v>
      </c>
      <c r="O233">
        <v>7</v>
      </c>
    </row>
    <row r="234" spans="1:15" x14ac:dyDescent="0.25">
      <c r="A234" t="s">
        <v>246</v>
      </c>
      <c r="B234" s="2">
        <v>45538</v>
      </c>
      <c r="C234" s="2">
        <v>45543</v>
      </c>
      <c r="D234" t="s">
        <v>646</v>
      </c>
      <c r="E234" t="s">
        <v>651</v>
      </c>
      <c r="F234" t="s">
        <v>665</v>
      </c>
      <c r="G234" t="s">
        <v>705</v>
      </c>
      <c r="H234" t="s">
        <v>711</v>
      </c>
      <c r="I234" t="s">
        <v>723</v>
      </c>
      <c r="J234" t="s">
        <v>728</v>
      </c>
      <c r="K234" t="s">
        <v>966</v>
      </c>
      <c r="L234">
        <v>197.63</v>
      </c>
      <c r="M234">
        <v>325.79000000000002</v>
      </c>
      <c r="N234">
        <v>0.11600000000000001</v>
      </c>
      <c r="O234">
        <v>10</v>
      </c>
    </row>
    <row r="235" spans="1:15" x14ac:dyDescent="0.25">
      <c r="A235" t="s">
        <v>247</v>
      </c>
      <c r="B235" s="2">
        <v>45540</v>
      </c>
      <c r="C235" s="2">
        <v>45560</v>
      </c>
      <c r="D235" t="s">
        <v>647</v>
      </c>
      <c r="E235" t="s">
        <v>652</v>
      </c>
      <c r="F235" t="s">
        <v>666</v>
      </c>
      <c r="G235" t="s">
        <v>706</v>
      </c>
      <c r="H235" t="s">
        <v>710</v>
      </c>
      <c r="I235" t="s">
        <v>726</v>
      </c>
      <c r="J235" t="s">
        <v>732</v>
      </c>
      <c r="K235" t="s">
        <v>967</v>
      </c>
      <c r="L235">
        <v>195.54</v>
      </c>
      <c r="M235">
        <v>405.97</v>
      </c>
      <c r="N235">
        <v>0.187</v>
      </c>
      <c r="O235">
        <v>16</v>
      </c>
    </row>
    <row r="236" spans="1:15" x14ac:dyDescent="0.25">
      <c r="A236" t="s">
        <v>248</v>
      </c>
      <c r="B236" s="2">
        <v>44999</v>
      </c>
      <c r="C236" s="2">
        <v>45015</v>
      </c>
      <c r="D236" t="s">
        <v>646</v>
      </c>
      <c r="E236" t="s">
        <v>661</v>
      </c>
      <c r="F236" t="s">
        <v>695</v>
      </c>
      <c r="G236" t="s">
        <v>704</v>
      </c>
      <c r="H236" t="s">
        <v>710</v>
      </c>
      <c r="I236" t="s">
        <v>723</v>
      </c>
      <c r="J236" t="s">
        <v>727</v>
      </c>
      <c r="K236" t="s">
        <v>968</v>
      </c>
      <c r="L236">
        <v>1309.77</v>
      </c>
      <c r="M236">
        <v>1589.07</v>
      </c>
      <c r="N236">
        <v>0.10199999999999999</v>
      </c>
      <c r="O236">
        <v>10</v>
      </c>
    </row>
    <row r="237" spans="1:15" x14ac:dyDescent="0.25">
      <c r="A237" t="s">
        <v>249</v>
      </c>
      <c r="B237" s="2">
        <v>45302</v>
      </c>
      <c r="C237" s="2">
        <v>45324</v>
      </c>
      <c r="D237" t="s">
        <v>647</v>
      </c>
      <c r="E237" t="s">
        <v>652</v>
      </c>
      <c r="F237" t="s">
        <v>694</v>
      </c>
      <c r="G237" t="s">
        <v>705</v>
      </c>
      <c r="H237" t="s">
        <v>708</v>
      </c>
      <c r="J237" t="s">
        <v>728</v>
      </c>
      <c r="K237" t="s">
        <v>969</v>
      </c>
      <c r="L237">
        <v>1237.68</v>
      </c>
      <c r="M237">
        <v>1432.8</v>
      </c>
      <c r="N237">
        <v>6.8000000000000005E-2</v>
      </c>
      <c r="O237">
        <v>13</v>
      </c>
    </row>
    <row r="238" spans="1:15" x14ac:dyDescent="0.25">
      <c r="A238" t="s">
        <v>250</v>
      </c>
      <c r="B238" s="2">
        <v>45548</v>
      </c>
      <c r="C238" s="2">
        <v>45567</v>
      </c>
      <c r="D238" t="s">
        <v>646</v>
      </c>
      <c r="E238" t="s">
        <v>650</v>
      </c>
      <c r="F238" t="s">
        <v>675</v>
      </c>
      <c r="G238" t="s">
        <v>705</v>
      </c>
      <c r="H238" t="s">
        <v>707</v>
      </c>
      <c r="I238" t="s">
        <v>724</v>
      </c>
      <c r="J238" t="s">
        <v>730</v>
      </c>
      <c r="K238" t="s">
        <v>970</v>
      </c>
      <c r="L238">
        <v>1338.99</v>
      </c>
      <c r="M238">
        <v>1765.76</v>
      </c>
      <c r="N238">
        <v>0.126</v>
      </c>
      <c r="O238">
        <v>24</v>
      </c>
    </row>
    <row r="239" spans="1:15" x14ac:dyDescent="0.25">
      <c r="A239" t="s">
        <v>251</v>
      </c>
      <c r="B239" s="2">
        <v>45855</v>
      </c>
      <c r="C239" s="2">
        <v>45861</v>
      </c>
      <c r="D239" t="s">
        <v>648</v>
      </c>
      <c r="E239" t="s">
        <v>653</v>
      </c>
      <c r="F239" t="s">
        <v>688</v>
      </c>
      <c r="G239" t="s">
        <v>704</v>
      </c>
      <c r="H239" t="s">
        <v>708</v>
      </c>
      <c r="I239" t="s">
        <v>722</v>
      </c>
      <c r="J239" t="s">
        <v>727</v>
      </c>
      <c r="K239" t="s">
        <v>971</v>
      </c>
      <c r="L239">
        <v>1364.89</v>
      </c>
      <c r="M239">
        <v>2757.54</v>
      </c>
      <c r="N239">
        <v>0.17199999999999999</v>
      </c>
      <c r="O239">
        <v>61</v>
      </c>
    </row>
    <row r="240" spans="1:15" x14ac:dyDescent="0.25">
      <c r="A240" t="s">
        <v>252</v>
      </c>
      <c r="B240" s="2">
        <v>45258</v>
      </c>
      <c r="C240" s="2">
        <v>45267</v>
      </c>
      <c r="D240" t="s">
        <v>647</v>
      </c>
      <c r="E240" t="s">
        <v>654</v>
      </c>
      <c r="F240" t="s">
        <v>680</v>
      </c>
      <c r="G240" t="s">
        <v>706</v>
      </c>
      <c r="H240" t="s">
        <v>709</v>
      </c>
      <c r="I240" t="s">
        <v>716</v>
      </c>
      <c r="J240" t="s">
        <v>730</v>
      </c>
      <c r="K240" t="s">
        <v>972</v>
      </c>
      <c r="L240">
        <v>699.33</v>
      </c>
      <c r="M240">
        <v>873.75</v>
      </c>
      <c r="N240">
        <v>0.23499999999999999</v>
      </c>
      <c r="O240">
        <v>10</v>
      </c>
    </row>
    <row r="241" spans="1:15" x14ac:dyDescent="0.25">
      <c r="A241" t="s">
        <v>253</v>
      </c>
      <c r="B241" s="2">
        <v>45381</v>
      </c>
      <c r="C241" s="2">
        <v>45406</v>
      </c>
      <c r="D241" t="s">
        <v>648</v>
      </c>
      <c r="E241" t="s">
        <v>660</v>
      </c>
      <c r="F241" t="s">
        <v>697</v>
      </c>
      <c r="G241" t="s">
        <v>703</v>
      </c>
      <c r="H241" t="s">
        <v>708</v>
      </c>
      <c r="I241" t="s">
        <v>715</v>
      </c>
      <c r="J241" t="s">
        <v>731</v>
      </c>
      <c r="K241" t="s">
        <v>973</v>
      </c>
      <c r="L241">
        <v>160.82</v>
      </c>
      <c r="M241">
        <v>258.52</v>
      </c>
      <c r="N241">
        <v>0.13</v>
      </c>
      <c r="O241">
        <v>17</v>
      </c>
    </row>
    <row r="242" spans="1:15" x14ac:dyDescent="0.25">
      <c r="A242" t="s">
        <v>254</v>
      </c>
      <c r="B242" s="2">
        <v>45188</v>
      </c>
      <c r="C242" s="2">
        <v>45207</v>
      </c>
      <c r="D242" t="s">
        <v>647</v>
      </c>
      <c r="E242" t="s">
        <v>654</v>
      </c>
      <c r="F242" t="s">
        <v>668</v>
      </c>
      <c r="G242" t="s">
        <v>702</v>
      </c>
      <c r="H242" t="s">
        <v>711</v>
      </c>
      <c r="I242" t="s">
        <v>713</v>
      </c>
      <c r="J242" t="s">
        <v>728</v>
      </c>
      <c r="K242" t="s">
        <v>974</v>
      </c>
      <c r="L242">
        <v>385.32</v>
      </c>
      <c r="M242">
        <v>606.76</v>
      </c>
      <c r="N242">
        <v>8.5999999999999993E-2</v>
      </c>
      <c r="O242">
        <v>8</v>
      </c>
    </row>
    <row r="243" spans="1:15" x14ac:dyDescent="0.25">
      <c r="A243" t="s">
        <v>255</v>
      </c>
      <c r="B243" s="2">
        <v>45793</v>
      </c>
      <c r="C243" s="2">
        <v>45804</v>
      </c>
      <c r="D243" t="s">
        <v>647</v>
      </c>
      <c r="E243" t="s">
        <v>659</v>
      </c>
      <c r="F243" t="s">
        <v>699</v>
      </c>
      <c r="G243" t="s">
        <v>706</v>
      </c>
      <c r="H243" t="s">
        <v>708</v>
      </c>
      <c r="I243" t="s">
        <v>721</v>
      </c>
      <c r="J243" t="s">
        <v>730</v>
      </c>
      <c r="K243" t="s">
        <v>975</v>
      </c>
      <c r="L243">
        <v>918.12</v>
      </c>
      <c r="M243">
        <v>1337.69</v>
      </c>
      <c r="N243">
        <v>9.5000000000000001E-2</v>
      </c>
      <c r="O243">
        <v>8</v>
      </c>
    </row>
    <row r="244" spans="1:15" x14ac:dyDescent="0.25">
      <c r="A244" t="s">
        <v>256</v>
      </c>
      <c r="B244" s="2">
        <v>45871</v>
      </c>
      <c r="C244" s="2">
        <v>45877</v>
      </c>
      <c r="D244" t="s">
        <v>647</v>
      </c>
      <c r="E244" t="s">
        <v>652</v>
      </c>
      <c r="F244" t="s">
        <v>666</v>
      </c>
      <c r="G244" t="s">
        <v>704</v>
      </c>
      <c r="H244" t="s">
        <v>711</v>
      </c>
      <c r="I244" t="s">
        <v>725</v>
      </c>
      <c r="J244" t="s">
        <v>731</v>
      </c>
      <c r="K244" t="s">
        <v>976</v>
      </c>
      <c r="L244">
        <v>1225.94</v>
      </c>
      <c r="M244">
        <v>1793.08</v>
      </c>
      <c r="N244">
        <v>0.13600000000000001</v>
      </c>
      <c r="O244">
        <v>22</v>
      </c>
    </row>
    <row r="245" spans="1:15" x14ac:dyDescent="0.25">
      <c r="A245" t="s">
        <v>257</v>
      </c>
      <c r="B245" s="2">
        <v>45630</v>
      </c>
      <c r="C245" s="2">
        <v>45638</v>
      </c>
      <c r="D245" t="s">
        <v>649</v>
      </c>
      <c r="E245" t="s">
        <v>656</v>
      </c>
      <c r="F245" t="s">
        <v>698</v>
      </c>
      <c r="G245" t="s">
        <v>706</v>
      </c>
      <c r="H245" t="s">
        <v>709</v>
      </c>
      <c r="I245" t="s">
        <v>717</v>
      </c>
      <c r="J245" t="s">
        <v>728</v>
      </c>
      <c r="K245" t="s">
        <v>977</v>
      </c>
      <c r="L245">
        <v>72.06</v>
      </c>
      <c r="M245">
        <v>122.74</v>
      </c>
      <c r="N245">
        <v>0.23799999999999999</v>
      </c>
      <c r="O245">
        <v>8</v>
      </c>
    </row>
    <row r="246" spans="1:15" x14ac:dyDescent="0.25">
      <c r="A246" t="s">
        <v>258</v>
      </c>
      <c r="B246" s="2">
        <v>45035</v>
      </c>
      <c r="C246" s="2">
        <v>45044</v>
      </c>
      <c r="D246" t="s">
        <v>648</v>
      </c>
      <c r="E246" t="s">
        <v>655</v>
      </c>
      <c r="F246" t="s">
        <v>692</v>
      </c>
      <c r="G246" t="s">
        <v>701</v>
      </c>
      <c r="H246" t="s">
        <v>710</v>
      </c>
      <c r="I246" t="s">
        <v>724</v>
      </c>
      <c r="J246" t="s">
        <v>730</v>
      </c>
      <c r="K246" t="s">
        <v>978</v>
      </c>
      <c r="L246">
        <v>1013.54</v>
      </c>
      <c r="M246">
        <v>927.93</v>
      </c>
      <c r="N246">
        <v>0.17499999999999999</v>
      </c>
      <c r="O246">
        <v>16</v>
      </c>
    </row>
    <row r="247" spans="1:15" x14ac:dyDescent="0.25">
      <c r="A247" t="s">
        <v>259</v>
      </c>
      <c r="B247" s="2">
        <v>45357</v>
      </c>
      <c r="C247" s="2">
        <v>45377</v>
      </c>
      <c r="D247" t="s">
        <v>646</v>
      </c>
      <c r="E247" t="s">
        <v>651</v>
      </c>
      <c r="F247" t="s">
        <v>663</v>
      </c>
      <c r="G247" t="s">
        <v>704</v>
      </c>
      <c r="H247" t="s">
        <v>709</v>
      </c>
      <c r="I247" t="s">
        <v>714</v>
      </c>
      <c r="J247" t="s">
        <v>730</v>
      </c>
      <c r="K247" t="s">
        <v>979</v>
      </c>
      <c r="L247">
        <v>65.64</v>
      </c>
      <c r="M247">
        <v>151.88</v>
      </c>
      <c r="N247">
        <v>0.16700000000000001</v>
      </c>
      <c r="O247">
        <v>23</v>
      </c>
    </row>
    <row r="248" spans="1:15" x14ac:dyDescent="0.25">
      <c r="A248" t="s">
        <v>260</v>
      </c>
      <c r="B248" s="2">
        <v>45338</v>
      </c>
      <c r="C248" s="2">
        <v>45355</v>
      </c>
      <c r="D248" t="s">
        <v>648</v>
      </c>
      <c r="E248" t="s">
        <v>653</v>
      </c>
      <c r="F248" t="s">
        <v>681</v>
      </c>
      <c r="G248" t="s">
        <v>703</v>
      </c>
      <c r="H248" t="s">
        <v>707</v>
      </c>
      <c r="I248" t="s">
        <v>726</v>
      </c>
      <c r="J248" t="s">
        <v>731</v>
      </c>
      <c r="K248" t="s">
        <v>980</v>
      </c>
      <c r="L248">
        <v>1350.98</v>
      </c>
      <c r="M248">
        <v>2210.4</v>
      </c>
      <c r="N248">
        <v>0.26300000000000001</v>
      </c>
      <c r="O248">
        <v>6</v>
      </c>
    </row>
    <row r="249" spans="1:15" x14ac:dyDescent="0.25">
      <c r="A249" t="s">
        <v>261</v>
      </c>
      <c r="B249" s="2">
        <v>45769</v>
      </c>
      <c r="C249" s="2">
        <v>45779</v>
      </c>
      <c r="D249" t="s">
        <v>649</v>
      </c>
      <c r="E249" t="s">
        <v>656</v>
      </c>
      <c r="F249" t="s">
        <v>671</v>
      </c>
      <c r="G249" t="s">
        <v>701</v>
      </c>
      <c r="H249" t="s">
        <v>709</v>
      </c>
      <c r="I249" t="s">
        <v>712</v>
      </c>
      <c r="J249" t="s">
        <v>732</v>
      </c>
      <c r="K249" t="s">
        <v>981</v>
      </c>
      <c r="L249">
        <v>20.149999999999999</v>
      </c>
      <c r="M249">
        <v>39.74</v>
      </c>
      <c r="N249">
        <v>0.151</v>
      </c>
      <c r="O249">
        <v>18</v>
      </c>
    </row>
    <row r="250" spans="1:15" x14ac:dyDescent="0.25">
      <c r="A250" t="s">
        <v>262</v>
      </c>
      <c r="B250" s="2">
        <v>45604</v>
      </c>
      <c r="C250" s="2">
        <v>45604</v>
      </c>
      <c r="D250" t="s">
        <v>646</v>
      </c>
      <c r="E250" t="s">
        <v>650</v>
      </c>
      <c r="F250" t="s">
        <v>678</v>
      </c>
      <c r="G250" t="s">
        <v>706</v>
      </c>
      <c r="H250" t="s">
        <v>709</v>
      </c>
      <c r="I250" t="s">
        <v>724</v>
      </c>
      <c r="J250" t="s">
        <v>729</v>
      </c>
      <c r="K250" t="s">
        <v>982</v>
      </c>
      <c r="L250">
        <v>803.28</v>
      </c>
      <c r="M250">
        <v>1009</v>
      </c>
      <c r="N250">
        <v>0.11</v>
      </c>
      <c r="O250">
        <v>4</v>
      </c>
    </row>
    <row r="251" spans="1:15" x14ac:dyDescent="0.25">
      <c r="A251" t="s">
        <v>263</v>
      </c>
      <c r="B251" s="2">
        <v>45912</v>
      </c>
      <c r="C251" s="2">
        <v>45930</v>
      </c>
      <c r="D251" t="s">
        <v>647</v>
      </c>
      <c r="E251" t="s">
        <v>652</v>
      </c>
      <c r="F251" t="s">
        <v>694</v>
      </c>
      <c r="G251" t="s">
        <v>703</v>
      </c>
      <c r="H251" t="s">
        <v>709</v>
      </c>
      <c r="I251" t="s">
        <v>721</v>
      </c>
      <c r="J251" t="s">
        <v>732</v>
      </c>
      <c r="K251" t="s">
        <v>983</v>
      </c>
      <c r="L251">
        <v>1212.99</v>
      </c>
      <c r="M251">
        <v>1653.64</v>
      </c>
      <c r="N251">
        <v>0.107</v>
      </c>
      <c r="O251">
        <v>8</v>
      </c>
    </row>
    <row r="252" spans="1:15" x14ac:dyDescent="0.25">
      <c r="A252" t="s">
        <v>264</v>
      </c>
      <c r="B252" s="2">
        <v>45537</v>
      </c>
      <c r="C252" s="2">
        <v>45543</v>
      </c>
      <c r="D252" t="s">
        <v>648</v>
      </c>
      <c r="E252" t="s">
        <v>660</v>
      </c>
      <c r="F252" t="s">
        <v>697</v>
      </c>
      <c r="G252" t="s">
        <v>704</v>
      </c>
      <c r="H252" t="s">
        <v>711</v>
      </c>
      <c r="I252" t="s">
        <v>722</v>
      </c>
      <c r="J252" t="s">
        <v>727</v>
      </c>
      <c r="K252" t="s">
        <v>984</v>
      </c>
      <c r="L252">
        <v>462.94</v>
      </c>
      <c r="M252">
        <v>1015.7</v>
      </c>
      <c r="N252">
        <v>0.14299999999999999</v>
      </c>
      <c r="O252">
        <v>14</v>
      </c>
    </row>
    <row r="253" spans="1:15" x14ac:dyDescent="0.25">
      <c r="A253" t="s">
        <v>265</v>
      </c>
      <c r="B253" s="2">
        <v>44989</v>
      </c>
      <c r="C253" s="2">
        <v>45009</v>
      </c>
      <c r="D253" t="s">
        <v>648</v>
      </c>
      <c r="E253" t="s">
        <v>653</v>
      </c>
      <c r="F253" t="s">
        <v>681</v>
      </c>
      <c r="G253" t="s">
        <v>704</v>
      </c>
      <c r="H253" t="s">
        <v>710</v>
      </c>
      <c r="I253" t="s">
        <v>714</v>
      </c>
      <c r="J253" t="s">
        <v>731</v>
      </c>
      <c r="K253" t="s">
        <v>985</v>
      </c>
      <c r="L253">
        <v>481.71</v>
      </c>
      <c r="M253">
        <v>912.45</v>
      </c>
      <c r="N253">
        <v>0.20300000000000001</v>
      </c>
      <c r="O253">
        <v>24</v>
      </c>
    </row>
    <row r="254" spans="1:15" x14ac:dyDescent="0.25">
      <c r="A254" t="s">
        <v>266</v>
      </c>
      <c r="B254" s="2">
        <v>45366</v>
      </c>
      <c r="C254" s="2">
        <v>45391</v>
      </c>
      <c r="D254" t="s">
        <v>648</v>
      </c>
      <c r="E254" t="s">
        <v>653</v>
      </c>
      <c r="F254" t="s">
        <v>688</v>
      </c>
      <c r="G254" t="s">
        <v>704</v>
      </c>
      <c r="H254" t="s">
        <v>708</v>
      </c>
      <c r="I254" t="s">
        <v>721</v>
      </c>
      <c r="J254" t="s">
        <v>732</v>
      </c>
      <c r="K254" t="s">
        <v>986</v>
      </c>
      <c r="L254">
        <v>648.64</v>
      </c>
      <c r="M254">
        <v>815.19</v>
      </c>
      <c r="N254">
        <v>0.22500000000000001</v>
      </c>
      <c r="O254">
        <v>28</v>
      </c>
    </row>
    <row r="255" spans="1:15" x14ac:dyDescent="0.25">
      <c r="A255" t="s">
        <v>267</v>
      </c>
      <c r="B255" s="2">
        <v>45502</v>
      </c>
      <c r="C255" s="2">
        <v>45504</v>
      </c>
      <c r="D255" t="s">
        <v>648</v>
      </c>
      <c r="E255" t="s">
        <v>660</v>
      </c>
      <c r="F255" t="s">
        <v>700</v>
      </c>
      <c r="G255" t="s">
        <v>702</v>
      </c>
      <c r="H255" t="s">
        <v>709</v>
      </c>
      <c r="I255" t="s">
        <v>714</v>
      </c>
      <c r="J255" t="s">
        <v>728</v>
      </c>
      <c r="K255" t="s">
        <v>987</v>
      </c>
      <c r="L255">
        <v>798.97</v>
      </c>
      <c r="M255">
        <v>1814.06</v>
      </c>
      <c r="N255">
        <v>0.122</v>
      </c>
      <c r="O255">
        <v>16</v>
      </c>
    </row>
    <row r="256" spans="1:15" x14ac:dyDescent="0.25">
      <c r="A256" t="s">
        <v>268</v>
      </c>
      <c r="B256" s="2">
        <v>45592</v>
      </c>
      <c r="C256" s="2">
        <v>45616</v>
      </c>
      <c r="D256" t="s">
        <v>647</v>
      </c>
      <c r="E256" t="s">
        <v>652</v>
      </c>
      <c r="F256" t="s">
        <v>694</v>
      </c>
      <c r="G256" t="s">
        <v>703</v>
      </c>
      <c r="H256" t="s">
        <v>708</v>
      </c>
      <c r="I256" t="s">
        <v>722</v>
      </c>
      <c r="J256" t="s">
        <v>732</v>
      </c>
      <c r="K256" t="s">
        <v>988</v>
      </c>
      <c r="L256">
        <v>317.25</v>
      </c>
      <c r="M256">
        <v>758.92</v>
      </c>
      <c r="N256">
        <v>5.2999999999999999E-2</v>
      </c>
      <c r="O256">
        <v>9</v>
      </c>
    </row>
    <row r="257" spans="1:15" x14ac:dyDescent="0.25">
      <c r="A257" t="s">
        <v>269</v>
      </c>
      <c r="B257" s="2">
        <v>45411</v>
      </c>
      <c r="C257" s="2">
        <v>45431</v>
      </c>
      <c r="D257" t="s">
        <v>649</v>
      </c>
      <c r="E257" t="s">
        <v>656</v>
      </c>
      <c r="F257" t="s">
        <v>698</v>
      </c>
      <c r="G257" t="s">
        <v>706</v>
      </c>
      <c r="H257" t="s">
        <v>709</v>
      </c>
      <c r="I257" t="s">
        <v>712</v>
      </c>
      <c r="J257" t="s">
        <v>731</v>
      </c>
      <c r="K257" t="s">
        <v>989</v>
      </c>
      <c r="L257">
        <v>668.97</v>
      </c>
      <c r="M257">
        <v>1667.44</v>
      </c>
      <c r="N257">
        <v>3.4000000000000002E-2</v>
      </c>
      <c r="O257">
        <v>15</v>
      </c>
    </row>
    <row r="258" spans="1:15" x14ac:dyDescent="0.25">
      <c r="A258" t="s">
        <v>270</v>
      </c>
      <c r="B258" s="2">
        <v>45204</v>
      </c>
      <c r="C258" s="2">
        <v>45205</v>
      </c>
      <c r="D258" t="s">
        <v>647</v>
      </c>
      <c r="E258" t="s">
        <v>654</v>
      </c>
      <c r="F258" t="s">
        <v>668</v>
      </c>
      <c r="G258" t="s">
        <v>703</v>
      </c>
      <c r="H258" t="s">
        <v>708</v>
      </c>
      <c r="I258" t="s">
        <v>714</v>
      </c>
      <c r="J258" t="s">
        <v>727</v>
      </c>
      <c r="K258" t="s">
        <v>990</v>
      </c>
      <c r="L258">
        <v>1470.26</v>
      </c>
      <c r="M258">
        <v>2562.5500000000002</v>
      </c>
      <c r="N258">
        <v>0.17299999999999999</v>
      </c>
      <c r="O258">
        <v>9</v>
      </c>
    </row>
    <row r="259" spans="1:15" x14ac:dyDescent="0.25">
      <c r="A259" t="s">
        <v>271</v>
      </c>
      <c r="B259" s="2">
        <v>45035</v>
      </c>
      <c r="C259" s="2">
        <v>45053</v>
      </c>
      <c r="D259" t="s">
        <v>649</v>
      </c>
      <c r="E259" t="s">
        <v>658</v>
      </c>
      <c r="F259" t="s">
        <v>683</v>
      </c>
      <c r="G259" t="s">
        <v>703</v>
      </c>
      <c r="H259" t="s">
        <v>711</v>
      </c>
      <c r="I259" t="s">
        <v>722</v>
      </c>
      <c r="J259" t="s">
        <v>729</v>
      </c>
      <c r="K259" t="s">
        <v>991</v>
      </c>
      <c r="L259">
        <v>516.96</v>
      </c>
      <c r="M259">
        <v>745.38</v>
      </c>
      <c r="N259">
        <v>0.19700000000000001</v>
      </c>
      <c r="O259">
        <v>4</v>
      </c>
    </row>
    <row r="260" spans="1:15" x14ac:dyDescent="0.25">
      <c r="A260" t="s">
        <v>272</v>
      </c>
      <c r="B260" s="2">
        <v>45835</v>
      </c>
      <c r="C260" s="2">
        <v>45843</v>
      </c>
      <c r="D260" t="s">
        <v>649</v>
      </c>
      <c r="E260" t="s">
        <v>656</v>
      </c>
      <c r="F260" t="s">
        <v>684</v>
      </c>
      <c r="G260" t="s">
        <v>705</v>
      </c>
      <c r="H260" t="s">
        <v>711</v>
      </c>
      <c r="I260" t="s">
        <v>715</v>
      </c>
      <c r="J260" t="s">
        <v>732</v>
      </c>
      <c r="K260" t="s">
        <v>992</v>
      </c>
      <c r="L260">
        <v>314.93</v>
      </c>
      <c r="M260">
        <v>687.95</v>
      </c>
      <c r="N260">
        <v>0.20499999999999999</v>
      </c>
      <c r="O260">
        <v>8</v>
      </c>
    </row>
    <row r="261" spans="1:15" x14ac:dyDescent="0.25">
      <c r="A261" t="s">
        <v>273</v>
      </c>
      <c r="B261" s="2">
        <v>45210</v>
      </c>
      <c r="C261" s="2">
        <v>45212</v>
      </c>
      <c r="D261" t="s">
        <v>648</v>
      </c>
      <c r="E261" t="s">
        <v>655</v>
      </c>
      <c r="F261" t="s">
        <v>672</v>
      </c>
      <c r="G261" t="s">
        <v>704</v>
      </c>
      <c r="H261" t="s">
        <v>710</v>
      </c>
      <c r="J261" t="s">
        <v>733</v>
      </c>
      <c r="K261" t="s">
        <v>993</v>
      </c>
      <c r="L261">
        <v>715.94</v>
      </c>
      <c r="M261">
        <v>550.07000000000005</v>
      </c>
      <c r="N261">
        <v>0.14000000000000001</v>
      </c>
      <c r="O261">
        <v>16</v>
      </c>
    </row>
    <row r="262" spans="1:15" x14ac:dyDescent="0.25">
      <c r="A262" t="s">
        <v>274</v>
      </c>
      <c r="B262" s="2">
        <v>45066</v>
      </c>
      <c r="C262" s="2">
        <v>45084</v>
      </c>
      <c r="D262" t="s">
        <v>646</v>
      </c>
      <c r="E262" t="s">
        <v>651</v>
      </c>
      <c r="F262" t="s">
        <v>663</v>
      </c>
      <c r="G262" t="s">
        <v>706</v>
      </c>
      <c r="H262" t="s">
        <v>710</v>
      </c>
      <c r="I262" t="s">
        <v>718</v>
      </c>
      <c r="J262" t="s">
        <v>727</v>
      </c>
      <c r="K262" t="s">
        <v>994</v>
      </c>
      <c r="L262">
        <v>1120.06</v>
      </c>
      <c r="M262">
        <v>2068.21</v>
      </c>
      <c r="N262">
        <v>7.8E-2</v>
      </c>
      <c r="O262">
        <v>12</v>
      </c>
    </row>
    <row r="263" spans="1:15" x14ac:dyDescent="0.25">
      <c r="A263" t="s">
        <v>275</v>
      </c>
      <c r="B263" s="2">
        <v>45073</v>
      </c>
      <c r="C263" s="2">
        <v>45096</v>
      </c>
      <c r="D263" t="s">
        <v>649</v>
      </c>
      <c r="E263" t="s">
        <v>656</v>
      </c>
      <c r="F263" t="s">
        <v>671</v>
      </c>
      <c r="G263" t="s">
        <v>702</v>
      </c>
      <c r="H263" t="s">
        <v>707</v>
      </c>
      <c r="I263" t="s">
        <v>719</v>
      </c>
      <c r="J263" t="s">
        <v>733</v>
      </c>
      <c r="K263" t="s">
        <v>995</v>
      </c>
      <c r="L263">
        <v>1471.58</v>
      </c>
      <c r="M263">
        <v>2576.65</v>
      </c>
      <c r="N263">
        <v>4.0000000000000001E-3</v>
      </c>
      <c r="O263">
        <v>7</v>
      </c>
    </row>
    <row r="264" spans="1:15" x14ac:dyDescent="0.25">
      <c r="A264" t="s">
        <v>276</v>
      </c>
      <c r="B264" s="2">
        <v>45142</v>
      </c>
      <c r="C264" s="2">
        <v>45162</v>
      </c>
      <c r="D264" t="s">
        <v>648</v>
      </c>
      <c r="E264" t="s">
        <v>655</v>
      </c>
      <c r="F264" t="s">
        <v>672</v>
      </c>
      <c r="G264" t="s">
        <v>703</v>
      </c>
      <c r="H264" t="s">
        <v>711</v>
      </c>
      <c r="J264" t="s">
        <v>729</v>
      </c>
      <c r="K264" t="s">
        <v>996</v>
      </c>
      <c r="L264">
        <v>582.88</v>
      </c>
      <c r="M264">
        <v>1044.1400000000001</v>
      </c>
      <c r="N264">
        <v>0.216</v>
      </c>
      <c r="O264">
        <v>10</v>
      </c>
    </row>
    <row r="265" spans="1:15" x14ac:dyDescent="0.25">
      <c r="A265" t="s">
        <v>277</v>
      </c>
      <c r="B265" s="2">
        <v>45829</v>
      </c>
      <c r="C265" s="2">
        <v>45835</v>
      </c>
      <c r="D265" t="s">
        <v>646</v>
      </c>
      <c r="E265" t="s">
        <v>661</v>
      </c>
      <c r="F265" t="s">
        <v>687</v>
      </c>
      <c r="G265" t="s">
        <v>706</v>
      </c>
      <c r="H265" t="s">
        <v>710</v>
      </c>
      <c r="I265" t="s">
        <v>725</v>
      </c>
      <c r="J265" t="s">
        <v>730</v>
      </c>
      <c r="K265" t="s">
        <v>997</v>
      </c>
      <c r="L265">
        <v>93.91</v>
      </c>
      <c r="M265">
        <v>99.04</v>
      </c>
      <c r="N265">
        <v>5.7000000000000002E-2</v>
      </c>
      <c r="O265">
        <v>6</v>
      </c>
    </row>
    <row r="266" spans="1:15" x14ac:dyDescent="0.25">
      <c r="A266" t="s">
        <v>278</v>
      </c>
      <c r="B266" s="2">
        <v>45763</v>
      </c>
      <c r="C266" s="2">
        <v>45773</v>
      </c>
      <c r="D266" t="s">
        <v>646</v>
      </c>
      <c r="E266" t="s">
        <v>651</v>
      </c>
      <c r="F266" t="s">
        <v>663</v>
      </c>
      <c r="G266" t="s">
        <v>706</v>
      </c>
      <c r="H266" t="s">
        <v>709</v>
      </c>
      <c r="I266" t="s">
        <v>721</v>
      </c>
      <c r="J266" t="s">
        <v>731</v>
      </c>
      <c r="K266" t="s">
        <v>998</v>
      </c>
      <c r="L266">
        <v>1457.44</v>
      </c>
      <c r="M266">
        <v>1996.81</v>
      </c>
      <c r="N266">
        <v>0.126</v>
      </c>
      <c r="O266">
        <v>23</v>
      </c>
    </row>
    <row r="267" spans="1:15" x14ac:dyDescent="0.25">
      <c r="A267" t="s">
        <v>279</v>
      </c>
      <c r="B267" s="2">
        <v>45902</v>
      </c>
      <c r="C267" s="2">
        <v>45911</v>
      </c>
      <c r="D267" t="s">
        <v>648</v>
      </c>
      <c r="E267" t="s">
        <v>653</v>
      </c>
      <c r="F267" t="s">
        <v>667</v>
      </c>
      <c r="G267" t="s">
        <v>701</v>
      </c>
      <c r="H267" t="s">
        <v>710</v>
      </c>
      <c r="I267" t="s">
        <v>724</v>
      </c>
      <c r="J267" t="s">
        <v>728</v>
      </c>
      <c r="K267" t="s">
        <v>999</v>
      </c>
      <c r="L267">
        <v>1207.6300000000001</v>
      </c>
      <c r="M267">
        <v>921.68</v>
      </c>
      <c r="N267">
        <v>0.19600000000000001</v>
      </c>
      <c r="O267">
        <v>17</v>
      </c>
    </row>
    <row r="268" spans="1:15" x14ac:dyDescent="0.25">
      <c r="A268" t="s">
        <v>280</v>
      </c>
      <c r="B268" s="2">
        <v>45573</v>
      </c>
      <c r="C268" s="2">
        <v>45573</v>
      </c>
      <c r="D268" t="s">
        <v>649</v>
      </c>
      <c r="E268" t="s">
        <v>658</v>
      </c>
      <c r="F268" t="s">
        <v>683</v>
      </c>
      <c r="G268" t="s">
        <v>701</v>
      </c>
      <c r="H268" t="s">
        <v>708</v>
      </c>
      <c r="I268" t="s">
        <v>718</v>
      </c>
      <c r="J268" t="s">
        <v>732</v>
      </c>
      <c r="K268" t="s">
        <v>1000</v>
      </c>
      <c r="L268">
        <v>1108.1099999999999</v>
      </c>
      <c r="M268">
        <v>2503.79</v>
      </c>
      <c r="N268">
        <v>0.184</v>
      </c>
      <c r="O268">
        <v>19</v>
      </c>
    </row>
    <row r="269" spans="1:15" x14ac:dyDescent="0.25">
      <c r="A269" t="s">
        <v>281</v>
      </c>
      <c r="B269" s="2">
        <v>45053</v>
      </c>
      <c r="C269" s="2">
        <v>45051</v>
      </c>
      <c r="D269" t="s">
        <v>646</v>
      </c>
      <c r="E269" t="s">
        <v>651</v>
      </c>
      <c r="F269" t="s">
        <v>663</v>
      </c>
      <c r="G269" t="s">
        <v>703</v>
      </c>
      <c r="H269" t="s">
        <v>709</v>
      </c>
      <c r="I269" t="s">
        <v>720</v>
      </c>
      <c r="J269" t="s">
        <v>727</v>
      </c>
      <c r="K269" t="s">
        <v>1001</v>
      </c>
      <c r="L269">
        <v>1269.6500000000001</v>
      </c>
      <c r="M269">
        <v>2462.77</v>
      </c>
      <c r="N269">
        <v>0.107</v>
      </c>
      <c r="O269">
        <v>8</v>
      </c>
    </row>
    <row r="270" spans="1:15" x14ac:dyDescent="0.25">
      <c r="A270" t="s">
        <v>282</v>
      </c>
      <c r="B270" s="2">
        <v>45284</v>
      </c>
      <c r="C270" s="2">
        <v>45292</v>
      </c>
      <c r="D270" t="s">
        <v>648</v>
      </c>
      <c r="E270" t="s">
        <v>655</v>
      </c>
      <c r="F270" t="s">
        <v>670</v>
      </c>
      <c r="G270" t="s">
        <v>702</v>
      </c>
      <c r="H270" t="s">
        <v>711</v>
      </c>
      <c r="I270" t="s">
        <v>712</v>
      </c>
      <c r="J270" t="s">
        <v>730</v>
      </c>
      <c r="K270" t="s">
        <v>1002</v>
      </c>
      <c r="L270">
        <v>526.49</v>
      </c>
      <c r="M270">
        <v>496.2</v>
      </c>
      <c r="N270">
        <v>0</v>
      </c>
      <c r="O270">
        <v>14</v>
      </c>
    </row>
    <row r="271" spans="1:15" x14ac:dyDescent="0.25">
      <c r="A271" t="s">
        <v>283</v>
      </c>
      <c r="B271" s="2">
        <v>45301</v>
      </c>
      <c r="C271" s="2">
        <v>45314</v>
      </c>
      <c r="D271" t="s">
        <v>649</v>
      </c>
      <c r="E271" t="s">
        <v>657</v>
      </c>
      <c r="F271" t="s">
        <v>673</v>
      </c>
      <c r="G271" t="s">
        <v>701</v>
      </c>
      <c r="H271" t="s">
        <v>711</v>
      </c>
      <c r="I271" t="s">
        <v>720</v>
      </c>
      <c r="J271" t="s">
        <v>728</v>
      </c>
      <c r="K271" t="s">
        <v>1003</v>
      </c>
      <c r="L271">
        <v>720</v>
      </c>
      <c r="M271">
        <v>907.59</v>
      </c>
      <c r="N271">
        <v>0.154</v>
      </c>
      <c r="O271">
        <v>10</v>
      </c>
    </row>
    <row r="272" spans="1:15" x14ac:dyDescent="0.25">
      <c r="A272" t="s">
        <v>284</v>
      </c>
      <c r="B272" s="2">
        <v>45141</v>
      </c>
      <c r="C272" s="2">
        <v>45152</v>
      </c>
      <c r="D272" t="s">
        <v>648</v>
      </c>
      <c r="E272" t="s">
        <v>655</v>
      </c>
      <c r="F272" t="s">
        <v>672</v>
      </c>
      <c r="G272" t="s">
        <v>701</v>
      </c>
      <c r="H272" t="s">
        <v>711</v>
      </c>
      <c r="I272" t="s">
        <v>713</v>
      </c>
      <c r="J272" t="s">
        <v>733</v>
      </c>
      <c r="K272" t="s">
        <v>1004</v>
      </c>
      <c r="L272">
        <v>232.73</v>
      </c>
      <c r="M272">
        <v>334.19</v>
      </c>
      <c r="N272">
        <v>0.13400000000000001</v>
      </c>
      <c r="O272">
        <v>25</v>
      </c>
    </row>
    <row r="273" spans="1:15" x14ac:dyDescent="0.25">
      <c r="A273" t="s">
        <v>285</v>
      </c>
      <c r="B273" s="2">
        <v>45707</v>
      </c>
      <c r="C273" s="2">
        <v>45725</v>
      </c>
      <c r="D273" t="s">
        <v>647</v>
      </c>
      <c r="E273" t="s">
        <v>654</v>
      </c>
      <c r="F273" t="s">
        <v>680</v>
      </c>
      <c r="G273" t="s">
        <v>705</v>
      </c>
      <c r="H273" t="s">
        <v>711</v>
      </c>
      <c r="I273" t="s">
        <v>719</v>
      </c>
      <c r="J273" t="s">
        <v>732</v>
      </c>
      <c r="K273" t="s">
        <v>1005</v>
      </c>
      <c r="L273">
        <v>325.87</v>
      </c>
      <c r="M273">
        <v>538.79</v>
      </c>
      <c r="N273">
        <v>0.17399999999999999</v>
      </c>
      <c r="O273">
        <v>16</v>
      </c>
    </row>
    <row r="274" spans="1:15" x14ac:dyDescent="0.25">
      <c r="A274" t="s">
        <v>286</v>
      </c>
      <c r="B274" s="2">
        <v>45382</v>
      </c>
      <c r="C274" s="2">
        <v>45399</v>
      </c>
      <c r="D274" t="s">
        <v>649</v>
      </c>
      <c r="E274" t="s">
        <v>656</v>
      </c>
      <c r="F274" t="s">
        <v>698</v>
      </c>
      <c r="G274" t="s">
        <v>702</v>
      </c>
      <c r="H274" t="s">
        <v>711</v>
      </c>
      <c r="I274" t="s">
        <v>722</v>
      </c>
      <c r="J274" t="s">
        <v>732</v>
      </c>
      <c r="K274" t="s">
        <v>1006</v>
      </c>
      <c r="L274">
        <v>1025.51</v>
      </c>
      <c r="M274">
        <v>1436.54</v>
      </c>
      <c r="N274">
        <v>0.13900000000000001</v>
      </c>
      <c r="O274">
        <v>28</v>
      </c>
    </row>
    <row r="275" spans="1:15" x14ac:dyDescent="0.25">
      <c r="A275" t="s">
        <v>287</v>
      </c>
      <c r="B275" s="2">
        <v>45131</v>
      </c>
      <c r="C275" s="2">
        <v>45151</v>
      </c>
      <c r="D275" t="s">
        <v>648</v>
      </c>
      <c r="E275" t="s">
        <v>653</v>
      </c>
      <c r="F275" t="s">
        <v>681</v>
      </c>
      <c r="G275" t="s">
        <v>702</v>
      </c>
      <c r="H275" t="s">
        <v>711</v>
      </c>
      <c r="I275" t="s">
        <v>712</v>
      </c>
      <c r="J275" t="s">
        <v>732</v>
      </c>
      <c r="K275" t="s">
        <v>1007</v>
      </c>
      <c r="L275">
        <v>1082.3800000000001</v>
      </c>
      <c r="M275">
        <v>1766.55</v>
      </c>
      <c r="N275">
        <v>0.16400000000000001</v>
      </c>
      <c r="O275">
        <v>20</v>
      </c>
    </row>
    <row r="276" spans="1:15" x14ac:dyDescent="0.25">
      <c r="A276" t="s">
        <v>288</v>
      </c>
      <c r="B276" s="2">
        <v>45367</v>
      </c>
      <c r="C276" s="2">
        <v>45395</v>
      </c>
      <c r="D276" t="s">
        <v>649</v>
      </c>
      <c r="E276" t="s">
        <v>657</v>
      </c>
      <c r="F276" t="s">
        <v>690</v>
      </c>
      <c r="G276" t="s">
        <v>705</v>
      </c>
      <c r="H276" t="s">
        <v>708</v>
      </c>
      <c r="I276" t="s">
        <v>723</v>
      </c>
      <c r="J276" t="s">
        <v>728</v>
      </c>
      <c r="K276" t="s">
        <v>1008</v>
      </c>
      <c r="L276">
        <v>287.61</v>
      </c>
      <c r="M276">
        <v>628.54</v>
      </c>
      <c r="N276">
        <v>0.13500000000000001</v>
      </c>
      <c r="O276">
        <v>21</v>
      </c>
    </row>
    <row r="277" spans="1:15" x14ac:dyDescent="0.25">
      <c r="A277" t="s">
        <v>289</v>
      </c>
      <c r="B277" s="2">
        <v>45316</v>
      </c>
      <c r="C277" s="2">
        <v>45318</v>
      </c>
      <c r="D277" t="s">
        <v>648</v>
      </c>
      <c r="E277" t="s">
        <v>655</v>
      </c>
      <c r="F277" t="s">
        <v>670</v>
      </c>
      <c r="G277" t="s">
        <v>703</v>
      </c>
      <c r="H277" t="s">
        <v>709</v>
      </c>
      <c r="I277" t="s">
        <v>725</v>
      </c>
      <c r="J277" t="s">
        <v>731</v>
      </c>
      <c r="K277" t="s">
        <v>1009</v>
      </c>
      <c r="L277">
        <v>1410.97</v>
      </c>
      <c r="M277">
        <v>1650.75</v>
      </c>
      <c r="N277">
        <v>0.13500000000000001</v>
      </c>
      <c r="O277">
        <v>6</v>
      </c>
    </row>
    <row r="278" spans="1:15" x14ac:dyDescent="0.25">
      <c r="A278" t="s">
        <v>290</v>
      </c>
      <c r="B278" s="2">
        <v>45378</v>
      </c>
      <c r="C278" s="2">
        <v>45393</v>
      </c>
      <c r="D278" t="s">
        <v>648</v>
      </c>
      <c r="E278" t="s">
        <v>660</v>
      </c>
      <c r="F278" t="s">
        <v>686</v>
      </c>
      <c r="G278" t="s">
        <v>705</v>
      </c>
      <c r="H278" t="s">
        <v>711</v>
      </c>
      <c r="I278" t="s">
        <v>719</v>
      </c>
      <c r="J278" t="s">
        <v>729</v>
      </c>
      <c r="K278" t="s">
        <v>1010</v>
      </c>
      <c r="L278">
        <v>1338.35</v>
      </c>
      <c r="M278">
        <v>2247.14</v>
      </c>
      <c r="N278">
        <v>0.115</v>
      </c>
      <c r="O278">
        <v>40</v>
      </c>
    </row>
    <row r="279" spans="1:15" x14ac:dyDescent="0.25">
      <c r="A279" t="s">
        <v>291</v>
      </c>
      <c r="B279" s="2">
        <v>45832</v>
      </c>
      <c r="C279" s="2">
        <v>45852</v>
      </c>
      <c r="D279" t="s">
        <v>649</v>
      </c>
      <c r="E279" t="s">
        <v>656</v>
      </c>
      <c r="F279" t="s">
        <v>671</v>
      </c>
      <c r="G279" t="s">
        <v>701</v>
      </c>
      <c r="H279" t="s">
        <v>711</v>
      </c>
      <c r="I279" t="s">
        <v>719</v>
      </c>
      <c r="J279" t="s">
        <v>733</v>
      </c>
      <c r="K279" t="s">
        <v>1011</v>
      </c>
      <c r="L279">
        <v>385.08</v>
      </c>
      <c r="M279">
        <v>893.19</v>
      </c>
      <c r="N279">
        <v>0.151</v>
      </c>
      <c r="O279">
        <v>8</v>
      </c>
    </row>
    <row r="280" spans="1:15" x14ac:dyDescent="0.25">
      <c r="A280" t="s">
        <v>292</v>
      </c>
      <c r="B280" s="2">
        <v>45459</v>
      </c>
      <c r="C280" s="2">
        <v>45476</v>
      </c>
      <c r="D280" t="s">
        <v>646</v>
      </c>
      <c r="E280" t="s">
        <v>661</v>
      </c>
      <c r="F280" t="s">
        <v>682</v>
      </c>
      <c r="G280" t="s">
        <v>706</v>
      </c>
      <c r="H280" t="s">
        <v>709</v>
      </c>
      <c r="I280" t="s">
        <v>721</v>
      </c>
      <c r="J280" t="s">
        <v>730</v>
      </c>
      <c r="K280" t="s">
        <v>1012</v>
      </c>
      <c r="L280">
        <v>1173.83</v>
      </c>
      <c r="M280">
        <v>2328.9</v>
      </c>
      <c r="N280">
        <v>0.12</v>
      </c>
      <c r="O280">
        <v>17</v>
      </c>
    </row>
    <row r="281" spans="1:15" x14ac:dyDescent="0.25">
      <c r="A281" t="s">
        <v>293</v>
      </c>
      <c r="B281" s="2">
        <v>45229</v>
      </c>
      <c r="C281" s="2">
        <v>45244</v>
      </c>
      <c r="D281" t="s">
        <v>647</v>
      </c>
      <c r="E281" t="s">
        <v>654</v>
      </c>
      <c r="F281" t="s">
        <v>668</v>
      </c>
      <c r="G281" t="s">
        <v>701</v>
      </c>
      <c r="H281" t="s">
        <v>708</v>
      </c>
      <c r="I281" t="s">
        <v>721</v>
      </c>
      <c r="J281" t="s">
        <v>731</v>
      </c>
      <c r="K281" t="s">
        <v>1013</v>
      </c>
      <c r="L281">
        <v>953.46</v>
      </c>
      <c r="M281">
        <v>2066.75</v>
      </c>
      <c r="N281">
        <v>0.13800000000000001</v>
      </c>
      <c r="O281">
        <v>5</v>
      </c>
    </row>
    <row r="282" spans="1:15" x14ac:dyDescent="0.25">
      <c r="A282" t="s">
        <v>294</v>
      </c>
      <c r="B282" s="2">
        <v>45092</v>
      </c>
      <c r="C282" s="2">
        <v>45100</v>
      </c>
      <c r="D282" t="s">
        <v>648</v>
      </c>
      <c r="E282" t="s">
        <v>660</v>
      </c>
      <c r="F282" t="s">
        <v>686</v>
      </c>
      <c r="G282" t="s">
        <v>704</v>
      </c>
      <c r="H282" t="s">
        <v>710</v>
      </c>
      <c r="I282" t="s">
        <v>719</v>
      </c>
      <c r="J282" t="s">
        <v>732</v>
      </c>
      <c r="K282" t="s">
        <v>1014</v>
      </c>
      <c r="L282">
        <v>1097.0899999999999</v>
      </c>
      <c r="M282">
        <v>2182.31</v>
      </c>
      <c r="N282">
        <v>0.112</v>
      </c>
      <c r="O282">
        <v>9</v>
      </c>
    </row>
    <row r="283" spans="1:15" x14ac:dyDescent="0.25">
      <c r="A283" t="s">
        <v>295</v>
      </c>
      <c r="B283" s="2">
        <v>45730</v>
      </c>
      <c r="C283" s="2">
        <v>45745</v>
      </c>
      <c r="D283" t="s">
        <v>647</v>
      </c>
      <c r="E283" t="s">
        <v>652</v>
      </c>
      <c r="F283" t="s">
        <v>689</v>
      </c>
      <c r="G283" t="s">
        <v>703</v>
      </c>
      <c r="H283" t="s">
        <v>711</v>
      </c>
      <c r="I283" t="s">
        <v>722</v>
      </c>
      <c r="J283" t="s">
        <v>729</v>
      </c>
      <c r="K283" t="s">
        <v>1015</v>
      </c>
      <c r="L283">
        <v>1106.96</v>
      </c>
      <c r="M283">
        <v>2726.62</v>
      </c>
      <c r="N283">
        <v>0.317</v>
      </c>
      <c r="O283">
        <v>7</v>
      </c>
    </row>
    <row r="284" spans="1:15" x14ac:dyDescent="0.25">
      <c r="A284" t="s">
        <v>296</v>
      </c>
      <c r="B284" s="2">
        <v>45153</v>
      </c>
      <c r="C284" s="2">
        <v>45163</v>
      </c>
      <c r="D284" t="s">
        <v>646</v>
      </c>
      <c r="E284" t="s">
        <v>650</v>
      </c>
      <c r="F284" t="s">
        <v>664</v>
      </c>
      <c r="G284" t="s">
        <v>705</v>
      </c>
      <c r="H284" t="s">
        <v>707</v>
      </c>
      <c r="I284" t="s">
        <v>725</v>
      </c>
      <c r="J284" t="s">
        <v>730</v>
      </c>
      <c r="K284" t="s">
        <v>1016</v>
      </c>
      <c r="L284">
        <v>91.85</v>
      </c>
      <c r="M284">
        <v>111.29</v>
      </c>
      <c r="N284">
        <v>0</v>
      </c>
      <c r="O284">
        <v>6</v>
      </c>
    </row>
    <row r="285" spans="1:15" x14ac:dyDescent="0.25">
      <c r="A285" t="s">
        <v>297</v>
      </c>
      <c r="B285" s="2">
        <v>45794</v>
      </c>
      <c r="C285" s="2">
        <v>45805</v>
      </c>
      <c r="D285" t="s">
        <v>647</v>
      </c>
      <c r="E285" t="s">
        <v>654</v>
      </c>
      <c r="F285" t="s">
        <v>668</v>
      </c>
      <c r="G285" t="s">
        <v>701</v>
      </c>
      <c r="H285" t="s">
        <v>710</v>
      </c>
      <c r="I285" t="s">
        <v>717</v>
      </c>
      <c r="J285" t="s">
        <v>731</v>
      </c>
      <c r="K285" t="s">
        <v>1017</v>
      </c>
      <c r="L285">
        <v>623.4</v>
      </c>
      <c r="M285">
        <v>1100.0899999999999</v>
      </c>
      <c r="N285">
        <v>0.114</v>
      </c>
      <c r="O285">
        <v>12</v>
      </c>
    </row>
    <row r="286" spans="1:15" x14ac:dyDescent="0.25">
      <c r="A286" t="s">
        <v>298</v>
      </c>
      <c r="B286" s="2">
        <v>45304</v>
      </c>
      <c r="C286" s="2">
        <v>45327</v>
      </c>
      <c r="D286" t="s">
        <v>649</v>
      </c>
      <c r="E286" t="s">
        <v>656</v>
      </c>
      <c r="F286" t="s">
        <v>698</v>
      </c>
      <c r="G286" t="s">
        <v>702</v>
      </c>
      <c r="H286" t="s">
        <v>711</v>
      </c>
      <c r="I286" t="s">
        <v>717</v>
      </c>
      <c r="J286" t="s">
        <v>731</v>
      </c>
      <c r="K286" t="s">
        <v>1018</v>
      </c>
      <c r="L286">
        <v>1017.93</v>
      </c>
      <c r="M286">
        <v>1529.14</v>
      </c>
      <c r="N286">
        <v>0.155</v>
      </c>
      <c r="O286">
        <v>12</v>
      </c>
    </row>
    <row r="287" spans="1:15" x14ac:dyDescent="0.25">
      <c r="A287" t="s">
        <v>299</v>
      </c>
      <c r="B287" s="2">
        <v>45101</v>
      </c>
      <c r="C287" s="2">
        <v>45128</v>
      </c>
      <c r="D287" t="s">
        <v>647</v>
      </c>
      <c r="E287" t="s">
        <v>652</v>
      </c>
      <c r="F287" t="s">
        <v>694</v>
      </c>
      <c r="G287" t="s">
        <v>704</v>
      </c>
      <c r="H287" t="s">
        <v>709</v>
      </c>
      <c r="I287" t="s">
        <v>713</v>
      </c>
      <c r="J287" t="s">
        <v>730</v>
      </c>
      <c r="K287" t="s">
        <v>1019</v>
      </c>
      <c r="L287">
        <v>554.76</v>
      </c>
      <c r="M287">
        <v>728.69</v>
      </c>
      <c r="N287">
        <v>0.22</v>
      </c>
      <c r="O287">
        <v>7</v>
      </c>
    </row>
    <row r="288" spans="1:15" x14ac:dyDescent="0.25">
      <c r="A288" t="s">
        <v>300</v>
      </c>
      <c r="B288" s="2">
        <v>45751</v>
      </c>
      <c r="C288" s="2">
        <v>45760</v>
      </c>
      <c r="D288" t="s">
        <v>649</v>
      </c>
      <c r="E288" t="s">
        <v>656</v>
      </c>
      <c r="F288" t="s">
        <v>684</v>
      </c>
      <c r="G288" t="s">
        <v>704</v>
      </c>
      <c r="H288" t="s">
        <v>709</v>
      </c>
      <c r="I288" t="s">
        <v>721</v>
      </c>
      <c r="J288" t="s">
        <v>730</v>
      </c>
      <c r="K288" t="s">
        <v>1020</v>
      </c>
      <c r="L288">
        <v>7.02</v>
      </c>
      <c r="M288">
        <v>6.28</v>
      </c>
      <c r="N288">
        <v>0.13400000000000001</v>
      </c>
      <c r="O288">
        <v>14</v>
      </c>
    </row>
    <row r="289" spans="1:15" x14ac:dyDescent="0.25">
      <c r="A289" t="s">
        <v>301</v>
      </c>
      <c r="B289" s="2">
        <v>45542</v>
      </c>
      <c r="C289" s="2">
        <v>45542</v>
      </c>
      <c r="D289" t="s">
        <v>647</v>
      </c>
      <c r="E289" t="s">
        <v>654</v>
      </c>
      <c r="F289" t="s">
        <v>691</v>
      </c>
      <c r="G289" t="s">
        <v>702</v>
      </c>
      <c r="H289" t="s">
        <v>710</v>
      </c>
      <c r="I289" t="s">
        <v>717</v>
      </c>
      <c r="J289" t="s">
        <v>729</v>
      </c>
      <c r="K289" t="s">
        <v>1021</v>
      </c>
      <c r="L289">
        <v>1066.6500000000001</v>
      </c>
      <c r="M289">
        <v>2569.77</v>
      </c>
      <c r="N289">
        <v>0.13400000000000001</v>
      </c>
      <c r="O289">
        <v>9</v>
      </c>
    </row>
    <row r="290" spans="1:15" x14ac:dyDescent="0.25">
      <c r="A290" t="s">
        <v>302</v>
      </c>
      <c r="B290" s="2">
        <v>45319</v>
      </c>
      <c r="C290" s="2">
        <v>45321</v>
      </c>
      <c r="D290" t="s">
        <v>646</v>
      </c>
      <c r="E290" t="s">
        <v>661</v>
      </c>
      <c r="F290" t="s">
        <v>695</v>
      </c>
      <c r="G290" t="s">
        <v>704</v>
      </c>
      <c r="H290" t="s">
        <v>711</v>
      </c>
      <c r="I290" t="s">
        <v>721</v>
      </c>
      <c r="J290" t="s">
        <v>733</v>
      </c>
      <c r="K290" t="s">
        <v>1022</v>
      </c>
      <c r="L290">
        <v>798.45</v>
      </c>
      <c r="M290">
        <v>1592.02</v>
      </c>
      <c r="N290">
        <v>6.6000000000000003E-2</v>
      </c>
      <c r="O290">
        <v>18</v>
      </c>
    </row>
    <row r="291" spans="1:15" x14ac:dyDescent="0.25">
      <c r="A291" t="s">
        <v>303</v>
      </c>
      <c r="B291" s="2">
        <v>45125</v>
      </c>
      <c r="C291" s="2">
        <v>45148</v>
      </c>
      <c r="D291" t="s">
        <v>646</v>
      </c>
      <c r="E291" t="s">
        <v>661</v>
      </c>
      <c r="F291" t="s">
        <v>682</v>
      </c>
      <c r="G291" t="s">
        <v>705</v>
      </c>
      <c r="H291" t="s">
        <v>707</v>
      </c>
      <c r="I291" t="s">
        <v>716</v>
      </c>
      <c r="J291" t="s">
        <v>727</v>
      </c>
      <c r="K291" t="s">
        <v>1023</v>
      </c>
      <c r="L291">
        <v>1271.56</v>
      </c>
      <c r="M291">
        <v>995.47</v>
      </c>
      <c r="N291">
        <v>0.192</v>
      </c>
      <c r="O291">
        <v>13</v>
      </c>
    </row>
    <row r="292" spans="1:15" x14ac:dyDescent="0.25">
      <c r="A292" t="s">
        <v>304</v>
      </c>
      <c r="B292" s="2">
        <v>45897</v>
      </c>
      <c r="C292" s="2">
        <v>45895</v>
      </c>
      <c r="D292" t="s">
        <v>646</v>
      </c>
      <c r="E292" t="s">
        <v>651</v>
      </c>
      <c r="F292" t="s">
        <v>663</v>
      </c>
      <c r="G292" t="s">
        <v>705</v>
      </c>
      <c r="H292" t="s">
        <v>707</v>
      </c>
      <c r="I292" t="s">
        <v>720</v>
      </c>
      <c r="J292" t="s">
        <v>733</v>
      </c>
      <c r="K292" t="s">
        <v>1024</v>
      </c>
      <c r="L292">
        <v>521.05999999999995</v>
      </c>
      <c r="M292">
        <v>1240.31</v>
      </c>
      <c r="N292">
        <v>0.14599999999999999</v>
      </c>
      <c r="O292">
        <v>18</v>
      </c>
    </row>
    <row r="293" spans="1:15" x14ac:dyDescent="0.25">
      <c r="A293" t="s">
        <v>305</v>
      </c>
      <c r="B293" s="2">
        <v>45746</v>
      </c>
      <c r="C293" s="2">
        <v>45754</v>
      </c>
      <c r="D293" t="s">
        <v>648</v>
      </c>
      <c r="E293" t="s">
        <v>655</v>
      </c>
      <c r="F293" t="s">
        <v>670</v>
      </c>
      <c r="G293" t="s">
        <v>703</v>
      </c>
      <c r="H293" t="s">
        <v>711</v>
      </c>
      <c r="I293" t="s">
        <v>716</v>
      </c>
      <c r="J293" t="s">
        <v>728</v>
      </c>
      <c r="K293" t="s">
        <v>1025</v>
      </c>
      <c r="L293">
        <v>71.62</v>
      </c>
      <c r="M293">
        <v>118.37</v>
      </c>
      <c r="N293">
        <v>0.156</v>
      </c>
      <c r="O293">
        <v>11</v>
      </c>
    </row>
    <row r="294" spans="1:15" x14ac:dyDescent="0.25">
      <c r="A294" t="s">
        <v>306</v>
      </c>
      <c r="B294" s="2">
        <v>45220</v>
      </c>
      <c r="C294" s="2">
        <v>45239</v>
      </c>
      <c r="D294" t="s">
        <v>649</v>
      </c>
      <c r="E294" t="s">
        <v>658</v>
      </c>
      <c r="F294" t="s">
        <v>683</v>
      </c>
      <c r="G294" t="s">
        <v>703</v>
      </c>
      <c r="H294" t="s">
        <v>711</v>
      </c>
      <c r="I294" t="s">
        <v>720</v>
      </c>
      <c r="J294" t="s">
        <v>733</v>
      </c>
      <c r="K294" t="s">
        <v>1026</v>
      </c>
      <c r="L294">
        <v>1142.48</v>
      </c>
      <c r="M294">
        <v>2105.5300000000002</v>
      </c>
      <c r="N294">
        <v>0.20699999999999999</v>
      </c>
      <c r="O294">
        <v>14</v>
      </c>
    </row>
    <row r="295" spans="1:15" x14ac:dyDescent="0.25">
      <c r="A295" t="s">
        <v>307</v>
      </c>
      <c r="B295" s="2">
        <v>45161</v>
      </c>
      <c r="C295" s="2">
        <v>45191</v>
      </c>
      <c r="D295" t="s">
        <v>649</v>
      </c>
      <c r="E295" t="s">
        <v>658</v>
      </c>
      <c r="F295" t="s">
        <v>683</v>
      </c>
      <c r="G295" t="s">
        <v>704</v>
      </c>
      <c r="H295" t="s">
        <v>710</v>
      </c>
      <c r="I295" t="s">
        <v>719</v>
      </c>
      <c r="J295" t="s">
        <v>733</v>
      </c>
      <c r="K295" t="s">
        <v>1027</v>
      </c>
      <c r="L295">
        <v>209.81</v>
      </c>
      <c r="M295">
        <v>523</v>
      </c>
      <c r="N295">
        <v>5.8999999999999997E-2</v>
      </c>
      <c r="O295">
        <v>15</v>
      </c>
    </row>
    <row r="296" spans="1:15" x14ac:dyDescent="0.25">
      <c r="A296" t="s">
        <v>308</v>
      </c>
      <c r="B296" s="2">
        <v>45758</v>
      </c>
      <c r="C296" s="2">
        <v>45781</v>
      </c>
      <c r="D296" t="s">
        <v>647</v>
      </c>
      <c r="E296" t="s">
        <v>652</v>
      </c>
      <c r="F296" t="s">
        <v>666</v>
      </c>
      <c r="G296" t="s">
        <v>705</v>
      </c>
      <c r="H296" t="s">
        <v>708</v>
      </c>
      <c r="I296" t="s">
        <v>724</v>
      </c>
      <c r="J296" t="s">
        <v>727</v>
      </c>
      <c r="K296" t="s">
        <v>1028</v>
      </c>
      <c r="L296">
        <v>786.2</v>
      </c>
      <c r="M296">
        <v>1075.3</v>
      </c>
      <c r="N296">
        <v>0.08</v>
      </c>
      <c r="O296">
        <v>9</v>
      </c>
    </row>
    <row r="297" spans="1:15" x14ac:dyDescent="0.25">
      <c r="A297" t="s">
        <v>309</v>
      </c>
      <c r="B297" s="2">
        <v>45809</v>
      </c>
      <c r="C297" s="2">
        <v>45835</v>
      </c>
      <c r="D297" t="s">
        <v>649</v>
      </c>
      <c r="E297" t="s">
        <v>656</v>
      </c>
      <c r="F297" t="s">
        <v>684</v>
      </c>
      <c r="G297" t="s">
        <v>704</v>
      </c>
      <c r="H297" t="s">
        <v>710</v>
      </c>
      <c r="I297" t="s">
        <v>718</v>
      </c>
      <c r="J297" t="s">
        <v>731</v>
      </c>
      <c r="K297" t="s">
        <v>1029</v>
      </c>
      <c r="L297">
        <v>1362.31</v>
      </c>
      <c r="M297">
        <v>3294.57</v>
      </c>
      <c r="N297">
        <v>0.113</v>
      </c>
      <c r="O297">
        <v>7</v>
      </c>
    </row>
    <row r="298" spans="1:15" x14ac:dyDescent="0.25">
      <c r="A298" t="s">
        <v>310</v>
      </c>
      <c r="B298" s="2">
        <v>45353</v>
      </c>
      <c r="C298" s="2">
        <v>45367</v>
      </c>
      <c r="D298" t="s">
        <v>648</v>
      </c>
      <c r="E298" t="s">
        <v>653</v>
      </c>
      <c r="F298" t="s">
        <v>688</v>
      </c>
      <c r="G298" t="s">
        <v>703</v>
      </c>
      <c r="H298" t="s">
        <v>711</v>
      </c>
      <c r="I298" t="s">
        <v>719</v>
      </c>
      <c r="J298" t="s">
        <v>728</v>
      </c>
      <c r="K298" t="s">
        <v>1030</v>
      </c>
      <c r="L298">
        <v>248.24</v>
      </c>
      <c r="M298">
        <v>464.05</v>
      </c>
      <c r="N298">
        <v>0.16900000000000001</v>
      </c>
      <c r="O298">
        <v>11</v>
      </c>
    </row>
    <row r="299" spans="1:15" x14ac:dyDescent="0.25">
      <c r="A299" t="s">
        <v>311</v>
      </c>
      <c r="B299" s="2">
        <v>45097</v>
      </c>
      <c r="C299" s="2">
        <v>45115</v>
      </c>
      <c r="D299" t="s">
        <v>648</v>
      </c>
      <c r="E299" t="s">
        <v>660</v>
      </c>
      <c r="F299" t="s">
        <v>697</v>
      </c>
      <c r="G299" t="s">
        <v>703</v>
      </c>
      <c r="H299" t="s">
        <v>711</v>
      </c>
      <c r="I299" t="s">
        <v>721</v>
      </c>
      <c r="J299" t="s">
        <v>732</v>
      </c>
      <c r="K299" t="s">
        <v>1031</v>
      </c>
      <c r="L299">
        <v>337</v>
      </c>
      <c r="M299">
        <v>511.03</v>
      </c>
      <c r="N299">
        <v>0.108</v>
      </c>
      <c r="O299">
        <v>7</v>
      </c>
    </row>
    <row r="300" spans="1:15" x14ac:dyDescent="0.25">
      <c r="A300" t="s">
        <v>312</v>
      </c>
      <c r="B300" s="2">
        <v>45377</v>
      </c>
      <c r="C300" s="2">
        <v>45387</v>
      </c>
      <c r="D300" t="s">
        <v>648</v>
      </c>
      <c r="E300" t="s">
        <v>660</v>
      </c>
      <c r="F300" t="s">
        <v>697</v>
      </c>
      <c r="G300" t="s">
        <v>704</v>
      </c>
      <c r="H300" t="s">
        <v>711</v>
      </c>
      <c r="I300" t="s">
        <v>713</v>
      </c>
      <c r="J300" t="s">
        <v>732</v>
      </c>
      <c r="K300" t="s">
        <v>1032</v>
      </c>
      <c r="L300">
        <v>5.66</v>
      </c>
      <c r="M300">
        <v>4.22</v>
      </c>
      <c r="N300">
        <v>0.11899999999999999</v>
      </c>
      <c r="O300">
        <v>18</v>
      </c>
    </row>
    <row r="301" spans="1:15" x14ac:dyDescent="0.25">
      <c r="A301" t="s">
        <v>313</v>
      </c>
      <c r="B301" s="2">
        <v>45679</v>
      </c>
      <c r="C301" s="2">
        <v>45679</v>
      </c>
      <c r="D301" t="s">
        <v>649</v>
      </c>
      <c r="E301" t="s">
        <v>657</v>
      </c>
      <c r="F301" t="s">
        <v>679</v>
      </c>
      <c r="G301" t="s">
        <v>705</v>
      </c>
      <c r="H301" t="s">
        <v>708</v>
      </c>
      <c r="I301" t="s">
        <v>717</v>
      </c>
      <c r="J301" t="s">
        <v>733</v>
      </c>
      <c r="K301" t="s">
        <v>1033</v>
      </c>
      <c r="L301">
        <v>591.72</v>
      </c>
      <c r="M301">
        <v>577.24</v>
      </c>
      <c r="N301">
        <v>0</v>
      </c>
      <c r="O301">
        <v>22</v>
      </c>
    </row>
    <row r="302" spans="1:15" x14ac:dyDescent="0.25">
      <c r="A302" t="s">
        <v>314</v>
      </c>
      <c r="B302" s="2">
        <v>45787</v>
      </c>
      <c r="C302" s="2">
        <v>45804</v>
      </c>
      <c r="D302" t="s">
        <v>648</v>
      </c>
      <c r="E302" t="s">
        <v>653</v>
      </c>
      <c r="F302" t="s">
        <v>688</v>
      </c>
      <c r="G302" t="s">
        <v>702</v>
      </c>
      <c r="H302" t="s">
        <v>711</v>
      </c>
      <c r="I302" t="s">
        <v>712</v>
      </c>
      <c r="J302" t="s">
        <v>727</v>
      </c>
      <c r="K302" t="s">
        <v>1034</v>
      </c>
      <c r="L302">
        <v>862.89</v>
      </c>
      <c r="M302">
        <v>1426.03</v>
      </c>
      <c r="N302">
        <v>5.6000000000000001E-2</v>
      </c>
      <c r="O302">
        <v>19</v>
      </c>
    </row>
    <row r="303" spans="1:15" x14ac:dyDescent="0.25">
      <c r="A303" t="s">
        <v>315</v>
      </c>
      <c r="B303" s="2">
        <v>45204</v>
      </c>
      <c r="C303" s="2">
        <v>45230</v>
      </c>
      <c r="D303" t="s">
        <v>647</v>
      </c>
      <c r="E303" t="s">
        <v>659</v>
      </c>
      <c r="F303" t="s">
        <v>685</v>
      </c>
      <c r="G303" t="s">
        <v>704</v>
      </c>
      <c r="I303" t="s">
        <v>713</v>
      </c>
      <c r="J303" t="s">
        <v>728</v>
      </c>
      <c r="K303" t="s">
        <v>1035</v>
      </c>
      <c r="L303">
        <v>649.91</v>
      </c>
      <c r="M303">
        <v>1360.12</v>
      </c>
      <c r="N303">
        <v>0.19400000000000001</v>
      </c>
      <c r="O303">
        <v>9</v>
      </c>
    </row>
    <row r="304" spans="1:15" x14ac:dyDescent="0.25">
      <c r="A304" t="s">
        <v>316</v>
      </c>
      <c r="B304" s="2">
        <v>45125</v>
      </c>
      <c r="C304" s="2">
        <v>45129</v>
      </c>
      <c r="D304" t="s">
        <v>648</v>
      </c>
      <c r="E304" t="s">
        <v>655</v>
      </c>
      <c r="F304" t="s">
        <v>670</v>
      </c>
      <c r="G304" t="s">
        <v>704</v>
      </c>
      <c r="H304" t="s">
        <v>711</v>
      </c>
      <c r="I304" t="s">
        <v>721</v>
      </c>
      <c r="J304" t="s">
        <v>729</v>
      </c>
      <c r="K304" t="s">
        <v>1036</v>
      </c>
      <c r="L304">
        <v>1269.55</v>
      </c>
      <c r="M304">
        <v>2071.1</v>
      </c>
      <c r="N304">
        <v>0.129</v>
      </c>
      <c r="O304">
        <v>22</v>
      </c>
    </row>
    <row r="305" spans="1:15" x14ac:dyDescent="0.25">
      <c r="A305" t="s">
        <v>317</v>
      </c>
      <c r="B305" s="2">
        <v>45830</v>
      </c>
      <c r="C305" s="2">
        <v>45846</v>
      </c>
      <c r="D305" t="s">
        <v>649</v>
      </c>
      <c r="E305" t="s">
        <v>658</v>
      </c>
      <c r="F305" t="s">
        <v>683</v>
      </c>
      <c r="G305" t="s">
        <v>702</v>
      </c>
      <c r="H305" t="s">
        <v>711</v>
      </c>
      <c r="I305" t="s">
        <v>720</v>
      </c>
      <c r="J305" t="s">
        <v>730</v>
      </c>
      <c r="K305" t="s">
        <v>1037</v>
      </c>
      <c r="L305">
        <v>892.73</v>
      </c>
      <c r="M305">
        <v>979.84</v>
      </c>
      <c r="N305">
        <v>0.17399999999999999</v>
      </c>
      <c r="O305">
        <v>10</v>
      </c>
    </row>
    <row r="306" spans="1:15" x14ac:dyDescent="0.25">
      <c r="A306" t="s">
        <v>318</v>
      </c>
      <c r="B306" s="2">
        <v>45462</v>
      </c>
      <c r="C306" s="2">
        <v>45463</v>
      </c>
      <c r="D306" t="s">
        <v>646</v>
      </c>
      <c r="E306" t="s">
        <v>650</v>
      </c>
      <c r="F306" t="s">
        <v>662</v>
      </c>
      <c r="G306" t="s">
        <v>705</v>
      </c>
      <c r="H306" t="s">
        <v>711</v>
      </c>
      <c r="I306" t="s">
        <v>713</v>
      </c>
      <c r="J306" t="s">
        <v>731</v>
      </c>
      <c r="K306" t="s">
        <v>1038</v>
      </c>
      <c r="L306">
        <v>231.63</v>
      </c>
      <c r="M306">
        <v>537.39</v>
      </c>
      <c r="N306">
        <v>0.08</v>
      </c>
      <c r="O306">
        <v>12</v>
      </c>
    </row>
    <row r="307" spans="1:15" x14ac:dyDescent="0.25">
      <c r="A307" t="s">
        <v>319</v>
      </c>
      <c r="B307" s="2">
        <v>45756</v>
      </c>
      <c r="C307" s="2">
        <v>45759</v>
      </c>
      <c r="D307" t="s">
        <v>649</v>
      </c>
      <c r="E307" t="s">
        <v>657</v>
      </c>
      <c r="F307" t="s">
        <v>679</v>
      </c>
      <c r="G307" t="s">
        <v>705</v>
      </c>
      <c r="H307" t="s">
        <v>710</v>
      </c>
      <c r="I307" t="s">
        <v>722</v>
      </c>
      <c r="J307" t="s">
        <v>732</v>
      </c>
      <c r="K307" t="s">
        <v>1039</v>
      </c>
      <c r="L307">
        <v>86.68</v>
      </c>
      <c r="M307">
        <v>213.32</v>
      </c>
      <c r="N307">
        <v>3.7999999999999999E-2</v>
      </c>
      <c r="O307">
        <v>8</v>
      </c>
    </row>
    <row r="308" spans="1:15" x14ac:dyDescent="0.25">
      <c r="A308" t="s">
        <v>320</v>
      </c>
      <c r="B308" s="2">
        <v>45741</v>
      </c>
      <c r="C308" s="2">
        <v>45742</v>
      </c>
      <c r="D308" t="s">
        <v>646</v>
      </c>
      <c r="E308" t="s">
        <v>651</v>
      </c>
      <c r="F308" t="s">
        <v>665</v>
      </c>
      <c r="G308" t="s">
        <v>702</v>
      </c>
      <c r="H308" t="s">
        <v>710</v>
      </c>
      <c r="I308" t="s">
        <v>715</v>
      </c>
      <c r="J308" t="s">
        <v>733</v>
      </c>
      <c r="K308" t="s">
        <v>1040</v>
      </c>
      <c r="L308">
        <v>1450.43</v>
      </c>
      <c r="M308">
        <v>1994.67</v>
      </c>
      <c r="N308">
        <v>0.1</v>
      </c>
      <c r="O308">
        <v>24</v>
      </c>
    </row>
    <row r="309" spans="1:15" x14ac:dyDescent="0.25">
      <c r="A309" t="s">
        <v>321</v>
      </c>
      <c r="B309" s="2">
        <v>45795</v>
      </c>
      <c r="C309" s="2">
        <v>45817</v>
      </c>
      <c r="D309" t="s">
        <v>648</v>
      </c>
      <c r="E309" t="s">
        <v>660</v>
      </c>
      <c r="F309" t="s">
        <v>700</v>
      </c>
      <c r="G309" t="s">
        <v>704</v>
      </c>
      <c r="H309" t="s">
        <v>707</v>
      </c>
      <c r="I309" t="s">
        <v>722</v>
      </c>
      <c r="J309" t="s">
        <v>729</v>
      </c>
      <c r="K309" t="s">
        <v>1041</v>
      </c>
      <c r="L309">
        <v>382.96</v>
      </c>
      <c r="M309">
        <v>552.84</v>
      </c>
      <c r="N309">
        <v>0.17599999999999999</v>
      </c>
      <c r="O309">
        <v>8</v>
      </c>
    </row>
    <row r="310" spans="1:15" x14ac:dyDescent="0.25">
      <c r="A310" t="s">
        <v>322</v>
      </c>
      <c r="B310" s="2">
        <v>45679</v>
      </c>
      <c r="C310" s="2">
        <v>45692</v>
      </c>
      <c r="D310" t="s">
        <v>647</v>
      </c>
      <c r="E310" t="s">
        <v>652</v>
      </c>
      <c r="F310" t="s">
        <v>689</v>
      </c>
      <c r="G310" t="s">
        <v>705</v>
      </c>
      <c r="H310" t="s">
        <v>710</v>
      </c>
      <c r="I310" t="s">
        <v>716</v>
      </c>
      <c r="J310" t="s">
        <v>728</v>
      </c>
      <c r="K310" t="s">
        <v>1042</v>
      </c>
      <c r="L310">
        <v>122.29</v>
      </c>
      <c r="M310">
        <v>224.95</v>
      </c>
      <c r="N310">
        <v>0.153</v>
      </c>
      <c r="O310">
        <v>28</v>
      </c>
    </row>
    <row r="311" spans="1:15" x14ac:dyDescent="0.25">
      <c r="A311" t="s">
        <v>323</v>
      </c>
      <c r="B311" s="2">
        <v>44936</v>
      </c>
      <c r="C311" s="2">
        <v>44955</v>
      </c>
      <c r="D311" t="s">
        <v>649</v>
      </c>
      <c r="E311" t="s">
        <v>657</v>
      </c>
      <c r="F311" t="s">
        <v>679</v>
      </c>
      <c r="G311" t="s">
        <v>703</v>
      </c>
      <c r="H311" t="s">
        <v>711</v>
      </c>
      <c r="I311" t="s">
        <v>726</v>
      </c>
      <c r="J311" t="s">
        <v>731</v>
      </c>
      <c r="K311" t="s">
        <v>1043</v>
      </c>
      <c r="L311">
        <v>401.66</v>
      </c>
      <c r="M311">
        <v>772.09</v>
      </c>
      <c r="N311">
        <v>8.8999999999999996E-2</v>
      </c>
      <c r="O311">
        <v>14</v>
      </c>
    </row>
    <row r="312" spans="1:15" x14ac:dyDescent="0.25">
      <c r="A312" t="s">
        <v>324</v>
      </c>
      <c r="B312" s="2">
        <v>45655</v>
      </c>
      <c r="C312" s="2">
        <v>45669</v>
      </c>
      <c r="D312" t="s">
        <v>649</v>
      </c>
      <c r="E312" t="s">
        <v>658</v>
      </c>
      <c r="F312" t="s">
        <v>693</v>
      </c>
      <c r="G312" t="s">
        <v>701</v>
      </c>
      <c r="H312" t="s">
        <v>711</v>
      </c>
      <c r="I312" t="s">
        <v>717</v>
      </c>
      <c r="J312" t="s">
        <v>732</v>
      </c>
      <c r="K312" t="s">
        <v>1044</v>
      </c>
      <c r="L312">
        <v>1399.72</v>
      </c>
      <c r="M312">
        <v>3149.21</v>
      </c>
      <c r="N312">
        <v>0.185</v>
      </c>
      <c r="O312">
        <v>12</v>
      </c>
    </row>
    <row r="313" spans="1:15" x14ac:dyDescent="0.25">
      <c r="A313" t="s">
        <v>325</v>
      </c>
      <c r="B313" s="2">
        <v>45435</v>
      </c>
      <c r="C313" s="2">
        <v>45449</v>
      </c>
      <c r="D313" t="s">
        <v>648</v>
      </c>
      <c r="E313" t="s">
        <v>655</v>
      </c>
      <c r="F313" t="s">
        <v>692</v>
      </c>
      <c r="G313" t="s">
        <v>703</v>
      </c>
      <c r="H313" t="s">
        <v>708</v>
      </c>
      <c r="I313" t="s">
        <v>714</v>
      </c>
      <c r="J313" t="s">
        <v>729</v>
      </c>
      <c r="K313" t="s">
        <v>1045</v>
      </c>
      <c r="L313">
        <v>51.13</v>
      </c>
      <c r="M313">
        <v>57.53</v>
      </c>
      <c r="N313">
        <v>4.4999999999999998E-2</v>
      </c>
      <c r="O313">
        <v>16</v>
      </c>
    </row>
    <row r="314" spans="1:15" x14ac:dyDescent="0.25">
      <c r="A314" t="s">
        <v>326</v>
      </c>
      <c r="B314" s="2">
        <v>45101</v>
      </c>
      <c r="C314" s="2">
        <v>45099</v>
      </c>
      <c r="D314" t="s">
        <v>648</v>
      </c>
      <c r="E314" t="s">
        <v>653</v>
      </c>
      <c r="F314" t="s">
        <v>667</v>
      </c>
      <c r="G314" t="s">
        <v>703</v>
      </c>
      <c r="H314" t="s">
        <v>707</v>
      </c>
      <c r="I314" t="s">
        <v>724</v>
      </c>
      <c r="J314" t="s">
        <v>733</v>
      </c>
      <c r="K314" t="s">
        <v>1046</v>
      </c>
      <c r="L314">
        <v>471.42</v>
      </c>
      <c r="M314">
        <v>824.81</v>
      </c>
      <c r="N314">
        <v>8.7999999999999995E-2</v>
      </c>
      <c r="O314">
        <v>15</v>
      </c>
    </row>
    <row r="315" spans="1:15" x14ac:dyDescent="0.25">
      <c r="A315" t="s">
        <v>327</v>
      </c>
      <c r="B315" s="2">
        <v>45600</v>
      </c>
      <c r="C315" s="2">
        <v>45601</v>
      </c>
      <c r="D315" t="s">
        <v>649</v>
      </c>
      <c r="E315" t="s">
        <v>658</v>
      </c>
      <c r="F315" t="s">
        <v>683</v>
      </c>
      <c r="G315" t="s">
        <v>701</v>
      </c>
      <c r="H315" t="s">
        <v>707</v>
      </c>
      <c r="I315" t="s">
        <v>724</v>
      </c>
      <c r="J315" t="s">
        <v>728</v>
      </c>
      <c r="K315" t="s">
        <v>1047</v>
      </c>
      <c r="L315">
        <v>840.68</v>
      </c>
      <c r="M315">
        <v>1493.53</v>
      </c>
      <c r="N315">
        <v>0</v>
      </c>
      <c r="O315">
        <v>27</v>
      </c>
    </row>
    <row r="316" spans="1:15" x14ac:dyDescent="0.25">
      <c r="A316" t="s">
        <v>328</v>
      </c>
      <c r="B316" s="2">
        <v>45451</v>
      </c>
      <c r="C316" s="2">
        <v>45467</v>
      </c>
      <c r="D316" t="s">
        <v>646</v>
      </c>
      <c r="E316" t="s">
        <v>661</v>
      </c>
      <c r="F316" t="s">
        <v>687</v>
      </c>
      <c r="G316" t="s">
        <v>702</v>
      </c>
      <c r="H316" t="s">
        <v>710</v>
      </c>
      <c r="I316" t="s">
        <v>722</v>
      </c>
      <c r="J316" t="s">
        <v>732</v>
      </c>
      <c r="K316" t="s">
        <v>1048</v>
      </c>
      <c r="L316">
        <v>597.85</v>
      </c>
      <c r="M316">
        <v>741.92</v>
      </c>
      <c r="N316">
        <v>3.1E-2</v>
      </c>
      <c r="O316">
        <v>7</v>
      </c>
    </row>
    <row r="317" spans="1:15" x14ac:dyDescent="0.25">
      <c r="A317" t="s">
        <v>329</v>
      </c>
      <c r="B317" s="2">
        <v>45809</v>
      </c>
      <c r="C317" s="2">
        <v>45814</v>
      </c>
      <c r="D317" t="s">
        <v>649</v>
      </c>
      <c r="E317" t="s">
        <v>657</v>
      </c>
      <c r="F317" t="s">
        <v>690</v>
      </c>
      <c r="G317" t="s">
        <v>704</v>
      </c>
      <c r="H317" t="s">
        <v>710</v>
      </c>
      <c r="I317" t="s">
        <v>715</v>
      </c>
      <c r="J317" t="s">
        <v>727</v>
      </c>
      <c r="K317" t="s">
        <v>1049</v>
      </c>
      <c r="L317">
        <v>379.45</v>
      </c>
      <c r="M317">
        <v>742.23</v>
      </c>
      <c r="N317">
        <v>0.09</v>
      </c>
      <c r="O317">
        <v>13</v>
      </c>
    </row>
    <row r="318" spans="1:15" x14ac:dyDescent="0.25">
      <c r="A318" t="s">
        <v>330</v>
      </c>
      <c r="B318" s="2">
        <v>45052</v>
      </c>
      <c r="C318" s="2">
        <v>45060</v>
      </c>
      <c r="D318" t="s">
        <v>647</v>
      </c>
      <c r="E318" t="s">
        <v>652</v>
      </c>
      <c r="F318" t="s">
        <v>666</v>
      </c>
      <c r="G318" t="s">
        <v>706</v>
      </c>
      <c r="H318" t="s">
        <v>709</v>
      </c>
      <c r="I318" t="s">
        <v>717</v>
      </c>
      <c r="J318" t="s">
        <v>730</v>
      </c>
      <c r="K318" t="s">
        <v>1050</v>
      </c>
      <c r="L318">
        <v>291.18</v>
      </c>
      <c r="M318">
        <v>479.54</v>
      </c>
      <c r="N318">
        <v>0.14099999999999999</v>
      </c>
      <c r="O318">
        <v>22</v>
      </c>
    </row>
    <row r="319" spans="1:15" x14ac:dyDescent="0.25">
      <c r="A319" t="s">
        <v>331</v>
      </c>
      <c r="B319" s="2">
        <v>45244</v>
      </c>
      <c r="C319" s="2">
        <v>45260</v>
      </c>
      <c r="D319" t="s">
        <v>648</v>
      </c>
      <c r="E319" t="s">
        <v>655</v>
      </c>
      <c r="F319" t="s">
        <v>670</v>
      </c>
      <c r="G319" t="s">
        <v>706</v>
      </c>
      <c r="H319" t="s">
        <v>711</v>
      </c>
      <c r="I319" t="s">
        <v>723</v>
      </c>
      <c r="J319" t="s">
        <v>729</v>
      </c>
      <c r="K319" t="s">
        <v>1051</v>
      </c>
      <c r="L319">
        <v>1017.92</v>
      </c>
      <c r="M319">
        <v>1175.25</v>
      </c>
      <c r="N319">
        <v>7.4999999999999997E-2</v>
      </c>
      <c r="O319">
        <v>15</v>
      </c>
    </row>
    <row r="320" spans="1:15" x14ac:dyDescent="0.25">
      <c r="A320" t="s">
        <v>332</v>
      </c>
      <c r="B320" s="2">
        <v>45748</v>
      </c>
      <c r="C320" s="2">
        <v>45774</v>
      </c>
      <c r="D320" t="s">
        <v>648</v>
      </c>
      <c r="E320" t="s">
        <v>660</v>
      </c>
      <c r="F320" t="s">
        <v>686</v>
      </c>
      <c r="G320" t="s">
        <v>701</v>
      </c>
      <c r="H320" t="s">
        <v>711</v>
      </c>
      <c r="I320" t="s">
        <v>714</v>
      </c>
      <c r="J320" t="s">
        <v>732</v>
      </c>
      <c r="K320" t="s">
        <v>1052</v>
      </c>
      <c r="L320">
        <v>156.55000000000001</v>
      </c>
      <c r="M320">
        <v>227.45</v>
      </c>
      <c r="N320">
        <v>1.4E-2</v>
      </c>
      <c r="O320">
        <v>13</v>
      </c>
    </row>
    <row r="321" spans="1:15" x14ac:dyDescent="0.25">
      <c r="A321" t="s">
        <v>333</v>
      </c>
      <c r="B321" s="2">
        <v>45008</v>
      </c>
      <c r="C321" s="2">
        <v>45031</v>
      </c>
      <c r="D321" t="s">
        <v>646</v>
      </c>
      <c r="E321" t="s">
        <v>650</v>
      </c>
      <c r="F321" t="s">
        <v>675</v>
      </c>
      <c r="G321" t="s">
        <v>705</v>
      </c>
      <c r="H321" t="s">
        <v>707</v>
      </c>
      <c r="I321" t="s">
        <v>712</v>
      </c>
      <c r="J321" t="s">
        <v>733</v>
      </c>
      <c r="K321" t="s">
        <v>1053</v>
      </c>
      <c r="L321">
        <v>875.36</v>
      </c>
      <c r="M321">
        <v>1178.6199999999999</v>
      </c>
      <c r="N321">
        <v>0.151</v>
      </c>
      <c r="O321">
        <v>53</v>
      </c>
    </row>
    <row r="322" spans="1:15" x14ac:dyDescent="0.25">
      <c r="A322" t="s">
        <v>334</v>
      </c>
      <c r="B322" s="2">
        <v>45440</v>
      </c>
      <c r="C322" s="2">
        <v>45461</v>
      </c>
      <c r="D322" t="s">
        <v>649</v>
      </c>
      <c r="E322" t="s">
        <v>656</v>
      </c>
      <c r="F322" t="s">
        <v>698</v>
      </c>
      <c r="G322" t="s">
        <v>705</v>
      </c>
      <c r="H322" t="s">
        <v>708</v>
      </c>
      <c r="I322" t="s">
        <v>718</v>
      </c>
      <c r="J322" t="s">
        <v>730</v>
      </c>
      <c r="K322" t="s">
        <v>1054</v>
      </c>
      <c r="L322">
        <v>986.85</v>
      </c>
      <c r="M322">
        <v>2422.1</v>
      </c>
      <c r="N322">
        <v>7.5999999999999998E-2</v>
      </c>
      <c r="O322">
        <v>10</v>
      </c>
    </row>
    <row r="323" spans="1:15" x14ac:dyDescent="0.25">
      <c r="A323" t="s">
        <v>335</v>
      </c>
      <c r="B323" s="2">
        <v>45293</v>
      </c>
      <c r="C323" s="2">
        <v>45292</v>
      </c>
      <c r="D323" t="s">
        <v>648</v>
      </c>
      <c r="E323" t="s">
        <v>660</v>
      </c>
      <c r="F323" t="s">
        <v>677</v>
      </c>
      <c r="G323" t="s">
        <v>702</v>
      </c>
      <c r="H323" t="s">
        <v>709</v>
      </c>
      <c r="I323" t="s">
        <v>717</v>
      </c>
      <c r="J323" t="s">
        <v>729</v>
      </c>
      <c r="K323" t="s">
        <v>1055</v>
      </c>
      <c r="L323">
        <v>404.77</v>
      </c>
      <c r="M323">
        <v>433.88</v>
      </c>
      <c r="N323">
        <v>0.215</v>
      </c>
      <c r="O323">
        <v>22</v>
      </c>
    </row>
    <row r="324" spans="1:15" x14ac:dyDescent="0.25">
      <c r="A324" t="s">
        <v>336</v>
      </c>
      <c r="B324" s="2">
        <v>44985</v>
      </c>
      <c r="C324" s="2">
        <v>44984</v>
      </c>
      <c r="D324" t="s">
        <v>649</v>
      </c>
      <c r="E324" t="s">
        <v>657</v>
      </c>
      <c r="F324" t="s">
        <v>673</v>
      </c>
      <c r="G324" t="s">
        <v>701</v>
      </c>
      <c r="H324" t="s">
        <v>707</v>
      </c>
      <c r="I324" t="s">
        <v>723</v>
      </c>
      <c r="J324" t="s">
        <v>729</v>
      </c>
      <c r="K324" t="s">
        <v>1056</v>
      </c>
      <c r="L324">
        <v>1299.81</v>
      </c>
      <c r="M324">
        <v>3149.13</v>
      </c>
      <c r="N324">
        <v>0.10299999999999999</v>
      </c>
      <c r="O324">
        <v>14</v>
      </c>
    </row>
    <row r="325" spans="1:15" x14ac:dyDescent="0.25">
      <c r="A325" t="s">
        <v>337</v>
      </c>
      <c r="B325" s="2">
        <v>45340</v>
      </c>
      <c r="C325" s="2">
        <v>45362</v>
      </c>
      <c r="D325" t="s">
        <v>648</v>
      </c>
      <c r="E325" t="s">
        <v>655</v>
      </c>
      <c r="F325" t="s">
        <v>670</v>
      </c>
      <c r="G325" t="s">
        <v>704</v>
      </c>
      <c r="H325" t="s">
        <v>708</v>
      </c>
      <c r="I325" t="s">
        <v>720</v>
      </c>
      <c r="J325" t="s">
        <v>727</v>
      </c>
      <c r="K325" t="s">
        <v>1057</v>
      </c>
      <c r="L325">
        <v>80.48</v>
      </c>
      <c r="M325">
        <v>65.650000000000006</v>
      </c>
      <c r="N325">
        <v>0.17599999999999999</v>
      </c>
      <c r="O325">
        <v>13</v>
      </c>
    </row>
    <row r="326" spans="1:15" x14ac:dyDescent="0.25">
      <c r="A326" t="s">
        <v>338</v>
      </c>
      <c r="B326" s="2">
        <v>45544</v>
      </c>
      <c r="C326" s="2">
        <v>45573</v>
      </c>
      <c r="D326" t="s">
        <v>648</v>
      </c>
      <c r="E326" t="s">
        <v>655</v>
      </c>
      <c r="F326" t="s">
        <v>670</v>
      </c>
      <c r="G326" t="s">
        <v>702</v>
      </c>
      <c r="H326" t="s">
        <v>711</v>
      </c>
      <c r="I326" t="s">
        <v>713</v>
      </c>
      <c r="J326" t="s">
        <v>727</v>
      </c>
      <c r="K326" t="s">
        <v>1058</v>
      </c>
      <c r="L326">
        <v>1010.33</v>
      </c>
      <c r="M326">
        <v>2492.14</v>
      </c>
      <c r="N326">
        <v>5.0999999999999997E-2</v>
      </c>
      <c r="O326">
        <v>11</v>
      </c>
    </row>
    <row r="327" spans="1:15" x14ac:dyDescent="0.25">
      <c r="A327" t="s">
        <v>339</v>
      </c>
      <c r="B327" s="2">
        <v>45053</v>
      </c>
      <c r="C327" s="2">
        <v>45075</v>
      </c>
      <c r="D327" t="s">
        <v>646</v>
      </c>
      <c r="E327" t="s">
        <v>661</v>
      </c>
      <c r="F327" t="s">
        <v>687</v>
      </c>
      <c r="G327" t="s">
        <v>702</v>
      </c>
      <c r="H327" t="s">
        <v>710</v>
      </c>
      <c r="I327" t="s">
        <v>723</v>
      </c>
      <c r="J327" t="s">
        <v>733</v>
      </c>
      <c r="K327" t="s">
        <v>1059</v>
      </c>
      <c r="L327">
        <v>653.86</v>
      </c>
      <c r="M327">
        <v>931.84</v>
      </c>
      <c r="N327">
        <v>0.121</v>
      </c>
      <c r="O327">
        <v>12</v>
      </c>
    </row>
    <row r="328" spans="1:15" x14ac:dyDescent="0.25">
      <c r="A328" t="s">
        <v>340</v>
      </c>
      <c r="B328" s="2">
        <v>45303</v>
      </c>
      <c r="C328" s="2">
        <v>45320</v>
      </c>
      <c r="D328" t="s">
        <v>647</v>
      </c>
      <c r="E328" t="s">
        <v>654</v>
      </c>
      <c r="F328" t="s">
        <v>696</v>
      </c>
      <c r="G328" t="s">
        <v>705</v>
      </c>
      <c r="H328" t="s">
        <v>711</v>
      </c>
      <c r="I328" t="s">
        <v>717</v>
      </c>
      <c r="J328" t="s">
        <v>727</v>
      </c>
      <c r="K328" t="s">
        <v>1060</v>
      </c>
      <c r="L328">
        <v>310.02</v>
      </c>
      <c r="M328">
        <v>619.51</v>
      </c>
      <c r="N328">
        <v>4.2000000000000003E-2</v>
      </c>
      <c r="O328">
        <v>4</v>
      </c>
    </row>
    <row r="329" spans="1:15" x14ac:dyDescent="0.25">
      <c r="A329" t="s">
        <v>341</v>
      </c>
      <c r="B329" s="2">
        <v>45087</v>
      </c>
      <c r="C329" s="2">
        <v>45095</v>
      </c>
      <c r="D329" t="s">
        <v>646</v>
      </c>
      <c r="E329" t="s">
        <v>650</v>
      </c>
      <c r="F329" t="s">
        <v>678</v>
      </c>
      <c r="G329" t="s">
        <v>706</v>
      </c>
      <c r="H329" t="s">
        <v>711</v>
      </c>
      <c r="I329" t="s">
        <v>722</v>
      </c>
      <c r="J329" t="s">
        <v>730</v>
      </c>
      <c r="K329" t="s">
        <v>1061</v>
      </c>
      <c r="L329">
        <v>894.23</v>
      </c>
      <c r="M329">
        <v>1421.55</v>
      </c>
      <c r="N329">
        <v>0.109</v>
      </c>
      <c r="O329">
        <v>3</v>
      </c>
    </row>
    <row r="330" spans="1:15" x14ac:dyDescent="0.25">
      <c r="A330" t="s">
        <v>342</v>
      </c>
      <c r="B330" s="2">
        <v>45796</v>
      </c>
      <c r="C330" s="2">
        <v>45794</v>
      </c>
      <c r="D330" t="s">
        <v>648</v>
      </c>
      <c r="E330" t="s">
        <v>655</v>
      </c>
      <c r="F330" t="s">
        <v>670</v>
      </c>
      <c r="G330" t="s">
        <v>705</v>
      </c>
      <c r="H330" t="s">
        <v>710</v>
      </c>
      <c r="I330" t="s">
        <v>716</v>
      </c>
      <c r="J330" t="s">
        <v>732</v>
      </c>
      <c r="K330" t="s">
        <v>1062</v>
      </c>
      <c r="L330">
        <v>383.77</v>
      </c>
      <c r="M330">
        <v>952.56</v>
      </c>
      <c r="N330">
        <v>0.34599999999999997</v>
      </c>
      <c r="O330">
        <v>10</v>
      </c>
    </row>
    <row r="331" spans="1:15" x14ac:dyDescent="0.25">
      <c r="A331" t="s">
        <v>343</v>
      </c>
      <c r="B331" s="2">
        <v>45221</v>
      </c>
      <c r="C331" s="2">
        <v>45246</v>
      </c>
      <c r="D331" t="s">
        <v>648</v>
      </c>
      <c r="E331" t="s">
        <v>653</v>
      </c>
      <c r="F331" t="s">
        <v>667</v>
      </c>
      <c r="G331" t="s">
        <v>705</v>
      </c>
      <c r="H331" t="s">
        <v>709</v>
      </c>
      <c r="I331" t="s">
        <v>714</v>
      </c>
      <c r="J331" t="s">
        <v>731</v>
      </c>
      <c r="K331" t="s">
        <v>1063</v>
      </c>
      <c r="L331">
        <v>1373.31</v>
      </c>
      <c r="M331">
        <v>3154.14</v>
      </c>
      <c r="N331">
        <v>0.2</v>
      </c>
      <c r="O331">
        <v>11</v>
      </c>
    </row>
    <row r="332" spans="1:15" x14ac:dyDescent="0.25">
      <c r="A332" t="s">
        <v>344</v>
      </c>
      <c r="B332" s="2">
        <v>45668</v>
      </c>
      <c r="C332" s="2">
        <v>45680</v>
      </c>
      <c r="D332" t="s">
        <v>648</v>
      </c>
      <c r="E332" t="s">
        <v>660</v>
      </c>
      <c r="F332" t="s">
        <v>697</v>
      </c>
      <c r="G332" t="s">
        <v>704</v>
      </c>
      <c r="H332" t="s">
        <v>710</v>
      </c>
      <c r="I332" t="s">
        <v>722</v>
      </c>
      <c r="J332" t="s">
        <v>730</v>
      </c>
      <c r="K332" t="s">
        <v>1064</v>
      </c>
      <c r="L332">
        <v>100.69</v>
      </c>
      <c r="M332">
        <v>226.14</v>
      </c>
      <c r="N332">
        <v>6.5000000000000002E-2</v>
      </c>
      <c r="O332">
        <v>12</v>
      </c>
    </row>
    <row r="333" spans="1:15" x14ac:dyDescent="0.25">
      <c r="A333" t="s">
        <v>345</v>
      </c>
      <c r="B333" s="2">
        <v>45914</v>
      </c>
      <c r="C333" s="2">
        <v>45926</v>
      </c>
      <c r="D333" t="s">
        <v>649</v>
      </c>
      <c r="E333" t="s">
        <v>658</v>
      </c>
      <c r="F333" t="s">
        <v>683</v>
      </c>
      <c r="G333" t="s">
        <v>705</v>
      </c>
      <c r="H333" t="s">
        <v>711</v>
      </c>
      <c r="I333" t="s">
        <v>725</v>
      </c>
      <c r="J333" t="s">
        <v>729</v>
      </c>
      <c r="K333" t="s">
        <v>1065</v>
      </c>
      <c r="L333">
        <v>425.15</v>
      </c>
      <c r="M333">
        <v>885.92</v>
      </c>
      <c r="N333">
        <v>0.23899999999999999</v>
      </c>
      <c r="O333">
        <v>13</v>
      </c>
    </row>
    <row r="334" spans="1:15" x14ac:dyDescent="0.25">
      <c r="A334" t="s">
        <v>346</v>
      </c>
      <c r="B334" s="2">
        <v>45168</v>
      </c>
      <c r="C334" s="2">
        <v>45172</v>
      </c>
      <c r="D334" t="s">
        <v>647</v>
      </c>
      <c r="E334" t="s">
        <v>654</v>
      </c>
      <c r="F334" t="s">
        <v>680</v>
      </c>
      <c r="G334" t="s">
        <v>705</v>
      </c>
      <c r="H334" t="s">
        <v>709</v>
      </c>
      <c r="I334" t="s">
        <v>716</v>
      </c>
      <c r="J334" t="s">
        <v>733</v>
      </c>
      <c r="K334" t="s">
        <v>1066</v>
      </c>
      <c r="L334">
        <v>1082.25</v>
      </c>
      <c r="M334">
        <v>2433.34</v>
      </c>
      <c r="N334">
        <v>0.27</v>
      </c>
      <c r="O334">
        <v>4</v>
      </c>
    </row>
    <row r="335" spans="1:15" x14ac:dyDescent="0.25">
      <c r="A335" t="s">
        <v>347</v>
      </c>
      <c r="B335" s="2">
        <v>45245</v>
      </c>
      <c r="C335" s="2">
        <v>45266</v>
      </c>
      <c r="D335" t="s">
        <v>649</v>
      </c>
      <c r="E335" t="s">
        <v>658</v>
      </c>
      <c r="F335" t="s">
        <v>693</v>
      </c>
      <c r="G335" t="s">
        <v>702</v>
      </c>
      <c r="H335" t="s">
        <v>711</v>
      </c>
      <c r="I335" t="s">
        <v>722</v>
      </c>
      <c r="J335" t="s">
        <v>733</v>
      </c>
      <c r="K335" t="s">
        <v>1067</v>
      </c>
      <c r="L335">
        <v>1184.99</v>
      </c>
      <c r="M335">
        <v>1154.3399999999999</v>
      </c>
      <c r="N335">
        <v>2.8000000000000001E-2</v>
      </c>
      <c r="O335">
        <v>5</v>
      </c>
    </row>
    <row r="336" spans="1:15" x14ac:dyDescent="0.25">
      <c r="A336" t="s">
        <v>348</v>
      </c>
      <c r="B336" s="2">
        <v>45774</v>
      </c>
      <c r="C336" s="2">
        <v>45804</v>
      </c>
      <c r="D336" t="s">
        <v>647</v>
      </c>
      <c r="E336" t="s">
        <v>654</v>
      </c>
      <c r="G336" t="s">
        <v>706</v>
      </c>
      <c r="H336" t="s">
        <v>709</v>
      </c>
      <c r="I336" t="s">
        <v>722</v>
      </c>
      <c r="J336" t="s">
        <v>730</v>
      </c>
      <c r="K336" t="s">
        <v>1068</v>
      </c>
      <c r="L336">
        <v>481.32</v>
      </c>
      <c r="M336">
        <v>1135.99</v>
      </c>
      <c r="N336">
        <v>0.14499999999999999</v>
      </c>
      <c r="O336">
        <v>5</v>
      </c>
    </row>
    <row r="337" spans="1:15" x14ac:dyDescent="0.25">
      <c r="A337" t="s">
        <v>349</v>
      </c>
      <c r="B337" s="2">
        <v>45391</v>
      </c>
      <c r="C337" s="2">
        <v>45400</v>
      </c>
      <c r="D337" t="s">
        <v>649</v>
      </c>
      <c r="E337" t="s">
        <v>657</v>
      </c>
      <c r="F337" t="s">
        <v>679</v>
      </c>
      <c r="G337" t="s">
        <v>704</v>
      </c>
      <c r="H337" t="s">
        <v>708</v>
      </c>
      <c r="I337" t="s">
        <v>718</v>
      </c>
      <c r="J337" t="s">
        <v>728</v>
      </c>
      <c r="K337" t="s">
        <v>1069</v>
      </c>
      <c r="L337">
        <v>1288.8499999999999</v>
      </c>
      <c r="M337">
        <v>2751.84</v>
      </c>
      <c r="N337">
        <v>0.158</v>
      </c>
      <c r="O337">
        <v>7</v>
      </c>
    </row>
    <row r="338" spans="1:15" x14ac:dyDescent="0.25">
      <c r="A338" t="s">
        <v>350</v>
      </c>
      <c r="B338" s="2">
        <v>45484</v>
      </c>
      <c r="C338" s="2">
        <v>45504</v>
      </c>
      <c r="D338" t="s">
        <v>647</v>
      </c>
      <c r="E338" t="s">
        <v>659</v>
      </c>
      <c r="F338" t="s">
        <v>676</v>
      </c>
      <c r="G338" t="s">
        <v>704</v>
      </c>
      <c r="H338" t="s">
        <v>708</v>
      </c>
      <c r="I338" t="s">
        <v>715</v>
      </c>
      <c r="J338" t="s">
        <v>730</v>
      </c>
      <c r="K338" t="s">
        <v>1070</v>
      </c>
      <c r="L338">
        <v>647.26</v>
      </c>
      <c r="M338">
        <v>1374.72</v>
      </c>
      <c r="N338">
        <v>6.6000000000000003E-2</v>
      </c>
      <c r="O338">
        <v>22</v>
      </c>
    </row>
    <row r="339" spans="1:15" x14ac:dyDescent="0.25">
      <c r="A339" t="s">
        <v>351</v>
      </c>
      <c r="B339" s="2">
        <v>45340</v>
      </c>
      <c r="C339" s="2">
        <v>45354</v>
      </c>
      <c r="D339" t="s">
        <v>648</v>
      </c>
      <c r="E339" t="s">
        <v>655</v>
      </c>
      <c r="G339" t="s">
        <v>706</v>
      </c>
      <c r="H339" t="s">
        <v>710</v>
      </c>
      <c r="I339" t="s">
        <v>720</v>
      </c>
      <c r="J339" t="s">
        <v>728</v>
      </c>
      <c r="K339" t="s">
        <v>1071</v>
      </c>
      <c r="L339">
        <v>624.23</v>
      </c>
      <c r="M339">
        <v>1318.37</v>
      </c>
      <c r="N339">
        <v>0.21</v>
      </c>
      <c r="O339">
        <v>37</v>
      </c>
    </row>
    <row r="340" spans="1:15" x14ac:dyDescent="0.25">
      <c r="A340" t="s">
        <v>352</v>
      </c>
      <c r="B340" s="2">
        <v>45132</v>
      </c>
      <c r="C340" s="2">
        <v>45148</v>
      </c>
      <c r="D340" t="s">
        <v>646</v>
      </c>
      <c r="E340" t="s">
        <v>651</v>
      </c>
      <c r="F340" t="s">
        <v>663</v>
      </c>
      <c r="G340" t="s">
        <v>701</v>
      </c>
      <c r="H340" t="s">
        <v>710</v>
      </c>
      <c r="I340" t="s">
        <v>714</v>
      </c>
      <c r="J340" t="s">
        <v>733</v>
      </c>
      <c r="K340" t="s">
        <v>1072</v>
      </c>
      <c r="L340">
        <v>506.83</v>
      </c>
      <c r="M340">
        <v>441.74</v>
      </c>
      <c r="N340">
        <v>0.24</v>
      </c>
      <c r="O340">
        <v>9</v>
      </c>
    </row>
    <row r="341" spans="1:15" x14ac:dyDescent="0.25">
      <c r="A341" t="s">
        <v>353</v>
      </c>
      <c r="B341" s="2">
        <v>45121</v>
      </c>
      <c r="C341" s="2">
        <v>45128</v>
      </c>
      <c r="D341" t="s">
        <v>646</v>
      </c>
      <c r="E341" t="s">
        <v>661</v>
      </c>
      <c r="F341" t="s">
        <v>687</v>
      </c>
      <c r="G341" t="s">
        <v>706</v>
      </c>
      <c r="H341" t="s">
        <v>709</v>
      </c>
      <c r="J341" t="s">
        <v>732</v>
      </c>
      <c r="K341" t="s">
        <v>1073</v>
      </c>
      <c r="L341">
        <v>620.74</v>
      </c>
      <c r="M341">
        <v>1330.07</v>
      </c>
      <c r="N341">
        <v>0.29899999999999999</v>
      </c>
      <c r="O341">
        <v>28</v>
      </c>
    </row>
    <row r="342" spans="1:15" x14ac:dyDescent="0.25">
      <c r="A342" t="s">
        <v>354</v>
      </c>
      <c r="B342" s="2">
        <v>45131</v>
      </c>
      <c r="C342" s="2">
        <v>45157</v>
      </c>
      <c r="D342" t="s">
        <v>646</v>
      </c>
      <c r="E342" t="s">
        <v>650</v>
      </c>
      <c r="F342" t="s">
        <v>664</v>
      </c>
      <c r="G342" t="s">
        <v>706</v>
      </c>
      <c r="H342" t="s">
        <v>710</v>
      </c>
      <c r="I342" t="s">
        <v>724</v>
      </c>
      <c r="J342" t="s">
        <v>733</v>
      </c>
      <c r="K342" t="s">
        <v>1074</v>
      </c>
      <c r="L342">
        <v>661.45</v>
      </c>
      <c r="M342">
        <v>1634.86</v>
      </c>
      <c r="N342">
        <v>0.56499999999999995</v>
      </c>
      <c r="O342">
        <v>24</v>
      </c>
    </row>
    <row r="343" spans="1:15" x14ac:dyDescent="0.25">
      <c r="A343" t="s">
        <v>355</v>
      </c>
      <c r="B343" s="2">
        <v>45029</v>
      </c>
      <c r="C343" s="2">
        <v>45027</v>
      </c>
      <c r="D343" t="s">
        <v>648</v>
      </c>
      <c r="E343" t="s">
        <v>660</v>
      </c>
      <c r="F343" t="s">
        <v>686</v>
      </c>
      <c r="G343" t="s">
        <v>702</v>
      </c>
      <c r="H343" t="s">
        <v>709</v>
      </c>
      <c r="I343" t="s">
        <v>715</v>
      </c>
      <c r="J343" t="s">
        <v>729</v>
      </c>
      <c r="K343" t="s">
        <v>1075</v>
      </c>
      <c r="L343">
        <v>32.1</v>
      </c>
      <c r="M343">
        <v>70.599999999999994</v>
      </c>
      <c r="N343">
        <v>0.28199999999999997</v>
      </c>
      <c r="O343">
        <v>22</v>
      </c>
    </row>
    <row r="344" spans="1:15" x14ac:dyDescent="0.25">
      <c r="A344" t="s">
        <v>356</v>
      </c>
      <c r="B344" s="2">
        <v>45594</v>
      </c>
      <c r="C344" s="2">
        <v>45600</v>
      </c>
      <c r="D344" t="s">
        <v>646</v>
      </c>
      <c r="E344" t="s">
        <v>650</v>
      </c>
      <c r="F344" t="s">
        <v>664</v>
      </c>
      <c r="G344" t="s">
        <v>701</v>
      </c>
      <c r="H344" t="s">
        <v>710</v>
      </c>
      <c r="I344" t="s">
        <v>724</v>
      </c>
      <c r="J344" t="s">
        <v>728</v>
      </c>
      <c r="K344" t="s">
        <v>1076</v>
      </c>
      <c r="L344">
        <v>805.81</v>
      </c>
      <c r="M344">
        <v>1823.04</v>
      </c>
      <c r="N344">
        <v>0</v>
      </c>
      <c r="O344">
        <v>11</v>
      </c>
    </row>
    <row r="345" spans="1:15" x14ac:dyDescent="0.25">
      <c r="A345" t="s">
        <v>357</v>
      </c>
      <c r="B345" s="2">
        <v>45339</v>
      </c>
      <c r="C345" s="2">
        <v>45355</v>
      </c>
      <c r="D345" t="s">
        <v>647</v>
      </c>
      <c r="E345" t="s">
        <v>654</v>
      </c>
      <c r="F345" t="s">
        <v>680</v>
      </c>
      <c r="G345" t="s">
        <v>705</v>
      </c>
      <c r="H345" t="s">
        <v>709</v>
      </c>
      <c r="I345" t="s">
        <v>721</v>
      </c>
      <c r="J345" t="s">
        <v>730</v>
      </c>
      <c r="K345" t="s">
        <v>1077</v>
      </c>
      <c r="L345">
        <v>1231.8</v>
      </c>
      <c r="M345">
        <v>2015.99</v>
      </c>
      <c r="N345">
        <v>0.26100000000000001</v>
      </c>
      <c r="O345">
        <v>6</v>
      </c>
    </row>
    <row r="346" spans="1:15" x14ac:dyDescent="0.25">
      <c r="A346" t="s">
        <v>358</v>
      </c>
      <c r="B346" s="2">
        <v>45486</v>
      </c>
      <c r="C346" s="2">
        <v>45485</v>
      </c>
      <c r="D346" t="s">
        <v>647</v>
      </c>
      <c r="E346" t="s">
        <v>652</v>
      </c>
      <c r="F346" t="s">
        <v>694</v>
      </c>
      <c r="G346" t="s">
        <v>705</v>
      </c>
      <c r="H346" t="s">
        <v>709</v>
      </c>
      <c r="I346" t="s">
        <v>721</v>
      </c>
      <c r="J346" t="s">
        <v>729</v>
      </c>
      <c r="K346" t="s">
        <v>1078</v>
      </c>
      <c r="L346">
        <v>105.13</v>
      </c>
      <c r="M346">
        <v>244.13</v>
      </c>
      <c r="N346">
        <v>7.0999999999999994E-2</v>
      </c>
      <c r="O346">
        <v>14</v>
      </c>
    </row>
    <row r="347" spans="1:15" x14ac:dyDescent="0.25">
      <c r="A347" t="s">
        <v>359</v>
      </c>
      <c r="B347" s="2">
        <v>45261</v>
      </c>
      <c r="C347" s="2">
        <v>45278</v>
      </c>
      <c r="D347" t="s">
        <v>647</v>
      </c>
      <c r="E347" t="s">
        <v>652</v>
      </c>
      <c r="F347" t="s">
        <v>694</v>
      </c>
      <c r="G347" t="s">
        <v>705</v>
      </c>
      <c r="H347" t="s">
        <v>711</v>
      </c>
      <c r="I347" t="s">
        <v>725</v>
      </c>
      <c r="J347" t="s">
        <v>731</v>
      </c>
      <c r="K347" t="s">
        <v>1079</v>
      </c>
      <c r="L347">
        <v>1495.79</v>
      </c>
      <c r="M347">
        <v>2783.12</v>
      </c>
      <c r="N347">
        <v>0.02</v>
      </c>
      <c r="O347">
        <v>5</v>
      </c>
    </row>
    <row r="348" spans="1:15" x14ac:dyDescent="0.25">
      <c r="A348" t="s">
        <v>360</v>
      </c>
      <c r="B348" s="2">
        <v>45498</v>
      </c>
      <c r="C348" s="2">
        <v>45506</v>
      </c>
      <c r="D348" t="s">
        <v>648</v>
      </c>
      <c r="E348" t="s">
        <v>653</v>
      </c>
      <c r="F348" t="s">
        <v>681</v>
      </c>
      <c r="G348" t="s">
        <v>704</v>
      </c>
      <c r="H348" t="s">
        <v>711</v>
      </c>
      <c r="I348" t="s">
        <v>713</v>
      </c>
      <c r="J348" t="s">
        <v>733</v>
      </c>
      <c r="K348" t="s">
        <v>1080</v>
      </c>
      <c r="L348">
        <v>986.81</v>
      </c>
      <c r="M348">
        <v>2050.31</v>
      </c>
      <c r="N348">
        <v>0.10299999999999999</v>
      </c>
      <c r="O348">
        <v>43</v>
      </c>
    </row>
    <row r="349" spans="1:15" x14ac:dyDescent="0.25">
      <c r="A349" t="s">
        <v>361</v>
      </c>
      <c r="B349" s="2">
        <v>45050</v>
      </c>
      <c r="C349" s="2">
        <v>45062</v>
      </c>
      <c r="D349" t="s">
        <v>646</v>
      </c>
      <c r="E349" t="s">
        <v>651</v>
      </c>
      <c r="F349" t="s">
        <v>669</v>
      </c>
      <c r="G349" t="s">
        <v>705</v>
      </c>
      <c r="H349" t="s">
        <v>709</v>
      </c>
      <c r="I349" t="s">
        <v>713</v>
      </c>
      <c r="J349" t="s">
        <v>730</v>
      </c>
      <c r="K349" t="s">
        <v>1081</v>
      </c>
      <c r="L349">
        <v>77.739999999999995</v>
      </c>
      <c r="M349">
        <v>147.12</v>
      </c>
      <c r="N349">
        <v>0</v>
      </c>
      <c r="O349">
        <v>15</v>
      </c>
    </row>
    <row r="350" spans="1:15" x14ac:dyDescent="0.25">
      <c r="A350" t="s">
        <v>362</v>
      </c>
      <c r="B350" s="2">
        <v>45281</v>
      </c>
      <c r="C350" s="2">
        <v>45297</v>
      </c>
      <c r="D350" t="s">
        <v>646</v>
      </c>
      <c r="E350" t="s">
        <v>651</v>
      </c>
      <c r="G350" t="s">
        <v>701</v>
      </c>
      <c r="H350" t="s">
        <v>709</v>
      </c>
      <c r="I350" t="s">
        <v>723</v>
      </c>
      <c r="J350" t="s">
        <v>727</v>
      </c>
      <c r="K350" t="s">
        <v>1082</v>
      </c>
      <c r="L350">
        <v>932.61</v>
      </c>
      <c r="M350">
        <v>1982.98</v>
      </c>
      <c r="N350">
        <v>0.14399999999999999</v>
      </c>
      <c r="O350">
        <v>16</v>
      </c>
    </row>
    <row r="351" spans="1:15" x14ac:dyDescent="0.25">
      <c r="A351" t="s">
        <v>363</v>
      </c>
      <c r="B351" s="2">
        <v>45825</v>
      </c>
      <c r="C351" s="2">
        <v>45843</v>
      </c>
      <c r="D351" t="s">
        <v>647</v>
      </c>
      <c r="E351" t="s">
        <v>654</v>
      </c>
      <c r="F351" t="s">
        <v>680</v>
      </c>
      <c r="G351" t="s">
        <v>704</v>
      </c>
      <c r="H351" t="s">
        <v>709</v>
      </c>
      <c r="I351" t="s">
        <v>716</v>
      </c>
      <c r="J351" t="s">
        <v>731</v>
      </c>
      <c r="K351" t="s">
        <v>1083</v>
      </c>
      <c r="L351">
        <v>982.93</v>
      </c>
      <c r="M351">
        <v>2299.3000000000002</v>
      </c>
      <c r="N351">
        <v>0.113</v>
      </c>
      <c r="O351">
        <v>6</v>
      </c>
    </row>
    <row r="352" spans="1:15" x14ac:dyDescent="0.25">
      <c r="A352" t="s">
        <v>364</v>
      </c>
      <c r="B352" s="2">
        <v>44980</v>
      </c>
      <c r="C352" s="2">
        <v>44993</v>
      </c>
      <c r="D352" t="s">
        <v>649</v>
      </c>
      <c r="E352" t="s">
        <v>658</v>
      </c>
      <c r="F352" t="s">
        <v>693</v>
      </c>
      <c r="G352" t="s">
        <v>705</v>
      </c>
      <c r="H352" t="s">
        <v>711</v>
      </c>
      <c r="I352" t="s">
        <v>712</v>
      </c>
      <c r="J352" t="s">
        <v>728</v>
      </c>
      <c r="K352" t="s">
        <v>1084</v>
      </c>
      <c r="L352">
        <v>307.37</v>
      </c>
      <c r="M352">
        <v>462.61</v>
      </c>
      <c r="N352">
        <v>0.188</v>
      </c>
      <c r="O352">
        <v>11</v>
      </c>
    </row>
    <row r="353" spans="1:15" x14ac:dyDescent="0.25">
      <c r="A353" t="s">
        <v>365</v>
      </c>
      <c r="B353" s="2">
        <v>45262</v>
      </c>
      <c r="C353" s="2">
        <v>45276</v>
      </c>
      <c r="D353" t="s">
        <v>649</v>
      </c>
      <c r="E353" t="s">
        <v>656</v>
      </c>
      <c r="F353" t="s">
        <v>698</v>
      </c>
      <c r="G353" t="s">
        <v>702</v>
      </c>
      <c r="H353" t="s">
        <v>711</v>
      </c>
      <c r="I353" t="s">
        <v>725</v>
      </c>
      <c r="J353" t="s">
        <v>732</v>
      </c>
      <c r="K353" t="s">
        <v>1085</v>
      </c>
      <c r="L353">
        <v>879.08</v>
      </c>
      <c r="M353">
        <v>1093.3900000000001</v>
      </c>
      <c r="N353">
        <v>0.113</v>
      </c>
      <c r="O353">
        <v>17</v>
      </c>
    </row>
    <row r="354" spans="1:15" x14ac:dyDescent="0.25">
      <c r="A354" t="s">
        <v>366</v>
      </c>
      <c r="B354" s="2">
        <v>45121</v>
      </c>
      <c r="C354" s="2">
        <v>45121</v>
      </c>
      <c r="D354" t="s">
        <v>646</v>
      </c>
      <c r="E354" t="s">
        <v>651</v>
      </c>
      <c r="F354" t="s">
        <v>665</v>
      </c>
      <c r="G354" t="s">
        <v>702</v>
      </c>
      <c r="H354" t="s">
        <v>707</v>
      </c>
      <c r="I354" t="s">
        <v>714</v>
      </c>
      <c r="J354" t="s">
        <v>733</v>
      </c>
      <c r="K354" t="s">
        <v>1086</v>
      </c>
      <c r="L354">
        <v>956.38</v>
      </c>
      <c r="M354">
        <v>1454.22</v>
      </c>
      <c r="N354">
        <v>3.9E-2</v>
      </c>
      <c r="O354">
        <v>19</v>
      </c>
    </row>
    <row r="355" spans="1:15" x14ac:dyDescent="0.25">
      <c r="A355" t="s">
        <v>367</v>
      </c>
      <c r="B355" s="2">
        <v>45512</v>
      </c>
      <c r="C355" s="2">
        <v>45524</v>
      </c>
      <c r="D355" t="s">
        <v>647</v>
      </c>
      <c r="E355" t="s">
        <v>652</v>
      </c>
      <c r="F355" t="s">
        <v>666</v>
      </c>
      <c r="G355" t="s">
        <v>705</v>
      </c>
      <c r="H355" t="s">
        <v>707</v>
      </c>
      <c r="I355" t="s">
        <v>722</v>
      </c>
      <c r="J355" t="s">
        <v>729</v>
      </c>
      <c r="K355" t="s">
        <v>1087</v>
      </c>
      <c r="L355">
        <v>1233.3599999999999</v>
      </c>
      <c r="M355">
        <v>2120.4</v>
      </c>
      <c r="N355">
        <v>0.17899999999999999</v>
      </c>
      <c r="O355">
        <v>20</v>
      </c>
    </row>
    <row r="356" spans="1:15" x14ac:dyDescent="0.25">
      <c r="A356" t="s">
        <v>368</v>
      </c>
      <c r="B356" s="2">
        <v>45603</v>
      </c>
      <c r="C356" s="2">
        <v>45622</v>
      </c>
      <c r="D356" t="s">
        <v>648</v>
      </c>
      <c r="E356" t="s">
        <v>655</v>
      </c>
      <c r="F356" t="s">
        <v>692</v>
      </c>
      <c r="G356" t="s">
        <v>703</v>
      </c>
      <c r="H356" t="s">
        <v>710</v>
      </c>
      <c r="I356" t="s">
        <v>713</v>
      </c>
      <c r="J356" t="s">
        <v>728</v>
      </c>
      <c r="K356" t="s">
        <v>1088</v>
      </c>
      <c r="L356">
        <v>55.35</v>
      </c>
      <c r="M356">
        <v>128.68</v>
      </c>
      <c r="N356">
        <v>0.128</v>
      </c>
      <c r="O356">
        <v>10</v>
      </c>
    </row>
    <row r="357" spans="1:15" x14ac:dyDescent="0.25">
      <c r="A357" t="s">
        <v>369</v>
      </c>
      <c r="B357" s="2">
        <v>45292</v>
      </c>
      <c r="C357" s="2">
        <v>45318</v>
      </c>
      <c r="D357" t="s">
        <v>649</v>
      </c>
      <c r="E357" t="s">
        <v>658</v>
      </c>
      <c r="F357" t="s">
        <v>693</v>
      </c>
      <c r="G357" t="s">
        <v>702</v>
      </c>
      <c r="H357" t="s">
        <v>710</v>
      </c>
      <c r="I357" t="s">
        <v>726</v>
      </c>
      <c r="J357" t="s">
        <v>733</v>
      </c>
      <c r="K357" t="s">
        <v>1089</v>
      </c>
      <c r="L357">
        <v>657.45</v>
      </c>
      <c r="M357">
        <v>1325.96</v>
      </c>
      <c r="N357">
        <v>0.16700000000000001</v>
      </c>
      <c r="O357">
        <v>21</v>
      </c>
    </row>
    <row r="358" spans="1:15" x14ac:dyDescent="0.25">
      <c r="A358" t="s">
        <v>370</v>
      </c>
      <c r="B358" s="2">
        <v>45883</v>
      </c>
      <c r="C358" s="2">
        <v>45911</v>
      </c>
      <c r="D358" t="s">
        <v>648</v>
      </c>
      <c r="E358" t="s">
        <v>655</v>
      </c>
      <c r="F358" t="s">
        <v>670</v>
      </c>
      <c r="G358" t="s">
        <v>703</v>
      </c>
      <c r="H358" t="s">
        <v>711</v>
      </c>
      <c r="I358" t="s">
        <v>721</v>
      </c>
      <c r="J358" t="s">
        <v>728</v>
      </c>
      <c r="K358" t="s">
        <v>1090</v>
      </c>
      <c r="L358">
        <v>1203.02</v>
      </c>
      <c r="M358">
        <v>2439.33</v>
      </c>
      <c r="N358">
        <v>0</v>
      </c>
      <c r="O358">
        <v>18</v>
      </c>
    </row>
    <row r="359" spans="1:15" x14ac:dyDescent="0.25">
      <c r="A359" t="s">
        <v>371</v>
      </c>
      <c r="B359" s="2">
        <v>45385</v>
      </c>
      <c r="C359" s="2">
        <v>45403</v>
      </c>
      <c r="D359" t="s">
        <v>648</v>
      </c>
      <c r="E359" t="s">
        <v>655</v>
      </c>
      <c r="F359" t="s">
        <v>672</v>
      </c>
      <c r="G359" t="s">
        <v>705</v>
      </c>
      <c r="H359" t="s">
        <v>710</v>
      </c>
      <c r="I359" t="s">
        <v>717</v>
      </c>
      <c r="J359" t="s">
        <v>729</v>
      </c>
      <c r="K359" t="s">
        <v>1091</v>
      </c>
      <c r="L359">
        <v>1176.69</v>
      </c>
      <c r="M359">
        <v>2201.54</v>
      </c>
      <c r="N359">
        <v>0.17</v>
      </c>
      <c r="O359">
        <v>27</v>
      </c>
    </row>
    <row r="360" spans="1:15" x14ac:dyDescent="0.25">
      <c r="A360" t="s">
        <v>372</v>
      </c>
      <c r="B360" s="2">
        <v>45621</v>
      </c>
      <c r="C360" s="2">
        <v>45633</v>
      </c>
      <c r="D360" t="s">
        <v>647</v>
      </c>
      <c r="E360" t="s">
        <v>659</v>
      </c>
      <c r="F360" t="s">
        <v>685</v>
      </c>
      <c r="G360" t="s">
        <v>701</v>
      </c>
      <c r="H360" t="s">
        <v>710</v>
      </c>
      <c r="I360" t="s">
        <v>720</v>
      </c>
      <c r="J360" t="s">
        <v>733</v>
      </c>
      <c r="K360" t="s">
        <v>1092</v>
      </c>
      <c r="L360">
        <v>769.9</v>
      </c>
      <c r="M360">
        <v>814.36</v>
      </c>
      <c r="N360">
        <v>0</v>
      </c>
      <c r="O360">
        <v>5</v>
      </c>
    </row>
    <row r="361" spans="1:15" x14ac:dyDescent="0.25">
      <c r="A361" t="s">
        <v>373</v>
      </c>
      <c r="B361" s="2">
        <v>45309</v>
      </c>
      <c r="C361" s="2">
        <v>45325</v>
      </c>
      <c r="D361" t="s">
        <v>646</v>
      </c>
      <c r="E361" t="s">
        <v>661</v>
      </c>
      <c r="F361" t="s">
        <v>695</v>
      </c>
      <c r="G361" t="s">
        <v>703</v>
      </c>
      <c r="H361" t="s">
        <v>710</v>
      </c>
      <c r="I361" t="s">
        <v>716</v>
      </c>
      <c r="J361" t="s">
        <v>728</v>
      </c>
      <c r="K361" t="s">
        <v>1093</v>
      </c>
      <c r="L361">
        <v>666.23</v>
      </c>
      <c r="M361">
        <v>1382.91</v>
      </c>
      <c r="N361">
        <v>0.17599999999999999</v>
      </c>
      <c r="O361">
        <v>13</v>
      </c>
    </row>
    <row r="362" spans="1:15" x14ac:dyDescent="0.25">
      <c r="A362" t="s">
        <v>374</v>
      </c>
      <c r="B362" s="2">
        <v>45466</v>
      </c>
      <c r="C362" s="2">
        <v>45468</v>
      </c>
      <c r="D362" t="s">
        <v>649</v>
      </c>
      <c r="E362" t="s">
        <v>658</v>
      </c>
      <c r="F362" t="s">
        <v>674</v>
      </c>
      <c r="G362" t="s">
        <v>705</v>
      </c>
      <c r="H362" t="s">
        <v>709</v>
      </c>
      <c r="I362" t="s">
        <v>716</v>
      </c>
      <c r="J362" t="s">
        <v>733</v>
      </c>
      <c r="K362" t="s">
        <v>1094</v>
      </c>
      <c r="L362">
        <v>951.44</v>
      </c>
      <c r="M362">
        <v>1646.43</v>
      </c>
      <c r="N362">
        <v>0.11</v>
      </c>
      <c r="O362">
        <v>24</v>
      </c>
    </row>
    <row r="363" spans="1:15" x14ac:dyDescent="0.25">
      <c r="A363" t="s">
        <v>375</v>
      </c>
      <c r="B363" s="2">
        <v>45833</v>
      </c>
      <c r="C363" s="2">
        <v>45848</v>
      </c>
      <c r="D363" t="s">
        <v>649</v>
      </c>
      <c r="E363" t="s">
        <v>658</v>
      </c>
      <c r="F363" t="s">
        <v>674</v>
      </c>
      <c r="G363" t="s">
        <v>703</v>
      </c>
      <c r="H363" t="s">
        <v>709</v>
      </c>
      <c r="I363" t="s">
        <v>726</v>
      </c>
      <c r="J363" t="s">
        <v>730</v>
      </c>
      <c r="K363" t="s">
        <v>1095</v>
      </c>
      <c r="L363">
        <v>546.83000000000004</v>
      </c>
      <c r="M363">
        <v>400.84</v>
      </c>
      <c r="N363">
        <v>7.8E-2</v>
      </c>
      <c r="O363">
        <v>13</v>
      </c>
    </row>
    <row r="364" spans="1:15" x14ac:dyDescent="0.25">
      <c r="A364" t="s">
        <v>376</v>
      </c>
      <c r="B364" s="2">
        <v>45108</v>
      </c>
      <c r="C364" s="2">
        <v>45115</v>
      </c>
      <c r="D364" t="s">
        <v>646</v>
      </c>
      <c r="E364" t="s">
        <v>651</v>
      </c>
      <c r="F364" t="s">
        <v>663</v>
      </c>
      <c r="G364" t="s">
        <v>701</v>
      </c>
      <c r="H364" t="s">
        <v>707</v>
      </c>
      <c r="I364" t="s">
        <v>720</v>
      </c>
      <c r="J364" t="s">
        <v>731</v>
      </c>
      <c r="K364" t="s">
        <v>1096</v>
      </c>
      <c r="L364">
        <v>834.26</v>
      </c>
      <c r="M364">
        <v>1780.56</v>
      </c>
      <c r="N364">
        <v>1.4E-2</v>
      </c>
      <c r="O364">
        <v>47</v>
      </c>
    </row>
    <row r="365" spans="1:15" x14ac:dyDescent="0.25">
      <c r="A365" t="s">
        <v>377</v>
      </c>
      <c r="B365" s="2">
        <v>45360</v>
      </c>
      <c r="C365" s="2">
        <v>45377</v>
      </c>
      <c r="D365" t="s">
        <v>647</v>
      </c>
      <c r="E365" t="s">
        <v>659</v>
      </c>
      <c r="F365" t="s">
        <v>676</v>
      </c>
      <c r="G365" t="s">
        <v>706</v>
      </c>
      <c r="H365" t="s">
        <v>708</v>
      </c>
      <c r="I365" t="s">
        <v>723</v>
      </c>
      <c r="J365" t="s">
        <v>732</v>
      </c>
      <c r="K365" t="s">
        <v>1097</v>
      </c>
      <c r="L365">
        <v>1029.67</v>
      </c>
      <c r="M365">
        <v>1118.43</v>
      </c>
      <c r="N365">
        <v>0.27200000000000002</v>
      </c>
      <c r="O365">
        <v>9</v>
      </c>
    </row>
    <row r="366" spans="1:15" x14ac:dyDescent="0.25">
      <c r="A366" t="s">
        <v>378</v>
      </c>
      <c r="B366" s="2">
        <v>45082</v>
      </c>
      <c r="C366" s="2">
        <v>45105</v>
      </c>
      <c r="D366" t="s">
        <v>649</v>
      </c>
      <c r="E366" t="s">
        <v>658</v>
      </c>
      <c r="F366" t="s">
        <v>674</v>
      </c>
      <c r="G366" t="s">
        <v>701</v>
      </c>
      <c r="H366" t="s">
        <v>711</v>
      </c>
      <c r="I366" t="s">
        <v>723</v>
      </c>
      <c r="J366" t="s">
        <v>728</v>
      </c>
      <c r="K366" t="s">
        <v>1098</v>
      </c>
      <c r="L366">
        <v>605.82000000000005</v>
      </c>
      <c r="M366">
        <v>771.12</v>
      </c>
      <c r="N366">
        <v>0.13200000000000001</v>
      </c>
      <c r="O366">
        <v>19</v>
      </c>
    </row>
    <row r="367" spans="1:15" x14ac:dyDescent="0.25">
      <c r="A367" t="s">
        <v>379</v>
      </c>
      <c r="B367" s="2">
        <v>45737</v>
      </c>
      <c r="C367" s="2">
        <v>45756</v>
      </c>
      <c r="D367" t="s">
        <v>647</v>
      </c>
      <c r="E367" t="s">
        <v>652</v>
      </c>
      <c r="F367" t="s">
        <v>689</v>
      </c>
      <c r="G367" t="s">
        <v>705</v>
      </c>
      <c r="H367" t="s">
        <v>710</v>
      </c>
      <c r="I367" t="s">
        <v>718</v>
      </c>
      <c r="J367" t="s">
        <v>727</v>
      </c>
      <c r="K367" t="s">
        <v>1099</v>
      </c>
      <c r="L367">
        <v>1055.45</v>
      </c>
      <c r="M367">
        <v>1210.04</v>
      </c>
      <c r="N367">
        <v>8.9999999999999993E-3</v>
      </c>
      <c r="O367">
        <v>18</v>
      </c>
    </row>
    <row r="368" spans="1:15" x14ac:dyDescent="0.25">
      <c r="A368" t="s">
        <v>380</v>
      </c>
      <c r="B368" s="2">
        <v>45445</v>
      </c>
      <c r="C368" s="2">
        <v>45458</v>
      </c>
      <c r="D368" t="s">
        <v>646</v>
      </c>
      <c r="E368" t="s">
        <v>650</v>
      </c>
      <c r="F368" t="s">
        <v>675</v>
      </c>
      <c r="G368" t="s">
        <v>702</v>
      </c>
      <c r="H368" t="s">
        <v>708</v>
      </c>
      <c r="I368" t="s">
        <v>719</v>
      </c>
      <c r="J368" t="s">
        <v>730</v>
      </c>
      <c r="K368" t="s">
        <v>1100</v>
      </c>
      <c r="L368">
        <v>1295.18</v>
      </c>
      <c r="M368">
        <v>3024.03</v>
      </c>
      <c r="N368">
        <v>0.192</v>
      </c>
      <c r="O368">
        <v>8</v>
      </c>
    </row>
    <row r="369" spans="1:15" x14ac:dyDescent="0.25">
      <c r="A369" t="s">
        <v>381</v>
      </c>
      <c r="B369" s="2">
        <v>45731</v>
      </c>
      <c r="C369" s="2">
        <v>45745</v>
      </c>
      <c r="D369" t="s">
        <v>647</v>
      </c>
      <c r="E369" t="s">
        <v>654</v>
      </c>
      <c r="F369" t="s">
        <v>691</v>
      </c>
      <c r="G369" t="s">
        <v>706</v>
      </c>
      <c r="H369" t="s">
        <v>711</v>
      </c>
      <c r="I369" t="s">
        <v>712</v>
      </c>
      <c r="J369" t="s">
        <v>727</v>
      </c>
      <c r="K369" t="s">
        <v>1101</v>
      </c>
      <c r="L369">
        <v>935.83</v>
      </c>
      <c r="M369">
        <v>2303.46</v>
      </c>
      <c r="N369">
        <v>0.105</v>
      </c>
      <c r="O369">
        <v>9</v>
      </c>
    </row>
    <row r="370" spans="1:15" x14ac:dyDescent="0.25">
      <c r="A370" t="s">
        <v>382</v>
      </c>
      <c r="B370" s="2">
        <v>45194</v>
      </c>
      <c r="C370" s="2">
        <v>45208</v>
      </c>
      <c r="D370" t="s">
        <v>648</v>
      </c>
      <c r="E370" t="s">
        <v>660</v>
      </c>
      <c r="F370" t="s">
        <v>700</v>
      </c>
      <c r="G370" t="s">
        <v>705</v>
      </c>
      <c r="H370" t="s">
        <v>709</v>
      </c>
      <c r="I370" t="s">
        <v>713</v>
      </c>
      <c r="J370" t="s">
        <v>731</v>
      </c>
      <c r="K370" t="s">
        <v>1102</v>
      </c>
      <c r="L370">
        <v>1279.56</v>
      </c>
      <c r="M370">
        <v>3083.8</v>
      </c>
      <c r="N370">
        <v>0.106</v>
      </c>
      <c r="O370">
        <v>5</v>
      </c>
    </row>
    <row r="371" spans="1:15" x14ac:dyDescent="0.25">
      <c r="A371" t="s">
        <v>383</v>
      </c>
      <c r="B371" s="2">
        <v>45832</v>
      </c>
      <c r="C371" s="2">
        <v>45861</v>
      </c>
      <c r="D371" t="s">
        <v>648</v>
      </c>
      <c r="E371" t="s">
        <v>653</v>
      </c>
      <c r="F371" t="s">
        <v>688</v>
      </c>
      <c r="G371" t="s">
        <v>703</v>
      </c>
      <c r="H371" t="s">
        <v>709</v>
      </c>
      <c r="I371" t="s">
        <v>714</v>
      </c>
      <c r="J371" t="s">
        <v>728</v>
      </c>
      <c r="K371" t="s">
        <v>1103</v>
      </c>
      <c r="L371">
        <v>255.4</v>
      </c>
      <c r="M371">
        <v>322.70999999999998</v>
      </c>
      <c r="N371">
        <v>0.115</v>
      </c>
      <c r="O371">
        <v>16</v>
      </c>
    </row>
    <row r="372" spans="1:15" x14ac:dyDescent="0.25">
      <c r="A372" t="s">
        <v>384</v>
      </c>
      <c r="B372" s="2">
        <v>45286</v>
      </c>
      <c r="C372" s="2">
        <v>45294</v>
      </c>
      <c r="D372" t="s">
        <v>649</v>
      </c>
      <c r="E372" t="s">
        <v>657</v>
      </c>
      <c r="F372" t="s">
        <v>679</v>
      </c>
      <c r="G372" t="s">
        <v>705</v>
      </c>
      <c r="H372" t="s">
        <v>707</v>
      </c>
      <c r="I372" t="s">
        <v>724</v>
      </c>
      <c r="J372" t="s">
        <v>731</v>
      </c>
      <c r="K372" t="s">
        <v>1104</v>
      </c>
      <c r="L372">
        <v>492.75</v>
      </c>
      <c r="M372">
        <v>731.29</v>
      </c>
      <c r="N372">
        <v>5.8000000000000003E-2</v>
      </c>
      <c r="O372">
        <v>6</v>
      </c>
    </row>
    <row r="373" spans="1:15" x14ac:dyDescent="0.25">
      <c r="A373" t="s">
        <v>385</v>
      </c>
      <c r="B373" s="2">
        <v>44962</v>
      </c>
      <c r="C373" s="2">
        <v>44985</v>
      </c>
      <c r="D373" t="s">
        <v>648</v>
      </c>
      <c r="E373" t="s">
        <v>660</v>
      </c>
      <c r="F373" t="s">
        <v>697</v>
      </c>
      <c r="G373" t="s">
        <v>703</v>
      </c>
      <c r="H373" t="s">
        <v>710</v>
      </c>
      <c r="I373" t="s">
        <v>716</v>
      </c>
      <c r="J373" t="s">
        <v>730</v>
      </c>
      <c r="K373" t="s">
        <v>1105</v>
      </c>
      <c r="L373">
        <v>1214.49</v>
      </c>
      <c r="M373">
        <v>1533.95</v>
      </c>
      <c r="N373">
        <v>0</v>
      </c>
      <c r="O373">
        <v>11</v>
      </c>
    </row>
    <row r="374" spans="1:15" x14ac:dyDescent="0.25">
      <c r="A374" t="s">
        <v>386</v>
      </c>
      <c r="B374" s="2">
        <v>45022</v>
      </c>
      <c r="C374" s="2">
        <v>45024</v>
      </c>
      <c r="D374" t="s">
        <v>646</v>
      </c>
      <c r="E374" t="s">
        <v>651</v>
      </c>
      <c r="F374" t="s">
        <v>669</v>
      </c>
      <c r="G374" t="s">
        <v>705</v>
      </c>
      <c r="H374" t="s">
        <v>709</v>
      </c>
      <c r="I374" t="s">
        <v>723</v>
      </c>
      <c r="J374" t="s">
        <v>732</v>
      </c>
      <c r="K374" t="s">
        <v>1106</v>
      </c>
      <c r="L374">
        <v>720.35</v>
      </c>
      <c r="M374">
        <v>1571.66</v>
      </c>
      <c r="N374">
        <v>0.107</v>
      </c>
      <c r="O374">
        <v>23</v>
      </c>
    </row>
    <row r="375" spans="1:15" x14ac:dyDescent="0.25">
      <c r="A375" t="s">
        <v>387</v>
      </c>
      <c r="B375" s="2">
        <v>45751</v>
      </c>
      <c r="C375" s="2">
        <v>45757</v>
      </c>
      <c r="D375" t="s">
        <v>649</v>
      </c>
      <c r="E375" t="s">
        <v>658</v>
      </c>
      <c r="F375" t="s">
        <v>674</v>
      </c>
      <c r="G375" t="s">
        <v>703</v>
      </c>
      <c r="H375" t="s">
        <v>711</v>
      </c>
      <c r="I375" t="s">
        <v>725</v>
      </c>
      <c r="J375" t="s">
        <v>728</v>
      </c>
      <c r="K375" t="s">
        <v>1107</v>
      </c>
      <c r="L375">
        <v>290.14</v>
      </c>
      <c r="M375">
        <v>250.73</v>
      </c>
      <c r="N375">
        <v>3.4000000000000002E-2</v>
      </c>
      <c r="O375">
        <v>17</v>
      </c>
    </row>
    <row r="376" spans="1:15" x14ac:dyDescent="0.25">
      <c r="A376" t="s">
        <v>388</v>
      </c>
      <c r="B376" s="2">
        <v>45429</v>
      </c>
      <c r="C376" s="2">
        <v>45439</v>
      </c>
      <c r="D376" t="s">
        <v>648</v>
      </c>
      <c r="E376" t="s">
        <v>660</v>
      </c>
      <c r="F376" t="s">
        <v>697</v>
      </c>
      <c r="G376" t="s">
        <v>703</v>
      </c>
      <c r="H376" t="s">
        <v>708</v>
      </c>
      <c r="I376" t="s">
        <v>712</v>
      </c>
      <c r="J376" t="s">
        <v>730</v>
      </c>
      <c r="K376" t="s">
        <v>1108</v>
      </c>
      <c r="L376">
        <v>1484.23</v>
      </c>
      <c r="M376">
        <v>3472.81</v>
      </c>
      <c r="N376">
        <v>0.25600000000000001</v>
      </c>
      <c r="O376">
        <v>12</v>
      </c>
    </row>
    <row r="377" spans="1:15" x14ac:dyDescent="0.25">
      <c r="A377" t="s">
        <v>389</v>
      </c>
      <c r="B377" s="2">
        <v>45354</v>
      </c>
      <c r="C377" s="2">
        <v>45370</v>
      </c>
      <c r="D377" t="s">
        <v>647</v>
      </c>
      <c r="E377" t="s">
        <v>659</v>
      </c>
      <c r="F377" t="s">
        <v>699</v>
      </c>
      <c r="G377" t="s">
        <v>704</v>
      </c>
      <c r="H377" t="s">
        <v>710</v>
      </c>
      <c r="I377" t="s">
        <v>715</v>
      </c>
      <c r="J377" t="s">
        <v>730</v>
      </c>
      <c r="K377" t="s">
        <v>1109</v>
      </c>
      <c r="L377">
        <v>988.83</v>
      </c>
      <c r="M377">
        <v>1206.04</v>
      </c>
      <c r="N377">
        <v>6.3E-2</v>
      </c>
      <c r="O377">
        <v>34</v>
      </c>
    </row>
    <row r="378" spans="1:15" x14ac:dyDescent="0.25">
      <c r="A378" t="s">
        <v>390</v>
      </c>
      <c r="B378" s="2">
        <v>45835</v>
      </c>
      <c r="C378" s="2">
        <v>45849</v>
      </c>
      <c r="D378" t="s">
        <v>647</v>
      </c>
      <c r="E378" t="s">
        <v>659</v>
      </c>
      <c r="F378" t="s">
        <v>685</v>
      </c>
      <c r="G378" t="s">
        <v>705</v>
      </c>
      <c r="H378" t="s">
        <v>709</v>
      </c>
      <c r="I378" t="s">
        <v>716</v>
      </c>
      <c r="J378" t="s">
        <v>729</v>
      </c>
      <c r="K378" t="s">
        <v>1110</v>
      </c>
      <c r="L378">
        <v>1227.7</v>
      </c>
      <c r="M378">
        <v>2197.23</v>
      </c>
      <c r="N378">
        <v>9.9000000000000005E-2</v>
      </c>
      <c r="O378">
        <v>22</v>
      </c>
    </row>
    <row r="379" spans="1:15" x14ac:dyDescent="0.25">
      <c r="A379" t="s">
        <v>391</v>
      </c>
      <c r="B379" s="2">
        <v>44998</v>
      </c>
      <c r="C379" s="2">
        <v>45020</v>
      </c>
      <c r="D379" t="s">
        <v>646</v>
      </c>
      <c r="E379" t="s">
        <v>661</v>
      </c>
      <c r="F379" t="s">
        <v>687</v>
      </c>
      <c r="G379" t="s">
        <v>705</v>
      </c>
      <c r="H379" t="s">
        <v>707</v>
      </c>
      <c r="I379" t="s">
        <v>720</v>
      </c>
      <c r="J379" t="s">
        <v>727</v>
      </c>
      <c r="K379" t="s">
        <v>1111</v>
      </c>
      <c r="L379">
        <v>1113.7</v>
      </c>
      <c r="M379">
        <v>1620.6</v>
      </c>
      <c r="N379">
        <v>0.13900000000000001</v>
      </c>
      <c r="O379">
        <v>11</v>
      </c>
    </row>
    <row r="380" spans="1:15" x14ac:dyDescent="0.25">
      <c r="A380" t="s">
        <v>392</v>
      </c>
      <c r="B380" s="2">
        <v>45664</v>
      </c>
      <c r="C380" s="2">
        <v>45677</v>
      </c>
      <c r="D380" t="s">
        <v>646</v>
      </c>
      <c r="E380" t="s">
        <v>661</v>
      </c>
      <c r="F380" t="s">
        <v>695</v>
      </c>
      <c r="G380" t="s">
        <v>701</v>
      </c>
      <c r="H380" t="s">
        <v>711</v>
      </c>
      <c r="I380" t="s">
        <v>723</v>
      </c>
      <c r="J380" t="s">
        <v>729</v>
      </c>
      <c r="K380" t="s">
        <v>1112</v>
      </c>
      <c r="L380">
        <v>432.13</v>
      </c>
      <c r="M380">
        <v>1034.6600000000001</v>
      </c>
      <c r="N380">
        <v>9.1999999999999998E-2</v>
      </c>
      <c r="O380">
        <v>7</v>
      </c>
    </row>
    <row r="381" spans="1:15" x14ac:dyDescent="0.25">
      <c r="A381" t="s">
        <v>393</v>
      </c>
      <c r="B381" s="2">
        <v>45694</v>
      </c>
      <c r="C381" s="2">
        <v>45703</v>
      </c>
      <c r="D381" t="s">
        <v>648</v>
      </c>
      <c r="E381" t="s">
        <v>655</v>
      </c>
      <c r="F381" t="s">
        <v>670</v>
      </c>
      <c r="G381" t="s">
        <v>703</v>
      </c>
      <c r="H381" t="s">
        <v>710</v>
      </c>
      <c r="I381" t="s">
        <v>721</v>
      </c>
      <c r="J381" t="s">
        <v>729</v>
      </c>
      <c r="K381" t="s">
        <v>1113</v>
      </c>
      <c r="L381">
        <v>837.39</v>
      </c>
      <c r="M381">
        <v>1905.42</v>
      </c>
      <c r="N381">
        <v>3.2000000000000001E-2</v>
      </c>
      <c r="O381">
        <v>18</v>
      </c>
    </row>
    <row r="382" spans="1:15" x14ac:dyDescent="0.25">
      <c r="A382" t="s">
        <v>394</v>
      </c>
      <c r="B382" s="2">
        <v>45688</v>
      </c>
      <c r="C382" s="2">
        <v>45705</v>
      </c>
      <c r="D382" t="s">
        <v>649</v>
      </c>
      <c r="E382" t="s">
        <v>658</v>
      </c>
      <c r="F382" t="s">
        <v>683</v>
      </c>
      <c r="G382" t="s">
        <v>706</v>
      </c>
      <c r="H382" t="s">
        <v>707</v>
      </c>
      <c r="I382" t="s">
        <v>722</v>
      </c>
      <c r="J382" t="s">
        <v>727</v>
      </c>
      <c r="K382" t="s">
        <v>812</v>
      </c>
      <c r="L382">
        <v>378.26</v>
      </c>
      <c r="M382">
        <v>541.55999999999995</v>
      </c>
      <c r="N382">
        <v>0.16300000000000001</v>
      </c>
      <c r="O382">
        <v>25</v>
      </c>
    </row>
    <row r="383" spans="1:15" x14ac:dyDescent="0.25">
      <c r="A383" t="s">
        <v>395</v>
      </c>
      <c r="B383" s="2">
        <v>45876</v>
      </c>
      <c r="C383" s="2">
        <v>45906</v>
      </c>
      <c r="D383" t="s">
        <v>648</v>
      </c>
      <c r="E383" t="s">
        <v>653</v>
      </c>
      <c r="F383" t="s">
        <v>681</v>
      </c>
      <c r="G383" t="s">
        <v>702</v>
      </c>
      <c r="H383" t="s">
        <v>711</v>
      </c>
      <c r="I383" t="s">
        <v>724</v>
      </c>
      <c r="J383" t="s">
        <v>729</v>
      </c>
      <c r="K383" t="s">
        <v>1114</v>
      </c>
      <c r="L383">
        <v>833.73</v>
      </c>
      <c r="M383">
        <v>1116.5999999999999</v>
      </c>
      <c r="N383">
        <v>0.17599999999999999</v>
      </c>
      <c r="O383">
        <v>14</v>
      </c>
    </row>
    <row r="384" spans="1:15" x14ac:dyDescent="0.25">
      <c r="A384" t="s">
        <v>396</v>
      </c>
      <c r="B384" s="2">
        <v>45861</v>
      </c>
      <c r="C384" s="2">
        <v>45886</v>
      </c>
      <c r="D384" t="s">
        <v>649</v>
      </c>
      <c r="E384" t="s">
        <v>658</v>
      </c>
      <c r="F384" t="s">
        <v>674</v>
      </c>
      <c r="G384" t="s">
        <v>702</v>
      </c>
      <c r="H384" t="s">
        <v>708</v>
      </c>
      <c r="I384" t="s">
        <v>714</v>
      </c>
      <c r="J384" t="s">
        <v>728</v>
      </c>
      <c r="K384" t="s">
        <v>1115</v>
      </c>
      <c r="L384">
        <v>1142.06</v>
      </c>
      <c r="M384">
        <v>1455</v>
      </c>
      <c r="N384">
        <v>7.8E-2</v>
      </c>
      <c r="O384">
        <v>28</v>
      </c>
    </row>
    <row r="385" spans="1:15" x14ac:dyDescent="0.25">
      <c r="A385" t="s">
        <v>397</v>
      </c>
      <c r="B385" s="2">
        <v>45097</v>
      </c>
      <c r="C385" s="2">
        <v>45115</v>
      </c>
      <c r="D385" t="s">
        <v>648</v>
      </c>
      <c r="E385" t="s">
        <v>660</v>
      </c>
      <c r="F385" t="s">
        <v>700</v>
      </c>
      <c r="G385" t="s">
        <v>704</v>
      </c>
      <c r="H385" t="s">
        <v>709</v>
      </c>
      <c r="I385" t="s">
        <v>719</v>
      </c>
      <c r="J385" t="s">
        <v>729</v>
      </c>
      <c r="K385" t="s">
        <v>1116</v>
      </c>
      <c r="L385">
        <v>1145.53</v>
      </c>
      <c r="M385">
        <v>1278.3</v>
      </c>
      <c r="N385">
        <v>0.09</v>
      </c>
      <c r="O385">
        <v>41</v>
      </c>
    </row>
    <row r="386" spans="1:15" x14ac:dyDescent="0.25">
      <c r="A386" t="s">
        <v>398</v>
      </c>
      <c r="B386" s="2">
        <v>45491</v>
      </c>
      <c r="C386" s="2">
        <v>45511</v>
      </c>
      <c r="D386" t="s">
        <v>649</v>
      </c>
      <c r="E386" t="s">
        <v>657</v>
      </c>
      <c r="F386" t="s">
        <v>673</v>
      </c>
      <c r="G386" t="s">
        <v>701</v>
      </c>
      <c r="H386" t="s">
        <v>707</v>
      </c>
      <c r="I386" t="s">
        <v>721</v>
      </c>
      <c r="J386" t="s">
        <v>732</v>
      </c>
      <c r="K386" t="s">
        <v>1117</v>
      </c>
      <c r="L386">
        <v>941.35</v>
      </c>
      <c r="M386">
        <v>899.83</v>
      </c>
      <c r="N386">
        <v>5.8000000000000003E-2</v>
      </c>
      <c r="O386">
        <v>18</v>
      </c>
    </row>
    <row r="387" spans="1:15" x14ac:dyDescent="0.25">
      <c r="A387" t="s">
        <v>399</v>
      </c>
      <c r="B387" s="2">
        <v>45066</v>
      </c>
      <c r="C387" s="2">
        <v>45096</v>
      </c>
      <c r="D387" t="s">
        <v>647</v>
      </c>
      <c r="E387" t="s">
        <v>654</v>
      </c>
      <c r="F387" t="s">
        <v>680</v>
      </c>
      <c r="G387" t="s">
        <v>703</v>
      </c>
      <c r="H387" t="s">
        <v>709</v>
      </c>
      <c r="I387" t="s">
        <v>722</v>
      </c>
      <c r="J387" t="s">
        <v>731</v>
      </c>
      <c r="K387" t="s">
        <v>1118</v>
      </c>
      <c r="L387">
        <v>1161.2</v>
      </c>
      <c r="M387">
        <v>878.73</v>
      </c>
      <c r="N387">
        <v>0.19</v>
      </c>
      <c r="O387">
        <v>31</v>
      </c>
    </row>
    <row r="388" spans="1:15" x14ac:dyDescent="0.25">
      <c r="A388" t="s">
        <v>400</v>
      </c>
      <c r="B388" s="2">
        <v>45789</v>
      </c>
      <c r="C388" s="2">
        <v>45803</v>
      </c>
      <c r="D388" t="s">
        <v>647</v>
      </c>
      <c r="E388" t="s">
        <v>654</v>
      </c>
      <c r="F388" t="s">
        <v>696</v>
      </c>
      <c r="G388" t="s">
        <v>701</v>
      </c>
      <c r="H388" t="s">
        <v>709</v>
      </c>
      <c r="I388" t="s">
        <v>715</v>
      </c>
      <c r="J388" t="s">
        <v>728</v>
      </c>
      <c r="K388" t="s">
        <v>1119</v>
      </c>
      <c r="L388">
        <v>320.12</v>
      </c>
      <c r="M388">
        <v>594.41999999999996</v>
      </c>
      <c r="N388">
        <v>0.104</v>
      </c>
      <c r="O388">
        <v>18</v>
      </c>
    </row>
    <row r="389" spans="1:15" x14ac:dyDescent="0.25">
      <c r="A389" t="s">
        <v>401</v>
      </c>
      <c r="B389" s="2">
        <v>45419</v>
      </c>
      <c r="C389" s="2">
        <v>45424</v>
      </c>
      <c r="D389" t="s">
        <v>646</v>
      </c>
      <c r="E389" t="s">
        <v>651</v>
      </c>
      <c r="F389" t="s">
        <v>669</v>
      </c>
      <c r="G389" t="s">
        <v>703</v>
      </c>
      <c r="H389" t="s">
        <v>710</v>
      </c>
      <c r="I389" t="s">
        <v>716</v>
      </c>
      <c r="J389" t="s">
        <v>731</v>
      </c>
      <c r="K389" t="s">
        <v>1120</v>
      </c>
      <c r="L389">
        <v>1163.99</v>
      </c>
      <c r="M389">
        <v>1617.85</v>
      </c>
      <c r="N389">
        <v>0.127</v>
      </c>
      <c r="O389">
        <v>14</v>
      </c>
    </row>
    <row r="390" spans="1:15" x14ac:dyDescent="0.25">
      <c r="A390" t="s">
        <v>402</v>
      </c>
      <c r="B390" s="2">
        <v>45199</v>
      </c>
      <c r="C390" s="2">
        <v>45202</v>
      </c>
      <c r="D390" t="s">
        <v>647</v>
      </c>
      <c r="E390" t="s">
        <v>659</v>
      </c>
      <c r="F390" t="s">
        <v>699</v>
      </c>
      <c r="G390" t="s">
        <v>703</v>
      </c>
      <c r="H390" t="s">
        <v>707</v>
      </c>
      <c r="I390" t="s">
        <v>713</v>
      </c>
      <c r="J390" t="s">
        <v>731</v>
      </c>
      <c r="K390" t="s">
        <v>1121</v>
      </c>
      <c r="L390">
        <v>1019.36</v>
      </c>
      <c r="M390">
        <v>972.91</v>
      </c>
      <c r="N390">
        <v>0.14699999999999999</v>
      </c>
      <c r="O390">
        <v>17</v>
      </c>
    </row>
    <row r="391" spans="1:15" x14ac:dyDescent="0.25">
      <c r="A391" t="s">
        <v>403</v>
      </c>
      <c r="B391" s="2">
        <v>45225</v>
      </c>
      <c r="C391" s="2">
        <v>45235</v>
      </c>
      <c r="D391" t="s">
        <v>646</v>
      </c>
      <c r="E391" t="s">
        <v>661</v>
      </c>
      <c r="F391" t="s">
        <v>695</v>
      </c>
      <c r="G391" t="s">
        <v>703</v>
      </c>
      <c r="H391" t="s">
        <v>708</v>
      </c>
      <c r="I391" t="s">
        <v>714</v>
      </c>
      <c r="J391" t="s">
        <v>731</v>
      </c>
      <c r="K391" t="s">
        <v>1122</v>
      </c>
      <c r="L391">
        <v>20.38</v>
      </c>
      <c r="M391">
        <v>42.56</v>
      </c>
      <c r="N391">
        <v>7.1999999999999995E-2</v>
      </c>
      <c r="O391">
        <v>11</v>
      </c>
    </row>
    <row r="392" spans="1:15" x14ac:dyDescent="0.25">
      <c r="A392" t="s">
        <v>404</v>
      </c>
      <c r="B392" s="2">
        <v>45823</v>
      </c>
      <c r="C392" s="2">
        <v>45838</v>
      </c>
      <c r="D392" t="s">
        <v>646</v>
      </c>
      <c r="E392" t="s">
        <v>661</v>
      </c>
      <c r="F392" t="s">
        <v>682</v>
      </c>
      <c r="G392" t="s">
        <v>705</v>
      </c>
      <c r="H392" t="s">
        <v>711</v>
      </c>
      <c r="I392" t="s">
        <v>712</v>
      </c>
      <c r="J392" t="s">
        <v>732</v>
      </c>
      <c r="K392" t="s">
        <v>1123</v>
      </c>
      <c r="L392">
        <v>1487.59</v>
      </c>
      <c r="M392">
        <v>1480.83</v>
      </c>
      <c r="N392">
        <v>8.9999999999999993E-3</v>
      </c>
      <c r="O392">
        <v>11</v>
      </c>
    </row>
    <row r="393" spans="1:15" x14ac:dyDescent="0.25">
      <c r="A393" t="s">
        <v>405</v>
      </c>
      <c r="B393" s="2">
        <v>45514</v>
      </c>
      <c r="C393" s="2">
        <v>45542</v>
      </c>
      <c r="D393" t="s">
        <v>649</v>
      </c>
      <c r="E393" t="s">
        <v>657</v>
      </c>
      <c r="F393" t="s">
        <v>673</v>
      </c>
      <c r="G393" t="s">
        <v>703</v>
      </c>
      <c r="H393" t="s">
        <v>711</v>
      </c>
      <c r="I393" t="s">
        <v>721</v>
      </c>
      <c r="J393" t="s">
        <v>728</v>
      </c>
      <c r="K393" t="s">
        <v>1124</v>
      </c>
      <c r="L393">
        <v>229.96</v>
      </c>
      <c r="M393">
        <v>564.26</v>
      </c>
      <c r="N393">
        <v>0.105</v>
      </c>
      <c r="O393">
        <v>5</v>
      </c>
    </row>
    <row r="394" spans="1:15" x14ac:dyDescent="0.25">
      <c r="A394" t="s">
        <v>406</v>
      </c>
      <c r="B394" s="2">
        <v>45208</v>
      </c>
      <c r="C394" s="2">
        <v>45225</v>
      </c>
      <c r="D394" t="s">
        <v>647</v>
      </c>
      <c r="E394" t="s">
        <v>659</v>
      </c>
      <c r="F394" t="s">
        <v>685</v>
      </c>
      <c r="G394" t="s">
        <v>704</v>
      </c>
      <c r="H394" t="s">
        <v>709</v>
      </c>
      <c r="I394" t="s">
        <v>712</v>
      </c>
      <c r="J394" t="s">
        <v>727</v>
      </c>
      <c r="K394" t="s">
        <v>1125</v>
      </c>
      <c r="L394">
        <v>1132.03</v>
      </c>
      <c r="M394">
        <v>2137.21</v>
      </c>
      <c r="N394">
        <v>0.35699999999999998</v>
      </c>
      <c r="O394">
        <v>35</v>
      </c>
    </row>
    <row r="395" spans="1:15" x14ac:dyDescent="0.25">
      <c r="A395" t="s">
        <v>407</v>
      </c>
      <c r="B395" s="2">
        <v>45360</v>
      </c>
      <c r="C395" s="2">
        <v>45377</v>
      </c>
      <c r="D395" t="s">
        <v>648</v>
      </c>
      <c r="E395" t="s">
        <v>660</v>
      </c>
      <c r="F395" t="s">
        <v>686</v>
      </c>
      <c r="G395" t="s">
        <v>702</v>
      </c>
      <c r="H395" t="s">
        <v>711</v>
      </c>
      <c r="I395" t="s">
        <v>714</v>
      </c>
      <c r="J395" t="s">
        <v>730</v>
      </c>
      <c r="K395" t="s">
        <v>1126</v>
      </c>
      <c r="L395">
        <v>1137.4100000000001</v>
      </c>
      <c r="M395">
        <v>1680.93</v>
      </c>
      <c r="N395">
        <v>0.254</v>
      </c>
      <c r="O395">
        <v>9</v>
      </c>
    </row>
    <row r="396" spans="1:15" x14ac:dyDescent="0.25">
      <c r="A396" t="s">
        <v>408</v>
      </c>
      <c r="B396" s="2">
        <v>45075</v>
      </c>
      <c r="C396" s="2">
        <v>45097</v>
      </c>
      <c r="D396" t="s">
        <v>649</v>
      </c>
      <c r="E396" t="s">
        <v>658</v>
      </c>
      <c r="F396" t="s">
        <v>683</v>
      </c>
      <c r="G396" t="s">
        <v>705</v>
      </c>
      <c r="H396" t="s">
        <v>711</v>
      </c>
      <c r="I396" t="s">
        <v>723</v>
      </c>
      <c r="J396" t="s">
        <v>727</v>
      </c>
      <c r="K396" t="s">
        <v>1127</v>
      </c>
      <c r="L396">
        <v>1295.3900000000001</v>
      </c>
      <c r="M396">
        <v>2905.06</v>
      </c>
      <c r="N396">
        <v>0.14799999999999999</v>
      </c>
      <c r="O396">
        <v>8</v>
      </c>
    </row>
    <row r="397" spans="1:15" x14ac:dyDescent="0.25">
      <c r="A397" t="s">
        <v>409</v>
      </c>
      <c r="B397" s="2">
        <v>45804</v>
      </c>
      <c r="C397" s="2">
        <v>45816</v>
      </c>
      <c r="D397" t="s">
        <v>647</v>
      </c>
      <c r="E397" t="s">
        <v>652</v>
      </c>
      <c r="F397" t="s">
        <v>666</v>
      </c>
      <c r="G397" t="s">
        <v>701</v>
      </c>
      <c r="H397" t="s">
        <v>707</v>
      </c>
      <c r="I397" t="s">
        <v>722</v>
      </c>
      <c r="J397" t="s">
        <v>733</v>
      </c>
      <c r="K397" t="s">
        <v>1128</v>
      </c>
      <c r="L397">
        <v>653.6</v>
      </c>
      <c r="M397">
        <v>842.09</v>
      </c>
      <c r="N397">
        <v>9.8000000000000004E-2</v>
      </c>
      <c r="O397">
        <v>19</v>
      </c>
    </row>
    <row r="398" spans="1:15" x14ac:dyDescent="0.25">
      <c r="A398" t="s">
        <v>410</v>
      </c>
      <c r="B398" s="2">
        <v>45890</v>
      </c>
      <c r="C398" s="2">
        <v>45914</v>
      </c>
      <c r="D398" t="s">
        <v>649</v>
      </c>
      <c r="E398" t="s">
        <v>656</v>
      </c>
      <c r="F398" t="s">
        <v>671</v>
      </c>
      <c r="G398" t="s">
        <v>703</v>
      </c>
      <c r="H398" t="s">
        <v>708</v>
      </c>
      <c r="I398" t="s">
        <v>720</v>
      </c>
      <c r="J398" t="s">
        <v>732</v>
      </c>
      <c r="K398" t="s">
        <v>1129</v>
      </c>
      <c r="L398">
        <v>1397.67</v>
      </c>
      <c r="M398">
        <v>3131.37</v>
      </c>
      <c r="N398">
        <v>0.10299999999999999</v>
      </c>
      <c r="O398">
        <v>20</v>
      </c>
    </row>
    <row r="399" spans="1:15" x14ac:dyDescent="0.25">
      <c r="A399" t="s">
        <v>411</v>
      </c>
      <c r="B399" s="2">
        <v>45638</v>
      </c>
      <c r="C399" s="2">
        <v>45646</v>
      </c>
      <c r="D399" t="s">
        <v>647</v>
      </c>
      <c r="E399" t="s">
        <v>652</v>
      </c>
      <c r="F399" t="s">
        <v>689</v>
      </c>
      <c r="G399" t="s">
        <v>701</v>
      </c>
      <c r="H399" t="s">
        <v>707</v>
      </c>
      <c r="I399" t="s">
        <v>717</v>
      </c>
      <c r="J399" t="s">
        <v>731</v>
      </c>
      <c r="K399" t="s">
        <v>1130</v>
      </c>
      <c r="L399">
        <v>1202.47</v>
      </c>
      <c r="M399">
        <v>1444.72</v>
      </c>
      <c r="N399">
        <v>0.24099999999999999</v>
      </c>
      <c r="O399">
        <v>17</v>
      </c>
    </row>
    <row r="400" spans="1:15" x14ac:dyDescent="0.25">
      <c r="A400" t="s">
        <v>412</v>
      </c>
      <c r="B400" s="2">
        <v>45914</v>
      </c>
      <c r="C400" s="2">
        <v>45923</v>
      </c>
      <c r="D400" t="s">
        <v>646</v>
      </c>
      <c r="E400" t="s">
        <v>661</v>
      </c>
      <c r="F400" t="s">
        <v>687</v>
      </c>
      <c r="G400" t="s">
        <v>703</v>
      </c>
      <c r="H400" t="s">
        <v>708</v>
      </c>
      <c r="I400" t="s">
        <v>726</v>
      </c>
      <c r="J400" t="s">
        <v>727</v>
      </c>
      <c r="K400" t="s">
        <v>1131</v>
      </c>
      <c r="L400">
        <v>1310.3</v>
      </c>
      <c r="M400">
        <v>2875.8</v>
      </c>
      <c r="N400">
        <v>8.3000000000000004E-2</v>
      </c>
      <c r="O400">
        <v>5</v>
      </c>
    </row>
    <row r="401" spans="1:15" x14ac:dyDescent="0.25">
      <c r="A401" t="s">
        <v>413</v>
      </c>
      <c r="B401" s="2">
        <v>45541</v>
      </c>
      <c r="C401" s="2">
        <v>45569</v>
      </c>
      <c r="D401" t="s">
        <v>646</v>
      </c>
      <c r="E401" t="s">
        <v>661</v>
      </c>
      <c r="F401" t="s">
        <v>695</v>
      </c>
      <c r="G401" t="s">
        <v>701</v>
      </c>
      <c r="H401" t="s">
        <v>709</v>
      </c>
      <c r="I401" t="s">
        <v>726</v>
      </c>
      <c r="J401" t="s">
        <v>732</v>
      </c>
      <c r="K401" t="s">
        <v>1132</v>
      </c>
      <c r="L401">
        <v>1174.17</v>
      </c>
      <c r="M401">
        <v>1641.61</v>
      </c>
      <c r="N401">
        <v>0.122</v>
      </c>
      <c r="O401">
        <v>9</v>
      </c>
    </row>
    <row r="402" spans="1:15" x14ac:dyDescent="0.25">
      <c r="A402" t="s">
        <v>414</v>
      </c>
      <c r="B402" s="2">
        <v>45759</v>
      </c>
      <c r="C402" s="2">
        <v>45777</v>
      </c>
      <c r="D402" t="s">
        <v>646</v>
      </c>
      <c r="E402" t="s">
        <v>650</v>
      </c>
      <c r="F402" t="s">
        <v>662</v>
      </c>
      <c r="G402" t="s">
        <v>701</v>
      </c>
      <c r="H402" t="s">
        <v>709</v>
      </c>
      <c r="I402" t="s">
        <v>721</v>
      </c>
      <c r="J402" t="s">
        <v>729</v>
      </c>
      <c r="K402" t="s">
        <v>1133</v>
      </c>
      <c r="L402">
        <v>1119.04</v>
      </c>
      <c r="M402">
        <v>1299.02</v>
      </c>
      <c r="N402">
        <v>2.5000000000000001E-2</v>
      </c>
      <c r="O402">
        <v>14</v>
      </c>
    </row>
    <row r="403" spans="1:15" x14ac:dyDescent="0.25">
      <c r="A403" t="s">
        <v>415</v>
      </c>
      <c r="B403" s="2">
        <v>45516</v>
      </c>
      <c r="C403" s="2">
        <v>45519</v>
      </c>
      <c r="D403" t="s">
        <v>648</v>
      </c>
      <c r="E403" t="s">
        <v>660</v>
      </c>
      <c r="F403" t="s">
        <v>677</v>
      </c>
      <c r="G403" t="s">
        <v>701</v>
      </c>
      <c r="H403" t="s">
        <v>709</v>
      </c>
      <c r="I403" t="s">
        <v>726</v>
      </c>
      <c r="J403" t="s">
        <v>728</v>
      </c>
      <c r="K403" t="s">
        <v>1134</v>
      </c>
      <c r="L403">
        <v>850.7</v>
      </c>
      <c r="M403">
        <v>1118.56</v>
      </c>
      <c r="N403">
        <v>0.18</v>
      </c>
      <c r="O403">
        <v>19</v>
      </c>
    </row>
    <row r="404" spans="1:15" x14ac:dyDescent="0.25">
      <c r="A404" t="s">
        <v>416</v>
      </c>
      <c r="B404" s="2">
        <v>45601</v>
      </c>
      <c r="C404" s="2">
        <v>45604</v>
      </c>
      <c r="D404" t="s">
        <v>648</v>
      </c>
      <c r="E404" t="s">
        <v>653</v>
      </c>
      <c r="F404" t="s">
        <v>667</v>
      </c>
      <c r="G404" t="s">
        <v>702</v>
      </c>
      <c r="H404" t="s">
        <v>709</v>
      </c>
      <c r="I404" t="s">
        <v>719</v>
      </c>
      <c r="J404" t="s">
        <v>727</v>
      </c>
      <c r="K404" t="s">
        <v>1135</v>
      </c>
      <c r="L404">
        <v>1020.4</v>
      </c>
      <c r="M404">
        <v>1184.71</v>
      </c>
      <c r="N404">
        <v>0.106</v>
      </c>
      <c r="O404">
        <v>16</v>
      </c>
    </row>
    <row r="405" spans="1:15" x14ac:dyDescent="0.25">
      <c r="A405" t="s">
        <v>417</v>
      </c>
      <c r="B405" s="2">
        <v>45497</v>
      </c>
      <c r="C405" s="2">
        <v>45512</v>
      </c>
      <c r="D405" t="s">
        <v>649</v>
      </c>
      <c r="E405" t="s">
        <v>657</v>
      </c>
      <c r="F405" t="s">
        <v>673</v>
      </c>
      <c r="G405" t="s">
        <v>706</v>
      </c>
      <c r="H405" t="s">
        <v>709</v>
      </c>
      <c r="I405" t="s">
        <v>722</v>
      </c>
      <c r="J405" t="s">
        <v>731</v>
      </c>
      <c r="K405" t="s">
        <v>1136</v>
      </c>
      <c r="L405">
        <v>501.5</v>
      </c>
      <c r="M405">
        <v>1201.47</v>
      </c>
      <c r="N405">
        <v>0.126</v>
      </c>
      <c r="O405">
        <v>5</v>
      </c>
    </row>
    <row r="406" spans="1:15" x14ac:dyDescent="0.25">
      <c r="A406" t="s">
        <v>418</v>
      </c>
      <c r="B406" s="2">
        <v>45677</v>
      </c>
      <c r="C406" s="2">
        <v>45691</v>
      </c>
      <c r="D406" t="s">
        <v>648</v>
      </c>
      <c r="E406" t="s">
        <v>655</v>
      </c>
      <c r="F406" t="s">
        <v>672</v>
      </c>
      <c r="G406" t="s">
        <v>706</v>
      </c>
      <c r="H406" t="s">
        <v>709</v>
      </c>
      <c r="I406" t="s">
        <v>721</v>
      </c>
      <c r="J406" t="s">
        <v>727</v>
      </c>
      <c r="K406" t="s">
        <v>1137</v>
      </c>
      <c r="L406">
        <v>974.11</v>
      </c>
      <c r="M406">
        <v>880.99</v>
      </c>
      <c r="N406">
        <v>0.111</v>
      </c>
      <c r="O406">
        <v>10</v>
      </c>
    </row>
    <row r="407" spans="1:15" x14ac:dyDescent="0.25">
      <c r="A407" t="s">
        <v>419</v>
      </c>
      <c r="B407" s="2">
        <v>44991</v>
      </c>
      <c r="C407" s="2">
        <v>45020</v>
      </c>
      <c r="D407" t="s">
        <v>647</v>
      </c>
      <c r="E407" t="s">
        <v>659</v>
      </c>
      <c r="F407" t="s">
        <v>699</v>
      </c>
      <c r="G407" t="s">
        <v>705</v>
      </c>
      <c r="H407" t="s">
        <v>711</v>
      </c>
      <c r="I407" t="s">
        <v>712</v>
      </c>
      <c r="J407" t="s">
        <v>732</v>
      </c>
      <c r="K407" t="s">
        <v>1138</v>
      </c>
      <c r="L407">
        <v>1126.29</v>
      </c>
      <c r="M407">
        <v>2050.87</v>
      </c>
      <c r="N407">
        <v>6.4000000000000001E-2</v>
      </c>
      <c r="O407">
        <v>7</v>
      </c>
    </row>
    <row r="408" spans="1:15" x14ac:dyDescent="0.25">
      <c r="A408" t="s">
        <v>420</v>
      </c>
      <c r="B408" s="2">
        <v>45646</v>
      </c>
      <c r="C408" s="2">
        <v>45671</v>
      </c>
      <c r="D408" t="s">
        <v>647</v>
      </c>
      <c r="E408" t="s">
        <v>654</v>
      </c>
      <c r="F408" t="s">
        <v>680</v>
      </c>
      <c r="G408" t="s">
        <v>705</v>
      </c>
      <c r="H408" t="s">
        <v>707</v>
      </c>
      <c r="I408" t="s">
        <v>724</v>
      </c>
      <c r="J408" t="s">
        <v>728</v>
      </c>
      <c r="K408" t="s">
        <v>1139</v>
      </c>
      <c r="L408">
        <v>1361.34</v>
      </c>
      <c r="M408">
        <v>1737.9</v>
      </c>
      <c r="N408">
        <v>7.6999999999999999E-2</v>
      </c>
      <c r="O408">
        <v>14</v>
      </c>
    </row>
    <row r="409" spans="1:15" x14ac:dyDescent="0.25">
      <c r="A409" t="s">
        <v>421</v>
      </c>
      <c r="B409" s="2">
        <v>45709</v>
      </c>
      <c r="C409" s="2">
        <v>45737</v>
      </c>
      <c r="D409" t="s">
        <v>646</v>
      </c>
      <c r="E409" t="s">
        <v>651</v>
      </c>
      <c r="F409" t="s">
        <v>669</v>
      </c>
      <c r="G409" t="s">
        <v>706</v>
      </c>
      <c r="H409" t="s">
        <v>709</v>
      </c>
      <c r="I409" t="s">
        <v>714</v>
      </c>
      <c r="J409" t="s">
        <v>730</v>
      </c>
      <c r="K409" t="s">
        <v>1140</v>
      </c>
      <c r="L409">
        <v>1437.39</v>
      </c>
      <c r="M409">
        <v>1388.31</v>
      </c>
      <c r="N409">
        <v>0.13800000000000001</v>
      </c>
      <c r="O409">
        <v>18</v>
      </c>
    </row>
    <row r="410" spans="1:15" x14ac:dyDescent="0.25">
      <c r="A410" t="s">
        <v>422</v>
      </c>
      <c r="B410" s="2">
        <v>45724</v>
      </c>
      <c r="C410" s="2">
        <v>45731</v>
      </c>
      <c r="D410" t="s">
        <v>647</v>
      </c>
      <c r="E410" t="s">
        <v>654</v>
      </c>
      <c r="F410" t="s">
        <v>668</v>
      </c>
      <c r="G410" t="s">
        <v>701</v>
      </c>
      <c r="H410" t="s">
        <v>710</v>
      </c>
      <c r="I410" t="s">
        <v>723</v>
      </c>
      <c r="J410" t="s">
        <v>731</v>
      </c>
      <c r="K410" t="s">
        <v>1141</v>
      </c>
      <c r="L410">
        <v>475.66</v>
      </c>
      <c r="M410">
        <v>529.14</v>
      </c>
      <c r="N410">
        <v>0.19600000000000001</v>
      </c>
      <c r="O410">
        <v>11</v>
      </c>
    </row>
    <row r="411" spans="1:15" x14ac:dyDescent="0.25">
      <c r="A411" t="s">
        <v>423</v>
      </c>
      <c r="B411" s="2">
        <v>45276</v>
      </c>
      <c r="C411" s="2">
        <v>45279</v>
      </c>
      <c r="D411" t="s">
        <v>647</v>
      </c>
      <c r="E411" t="s">
        <v>659</v>
      </c>
      <c r="F411" t="s">
        <v>699</v>
      </c>
      <c r="G411" t="s">
        <v>702</v>
      </c>
      <c r="H411" t="s">
        <v>707</v>
      </c>
      <c r="I411" t="s">
        <v>720</v>
      </c>
      <c r="J411" t="s">
        <v>733</v>
      </c>
      <c r="K411" t="s">
        <v>1142</v>
      </c>
      <c r="L411">
        <v>1415.05</v>
      </c>
      <c r="M411">
        <v>1972.38</v>
      </c>
      <c r="N411">
        <v>0</v>
      </c>
      <c r="O411">
        <v>12</v>
      </c>
    </row>
    <row r="412" spans="1:15" x14ac:dyDescent="0.25">
      <c r="A412" t="s">
        <v>424</v>
      </c>
      <c r="B412" s="2">
        <v>45534</v>
      </c>
      <c r="C412" s="2">
        <v>45540</v>
      </c>
      <c r="D412" t="s">
        <v>647</v>
      </c>
      <c r="E412" t="s">
        <v>652</v>
      </c>
      <c r="F412" t="s">
        <v>694</v>
      </c>
      <c r="G412" t="s">
        <v>702</v>
      </c>
      <c r="H412" t="s">
        <v>708</v>
      </c>
      <c r="I412" t="s">
        <v>725</v>
      </c>
      <c r="J412" t="s">
        <v>731</v>
      </c>
      <c r="K412" t="s">
        <v>1143</v>
      </c>
      <c r="L412">
        <v>466.16</v>
      </c>
      <c r="M412">
        <v>876.81</v>
      </c>
      <c r="N412">
        <v>0.24099999999999999</v>
      </c>
      <c r="O412">
        <v>8</v>
      </c>
    </row>
    <row r="413" spans="1:15" x14ac:dyDescent="0.25">
      <c r="A413" t="s">
        <v>425</v>
      </c>
      <c r="B413" s="2">
        <v>45430</v>
      </c>
      <c r="C413" s="2">
        <v>45433</v>
      </c>
      <c r="D413" t="s">
        <v>649</v>
      </c>
      <c r="E413" t="s">
        <v>657</v>
      </c>
      <c r="F413" t="s">
        <v>673</v>
      </c>
      <c r="G413" t="s">
        <v>703</v>
      </c>
      <c r="H413" t="s">
        <v>709</v>
      </c>
      <c r="I413" t="s">
        <v>726</v>
      </c>
      <c r="J413" t="s">
        <v>728</v>
      </c>
      <c r="K413" t="s">
        <v>1144</v>
      </c>
      <c r="L413">
        <v>663.66</v>
      </c>
      <c r="M413">
        <v>824.26</v>
      </c>
      <c r="N413">
        <v>0.23899999999999999</v>
      </c>
      <c r="O413">
        <v>11</v>
      </c>
    </row>
    <row r="414" spans="1:15" x14ac:dyDescent="0.25">
      <c r="A414" t="s">
        <v>426</v>
      </c>
      <c r="B414" s="2">
        <v>45002</v>
      </c>
      <c r="C414" s="2">
        <v>45022</v>
      </c>
      <c r="D414" t="s">
        <v>649</v>
      </c>
      <c r="E414" t="s">
        <v>656</v>
      </c>
      <c r="F414" t="s">
        <v>684</v>
      </c>
      <c r="G414" t="s">
        <v>704</v>
      </c>
      <c r="H414" t="s">
        <v>707</v>
      </c>
      <c r="I414" t="s">
        <v>719</v>
      </c>
      <c r="J414" t="s">
        <v>730</v>
      </c>
      <c r="K414" t="s">
        <v>1145</v>
      </c>
      <c r="L414">
        <v>692.18</v>
      </c>
      <c r="M414">
        <v>1159.3499999999999</v>
      </c>
      <c r="N414">
        <v>0.112</v>
      </c>
      <c r="O414">
        <v>2</v>
      </c>
    </row>
    <row r="415" spans="1:15" x14ac:dyDescent="0.25">
      <c r="A415" t="s">
        <v>427</v>
      </c>
      <c r="B415" s="2">
        <v>45163</v>
      </c>
      <c r="C415" s="2">
        <v>45185</v>
      </c>
      <c r="D415" t="s">
        <v>646</v>
      </c>
      <c r="E415" t="s">
        <v>651</v>
      </c>
      <c r="F415" t="s">
        <v>669</v>
      </c>
      <c r="G415" t="s">
        <v>701</v>
      </c>
      <c r="H415" t="s">
        <v>709</v>
      </c>
      <c r="I415" t="s">
        <v>716</v>
      </c>
      <c r="J415" t="s">
        <v>730</v>
      </c>
      <c r="K415" t="s">
        <v>1146</v>
      </c>
      <c r="L415">
        <v>1196.83</v>
      </c>
      <c r="M415">
        <v>2513.5100000000002</v>
      </c>
      <c r="N415">
        <v>8.3000000000000004E-2</v>
      </c>
      <c r="O415">
        <v>7</v>
      </c>
    </row>
    <row r="416" spans="1:15" x14ac:dyDescent="0.25">
      <c r="A416" t="s">
        <v>428</v>
      </c>
      <c r="B416" s="2">
        <v>45449</v>
      </c>
      <c r="C416" s="2">
        <v>45467</v>
      </c>
      <c r="D416" t="s">
        <v>647</v>
      </c>
      <c r="E416" t="s">
        <v>654</v>
      </c>
      <c r="F416" t="s">
        <v>668</v>
      </c>
      <c r="G416" t="s">
        <v>705</v>
      </c>
      <c r="H416" t="s">
        <v>711</v>
      </c>
      <c r="I416" t="s">
        <v>722</v>
      </c>
      <c r="J416" t="s">
        <v>729</v>
      </c>
      <c r="K416" t="s">
        <v>1147</v>
      </c>
      <c r="L416">
        <v>1253.25</v>
      </c>
      <c r="M416">
        <v>3087.13</v>
      </c>
      <c r="N416">
        <v>7.1999999999999995E-2</v>
      </c>
      <c r="O416">
        <v>11</v>
      </c>
    </row>
    <row r="417" spans="1:15" x14ac:dyDescent="0.25">
      <c r="A417" t="s">
        <v>429</v>
      </c>
      <c r="B417" s="2">
        <v>45167</v>
      </c>
      <c r="C417" s="2">
        <v>45182</v>
      </c>
      <c r="D417" t="s">
        <v>648</v>
      </c>
      <c r="E417" t="s">
        <v>653</v>
      </c>
      <c r="F417" t="s">
        <v>688</v>
      </c>
      <c r="G417" t="s">
        <v>705</v>
      </c>
      <c r="H417" t="s">
        <v>709</v>
      </c>
      <c r="I417" t="s">
        <v>719</v>
      </c>
      <c r="J417" t="s">
        <v>728</v>
      </c>
      <c r="K417" t="s">
        <v>1148</v>
      </c>
      <c r="L417">
        <v>1287.6400000000001</v>
      </c>
      <c r="M417">
        <v>2717.15</v>
      </c>
      <c r="N417">
        <v>3.2000000000000001E-2</v>
      </c>
      <c r="O417">
        <v>7</v>
      </c>
    </row>
    <row r="418" spans="1:15" x14ac:dyDescent="0.25">
      <c r="A418" t="s">
        <v>430</v>
      </c>
      <c r="B418" s="2">
        <v>45626</v>
      </c>
      <c r="C418" s="2">
        <v>45636</v>
      </c>
      <c r="D418" t="s">
        <v>647</v>
      </c>
      <c r="E418" t="s">
        <v>654</v>
      </c>
      <c r="F418" t="s">
        <v>696</v>
      </c>
      <c r="G418" t="s">
        <v>705</v>
      </c>
      <c r="H418" t="s">
        <v>707</v>
      </c>
      <c r="I418" t="s">
        <v>721</v>
      </c>
      <c r="J418" t="s">
        <v>733</v>
      </c>
      <c r="K418" t="s">
        <v>1149</v>
      </c>
      <c r="L418">
        <v>851.49</v>
      </c>
      <c r="M418">
        <v>901.79</v>
      </c>
      <c r="N418">
        <v>0.245</v>
      </c>
      <c r="O418">
        <v>16</v>
      </c>
    </row>
    <row r="419" spans="1:15" x14ac:dyDescent="0.25">
      <c r="A419" t="s">
        <v>431</v>
      </c>
      <c r="B419" s="2">
        <v>45813</v>
      </c>
      <c r="C419" s="2">
        <v>45822</v>
      </c>
      <c r="D419" t="s">
        <v>647</v>
      </c>
      <c r="E419" t="s">
        <v>654</v>
      </c>
      <c r="F419" t="s">
        <v>680</v>
      </c>
      <c r="G419" t="s">
        <v>703</v>
      </c>
      <c r="H419" t="s">
        <v>707</v>
      </c>
      <c r="I419" t="s">
        <v>720</v>
      </c>
      <c r="J419" t="s">
        <v>733</v>
      </c>
      <c r="K419" t="s">
        <v>1150</v>
      </c>
      <c r="L419">
        <v>618.69000000000005</v>
      </c>
      <c r="M419">
        <v>796.15</v>
      </c>
      <c r="N419">
        <v>0.09</v>
      </c>
      <c r="O419">
        <v>11</v>
      </c>
    </row>
    <row r="420" spans="1:15" x14ac:dyDescent="0.25">
      <c r="A420" t="s">
        <v>432</v>
      </c>
      <c r="B420" s="2">
        <v>45730</v>
      </c>
      <c r="C420" s="2">
        <v>45755</v>
      </c>
      <c r="D420" t="s">
        <v>647</v>
      </c>
      <c r="E420" t="s">
        <v>659</v>
      </c>
      <c r="G420" t="s">
        <v>701</v>
      </c>
      <c r="H420" t="s">
        <v>710</v>
      </c>
      <c r="I420" t="s">
        <v>726</v>
      </c>
      <c r="J420" t="s">
        <v>728</v>
      </c>
      <c r="K420" t="s">
        <v>1151</v>
      </c>
      <c r="L420">
        <v>80.59</v>
      </c>
      <c r="M420">
        <v>157.82</v>
      </c>
      <c r="N420">
        <v>0.217</v>
      </c>
      <c r="O420">
        <v>6</v>
      </c>
    </row>
    <row r="421" spans="1:15" x14ac:dyDescent="0.25">
      <c r="A421" t="s">
        <v>433</v>
      </c>
      <c r="B421" s="2">
        <v>45307</v>
      </c>
      <c r="C421" s="2">
        <v>45333</v>
      </c>
      <c r="D421" t="s">
        <v>649</v>
      </c>
      <c r="E421" t="s">
        <v>656</v>
      </c>
      <c r="F421" t="s">
        <v>698</v>
      </c>
      <c r="G421" t="s">
        <v>703</v>
      </c>
      <c r="H421" t="s">
        <v>710</v>
      </c>
      <c r="I421" t="s">
        <v>718</v>
      </c>
      <c r="J421" t="s">
        <v>732</v>
      </c>
      <c r="K421" t="s">
        <v>1152</v>
      </c>
      <c r="L421">
        <v>504.93</v>
      </c>
      <c r="M421">
        <v>819.06</v>
      </c>
      <c r="N421">
        <v>0.22600000000000001</v>
      </c>
      <c r="O421">
        <v>15</v>
      </c>
    </row>
    <row r="422" spans="1:15" x14ac:dyDescent="0.25">
      <c r="A422" t="s">
        <v>434</v>
      </c>
      <c r="B422" s="2">
        <v>45211</v>
      </c>
      <c r="C422" s="2">
        <v>45228</v>
      </c>
      <c r="D422" t="s">
        <v>647</v>
      </c>
      <c r="E422" t="s">
        <v>652</v>
      </c>
      <c r="F422" t="s">
        <v>694</v>
      </c>
      <c r="G422" t="s">
        <v>703</v>
      </c>
      <c r="H422" t="s">
        <v>711</v>
      </c>
      <c r="I422" t="s">
        <v>722</v>
      </c>
      <c r="J422" t="s">
        <v>730</v>
      </c>
      <c r="K422" t="s">
        <v>1153</v>
      </c>
      <c r="L422">
        <v>1102.19</v>
      </c>
      <c r="M422">
        <v>1711.16</v>
      </c>
      <c r="N422">
        <v>0.151</v>
      </c>
      <c r="O422">
        <v>10</v>
      </c>
    </row>
    <row r="423" spans="1:15" x14ac:dyDescent="0.25">
      <c r="A423" t="s">
        <v>435</v>
      </c>
      <c r="B423" s="2">
        <v>45713</v>
      </c>
      <c r="C423" s="2">
        <v>45733</v>
      </c>
      <c r="D423" t="s">
        <v>648</v>
      </c>
      <c r="E423" t="s">
        <v>660</v>
      </c>
      <c r="F423" t="s">
        <v>686</v>
      </c>
      <c r="G423" t="s">
        <v>703</v>
      </c>
      <c r="H423" t="s">
        <v>709</v>
      </c>
      <c r="I423" t="s">
        <v>722</v>
      </c>
      <c r="J423" t="s">
        <v>730</v>
      </c>
      <c r="K423" t="s">
        <v>1154</v>
      </c>
      <c r="L423">
        <v>1205.26</v>
      </c>
      <c r="M423">
        <v>1696.35</v>
      </c>
      <c r="N423">
        <v>1.9E-2</v>
      </c>
      <c r="O423">
        <v>6</v>
      </c>
    </row>
    <row r="424" spans="1:15" x14ac:dyDescent="0.25">
      <c r="A424" t="s">
        <v>436</v>
      </c>
      <c r="B424" s="2">
        <v>45841</v>
      </c>
      <c r="C424" s="2">
        <v>45844</v>
      </c>
      <c r="D424" t="s">
        <v>646</v>
      </c>
      <c r="E424" t="s">
        <v>651</v>
      </c>
      <c r="F424" t="s">
        <v>665</v>
      </c>
      <c r="G424" t="s">
        <v>704</v>
      </c>
      <c r="H424" t="s">
        <v>708</v>
      </c>
      <c r="J424" t="s">
        <v>731</v>
      </c>
      <c r="K424" t="s">
        <v>1155</v>
      </c>
      <c r="L424">
        <v>1313.3</v>
      </c>
      <c r="M424">
        <v>2884.34</v>
      </c>
      <c r="N424">
        <v>0.157</v>
      </c>
      <c r="O424">
        <v>42</v>
      </c>
    </row>
    <row r="425" spans="1:15" x14ac:dyDescent="0.25">
      <c r="A425" t="s">
        <v>437</v>
      </c>
      <c r="B425" s="2">
        <v>45915</v>
      </c>
      <c r="C425" s="2">
        <v>45925</v>
      </c>
      <c r="D425" t="s">
        <v>647</v>
      </c>
      <c r="E425" t="s">
        <v>654</v>
      </c>
      <c r="F425" t="s">
        <v>680</v>
      </c>
      <c r="G425" t="s">
        <v>704</v>
      </c>
      <c r="H425" t="s">
        <v>707</v>
      </c>
      <c r="I425" t="s">
        <v>720</v>
      </c>
      <c r="J425" t="s">
        <v>730</v>
      </c>
      <c r="K425" t="s">
        <v>1156</v>
      </c>
      <c r="L425">
        <v>1488.91</v>
      </c>
      <c r="M425">
        <v>1483.74</v>
      </c>
      <c r="N425">
        <v>0.16800000000000001</v>
      </c>
      <c r="O425">
        <v>24</v>
      </c>
    </row>
    <row r="426" spans="1:15" x14ac:dyDescent="0.25">
      <c r="A426" t="s">
        <v>438</v>
      </c>
      <c r="B426" s="2">
        <v>45341</v>
      </c>
      <c r="C426" s="2">
        <v>45357</v>
      </c>
      <c r="D426" t="s">
        <v>647</v>
      </c>
      <c r="E426" t="s">
        <v>659</v>
      </c>
      <c r="F426" t="s">
        <v>699</v>
      </c>
      <c r="G426" t="s">
        <v>702</v>
      </c>
      <c r="H426" t="s">
        <v>709</v>
      </c>
      <c r="I426" t="s">
        <v>719</v>
      </c>
      <c r="J426" t="s">
        <v>728</v>
      </c>
      <c r="K426" t="s">
        <v>1157</v>
      </c>
      <c r="L426">
        <v>1477.84</v>
      </c>
      <c r="M426">
        <v>3197.47</v>
      </c>
      <c r="N426">
        <v>0.24299999999999999</v>
      </c>
      <c r="O426">
        <v>24</v>
      </c>
    </row>
    <row r="427" spans="1:15" x14ac:dyDescent="0.25">
      <c r="A427" t="s">
        <v>439</v>
      </c>
      <c r="B427" s="2">
        <v>45349</v>
      </c>
      <c r="C427" s="2">
        <v>45377</v>
      </c>
      <c r="D427" t="s">
        <v>647</v>
      </c>
      <c r="E427" t="s">
        <v>654</v>
      </c>
      <c r="F427" t="s">
        <v>691</v>
      </c>
      <c r="G427" t="s">
        <v>702</v>
      </c>
      <c r="H427" t="s">
        <v>709</v>
      </c>
      <c r="I427" t="s">
        <v>715</v>
      </c>
      <c r="J427" t="s">
        <v>731</v>
      </c>
      <c r="K427" t="s">
        <v>1158</v>
      </c>
      <c r="L427">
        <v>1035.19</v>
      </c>
      <c r="M427">
        <v>2322.6999999999998</v>
      </c>
      <c r="N427">
        <v>0.17299999999999999</v>
      </c>
      <c r="O427">
        <v>8</v>
      </c>
    </row>
    <row r="428" spans="1:15" x14ac:dyDescent="0.25">
      <c r="A428" t="s">
        <v>440</v>
      </c>
      <c r="B428" s="2">
        <v>45897</v>
      </c>
      <c r="C428" s="2">
        <v>45905</v>
      </c>
      <c r="D428" t="s">
        <v>646</v>
      </c>
      <c r="E428" t="s">
        <v>651</v>
      </c>
      <c r="F428" t="s">
        <v>663</v>
      </c>
      <c r="G428" t="s">
        <v>705</v>
      </c>
      <c r="H428" t="s">
        <v>709</v>
      </c>
      <c r="I428" t="s">
        <v>718</v>
      </c>
      <c r="J428" t="s">
        <v>731</v>
      </c>
      <c r="K428" t="s">
        <v>1159</v>
      </c>
      <c r="L428">
        <v>1271.0999999999999</v>
      </c>
      <c r="M428">
        <v>1932.42</v>
      </c>
      <c r="N428">
        <v>0.25</v>
      </c>
      <c r="O428">
        <v>21</v>
      </c>
    </row>
    <row r="429" spans="1:15" x14ac:dyDescent="0.25">
      <c r="A429" t="s">
        <v>441</v>
      </c>
      <c r="B429" s="2">
        <v>45522</v>
      </c>
      <c r="C429" s="2">
        <v>45547</v>
      </c>
      <c r="D429" t="s">
        <v>647</v>
      </c>
      <c r="E429" t="s">
        <v>654</v>
      </c>
      <c r="F429" t="s">
        <v>691</v>
      </c>
      <c r="G429" t="s">
        <v>704</v>
      </c>
      <c r="H429" t="s">
        <v>709</v>
      </c>
      <c r="I429" t="s">
        <v>712</v>
      </c>
      <c r="J429" t="s">
        <v>730</v>
      </c>
      <c r="K429" t="s">
        <v>1160</v>
      </c>
      <c r="L429">
        <v>1154.03</v>
      </c>
      <c r="M429">
        <v>1590.36</v>
      </c>
      <c r="N429">
        <v>0.314</v>
      </c>
      <c r="O429">
        <v>18</v>
      </c>
    </row>
    <row r="430" spans="1:15" x14ac:dyDescent="0.25">
      <c r="A430" t="s">
        <v>442</v>
      </c>
      <c r="B430" s="2">
        <v>45347</v>
      </c>
      <c r="C430" s="2">
        <v>45360</v>
      </c>
      <c r="D430" t="s">
        <v>649</v>
      </c>
      <c r="E430" t="s">
        <v>657</v>
      </c>
      <c r="F430" t="s">
        <v>673</v>
      </c>
      <c r="G430" t="s">
        <v>705</v>
      </c>
      <c r="H430" t="s">
        <v>710</v>
      </c>
      <c r="I430" t="s">
        <v>718</v>
      </c>
      <c r="J430" t="s">
        <v>732</v>
      </c>
      <c r="K430" t="s">
        <v>1161</v>
      </c>
      <c r="L430">
        <v>322.44</v>
      </c>
      <c r="M430">
        <v>395.61</v>
      </c>
      <c r="N430">
        <v>0</v>
      </c>
      <c r="O430">
        <v>34</v>
      </c>
    </row>
    <row r="431" spans="1:15" x14ac:dyDescent="0.25">
      <c r="A431" t="s">
        <v>443</v>
      </c>
      <c r="B431" s="2">
        <v>45784</v>
      </c>
      <c r="C431" s="2">
        <v>45790</v>
      </c>
      <c r="D431" t="s">
        <v>647</v>
      </c>
      <c r="E431" t="s">
        <v>654</v>
      </c>
      <c r="F431" t="s">
        <v>668</v>
      </c>
      <c r="G431" t="s">
        <v>706</v>
      </c>
      <c r="H431" t="s">
        <v>711</v>
      </c>
      <c r="I431" t="s">
        <v>713</v>
      </c>
      <c r="J431" t="s">
        <v>730</v>
      </c>
      <c r="K431" t="s">
        <v>1162</v>
      </c>
      <c r="L431">
        <v>935.98</v>
      </c>
      <c r="M431">
        <v>2077.69</v>
      </c>
      <c r="N431">
        <v>0.17499999999999999</v>
      </c>
      <c r="O431">
        <v>24</v>
      </c>
    </row>
    <row r="432" spans="1:15" x14ac:dyDescent="0.25">
      <c r="A432" t="s">
        <v>444</v>
      </c>
      <c r="B432" s="2">
        <v>45597</v>
      </c>
      <c r="C432" s="2">
        <v>45608</v>
      </c>
      <c r="D432" t="s">
        <v>649</v>
      </c>
      <c r="E432" t="s">
        <v>656</v>
      </c>
      <c r="F432" t="s">
        <v>698</v>
      </c>
      <c r="G432" t="s">
        <v>704</v>
      </c>
      <c r="H432" t="s">
        <v>708</v>
      </c>
      <c r="I432" t="s">
        <v>717</v>
      </c>
      <c r="J432" t="s">
        <v>728</v>
      </c>
      <c r="K432" t="s">
        <v>1163</v>
      </c>
      <c r="L432">
        <v>599.84</v>
      </c>
      <c r="M432">
        <v>1330.85</v>
      </c>
      <c r="N432">
        <v>0.115</v>
      </c>
      <c r="O432">
        <v>11</v>
      </c>
    </row>
    <row r="433" spans="1:15" x14ac:dyDescent="0.25">
      <c r="A433" t="s">
        <v>445</v>
      </c>
      <c r="B433" s="2">
        <v>45654</v>
      </c>
      <c r="C433" s="2">
        <v>45665</v>
      </c>
      <c r="D433" t="s">
        <v>647</v>
      </c>
      <c r="E433" t="s">
        <v>659</v>
      </c>
      <c r="F433" t="s">
        <v>676</v>
      </c>
      <c r="G433" t="s">
        <v>706</v>
      </c>
      <c r="H433" t="s">
        <v>708</v>
      </c>
      <c r="I433" t="s">
        <v>723</v>
      </c>
      <c r="J433" t="s">
        <v>731</v>
      </c>
      <c r="K433" t="s">
        <v>1164</v>
      </c>
      <c r="L433">
        <v>1201.31</v>
      </c>
      <c r="M433">
        <v>2764.65</v>
      </c>
      <c r="N433">
        <v>0</v>
      </c>
      <c r="O433">
        <v>21</v>
      </c>
    </row>
    <row r="434" spans="1:15" x14ac:dyDescent="0.25">
      <c r="A434" t="s">
        <v>446</v>
      </c>
      <c r="B434" s="2">
        <v>45220</v>
      </c>
      <c r="C434" s="2">
        <v>45220</v>
      </c>
      <c r="D434" t="s">
        <v>649</v>
      </c>
      <c r="E434" t="s">
        <v>658</v>
      </c>
      <c r="F434" t="s">
        <v>693</v>
      </c>
      <c r="G434" t="s">
        <v>706</v>
      </c>
      <c r="H434" t="s">
        <v>710</v>
      </c>
      <c r="I434" t="s">
        <v>713</v>
      </c>
      <c r="J434" t="s">
        <v>732</v>
      </c>
      <c r="K434" t="s">
        <v>1165</v>
      </c>
      <c r="L434">
        <v>384.19</v>
      </c>
      <c r="M434">
        <v>278.35000000000002</v>
      </c>
      <c r="N434">
        <v>5.6000000000000001E-2</v>
      </c>
      <c r="O434">
        <v>10</v>
      </c>
    </row>
    <row r="435" spans="1:15" x14ac:dyDescent="0.25">
      <c r="A435" t="s">
        <v>447</v>
      </c>
      <c r="B435" s="2">
        <v>45636</v>
      </c>
      <c r="C435" s="2">
        <v>45645</v>
      </c>
      <c r="D435" t="s">
        <v>646</v>
      </c>
      <c r="E435" t="s">
        <v>651</v>
      </c>
      <c r="F435" t="s">
        <v>665</v>
      </c>
      <c r="G435" t="s">
        <v>701</v>
      </c>
      <c r="H435" t="s">
        <v>707</v>
      </c>
      <c r="I435" t="s">
        <v>719</v>
      </c>
      <c r="J435" t="s">
        <v>732</v>
      </c>
      <c r="K435" t="s">
        <v>1166</v>
      </c>
      <c r="L435">
        <v>488.68</v>
      </c>
      <c r="M435">
        <v>984.36</v>
      </c>
      <c r="N435">
        <v>5.8999999999999997E-2</v>
      </c>
      <c r="O435">
        <v>14</v>
      </c>
    </row>
    <row r="436" spans="1:15" x14ac:dyDescent="0.25">
      <c r="A436" t="s">
        <v>448</v>
      </c>
      <c r="B436" s="2">
        <v>45542</v>
      </c>
      <c r="C436" s="2">
        <v>45553</v>
      </c>
      <c r="D436" t="s">
        <v>647</v>
      </c>
      <c r="E436" t="s">
        <v>659</v>
      </c>
      <c r="F436" t="s">
        <v>699</v>
      </c>
      <c r="G436" t="s">
        <v>704</v>
      </c>
      <c r="H436" t="s">
        <v>710</v>
      </c>
      <c r="I436" t="s">
        <v>719</v>
      </c>
      <c r="J436" t="s">
        <v>729</v>
      </c>
      <c r="K436" t="s">
        <v>1167</v>
      </c>
      <c r="L436">
        <v>181.74</v>
      </c>
      <c r="M436">
        <v>190.84</v>
      </c>
      <c r="N436">
        <v>0.214</v>
      </c>
      <c r="O436">
        <v>13</v>
      </c>
    </row>
    <row r="437" spans="1:15" x14ac:dyDescent="0.25">
      <c r="A437" t="s">
        <v>449</v>
      </c>
      <c r="B437" s="2">
        <v>45217</v>
      </c>
      <c r="C437" s="2">
        <v>45219</v>
      </c>
      <c r="D437" t="s">
        <v>646</v>
      </c>
      <c r="E437" t="s">
        <v>650</v>
      </c>
      <c r="F437" t="s">
        <v>662</v>
      </c>
      <c r="G437" t="s">
        <v>704</v>
      </c>
      <c r="H437" t="s">
        <v>707</v>
      </c>
      <c r="I437" t="s">
        <v>713</v>
      </c>
      <c r="J437" t="s">
        <v>730</v>
      </c>
      <c r="K437" t="s">
        <v>1168</v>
      </c>
      <c r="L437">
        <v>774.12</v>
      </c>
      <c r="M437">
        <v>908.3</v>
      </c>
      <c r="N437">
        <v>0</v>
      </c>
      <c r="O437">
        <v>30</v>
      </c>
    </row>
    <row r="438" spans="1:15" x14ac:dyDescent="0.25">
      <c r="A438" t="s">
        <v>450</v>
      </c>
      <c r="B438" s="2">
        <v>45650</v>
      </c>
      <c r="C438" s="2">
        <v>45670</v>
      </c>
      <c r="D438" t="s">
        <v>647</v>
      </c>
      <c r="E438" t="s">
        <v>654</v>
      </c>
      <c r="F438" t="s">
        <v>668</v>
      </c>
      <c r="G438" t="s">
        <v>701</v>
      </c>
      <c r="H438" t="s">
        <v>709</v>
      </c>
      <c r="I438" t="s">
        <v>726</v>
      </c>
      <c r="J438" t="s">
        <v>729</v>
      </c>
      <c r="K438" t="s">
        <v>1169</v>
      </c>
      <c r="L438">
        <v>126.15</v>
      </c>
      <c r="M438">
        <v>284.23</v>
      </c>
      <c r="N438">
        <v>0.113</v>
      </c>
      <c r="O438">
        <v>22</v>
      </c>
    </row>
    <row r="439" spans="1:15" x14ac:dyDescent="0.25">
      <c r="A439" t="s">
        <v>451</v>
      </c>
      <c r="B439" s="2">
        <v>45037</v>
      </c>
      <c r="C439" s="2">
        <v>45035</v>
      </c>
      <c r="D439" t="s">
        <v>647</v>
      </c>
      <c r="E439" t="s">
        <v>652</v>
      </c>
      <c r="F439" t="s">
        <v>694</v>
      </c>
      <c r="G439" t="s">
        <v>705</v>
      </c>
      <c r="H439" t="s">
        <v>711</v>
      </c>
      <c r="I439" t="s">
        <v>724</v>
      </c>
      <c r="J439" t="s">
        <v>727</v>
      </c>
      <c r="K439" t="s">
        <v>1170</v>
      </c>
      <c r="L439">
        <v>607.04</v>
      </c>
      <c r="M439">
        <v>1229.3399999999999</v>
      </c>
      <c r="N439">
        <v>0.14699999999999999</v>
      </c>
      <c r="O439">
        <v>7</v>
      </c>
    </row>
    <row r="440" spans="1:15" x14ac:dyDescent="0.25">
      <c r="A440" t="s">
        <v>452</v>
      </c>
      <c r="B440" s="2">
        <v>45290</v>
      </c>
      <c r="C440" s="2">
        <v>45299</v>
      </c>
      <c r="D440" t="s">
        <v>649</v>
      </c>
      <c r="E440" t="s">
        <v>657</v>
      </c>
      <c r="F440" t="s">
        <v>673</v>
      </c>
      <c r="G440" t="s">
        <v>704</v>
      </c>
      <c r="H440" t="s">
        <v>709</v>
      </c>
      <c r="I440" t="s">
        <v>716</v>
      </c>
      <c r="J440" t="s">
        <v>733</v>
      </c>
      <c r="K440" t="s">
        <v>1171</v>
      </c>
      <c r="L440">
        <v>861.1</v>
      </c>
      <c r="M440">
        <v>1224.72</v>
      </c>
      <c r="N440">
        <v>0.17399999999999999</v>
      </c>
      <c r="O440">
        <v>24</v>
      </c>
    </row>
    <row r="441" spans="1:15" x14ac:dyDescent="0.25">
      <c r="A441" t="s">
        <v>453</v>
      </c>
      <c r="B441" s="2">
        <v>44978</v>
      </c>
      <c r="C441" s="2">
        <v>44997</v>
      </c>
      <c r="D441" t="s">
        <v>646</v>
      </c>
      <c r="E441" t="s">
        <v>650</v>
      </c>
      <c r="F441" t="s">
        <v>678</v>
      </c>
      <c r="G441" t="s">
        <v>701</v>
      </c>
      <c r="H441" t="s">
        <v>708</v>
      </c>
      <c r="I441" t="s">
        <v>721</v>
      </c>
      <c r="J441" t="s">
        <v>729</v>
      </c>
      <c r="K441" t="s">
        <v>1172</v>
      </c>
      <c r="L441">
        <v>352.65</v>
      </c>
      <c r="M441">
        <v>485.86</v>
      </c>
      <c r="N441">
        <v>4.1000000000000002E-2</v>
      </c>
      <c r="O441">
        <v>6</v>
      </c>
    </row>
    <row r="442" spans="1:15" x14ac:dyDescent="0.25">
      <c r="A442" t="s">
        <v>454</v>
      </c>
      <c r="B442" s="2">
        <v>45063</v>
      </c>
      <c r="C442" s="2">
        <v>45080</v>
      </c>
      <c r="D442" t="s">
        <v>647</v>
      </c>
      <c r="E442" t="s">
        <v>659</v>
      </c>
      <c r="F442" t="s">
        <v>699</v>
      </c>
      <c r="G442" t="s">
        <v>703</v>
      </c>
      <c r="H442" t="s">
        <v>710</v>
      </c>
      <c r="I442" t="s">
        <v>724</v>
      </c>
      <c r="J442" t="s">
        <v>728</v>
      </c>
      <c r="K442" t="s">
        <v>1173</v>
      </c>
      <c r="L442">
        <v>979.59</v>
      </c>
      <c r="M442">
        <v>2210.94</v>
      </c>
      <c r="N442">
        <v>0.15</v>
      </c>
      <c r="O442">
        <v>11</v>
      </c>
    </row>
    <row r="443" spans="1:15" x14ac:dyDescent="0.25">
      <c r="A443" t="s">
        <v>455</v>
      </c>
      <c r="B443" s="2">
        <v>45374</v>
      </c>
      <c r="C443" s="2">
        <v>45377</v>
      </c>
      <c r="D443" t="s">
        <v>647</v>
      </c>
      <c r="E443" t="s">
        <v>654</v>
      </c>
      <c r="F443" t="s">
        <v>668</v>
      </c>
      <c r="G443" t="s">
        <v>702</v>
      </c>
      <c r="H443" t="s">
        <v>711</v>
      </c>
      <c r="I443" t="s">
        <v>715</v>
      </c>
      <c r="J443" t="s">
        <v>730</v>
      </c>
      <c r="K443" t="s">
        <v>1174</v>
      </c>
      <c r="L443">
        <v>382.21</v>
      </c>
      <c r="M443">
        <v>571.89</v>
      </c>
      <c r="N443">
        <v>0.14799999999999999</v>
      </c>
      <c r="O443">
        <v>26</v>
      </c>
    </row>
    <row r="444" spans="1:15" x14ac:dyDescent="0.25">
      <c r="A444" t="s">
        <v>456</v>
      </c>
      <c r="B444" s="2">
        <v>45189</v>
      </c>
      <c r="C444" s="2">
        <v>45197</v>
      </c>
      <c r="D444" t="s">
        <v>647</v>
      </c>
      <c r="E444" t="s">
        <v>654</v>
      </c>
      <c r="G444" t="s">
        <v>701</v>
      </c>
      <c r="I444" t="s">
        <v>717</v>
      </c>
      <c r="J444" t="s">
        <v>733</v>
      </c>
      <c r="K444" t="s">
        <v>1175</v>
      </c>
      <c r="L444">
        <v>1362.06</v>
      </c>
      <c r="M444">
        <v>3398.37</v>
      </c>
      <c r="N444">
        <v>0.157</v>
      </c>
      <c r="O444">
        <v>11</v>
      </c>
    </row>
    <row r="445" spans="1:15" x14ac:dyDescent="0.25">
      <c r="A445" t="s">
        <v>457</v>
      </c>
      <c r="B445" s="2">
        <v>45526</v>
      </c>
      <c r="C445" s="2">
        <v>45539</v>
      </c>
      <c r="D445" t="s">
        <v>649</v>
      </c>
      <c r="E445" t="s">
        <v>656</v>
      </c>
      <c r="F445" t="s">
        <v>698</v>
      </c>
      <c r="G445" t="s">
        <v>703</v>
      </c>
      <c r="H445" t="s">
        <v>707</v>
      </c>
      <c r="I445" t="s">
        <v>716</v>
      </c>
      <c r="J445" t="s">
        <v>728</v>
      </c>
      <c r="K445" t="s">
        <v>1176</v>
      </c>
      <c r="L445">
        <v>90.04</v>
      </c>
      <c r="M445">
        <v>194.62</v>
      </c>
      <c r="N445">
        <v>4.2999999999999997E-2</v>
      </c>
      <c r="O445">
        <v>32</v>
      </c>
    </row>
    <row r="446" spans="1:15" x14ac:dyDescent="0.25">
      <c r="A446" t="s">
        <v>458</v>
      </c>
      <c r="B446" s="2">
        <v>45560</v>
      </c>
      <c r="C446" s="2">
        <v>45568</v>
      </c>
      <c r="D446" t="s">
        <v>648</v>
      </c>
      <c r="E446" t="s">
        <v>653</v>
      </c>
      <c r="F446" t="s">
        <v>667</v>
      </c>
      <c r="G446" t="s">
        <v>704</v>
      </c>
      <c r="H446" t="s">
        <v>708</v>
      </c>
      <c r="I446" t="s">
        <v>718</v>
      </c>
      <c r="J446" t="s">
        <v>728</v>
      </c>
      <c r="K446" t="s">
        <v>1177</v>
      </c>
      <c r="L446">
        <v>558.19000000000005</v>
      </c>
      <c r="M446">
        <v>1031.6400000000001</v>
      </c>
      <c r="N446">
        <v>0</v>
      </c>
      <c r="O446">
        <v>21</v>
      </c>
    </row>
    <row r="447" spans="1:15" x14ac:dyDescent="0.25">
      <c r="A447" t="s">
        <v>459</v>
      </c>
      <c r="B447" s="2">
        <v>45090</v>
      </c>
      <c r="C447" s="2">
        <v>45101</v>
      </c>
      <c r="D447" t="s">
        <v>648</v>
      </c>
      <c r="E447" t="s">
        <v>653</v>
      </c>
      <c r="F447" t="s">
        <v>667</v>
      </c>
      <c r="G447" t="s">
        <v>701</v>
      </c>
      <c r="H447" t="s">
        <v>708</v>
      </c>
      <c r="I447" t="s">
        <v>712</v>
      </c>
      <c r="J447" t="s">
        <v>728</v>
      </c>
      <c r="K447" t="s">
        <v>1178</v>
      </c>
      <c r="L447">
        <v>247.07</v>
      </c>
      <c r="M447">
        <v>495.19</v>
      </c>
      <c r="N447">
        <v>2.8000000000000001E-2</v>
      </c>
      <c r="O447">
        <v>4</v>
      </c>
    </row>
    <row r="448" spans="1:15" x14ac:dyDescent="0.25">
      <c r="A448" t="s">
        <v>460</v>
      </c>
      <c r="B448" s="2">
        <v>45284</v>
      </c>
      <c r="C448" s="2">
        <v>45304</v>
      </c>
      <c r="D448" t="s">
        <v>647</v>
      </c>
      <c r="E448" t="s">
        <v>652</v>
      </c>
      <c r="F448" t="s">
        <v>694</v>
      </c>
      <c r="G448" t="s">
        <v>702</v>
      </c>
      <c r="H448" t="s">
        <v>711</v>
      </c>
      <c r="I448" t="s">
        <v>717</v>
      </c>
      <c r="J448" t="s">
        <v>731</v>
      </c>
      <c r="K448" t="s">
        <v>1179</v>
      </c>
      <c r="L448">
        <v>625.37</v>
      </c>
      <c r="M448">
        <v>1319.04</v>
      </c>
      <c r="N448">
        <v>7.3999999999999996E-2</v>
      </c>
      <c r="O448">
        <v>8</v>
      </c>
    </row>
    <row r="449" spans="1:15" x14ac:dyDescent="0.25">
      <c r="A449" t="s">
        <v>461</v>
      </c>
      <c r="B449" s="2">
        <v>45746</v>
      </c>
      <c r="C449" s="2">
        <v>45776</v>
      </c>
      <c r="D449" t="s">
        <v>646</v>
      </c>
      <c r="E449" t="s">
        <v>661</v>
      </c>
      <c r="F449" t="s">
        <v>687</v>
      </c>
      <c r="G449" t="s">
        <v>704</v>
      </c>
      <c r="H449" t="s">
        <v>709</v>
      </c>
      <c r="I449" t="s">
        <v>713</v>
      </c>
      <c r="J449" t="s">
        <v>732</v>
      </c>
      <c r="K449" t="s">
        <v>1180</v>
      </c>
      <c r="L449">
        <v>194.6</v>
      </c>
      <c r="M449">
        <v>314.87</v>
      </c>
      <c r="N449">
        <v>0.29299999999999998</v>
      </c>
      <c r="O449">
        <v>25</v>
      </c>
    </row>
    <row r="450" spans="1:15" x14ac:dyDescent="0.25">
      <c r="A450" t="s">
        <v>462</v>
      </c>
      <c r="B450" s="2">
        <v>45446</v>
      </c>
      <c r="C450" s="2">
        <v>45467</v>
      </c>
      <c r="D450" t="s">
        <v>648</v>
      </c>
      <c r="E450" t="s">
        <v>653</v>
      </c>
      <c r="F450" t="s">
        <v>667</v>
      </c>
      <c r="G450" t="s">
        <v>705</v>
      </c>
      <c r="H450" t="s">
        <v>711</v>
      </c>
      <c r="I450" t="s">
        <v>715</v>
      </c>
      <c r="J450" t="s">
        <v>732</v>
      </c>
      <c r="K450" t="s">
        <v>1181</v>
      </c>
      <c r="L450">
        <v>1205.5</v>
      </c>
      <c r="M450">
        <v>2210.17</v>
      </c>
      <c r="N450">
        <v>0.104</v>
      </c>
      <c r="O450">
        <v>23</v>
      </c>
    </row>
    <row r="451" spans="1:15" x14ac:dyDescent="0.25">
      <c r="A451" t="s">
        <v>463</v>
      </c>
      <c r="B451" s="2">
        <v>45454</v>
      </c>
      <c r="C451" s="2">
        <v>45482</v>
      </c>
      <c r="D451" t="s">
        <v>646</v>
      </c>
      <c r="E451" t="s">
        <v>651</v>
      </c>
      <c r="F451" t="s">
        <v>663</v>
      </c>
      <c r="G451" t="s">
        <v>701</v>
      </c>
      <c r="H451" t="s">
        <v>709</v>
      </c>
      <c r="I451" t="s">
        <v>714</v>
      </c>
      <c r="J451" t="s">
        <v>730</v>
      </c>
      <c r="K451" t="s">
        <v>1182</v>
      </c>
      <c r="L451">
        <v>895.54</v>
      </c>
      <c r="M451">
        <v>1045</v>
      </c>
      <c r="N451">
        <v>0.216</v>
      </c>
      <c r="O451">
        <v>15</v>
      </c>
    </row>
    <row r="452" spans="1:15" x14ac:dyDescent="0.25">
      <c r="A452" t="s">
        <v>464</v>
      </c>
      <c r="B452" s="2">
        <v>45129</v>
      </c>
      <c r="C452" s="2">
        <v>45128</v>
      </c>
      <c r="D452" t="s">
        <v>647</v>
      </c>
      <c r="E452" t="s">
        <v>654</v>
      </c>
      <c r="F452" t="s">
        <v>680</v>
      </c>
      <c r="G452" t="s">
        <v>705</v>
      </c>
      <c r="H452" t="s">
        <v>710</v>
      </c>
      <c r="I452" t="s">
        <v>718</v>
      </c>
      <c r="J452" t="s">
        <v>728</v>
      </c>
      <c r="K452" t="s">
        <v>1183</v>
      </c>
      <c r="L452">
        <v>946.99</v>
      </c>
      <c r="M452">
        <v>2132.19</v>
      </c>
      <c r="N452">
        <v>0.16500000000000001</v>
      </c>
      <c r="O452">
        <v>7</v>
      </c>
    </row>
    <row r="453" spans="1:15" x14ac:dyDescent="0.25">
      <c r="A453" t="s">
        <v>465</v>
      </c>
      <c r="B453" s="2">
        <v>44945</v>
      </c>
      <c r="C453" s="2">
        <v>44960</v>
      </c>
      <c r="D453" t="s">
        <v>649</v>
      </c>
      <c r="E453" t="s">
        <v>658</v>
      </c>
      <c r="F453" t="s">
        <v>683</v>
      </c>
      <c r="G453" t="s">
        <v>706</v>
      </c>
      <c r="H453" t="s">
        <v>710</v>
      </c>
      <c r="I453" t="s">
        <v>715</v>
      </c>
      <c r="J453" t="s">
        <v>733</v>
      </c>
      <c r="K453" t="s">
        <v>1184</v>
      </c>
      <c r="L453">
        <v>873.06</v>
      </c>
      <c r="M453">
        <v>2101.5500000000002</v>
      </c>
      <c r="N453">
        <v>6.6000000000000003E-2</v>
      </c>
      <c r="O453">
        <v>10</v>
      </c>
    </row>
    <row r="454" spans="1:15" x14ac:dyDescent="0.25">
      <c r="A454" t="s">
        <v>466</v>
      </c>
      <c r="B454" s="2">
        <v>45413</v>
      </c>
      <c r="C454" s="2">
        <v>45428</v>
      </c>
      <c r="D454" t="s">
        <v>647</v>
      </c>
      <c r="E454" t="s">
        <v>654</v>
      </c>
      <c r="F454" t="s">
        <v>668</v>
      </c>
      <c r="G454" t="s">
        <v>705</v>
      </c>
      <c r="H454" t="s">
        <v>707</v>
      </c>
      <c r="I454" t="s">
        <v>716</v>
      </c>
      <c r="J454" t="s">
        <v>727</v>
      </c>
      <c r="K454" t="s">
        <v>1185</v>
      </c>
      <c r="L454">
        <v>901.19</v>
      </c>
      <c r="M454">
        <v>2125.44</v>
      </c>
      <c r="N454">
        <v>7.0999999999999994E-2</v>
      </c>
      <c r="O454">
        <v>12</v>
      </c>
    </row>
    <row r="455" spans="1:15" x14ac:dyDescent="0.25">
      <c r="A455" t="s">
        <v>467</v>
      </c>
      <c r="B455" s="2">
        <v>45817</v>
      </c>
      <c r="C455" s="2">
        <v>45832</v>
      </c>
      <c r="D455" t="s">
        <v>647</v>
      </c>
      <c r="E455" t="s">
        <v>652</v>
      </c>
      <c r="F455" t="s">
        <v>694</v>
      </c>
      <c r="G455" t="s">
        <v>701</v>
      </c>
      <c r="H455" t="s">
        <v>711</v>
      </c>
      <c r="I455" t="s">
        <v>717</v>
      </c>
      <c r="J455" t="s">
        <v>730</v>
      </c>
      <c r="K455" t="s">
        <v>1186</v>
      </c>
      <c r="L455">
        <v>400.39</v>
      </c>
      <c r="M455">
        <v>712.75</v>
      </c>
      <c r="N455">
        <v>0.115</v>
      </c>
      <c r="O455">
        <v>19</v>
      </c>
    </row>
    <row r="456" spans="1:15" x14ac:dyDescent="0.25">
      <c r="A456" t="s">
        <v>468</v>
      </c>
      <c r="B456" s="2">
        <v>45070</v>
      </c>
      <c r="C456" s="2">
        <v>45098</v>
      </c>
      <c r="D456" t="s">
        <v>648</v>
      </c>
      <c r="E456" t="s">
        <v>660</v>
      </c>
      <c r="F456" t="s">
        <v>697</v>
      </c>
      <c r="G456" t="s">
        <v>705</v>
      </c>
      <c r="H456" t="s">
        <v>709</v>
      </c>
      <c r="I456" t="s">
        <v>715</v>
      </c>
      <c r="J456" t="s">
        <v>732</v>
      </c>
      <c r="K456" t="s">
        <v>1187</v>
      </c>
      <c r="L456">
        <v>813.97</v>
      </c>
      <c r="M456">
        <v>1568.83</v>
      </c>
      <c r="N456">
        <v>1.7000000000000001E-2</v>
      </c>
      <c r="O456">
        <v>15</v>
      </c>
    </row>
    <row r="457" spans="1:15" x14ac:dyDescent="0.25">
      <c r="A457" t="s">
        <v>469</v>
      </c>
      <c r="B457" s="2">
        <v>45653</v>
      </c>
      <c r="C457" s="2">
        <v>45655</v>
      </c>
      <c r="D457" t="s">
        <v>648</v>
      </c>
      <c r="E457" t="s">
        <v>653</v>
      </c>
      <c r="F457" t="s">
        <v>688</v>
      </c>
      <c r="G457" t="s">
        <v>706</v>
      </c>
      <c r="H457" t="s">
        <v>709</v>
      </c>
      <c r="I457" t="s">
        <v>712</v>
      </c>
      <c r="J457" t="s">
        <v>733</v>
      </c>
      <c r="K457" t="s">
        <v>1188</v>
      </c>
      <c r="L457">
        <v>1146.72</v>
      </c>
      <c r="M457">
        <v>2074.34</v>
      </c>
      <c r="N457">
        <v>0.111</v>
      </c>
      <c r="O457">
        <v>8</v>
      </c>
    </row>
    <row r="458" spans="1:15" x14ac:dyDescent="0.25">
      <c r="A458" t="s">
        <v>470</v>
      </c>
      <c r="B458" s="2">
        <v>45265</v>
      </c>
      <c r="C458" s="2">
        <v>45272</v>
      </c>
      <c r="D458" t="s">
        <v>648</v>
      </c>
      <c r="E458" t="s">
        <v>655</v>
      </c>
      <c r="F458" t="s">
        <v>672</v>
      </c>
      <c r="G458" t="s">
        <v>701</v>
      </c>
      <c r="H458" t="s">
        <v>711</v>
      </c>
      <c r="I458" t="s">
        <v>721</v>
      </c>
      <c r="J458" t="s">
        <v>730</v>
      </c>
      <c r="K458" t="s">
        <v>1189</v>
      </c>
      <c r="L458">
        <v>307.43</v>
      </c>
      <c r="M458">
        <v>495.19</v>
      </c>
      <c r="N458">
        <v>0</v>
      </c>
      <c r="O458">
        <v>42</v>
      </c>
    </row>
    <row r="459" spans="1:15" x14ac:dyDescent="0.25">
      <c r="A459" t="s">
        <v>471</v>
      </c>
      <c r="B459" s="2">
        <v>45048</v>
      </c>
      <c r="C459" s="2">
        <v>45065</v>
      </c>
      <c r="D459" t="s">
        <v>647</v>
      </c>
      <c r="E459" t="s">
        <v>659</v>
      </c>
      <c r="F459" t="s">
        <v>685</v>
      </c>
      <c r="G459" t="s">
        <v>703</v>
      </c>
      <c r="H459" t="s">
        <v>711</v>
      </c>
      <c r="I459" t="s">
        <v>713</v>
      </c>
      <c r="J459" t="s">
        <v>732</v>
      </c>
      <c r="K459" t="s">
        <v>1190</v>
      </c>
      <c r="L459">
        <v>714.28</v>
      </c>
      <c r="M459">
        <v>757.59</v>
      </c>
      <c r="N459">
        <v>0.13600000000000001</v>
      </c>
      <c r="O459">
        <v>12</v>
      </c>
    </row>
    <row r="460" spans="1:15" x14ac:dyDescent="0.25">
      <c r="A460" t="s">
        <v>472</v>
      </c>
      <c r="B460" s="2">
        <v>45260</v>
      </c>
      <c r="C460" s="2">
        <v>45270</v>
      </c>
      <c r="D460" t="s">
        <v>649</v>
      </c>
      <c r="E460" t="s">
        <v>656</v>
      </c>
      <c r="F460" t="s">
        <v>684</v>
      </c>
      <c r="G460" t="s">
        <v>705</v>
      </c>
      <c r="H460" t="s">
        <v>711</v>
      </c>
      <c r="I460" t="s">
        <v>721</v>
      </c>
      <c r="J460" t="s">
        <v>731</v>
      </c>
      <c r="K460" t="s">
        <v>1191</v>
      </c>
      <c r="L460">
        <v>174.74</v>
      </c>
      <c r="M460">
        <v>415.96</v>
      </c>
      <c r="N460">
        <v>0.125</v>
      </c>
      <c r="O460">
        <v>21</v>
      </c>
    </row>
    <row r="461" spans="1:15" x14ac:dyDescent="0.25">
      <c r="A461" t="s">
        <v>473</v>
      </c>
      <c r="B461" s="2">
        <v>45417</v>
      </c>
      <c r="C461" s="2">
        <v>45430</v>
      </c>
      <c r="D461" t="s">
        <v>649</v>
      </c>
      <c r="E461" t="s">
        <v>657</v>
      </c>
      <c r="F461" t="s">
        <v>673</v>
      </c>
      <c r="G461" t="s">
        <v>701</v>
      </c>
      <c r="H461" t="s">
        <v>709</v>
      </c>
      <c r="I461" t="s">
        <v>720</v>
      </c>
      <c r="J461" t="s">
        <v>727</v>
      </c>
      <c r="K461" t="s">
        <v>1192</v>
      </c>
      <c r="L461">
        <v>1264.04</v>
      </c>
      <c r="M461">
        <v>1870.89</v>
      </c>
      <c r="N461">
        <v>0</v>
      </c>
      <c r="O461">
        <v>13</v>
      </c>
    </row>
    <row r="462" spans="1:15" x14ac:dyDescent="0.25">
      <c r="A462" t="s">
        <v>474</v>
      </c>
      <c r="B462" s="2">
        <v>45116</v>
      </c>
      <c r="C462" s="2">
        <v>45126</v>
      </c>
      <c r="D462" t="s">
        <v>647</v>
      </c>
      <c r="E462" t="s">
        <v>652</v>
      </c>
      <c r="F462" t="s">
        <v>689</v>
      </c>
      <c r="G462" t="s">
        <v>706</v>
      </c>
      <c r="H462" t="s">
        <v>710</v>
      </c>
      <c r="I462" t="s">
        <v>725</v>
      </c>
      <c r="J462" t="s">
        <v>727</v>
      </c>
      <c r="K462" t="s">
        <v>1193</v>
      </c>
      <c r="L462">
        <v>141.26</v>
      </c>
      <c r="M462">
        <v>206.88</v>
      </c>
      <c r="N462">
        <v>0.107</v>
      </c>
      <c r="O462">
        <v>9</v>
      </c>
    </row>
    <row r="463" spans="1:15" x14ac:dyDescent="0.25">
      <c r="A463" t="s">
        <v>475</v>
      </c>
      <c r="B463" s="2">
        <v>45063</v>
      </c>
      <c r="C463" s="2">
        <v>45092</v>
      </c>
      <c r="D463" t="s">
        <v>646</v>
      </c>
      <c r="E463" t="s">
        <v>661</v>
      </c>
      <c r="F463" t="s">
        <v>687</v>
      </c>
      <c r="G463" t="s">
        <v>706</v>
      </c>
      <c r="H463" t="s">
        <v>707</v>
      </c>
      <c r="I463" t="s">
        <v>723</v>
      </c>
      <c r="J463" t="s">
        <v>733</v>
      </c>
      <c r="K463" t="s">
        <v>1194</v>
      </c>
      <c r="L463">
        <v>40.89</v>
      </c>
      <c r="M463">
        <v>62.82</v>
      </c>
      <c r="N463">
        <v>0.129</v>
      </c>
      <c r="O463">
        <v>17</v>
      </c>
    </row>
    <row r="464" spans="1:15" x14ac:dyDescent="0.25">
      <c r="A464" t="s">
        <v>476</v>
      </c>
      <c r="B464" s="2">
        <v>45358</v>
      </c>
      <c r="C464" s="2">
        <v>45385</v>
      </c>
      <c r="D464" t="s">
        <v>649</v>
      </c>
      <c r="E464" t="s">
        <v>656</v>
      </c>
      <c r="F464" t="s">
        <v>698</v>
      </c>
      <c r="G464" t="s">
        <v>701</v>
      </c>
      <c r="H464" t="s">
        <v>711</v>
      </c>
      <c r="I464" t="s">
        <v>724</v>
      </c>
      <c r="J464" t="s">
        <v>728</v>
      </c>
      <c r="K464" t="s">
        <v>1195</v>
      </c>
      <c r="L464">
        <v>738.16</v>
      </c>
      <c r="M464">
        <v>956.49</v>
      </c>
      <c r="N464">
        <v>0.152</v>
      </c>
      <c r="O464">
        <v>5</v>
      </c>
    </row>
    <row r="465" spans="1:15" x14ac:dyDescent="0.25">
      <c r="A465" t="s">
        <v>477</v>
      </c>
      <c r="B465" s="2">
        <v>45757</v>
      </c>
      <c r="C465" s="2">
        <v>45766</v>
      </c>
      <c r="D465" t="s">
        <v>646</v>
      </c>
      <c r="E465" t="s">
        <v>661</v>
      </c>
      <c r="F465" t="s">
        <v>687</v>
      </c>
      <c r="G465" t="s">
        <v>706</v>
      </c>
      <c r="I465" t="s">
        <v>715</v>
      </c>
      <c r="J465" t="s">
        <v>729</v>
      </c>
      <c r="K465" t="s">
        <v>1196</v>
      </c>
      <c r="L465">
        <v>113.74</v>
      </c>
      <c r="M465">
        <v>165.7</v>
      </c>
      <c r="N465">
        <v>0.124</v>
      </c>
      <c r="O465">
        <v>13</v>
      </c>
    </row>
    <row r="466" spans="1:15" x14ac:dyDescent="0.25">
      <c r="A466" t="s">
        <v>478</v>
      </c>
      <c r="B466" s="2">
        <v>45865</v>
      </c>
      <c r="C466" s="2">
        <v>45884</v>
      </c>
      <c r="D466" t="s">
        <v>647</v>
      </c>
      <c r="E466" t="s">
        <v>652</v>
      </c>
      <c r="F466" t="s">
        <v>689</v>
      </c>
      <c r="G466" t="s">
        <v>705</v>
      </c>
      <c r="H466" t="s">
        <v>709</v>
      </c>
      <c r="I466" t="s">
        <v>713</v>
      </c>
      <c r="J466" t="s">
        <v>727</v>
      </c>
      <c r="K466" t="s">
        <v>1197</v>
      </c>
      <c r="L466">
        <v>275.43</v>
      </c>
      <c r="M466">
        <v>608.36</v>
      </c>
      <c r="N466">
        <v>0.25700000000000001</v>
      </c>
      <c r="O466">
        <v>4</v>
      </c>
    </row>
    <row r="467" spans="1:15" x14ac:dyDescent="0.25">
      <c r="A467" t="s">
        <v>479</v>
      </c>
      <c r="B467" s="2">
        <v>45618</v>
      </c>
      <c r="C467" s="2">
        <v>45641</v>
      </c>
      <c r="D467" t="s">
        <v>646</v>
      </c>
      <c r="E467" t="s">
        <v>650</v>
      </c>
      <c r="F467" t="s">
        <v>675</v>
      </c>
      <c r="G467" t="s">
        <v>703</v>
      </c>
      <c r="H467" t="s">
        <v>710</v>
      </c>
      <c r="I467" t="s">
        <v>712</v>
      </c>
      <c r="J467" t="s">
        <v>727</v>
      </c>
      <c r="K467" t="s">
        <v>1198</v>
      </c>
      <c r="L467">
        <v>1335.76</v>
      </c>
      <c r="M467">
        <v>2665.91</v>
      </c>
      <c r="N467">
        <v>0.21099999999999999</v>
      </c>
      <c r="O467">
        <v>40</v>
      </c>
    </row>
    <row r="468" spans="1:15" x14ac:dyDescent="0.25">
      <c r="A468" t="s">
        <v>480</v>
      </c>
      <c r="B468" s="2">
        <v>45466</v>
      </c>
      <c r="C468" s="2">
        <v>45471</v>
      </c>
      <c r="D468" t="s">
        <v>646</v>
      </c>
      <c r="E468" t="s">
        <v>651</v>
      </c>
      <c r="F468" t="s">
        <v>663</v>
      </c>
      <c r="G468" t="s">
        <v>703</v>
      </c>
      <c r="H468" t="s">
        <v>711</v>
      </c>
      <c r="I468" t="s">
        <v>724</v>
      </c>
      <c r="J468" t="s">
        <v>733</v>
      </c>
      <c r="K468" t="s">
        <v>1199</v>
      </c>
      <c r="L468">
        <v>242.31</v>
      </c>
      <c r="M468">
        <v>587.95000000000005</v>
      </c>
      <c r="N468">
        <v>0.22900000000000001</v>
      </c>
      <c r="O468">
        <v>6</v>
      </c>
    </row>
    <row r="469" spans="1:15" x14ac:dyDescent="0.25">
      <c r="A469" t="s">
        <v>481</v>
      </c>
      <c r="B469" s="2">
        <v>45278</v>
      </c>
      <c r="C469" s="2">
        <v>45305</v>
      </c>
      <c r="D469" t="s">
        <v>647</v>
      </c>
      <c r="E469" t="s">
        <v>654</v>
      </c>
      <c r="F469" t="s">
        <v>691</v>
      </c>
      <c r="G469" t="s">
        <v>704</v>
      </c>
      <c r="H469" t="s">
        <v>710</v>
      </c>
      <c r="I469" t="s">
        <v>726</v>
      </c>
      <c r="J469" t="s">
        <v>729</v>
      </c>
      <c r="K469" t="s">
        <v>1200</v>
      </c>
      <c r="L469">
        <v>1408.3</v>
      </c>
      <c r="M469">
        <v>2193.13</v>
      </c>
      <c r="N469">
        <v>7.0999999999999994E-2</v>
      </c>
      <c r="O469">
        <v>7</v>
      </c>
    </row>
    <row r="470" spans="1:15" x14ac:dyDescent="0.25">
      <c r="A470" t="s">
        <v>482</v>
      </c>
      <c r="B470" s="2">
        <v>45809</v>
      </c>
      <c r="C470" s="2">
        <v>45813</v>
      </c>
      <c r="D470" t="s">
        <v>649</v>
      </c>
      <c r="E470" t="s">
        <v>656</v>
      </c>
      <c r="F470" t="s">
        <v>684</v>
      </c>
      <c r="G470" t="s">
        <v>706</v>
      </c>
      <c r="H470" t="s">
        <v>711</v>
      </c>
      <c r="I470" t="s">
        <v>724</v>
      </c>
      <c r="J470" t="s">
        <v>727</v>
      </c>
      <c r="K470" t="s">
        <v>1201</v>
      </c>
      <c r="L470">
        <v>1171.42</v>
      </c>
      <c r="M470">
        <v>2187.8000000000002</v>
      </c>
      <c r="N470">
        <v>0.23</v>
      </c>
      <c r="O470">
        <v>15</v>
      </c>
    </row>
    <row r="471" spans="1:15" x14ac:dyDescent="0.25">
      <c r="A471" t="s">
        <v>483</v>
      </c>
      <c r="B471" s="2">
        <v>45739</v>
      </c>
      <c r="C471" s="2">
        <v>45749</v>
      </c>
      <c r="D471" t="s">
        <v>649</v>
      </c>
      <c r="E471" t="s">
        <v>656</v>
      </c>
      <c r="F471" t="s">
        <v>671</v>
      </c>
      <c r="G471" t="s">
        <v>706</v>
      </c>
      <c r="H471" t="s">
        <v>708</v>
      </c>
      <c r="I471" t="s">
        <v>718</v>
      </c>
      <c r="J471" t="s">
        <v>728</v>
      </c>
      <c r="K471" t="s">
        <v>1202</v>
      </c>
      <c r="L471">
        <v>663.61</v>
      </c>
      <c r="M471">
        <v>1002.11</v>
      </c>
      <c r="N471">
        <v>4.5999999999999999E-2</v>
      </c>
      <c r="O471">
        <v>17</v>
      </c>
    </row>
    <row r="472" spans="1:15" x14ac:dyDescent="0.25">
      <c r="A472" t="s">
        <v>484</v>
      </c>
      <c r="B472" s="2">
        <v>45060</v>
      </c>
      <c r="C472" s="2">
        <v>45068</v>
      </c>
      <c r="D472" t="s">
        <v>646</v>
      </c>
      <c r="E472" t="s">
        <v>650</v>
      </c>
      <c r="F472" t="s">
        <v>675</v>
      </c>
      <c r="G472" t="s">
        <v>705</v>
      </c>
      <c r="H472" t="s">
        <v>710</v>
      </c>
      <c r="I472" t="s">
        <v>721</v>
      </c>
      <c r="J472" t="s">
        <v>728</v>
      </c>
      <c r="K472" t="s">
        <v>1203</v>
      </c>
      <c r="L472">
        <v>432.01</v>
      </c>
      <c r="M472">
        <v>913.78</v>
      </c>
      <c r="N472">
        <v>4.9000000000000002E-2</v>
      </c>
      <c r="O472">
        <v>12</v>
      </c>
    </row>
    <row r="473" spans="1:15" x14ac:dyDescent="0.25">
      <c r="A473" t="s">
        <v>485</v>
      </c>
      <c r="B473" s="2">
        <v>45167</v>
      </c>
      <c r="C473" s="2">
        <v>45188</v>
      </c>
      <c r="D473" t="s">
        <v>649</v>
      </c>
      <c r="E473" t="s">
        <v>657</v>
      </c>
      <c r="F473" t="s">
        <v>679</v>
      </c>
      <c r="G473" t="s">
        <v>705</v>
      </c>
      <c r="H473" t="s">
        <v>711</v>
      </c>
      <c r="I473" t="s">
        <v>717</v>
      </c>
      <c r="J473" t="s">
        <v>728</v>
      </c>
      <c r="K473" t="s">
        <v>1204</v>
      </c>
      <c r="L473">
        <v>784.46</v>
      </c>
      <c r="M473">
        <v>1843.51</v>
      </c>
      <c r="N473">
        <v>0.13800000000000001</v>
      </c>
      <c r="O473">
        <v>23</v>
      </c>
    </row>
    <row r="474" spans="1:15" x14ac:dyDescent="0.25">
      <c r="A474" t="s">
        <v>486</v>
      </c>
      <c r="B474" s="2">
        <v>45841</v>
      </c>
      <c r="C474" s="2">
        <v>45861</v>
      </c>
      <c r="D474" t="s">
        <v>647</v>
      </c>
      <c r="E474" t="s">
        <v>659</v>
      </c>
      <c r="F474" t="s">
        <v>699</v>
      </c>
      <c r="G474" t="s">
        <v>705</v>
      </c>
      <c r="H474" t="s">
        <v>708</v>
      </c>
      <c r="I474" t="s">
        <v>724</v>
      </c>
      <c r="J474" t="s">
        <v>727</v>
      </c>
      <c r="K474" t="s">
        <v>1205</v>
      </c>
      <c r="L474">
        <v>647.36</v>
      </c>
      <c r="M474">
        <v>1383.6</v>
      </c>
      <c r="N474">
        <v>7.3999999999999996E-2</v>
      </c>
      <c r="O474">
        <v>12</v>
      </c>
    </row>
    <row r="475" spans="1:15" x14ac:dyDescent="0.25">
      <c r="A475" t="s">
        <v>487</v>
      </c>
      <c r="B475" s="2">
        <v>45328</v>
      </c>
      <c r="C475" s="2">
        <v>45350</v>
      </c>
      <c r="D475" t="s">
        <v>646</v>
      </c>
      <c r="E475" t="s">
        <v>650</v>
      </c>
      <c r="F475" t="s">
        <v>662</v>
      </c>
      <c r="G475" t="s">
        <v>703</v>
      </c>
      <c r="H475" t="s">
        <v>708</v>
      </c>
      <c r="I475" t="s">
        <v>723</v>
      </c>
      <c r="J475" t="s">
        <v>732</v>
      </c>
      <c r="K475" t="s">
        <v>1206</v>
      </c>
      <c r="L475">
        <v>834.93</v>
      </c>
      <c r="M475">
        <v>1588.53</v>
      </c>
      <c r="N475">
        <v>0.126</v>
      </c>
      <c r="O475">
        <v>6</v>
      </c>
    </row>
    <row r="476" spans="1:15" x14ac:dyDescent="0.25">
      <c r="A476" t="s">
        <v>488</v>
      </c>
      <c r="B476" s="2">
        <v>45882</v>
      </c>
      <c r="C476" s="2">
        <v>45903</v>
      </c>
      <c r="D476" t="s">
        <v>649</v>
      </c>
      <c r="E476" t="s">
        <v>657</v>
      </c>
      <c r="F476" t="s">
        <v>690</v>
      </c>
      <c r="G476" t="s">
        <v>702</v>
      </c>
      <c r="H476" t="s">
        <v>707</v>
      </c>
      <c r="I476" t="s">
        <v>714</v>
      </c>
      <c r="J476" t="s">
        <v>730</v>
      </c>
      <c r="K476" t="s">
        <v>1207</v>
      </c>
      <c r="L476">
        <v>603.47</v>
      </c>
      <c r="M476">
        <v>1344.05</v>
      </c>
      <c r="N476">
        <v>0.20499999999999999</v>
      </c>
      <c r="O476">
        <v>18</v>
      </c>
    </row>
    <row r="477" spans="1:15" x14ac:dyDescent="0.25">
      <c r="A477" t="s">
        <v>489</v>
      </c>
      <c r="B477" s="2">
        <v>45069</v>
      </c>
      <c r="C477" s="2">
        <v>45071</v>
      </c>
      <c r="D477" t="s">
        <v>648</v>
      </c>
      <c r="E477" t="s">
        <v>655</v>
      </c>
      <c r="F477" t="s">
        <v>692</v>
      </c>
      <c r="G477" t="s">
        <v>706</v>
      </c>
      <c r="H477" t="s">
        <v>707</v>
      </c>
      <c r="I477" t="s">
        <v>724</v>
      </c>
      <c r="J477" t="s">
        <v>728</v>
      </c>
      <c r="K477" t="s">
        <v>1208</v>
      </c>
      <c r="L477">
        <v>690.49</v>
      </c>
      <c r="M477">
        <v>1290.29</v>
      </c>
      <c r="N477">
        <v>4.2000000000000003E-2</v>
      </c>
      <c r="O477">
        <v>22</v>
      </c>
    </row>
    <row r="478" spans="1:15" x14ac:dyDescent="0.25">
      <c r="A478" t="s">
        <v>490</v>
      </c>
      <c r="B478" s="2">
        <v>45422</v>
      </c>
      <c r="C478" s="2">
        <v>45428</v>
      </c>
      <c r="D478" t="s">
        <v>649</v>
      </c>
      <c r="E478" t="s">
        <v>658</v>
      </c>
      <c r="F478" t="s">
        <v>674</v>
      </c>
      <c r="G478" t="s">
        <v>703</v>
      </c>
      <c r="H478" t="s">
        <v>711</v>
      </c>
      <c r="I478" t="s">
        <v>715</v>
      </c>
      <c r="J478" t="s">
        <v>731</v>
      </c>
      <c r="K478" t="s">
        <v>1209</v>
      </c>
      <c r="L478">
        <v>210.76</v>
      </c>
      <c r="M478">
        <v>221.58</v>
      </c>
      <c r="N478">
        <v>8.8999999999999996E-2</v>
      </c>
      <c r="O478">
        <v>5</v>
      </c>
    </row>
    <row r="479" spans="1:15" x14ac:dyDescent="0.25">
      <c r="A479" t="s">
        <v>491</v>
      </c>
      <c r="B479" s="2">
        <v>44999</v>
      </c>
      <c r="C479" s="2">
        <v>45003</v>
      </c>
      <c r="D479" t="s">
        <v>649</v>
      </c>
      <c r="E479" t="s">
        <v>656</v>
      </c>
      <c r="F479" t="s">
        <v>698</v>
      </c>
      <c r="G479" t="s">
        <v>706</v>
      </c>
      <c r="H479" t="s">
        <v>711</v>
      </c>
      <c r="I479" t="s">
        <v>720</v>
      </c>
      <c r="J479" t="s">
        <v>727</v>
      </c>
      <c r="K479" t="s">
        <v>1210</v>
      </c>
      <c r="L479">
        <v>472.33</v>
      </c>
      <c r="M479">
        <v>360.34</v>
      </c>
      <c r="N479">
        <v>0.16500000000000001</v>
      </c>
      <c r="O479">
        <v>14</v>
      </c>
    </row>
    <row r="480" spans="1:15" x14ac:dyDescent="0.25">
      <c r="A480" t="s">
        <v>492</v>
      </c>
      <c r="B480" s="2">
        <v>45123</v>
      </c>
      <c r="C480" s="2">
        <v>45151</v>
      </c>
      <c r="D480" t="s">
        <v>649</v>
      </c>
      <c r="E480" t="s">
        <v>658</v>
      </c>
      <c r="F480" t="s">
        <v>693</v>
      </c>
      <c r="G480" t="s">
        <v>703</v>
      </c>
      <c r="H480" t="s">
        <v>708</v>
      </c>
      <c r="I480" t="s">
        <v>713</v>
      </c>
      <c r="J480" t="s">
        <v>731</v>
      </c>
      <c r="K480" t="s">
        <v>1211</v>
      </c>
      <c r="L480">
        <v>1039.03</v>
      </c>
      <c r="M480">
        <v>2545.81</v>
      </c>
      <c r="N480">
        <v>0.216</v>
      </c>
      <c r="O480">
        <v>21</v>
      </c>
    </row>
    <row r="481" spans="1:15" x14ac:dyDescent="0.25">
      <c r="A481" t="s">
        <v>493</v>
      </c>
      <c r="B481" s="2">
        <v>45032</v>
      </c>
      <c r="C481" s="2">
        <v>45035</v>
      </c>
      <c r="D481" t="s">
        <v>649</v>
      </c>
      <c r="E481" t="s">
        <v>656</v>
      </c>
      <c r="F481" t="s">
        <v>684</v>
      </c>
      <c r="G481" t="s">
        <v>701</v>
      </c>
      <c r="H481" t="s">
        <v>711</v>
      </c>
      <c r="I481" t="s">
        <v>717</v>
      </c>
      <c r="J481" t="s">
        <v>733</v>
      </c>
      <c r="K481" t="s">
        <v>1212</v>
      </c>
      <c r="L481">
        <v>553.61</v>
      </c>
      <c r="M481">
        <v>699.47</v>
      </c>
      <c r="N481">
        <v>0.02</v>
      </c>
      <c r="O481">
        <v>33</v>
      </c>
    </row>
    <row r="482" spans="1:15" x14ac:dyDescent="0.25">
      <c r="A482" t="s">
        <v>494</v>
      </c>
      <c r="B482" s="2">
        <v>45293</v>
      </c>
      <c r="C482" s="2">
        <v>45306</v>
      </c>
      <c r="D482" t="s">
        <v>647</v>
      </c>
      <c r="E482" t="s">
        <v>652</v>
      </c>
      <c r="F482" t="s">
        <v>694</v>
      </c>
      <c r="G482" t="s">
        <v>705</v>
      </c>
      <c r="H482" t="s">
        <v>709</v>
      </c>
      <c r="I482" t="s">
        <v>715</v>
      </c>
      <c r="J482" t="s">
        <v>729</v>
      </c>
      <c r="K482" t="s">
        <v>1213</v>
      </c>
      <c r="L482">
        <v>1219.06</v>
      </c>
      <c r="M482">
        <v>2738.69</v>
      </c>
      <c r="N482">
        <v>7.5999999999999998E-2</v>
      </c>
      <c r="O482">
        <v>16</v>
      </c>
    </row>
    <row r="483" spans="1:15" x14ac:dyDescent="0.25">
      <c r="A483" t="s">
        <v>495</v>
      </c>
      <c r="B483" s="2">
        <v>45538</v>
      </c>
      <c r="C483" s="2">
        <v>45542</v>
      </c>
      <c r="D483" t="s">
        <v>647</v>
      </c>
      <c r="E483" t="s">
        <v>652</v>
      </c>
      <c r="F483" t="s">
        <v>689</v>
      </c>
      <c r="G483" t="s">
        <v>705</v>
      </c>
      <c r="H483" t="s">
        <v>710</v>
      </c>
      <c r="I483" t="s">
        <v>725</v>
      </c>
      <c r="J483" t="s">
        <v>728</v>
      </c>
      <c r="K483" t="s">
        <v>1214</v>
      </c>
      <c r="L483">
        <v>43.23</v>
      </c>
      <c r="M483">
        <v>94.78</v>
      </c>
      <c r="N483">
        <v>9.0999999999999998E-2</v>
      </c>
      <c r="O483">
        <v>55</v>
      </c>
    </row>
    <row r="484" spans="1:15" x14ac:dyDescent="0.25">
      <c r="A484" t="s">
        <v>496</v>
      </c>
      <c r="B484" s="2">
        <v>45899</v>
      </c>
      <c r="C484" s="2">
        <v>45903</v>
      </c>
      <c r="D484" t="s">
        <v>649</v>
      </c>
      <c r="E484" t="s">
        <v>657</v>
      </c>
      <c r="F484" t="s">
        <v>673</v>
      </c>
      <c r="G484" t="s">
        <v>705</v>
      </c>
      <c r="H484" t="s">
        <v>709</v>
      </c>
      <c r="I484" t="s">
        <v>713</v>
      </c>
      <c r="J484" t="s">
        <v>731</v>
      </c>
      <c r="K484" t="s">
        <v>1215</v>
      </c>
      <c r="L484">
        <v>1286.56</v>
      </c>
      <c r="M484">
        <v>2777.35</v>
      </c>
      <c r="N484">
        <v>0.13200000000000001</v>
      </c>
      <c r="O484">
        <v>15</v>
      </c>
    </row>
    <row r="485" spans="1:15" x14ac:dyDescent="0.25">
      <c r="A485" t="s">
        <v>497</v>
      </c>
      <c r="B485" s="2">
        <v>45775</v>
      </c>
      <c r="C485" s="2">
        <v>45796</v>
      </c>
      <c r="D485" t="s">
        <v>649</v>
      </c>
      <c r="E485" t="s">
        <v>656</v>
      </c>
      <c r="F485" t="s">
        <v>671</v>
      </c>
      <c r="G485" t="s">
        <v>701</v>
      </c>
      <c r="H485" t="s">
        <v>710</v>
      </c>
      <c r="I485" t="s">
        <v>717</v>
      </c>
      <c r="J485" t="s">
        <v>730</v>
      </c>
      <c r="K485" t="s">
        <v>1216</v>
      </c>
      <c r="L485">
        <v>350.76</v>
      </c>
      <c r="M485">
        <v>492.18</v>
      </c>
      <c r="N485">
        <v>5.2999999999999999E-2</v>
      </c>
      <c r="O485">
        <v>11</v>
      </c>
    </row>
    <row r="486" spans="1:15" x14ac:dyDescent="0.25">
      <c r="A486" t="s">
        <v>498</v>
      </c>
      <c r="B486" s="2">
        <v>45148</v>
      </c>
      <c r="C486" s="2">
        <v>45153</v>
      </c>
      <c r="D486" t="s">
        <v>648</v>
      </c>
      <c r="E486" t="s">
        <v>655</v>
      </c>
      <c r="F486" t="s">
        <v>670</v>
      </c>
      <c r="G486" t="s">
        <v>702</v>
      </c>
      <c r="H486" t="s">
        <v>711</v>
      </c>
      <c r="I486" t="s">
        <v>715</v>
      </c>
      <c r="J486" t="s">
        <v>729</v>
      </c>
      <c r="K486" t="s">
        <v>1217</v>
      </c>
      <c r="L486">
        <v>1307.52</v>
      </c>
      <c r="M486">
        <v>1921.65</v>
      </c>
      <c r="N486">
        <v>0.123</v>
      </c>
      <c r="O486">
        <v>13</v>
      </c>
    </row>
    <row r="487" spans="1:15" x14ac:dyDescent="0.25">
      <c r="A487" t="s">
        <v>499</v>
      </c>
      <c r="B487" s="2">
        <v>45634</v>
      </c>
      <c r="C487" s="2">
        <v>45634</v>
      </c>
      <c r="D487" t="s">
        <v>649</v>
      </c>
      <c r="E487" t="s">
        <v>657</v>
      </c>
      <c r="F487" t="s">
        <v>679</v>
      </c>
      <c r="G487" t="s">
        <v>706</v>
      </c>
      <c r="H487" t="s">
        <v>707</v>
      </c>
      <c r="I487" t="s">
        <v>722</v>
      </c>
      <c r="J487" t="s">
        <v>727</v>
      </c>
      <c r="K487" t="s">
        <v>1218</v>
      </c>
      <c r="L487">
        <v>257.44</v>
      </c>
      <c r="M487">
        <v>290.33</v>
      </c>
      <c r="N487">
        <v>9.1999999999999998E-2</v>
      </c>
      <c r="O487">
        <v>23</v>
      </c>
    </row>
    <row r="488" spans="1:15" x14ac:dyDescent="0.25">
      <c r="A488" t="s">
        <v>500</v>
      </c>
      <c r="B488" s="2">
        <v>45224</v>
      </c>
      <c r="C488" s="2">
        <v>45254</v>
      </c>
      <c r="D488" t="s">
        <v>649</v>
      </c>
      <c r="E488" t="s">
        <v>657</v>
      </c>
      <c r="F488" t="s">
        <v>690</v>
      </c>
      <c r="G488" t="s">
        <v>706</v>
      </c>
      <c r="H488" t="s">
        <v>710</v>
      </c>
      <c r="I488" t="s">
        <v>712</v>
      </c>
      <c r="J488" t="s">
        <v>730</v>
      </c>
      <c r="K488" t="s">
        <v>1219</v>
      </c>
      <c r="L488">
        <v>287.85000000000002</v>
      </c>
      <c r="M488">
        <v>602.91999999999996</v>
      </c>
      <c r="N488">
        <v>0.222</v>
      </c>
      <c r="O488">
        <v>11</v>
      </c>
    </row>
    <row r="489" spans="1:15" x14ac:dyDescent="0.25">
      <c r="A489" t="s">
        <v>501</v>
      </c>
      <c r="B489" s="2">
        <v>45613</v>
      </c>
      <c r="C489" s="2">
        <v>45624</v>
      </c>
      <c r="D489" t="s">
        <v>648</v>
      </c>
      <c r="E489" t="s">
        <v>653</v>
      </c>
      <c r="G489" t="s">
        <v>704</v>
      </c>
      <c r="H489" t="s">
        <v>710</v>
      </c>
      <c r="I489" t="s">
        <v>720</v>
      </c>
      <c r="J489" t="s">
        <v>728</v>
      </c>
      <c r="K489" t="s">
        <v>1220</v>
      </c>
      <c r="L489">
        <v>1008.16</v>
      </c>
      <c r="M489">
        <v>2077.5</v>
      </c>
      <c r="N489">
        <v>7.3999999999999996E-2</v>
      </c>
      <c r="O489">
        <v>15</v>
      </c>
    </row>
    <row r="490" spans="1:15" x14ac:dyDescent="0.25">
      <c r="A490" t="s">
        <v>502</v>
      </c>
      <c r="B490" s="2">
        <v>45424</v>
      </c>
      <c r="C490" s="2">
        <v>45436</v>
      </c>
      <c r="D490" t="s">
        <v>649</v>
      </c>
      <c r="E490" t="s">
        <v>658</v>
      </c>
      <c r="F490" t="s">
        <v>693</v>
      </c>
      <c r="G490" t="s">
        <v>702</v>
      </c>
      <c r="H490" t="s">
        <v>709</v>
      </c>
      <c r="I490" t="s">
        <v>723</v>
      </c>
      <c r="J490" t="s">
        <v>728</v>
      </c>
      <c r="K490" t="s">
        <v>1221</v>
      </c>
      <c r="L490">
        <v>111.02</v>
      </c>
      <c r="M490">
        <v>172.88</v>
      </c>
      <c r="N490">
        <v>0.19700000000000001</v>
      </c>
      <c r="O490">
        <v>29</v>
      </c>
    </row>
    <row r="491" spans="1:15" x14ac:dyDescent="0.25">
      <c r="A491" t="s">
        <v>503</v>
      </c>
      <c r="B491" s="2">
        <v>45792</v>
      </c>
      <c r="C491" s="2">
        <v>45813</v>
      </c>
      <c r="D491" t="s">
        <v>647</v>
      </c>
      <c r="E491" t="s">
        <v>652</v>
      </c>
      <c r="F491" t="s">
        <v>666</v>
      </c>
      <c r="G491" t="s">
        <v>706</v>
      </c>
      <c r="H491" t="s">
        <v>711</v>
      </c>
      <c r="I491" t="s">
        <v>722</v>
      </c>
      <c r="J491" t="s">
        <v>730</v>
      </c>
      <c r="K491" t="s">
        <v>1222</v>
      </c>
      <c r="L491">
        <v>1466.5</v>
      </c>
      <c r="M491">
        <v>2778.74</v>
      </c>
      <c r="N491">
        <v>0.13500000000000001</v>
      </c>
      <c r="O491">
        <v>4</v>
      </c>
    </row>
    <row r="492" spans="1:15" x14ac:dyDescent="0.25">
      <c r="A492" t="s">
        <v>504</v>
      </c>
      <c r="B492" s="2">
        <v>45403</v>
      </c>
      <c r="C492" s="2">
        <v>45431</v>
      </c>
      <c r="D492" t="s">
        <v>646</v>
      </c>
      <c r="E492" t="s">
        <v>651</v>
      </c>
      <c r="F492" t="s">
        <v>665</v>
      </c>
      <c r="G492" t="s">
        <v>701</v>
      </c>
      <c r="H492" t="s">
        <v>710</v>
      </c>
      <c r="I492" t="s">
        <v>720</v>
      </c>
      <c r="J492" t="s">
        <v>733</v>
      </c>
      <c r="K492" t="s">
        <v>1223</v>
      </c>
      <c r="L492">
        <v>187.22</v>
      </c>
      <c r="M492">
        <v>309.47000000000003</v>
      </c>
      <c r="N492">
        <v>0</v>
      </c>
      <c r="O492">
        <v>5</v>
      </c>
    </row>
    <row r="493" spans="1:15" x14ac:dyDescent="0.25">
      <c r="A493" t="s">
        <v>505</v>
      </c>
      <c r="B493" s="2">
        <v>45523</v>
      </c>
      <c r="C493" s="2">
        <v>45542</v>
      </c>
      <c r="D493" t="s">
        <v>649</v>
      </c>
      <c r="E493" t="s">
        <v>657</v>
      </c>
      <c r="F493" t="s">
        <v>679</v>
      </c>
      <c r="G493" t="s">
        <v>701</v>
      </c>
      <c r="H493" t="s">
        <v>711</v>
      </c>
      <c r="I493" t="s">
        <v>713</v>
      </c>
      <c r="J493" t="s">
        <v>727</v>
      </c>
      <c r="K493" t="s">
        <v>1224</v>
      </c>
      <c r="L493">
        <v>297.58999999999997</v>
      </c>
      <c r="M493">
        <v>666.41</v>
      </c>
      <c r="N493">
        <v>0</v>
      </c>
      <c r="O493">
        <v>10</v>
      </c>
    </row>
    <row r="494" spans="1:15" x14ac:dyDescent="0.25">
      <c r="A494" t="s">
        <v>506</v>
      </c>
      <c r="B494" s="2">
        <v>45861</v>
      </c>
      <c r="C494" s="2">
        <v>45888</v>
      </c>
      <c r="D494" t="s">
        <v>647</v>
      </c>
      <c r="E494" t="s">
        <v>652</v>
      </c>
      <c r="F494" t="s">
        <v>694</v>
      </c>
      <c r="G494" t="s">
        <v>704</v>
      </c>
      <c r="H494" t="s">
        <v>709</v>
      </c>
      <c r="I494" t="s">
        <v>717</v>
      </c>
      <c r="J494" t="s">
        <v>733</v>
      </c>
      <c r="K494" t="s">
        <v>1225</v>
      </c>
      <c r="L494">
        <v>896.09</v>
      </c>
      <c r="M494">
        <v>744.27</v>
      </c>
      <c r="N494">
        <v>8.3000000000000004E-2</v>
      </c>
      <c r="O494">
        <v>11</v>
      </c>
    </row>
    <row r="495" spans="1:15" x14ac:dyDescent="0.25">
      <c r="A495" t="s">
        <v>507</v>
      </c>
      <c r="B495" s="2">
        <v>45352</v>
      </c>
      <c r="C495" s="2">
        <v>45351</v>
      </c>
      <c r="D495" t="s">
        <v>648</v>
      </c>
      <c r="E495" t="s">
        <v>655</v>
      </c>
      <c r="F495" t="s">
        <v>670</v>
      </c>
      <c r="G495" t="s">
        <v>703</v>
      </c>
      <c r="H495" t="s">
        <v>711</v>
      </c>
      <c r="I495" t="s">
        <v>714</v>
      </c>
      <c r="J495" t="s">
        <v>730</v>
      </c>
      <c r="K495" t="s">
        <v>1226</v>
      </c>
      <c r="L495">
        <v>5.34</v>
      </c>
      <c r="M495">
        <v>12.69</v>
      </c>
      <c r="N495">
        <v>0.13200000000000001</v>
      </c>
      <c r="O495">
        <v>10</v>
      </c>
    </row>
    <row r="496" spans="1:15" x14ac:dyDescent="0.25">
      <c r="A496" t="s">
        <v>508</v>
      </c>
      <c r="B496" s="2">
        <v>45439</v>
      </c>
      <c r="C496" s="2">
        <v>45460</v>
      </c>
      <c r="D496" t="s">
        <v>647</v>
      </c>
      <c r="E496" t="s">
        <v>654</v>
      </c>
      <c r="F496" t="s">
        <v>680</v>
      </c>
      <c r="G496" t="s">
        <v>705</v>
      </c>
      <c r="H496" t="s">
        <v>708</v>
      </c>
      <c r="I496" t="s">
        <v>722</v>
      </c>
      <c r="J496" t="s">
        <v>733</v>
      </c>
      <c r="K496" t="s">
        <v>1227</v>
      </c>
      <c r="L496">
        <v>465.02</v>
      </c>
      <c r="M496">
        <v>651.55999999999995</v>
      </c>
      <c r="N496">
        <v>4.2000000000000003E-2</v>
      </c>
      <c r="O496">
        <v>19</v>
      </c>
    </row>
    <row r="497" spans="1:15" x14ac:dyDescent="0.25">
      <c r="A497" t="s">
        <v>509</v>
      </c>
      <c r="B497" s="2">
        <v>45508</v>
      </c>
      <c r="C497" s="2">
        <v>45521</v>
      </c>
      <c r="D497" t="s">
        <v>648</v>
      </c>
      <c r="E497" t="s">
        <v>660</v>
      </c>
      <c r="F497" t="s">
        <v>697</v>
      </c>
      <c r="G497" t="s">
        <v>704</v>
      </c>
      <c r="H497" t="s">
        <v>707</v>
      </c>
      <c r="I497" t="s">
        <v>726</v>
      </c>
      <c r="J497" t="s">
        <v>732</v>
      </c>
      <c r="K497" t="s">
        <v>1228</v>
      </c>
      <c r="L497">
        <v>352.79</v>
      </c>
      <c r="M497">
        <v>754.22</v>
      </c>
      <c r="N497">
        <v>0.113</v>
      </c>
      <c r="O497">
        <v>7</v>
      </c>
    </row>
    <row r="498" spans="1:15" x14ac:dyDescent="0.25">
      <c r="A498" t="s">
        <v>510</v>
      </c>
      <c r="B498" s="2">
        <v>45097</v>
      </c>
      <c r="C498" s="2">
        <v>45111</v>
      </c>
      <c r="D498" t="s">
        <v>648</v>
      </c>
      <c r="E498" t="s">
        <v>655</v>
      </c>
      <c r="F498" t="s">
        <v>672</v>
      </c>
      <c r="G498" t="s">
        <v>703</v>
      </c>
      <c r="H498" t="s">
        <v>711</v>
      </c>
      <c r="I498" t="s">
        <v>712</v>
      </c>
      <c r="J498" t="s">
        <v>729</v>
      </c>
      <c r="K498" t="s">
        <v>1229</v>
      </c>
      <c r="L498">
        <v>1292.8599999999999</v>
      </c>
      <c r="M498">
        <v>2981.01</v>
      </c>
      <c r="N498">
        <v>0.14199999999999999</v>
      </c>
      <c r="O498">
        <v>12</v>
      </c>
    </row>
    <row r="499" spans="1:15" x14ac:dyDescent="0.25">
      <c r="A499" t="s">
        <v>511</v>
      </c>
      <c r="B499" s="2">
        <v>45544</v>
      </c>
      <c r="C499" s="2">
        <v>45548</v>
      </c>
      <c r="D499" t="s">
        <v>649</v>
      </c>
      <c r="E499" t="s">
        <v>658</v>
      </c>
      <c r="F499" t="s">
        <v>683</v>
      </c>
      <c r="G499" t="s">
        <v>704</v>
      </c>
      <c r="H499" t="s">
        <v>709</v>
      </c>
      <c r="I499" t="s">
        <v>721</v>
      </c>
      <c r="J499" t="s">
        <v>729</v>
      </c>
      <c r="K499" t="s">
        <v>1230</v>
      </c>
      <c r="L499">
        <v>1133.08</v>
      </c>
      <c r="M499">
        <v>976.17</v>
      </c>
      <c r="N499">
        <v>4.2000000000000003E-2</v>
      </c>
      <c r="O499">
        <v>27</v>
      </c>
    </row>
    <row r="500" spans="1:15" x14ac:dyDescent="0.25">
      <c r="A500" t="s">
        <v>512</v>
      </c>
      <c r="B500" s="2">
        <v>45224</v>
      </c>
      <c r="C500" s="2">
        <v>45227</v>
      </c>
      <c r="D500" t="s">
        <v>648</v>
      </c>
      <c r="E500" t="s">
        <v>655</v>
      </c>
      <c r="F500" t="s">
        <v>672</v>
      </c>
      <c r="G500" t="s">
        <v>701</v>
      </c>
      <c r="H500" t="s">
        <v>710</v>
      </c>
      <c r="I500" t="s">
        <v>716</v>
      </c>
      <c r="J500" t="s">
        <v>733</v>
      </c>
      <c r="K500" t="s">
        <v>1231</v>
      </c>
      <c r="L500">
        <v>509.31</v>
      </c>
      <c r="M500">
        <v>1145.9000000000001</v>
      </c>
      <c r="N500">
        <v>5.7000000000000002E-2</v>
      </c>
      <c r="O500">
        <v>8</v>
      </c>
    </row>
    <row r="501" spans="1:15" x14ac:dyDescent="0.25">
      <c r="A501" t="s">
        <v>513</v>
      </c>
      <c r="B501" s="2">
        <v>45908</v>
      </c>
      <c r="C501" s="2">
        <v>45935</v>
      </c>
      <c r="D501" t="s">
        <v>648</v>
      </c>
      <c r="E501" t="s">
        <v>655</v>
      </c>
      <c r="F501" t="s">
        <v>692</v>
      </c>
      <c r="G501" t="s">
        <v>702</v>
      </c>
      <c r="H501" t="s">
        <v>708</v>
      </c>
      <c r="I501" t="s">
        <v>712</v>
      </c>
      <c r="J501" t="s">
        <v>732</v>
      </c>
      <c r="K501" t="s">
        <v>1232</v>
      </c>
      <c r="L501">
        <v>660.78</v>
      </c>
      <c r="M501">
        <v>1630.39</v>
      </c>
      <c r="N501">
        <v>0.218</v>
      </c>
      <c r="O501">
        <v>13</v>
      </c>
    </row>
    <row r="502" spans="1:15" x14ac:dyDescent="0.25">
      <c r="A502" t="s">
        <v>514</v>
      </c>
      <c r="B502" s="2">
        <v>45048</v>
      </c>
      <c r="C502" s="2">
        <v>45062</v>
      </c>
      <c r="D502" t="s">
        <v>647</v>
      </c>
      <c r="E502" t="s">
        <v>654</v>
      </c>
      <c r="F502" t="s">
        <v>668</v>
      </c>
      <c r="G502" t="s">
        <v>703</v>
      </c>
      <c r="H502" t="s">
        <v>707</v>
      </c>
      <c r="I502" t="s">
        <v>716</v>
      </c>
      <c r="J502" t="s">
        <v>732</v>
      </c>
      <c r="K502" t="s">
        <v>1233</v>
      </c>
      <c r="L502">
        <v>475.37</v>
      </c>
      <c r="M502">
        <v>963.73</v>
      </c>
      <c r="N502">
        <v>4.1000000000000002E-2</v>
      </c>
      <c r="O502">
        <v>22</v>
      </c>
    </row>
    <row r="503" spans="1:15" x14ac:dyDescent="0.25">
      <c r="A503" t="s">
        <v>515</v>
      </c>
      <c r="B503" s="2">
        <v>45408</v>
      </c>
      <c r="C503" s="2">
        <v>45406</v>
      </c>
      <c r="D503" t="s">
        <v>649</v>
      </c>
      <c r="E503" t="s">
        <v>658</v>
      </c>
      <c r="F503" t="s">
        <v>683</v>
      </c>
      <c r="G503" t="s">
        <v>703</v>
      </c>
      <c r="H503" t="s">
        <v>710</v>
      </c>
      <c r="I503" t="s">
        <v>725</v>
      </c>
      <c r="J503" t="s">
        <v>730</v>
      </c>
      <c r="K503" t="s">
        <v>1234</v>
      </c>
      <c r="L503">
        <v>1232.77</v>
      </c>
      <c r="M503">
        <v>891.73</v>
      </c>
      <c r="N503">
        <v>0.16700000000000001</v>
      </c>
      <c r="O503">
        <v>10</v>
      </c>
    </row>
    <row r="504" spans="1:15" x14ac:dyDescent="0.25">
      <c r="A504" t="s">
        <v>516</v>
      </c>
      <c r="B504" s="2">
        <v>44980</v>
      </c>
      <c r="C504" s="2">
        <v>45003</v>
      </c>
      <c r="D504" t="s">
        <v>647</v>
      </c>
      <c r="E504" t="s">
        <v>659</v>
      </c>
      <c r="F504" t="s">
        <v>699</v>
      </c>
      <c r="G504" t="s">
        <v>702</v>
      </c>
      <c r="H504" t="s">
        <v>710</v>
      </c>
      <c r="I504" t="s">
        <v>723</v>
      </c>
      <c r="J504" t="s">
        <v>728</v>
      </c>
      <c r="K504" t="s">
        <v>1235</v>
      </c>
      <c r="L504">
        <v>770.11</v>
      </c>
      <c r="M504">
        <v>1667.82</v>
      </c>
      <c r="N504">
        <v>6.9000000000000006E-2</v>
      </c>
      <c r="O504">
        <v>7</v>
      </c>
    </row>
    <row r="505" spans="1:15" x14ac:dyDescent="0.25">
      <c r="A505" t="s">
        <v>517</v>
      </c>
      <c r="B505" s="2">
        <v>45740</v>
      </c>
      <c r="C505" s="2">
        <v>45741</v>
      </c>
      <c r="D505" t="s">
        <v>647</v>
      </c>
      <c r="E505" t="s">
        <v>659</v>
      </c>
      <c r="F505" t="s">
        <v>699</v>
      </c>
      <c r="G505" t="s">
        <v>703</v>
      </c>
      <c r="H505" t="s">
        <v>708</v>
      </c>
      <c r="I505" t="s">
        <v>715</v>
      </c>
      <c r="J505" t="s">
        <v>729</v>
      </c>
      <c r="K505" t="s">
        <v>1236</v>
      </c>
      <c r="L505">
        <v>1133.03</v>
      </c>
      <c r="M505">
        <v>1921.51</v>
      </c>
      <c r="N505">
        <v>0.10100000000000001</v>
      </c>
      <c r="O505">
        <v>5</v>
      </c>
    </row>
    <row r="506" spans="1:15" x14ac:dyDescent="0.25">
      <c r="A506" t="s">
        <v>518</v>
      </c>
      <c r="B506" s="2">
        <v>45726</v>
      </c>
      <c r="C506" s="2">
        <v>45743</v>
      </c>
      <c r="D506" t="s">
        <v>648</v>
      </c>
      <c r="E506" t="s">
        <v>655</v>
      </c>
      <c r="F506" t="s">
        <v>692</v>
      </c>
      <c r="G506" t="s">
        <v>706</v>
      </c>
      <c r="H506" t="s">
        <v>711</v>
      </c>
      <c r="I506" t="s">
        <v>721</v>
      </c>
      <c r="J506" t="s">
        <v>729</v>
      </c>
      <c r="K506" t="s">
        <v>1237</v>
      </c>
      <c r="L506">
        <v>996.73</v>
      </c>
      <c r="M506">
        <v>1217.43</v>
      </c>
      <c r="N506">
        <v>7.0000000000000007E-2</v>
      </c>
      <c r="O506">
        <v>9</v>
      </c>
    </row>
    <row r="507" spans="1:15" x14ac:dyDescent="0.25">
      <c r="A507" t="s">
        <v>519</v>
      </c>
      <c r="B507" s="2">
        <v>45387</v>
      </c>
      <c r="C507" s="2">
        <v>45391</v>
      </c>
      <c r="D507" t="s">
        <v>646</v>
      </c>
      <c r="E507" t="s">
        <v>651</v>
      </c>
      <c r="F507" t="s">
        <v>665</v>
      </c>
      <c r="G507" t="s">
        <v>703</v>
      </c>
      <c r="H507" t="s">
        <v>711</v>
      </c>
      <c r="I507" t="s">
        <v>723</v>
      </c>
      <c r="J507" t="s">
        <v>727</v>
      </c>
      <c r="K507" t="s">
        <v>1238</v>
      </c>
      <c r="L507">
        <v>395.07</v>
      </c>
      <c r="M507">
        <v>970.27</v>
      </c>
      <c r="N507">
        <v>0.123</v>
      </c>
      <c r="O507">
        <v>38</v>
      </c>
    </row>
    <row r="508" spans="1:15" x14ac:dyDescent="0.25">
      <c r="A508" t="s">
        <v>520</v>
      </c>
      <c r="B508" s="2">
        <v>45774</v>
      </c>
      <c r="C508" s="2">
        <v>45794</v>
      </c>
      <c r="D508" t="s">
        <v>648</v>
      </c>
      <c r="E508" t="s">
        <v>660</v>
      </c>
      <c r="F508" t="s">
        <v>697</v>
      </c>
      <c r="G508" t="s">
        <v>701</v>
      </c>
      <c r="H508" t="s">
        <v>711</v>
      </c>
      <c r="I508" t="s">
        <v>725</v>
      </c>
      <c r="J508" t="s">
        <v>730</v>
      </c>
      <c r="K508" t="s">
        <v>1239</v>
      </c>
      <c r="L508">
        <v>932.26</v>
      </c>
      <c r="M508">
        <v>1624.67</v>
      </c>
      <c r="N508">
        <v>0.23499999999999999</v>
      </c>
      <c r="O508">
        <v>28</v>
      </c>
    </row>
    <row r="509" spans="1:15" x14ac:dyDescent="0.25">
      <c r="A509" t="s">
        <v>521</v>
      </c>
      <c r="B509" s="2">
        <v>45589</v>
      </c>
      <c r="C509" s="2">
        <v>45593</v>
      </c>
      <c r="D509" t="s">
        <v>647</v>
      </c>
      <c r="E509" t="s">
        <v>659</v>
      </c>
      <c r="F509" t="s">
        <v>685</v>
      </c>
      <c r="G509" t="s">
        <v>705</v>
      </c>
      <c r="H509" t="s">
        <v>710</v>
      </c>
      <c r="I509" t="s">
        <v>714</v>
      </c>
      <c r="J509" t="s">
        <v>729</v>
      </c>
      <c r="K509" t="s">
        <v>1240</v>
      </c>
      <c r="L509">
        <v>1331.77</v>
      </c>
      <c r="M509">
        <v>2606.11</v>
      </c>
      <c r="N509">
        <v>0.02</v>
      </c>
      <c r="O509">
        <v>6</v>
      </c>
    </row>
    <row r="510" spans="1:15" x14ac:dyDescent="0.25">
      <c r="A510" t="s">
        <v>522</v>
      </c>
      <c r="B510" s="2">
        <v>45029</v>
      </c>
      <c r="C510" s="2">
        <v>45036</v>
      </c>
      <c r="D510" t="s">
        <v>649</v>
      </c>
      <c r="E510" t="s">
        <v>657</v>
      </c>
      <c r="F510" t="s">
        <v>679</v>
      </c>
      <c r="G510" t="s">
        <v>705</v>
      </c>
      <c r="H510" t="s">
        <v>708</v>
      </c>
      <c r="I510" t="s">
        <v>720</v>
      </c>
      <c r="J510" t="s">
        <v>731</v>
      </c>
      <c r="K510" t="s">
        <v>1241</v>
      </c>
      <c r="L510">
        <v>227.02</v>
      </c>
      <c r="M510">
        <v>434.72</v>
      </c>
      <c r="N510">
        <v>9.8000000000000004E-2</v>
      </c>
      <c r="O510">
        <v>10</v>
      </c>
    </row>
    <row r="511" spans="1:15" x14ac:dyDescent="0.25">
      <c r="A511" t="s">
        <v>523</v>
      </c>
      <c r="B511" s="2">
        <v>45608</v>
      </c>
      <c r="C511" s="2">
        <v>45617</v>
      </c>
      <c r="D511" t="s">
        <v>647</v>
      </c>
      <c r="E511" t="s">
        <v>654</v>
      </c>
      <c r="F511" t="s">
        <v>691</v>
      </c>
      <c r="G511" t="s">
        <v>701</v>
      </c>
      <c r="H511" t="s">
        <v>711</v>
      </c>
      <c r="I511" t="s">
        <v>722</v>
      </c>
      <c r="J511" t="s">
        <v>731</v>
      </c>
      <c r="K511" t="s">
        <v>1242</v>
      </c>
      <c r="L511">
        <v>903.41</v>
      </c>
      <c r="M511">
        <v>1860.41</v>
      </c>
      <c r="N511">
        <v>0.108</v>
      </c>
      <c r="O511">
        <v>5</v>
      </c>
    </row>
    <row r="512" spans="1:15" x14ac:dyDescent="0.25">
      <c r="A512" t="s">
        <v>524</v>
      </c>
      <c r="B512" s="2">
        <v>45056</v>
      </c>
      <c r="C512" s="2">
        <v>45060</v>
      </c>
      <c r="D512" t="s">
        <v>647</v>
      </c>
      <c r="E512" t="s">
        <v>654</v>
      </c>
      <c r="F512" t="s">
        <v>680</v>
      </c>
      <c r="G512" t="s">
        <v>703</v>
      </c>
      <c r="H512" t="s">
        <v>710</v>
      </c>
      <c r="I512" t="s">
        <v>712</v>
      </c>
      <c r="J512" t="s">
        <v>732</v>
      </c>
      <c r="K512" t="s">
        <v>1243</v>
      </c>
      <c r="L512">
        <v>622.6</v>
      </c>
      <c r="M512">
        <v>833.69</v>
      </c>
      <c r="N512">
        <v>0.20899999999999999</v>
      </c>
      <c r="O512">
        <v>14</v>
      </c>
    </row>
    <row r="513" spans="1:15" x14ac:dyDescent="0.25">
      <c r="A513" t="s">
        <v>525</v>
      </c>
      <c r="B513" s="2">
        <v>45353</v>
      </c>
      <c r="C513" s="2">
        <v>45374</v>
      </c>
      <c r="D513" t="s">
        <v>648</v>
      </c>
      <c r="E513" t="s">
        <v>660</v>
      </c>
      <c r="F513" t="s">
        <v>677</v>
      </c>
      <c r="G513" t="s">
        <v>705</v>
      </c>
      <c r="H513" t="s">
        <v>708</v>
      </c>
      <c r="I513" t="s">
        <v>721</v>
      </c>
      <c r="J513" t="s">
        <v>727</v>
      </c>
      <c r="K513" t="s">
        <v>1244</v>
      </c>
      <c r="L513">
        <v>225.01</v>
      </c>
      <c r="M513">
        <v>333.48</v>
      </c>
      <c r="N513">
        <v>0.11899999999999999</v>
      </c>
      <c r="O513">
        <v>12</v>
      </c>
    </row>
    <row r="514" spans="1:15" x14ac:dyDescent="0.25">
      <c r="A514" t="s">
        <v>526</v>
      </c>
      <c r="B514" s="2">
        <v>45575</v>
      </c>
      <c r="C514" s="2">
        <v>45576</v>
      </c>
      <c r="D514" t="s">
        <v>649</v>
      </c>
      <c r="E514" t="s">
        <v>658</v>
      </c>
      <c r="F514" t="s">
        <v>693</v>
      </c>
      <c r="G514" t="s">
        <v>703</v>
      </c>
      <c r="H514" t="s">
        <v>710</v>
      </c>
      <c r="I514" t="s">
        <v>716</v>
      </c>
      <c r="J514" t="s">
        <v>727</v>
      </c>
      <c r="K514" t="s">
        <v>1245</v>
      </c>
      <c r="L514">
        <v>1389.46</v>
      </c>
      <c r="M514">
        <v>1784.7</v>
      </c>
      <c r="N514">
        <v>0.14599999999999999</v>
      </c>
      <c r="O514">
        <v>33</v>
      </c>
    </row>
    <row r="515" spans="1:15" x14ac:dyDescent="0.25">
      <c r="A515" t="s">
        <v>527</v>
      </c>
      <c r="B515" s="2">
        <v>45078</v>
      </c>
      <c r="C515" s="2">
        <v>45085</v>
      </c>
      <c r="D515" t="s">
        <v>649</v>
      </c>
      <c r="E515" t="s">
        <v>656</v>
      </c>
      <c r="F515" t="s">
        <v>698</v>
      </c>
      <c r="G515" t="s">
        <v>704</v>
      </c>
      <c r="H515" t="s">
        <v>708</v>
      </c>
      <c r="I515" t="s">
        <v>720</v>
      </c>
      <c r="J515" t="s">
        <v>730</v>
      </c>
      <c r="K515" t="s">
        <v>1246</v>
      </c>
      <c r="L515">
        <v>804.17</v>
      </c>
      <c r="M515">
        <v>1072.29</v>
      </c>
      <c r="N515">
        <v>3.2000000000000001E-2</v>
      </c>
      <c r="O515">
        <v>5</v>
      </c>
    </row>
    <row r="516" spans="1:15" x14ac:dyDescent="0.25">
      <c r="A516" t="s">
        <v>528</v>
      </c>
      <c r="B516" s="2">
        <v>45661</v>
      </c>
      <c r="C516" s="2">
        <v>45662</v>
      </c>
      <c r="D516" t="s">
        <v>647</v>
      </c>
      <c r="E516" t="s">
        <v>654</v>
      </c>
      <c r="F516" t="s">
        <v>680</v>
      </c>
      <c r="G516" t="s">
        <v>702</v>
      </c>
      <c r="H516" t="s">
        <v>707</v>
      </c>
      <c r="I516" t="s">
        <v>714</v>
      </c>
      <c r="J516" t="s">
        <v>727</v>
      </c>
      <c r="K516" t="s">
        <v>1247</v>
      </c>
      <c r="L516">
        <v>1428.33</v>
      </c>
      <c r="M516">
        <v>3028.05</v>
      </c>
      <c r="N516">
        <v>0</v>
      </c>
      <c r="O516">
        <v>11</v>
      </c>
    </row>
    <row r="517" spans="1:15" x14ac:dyDescent="0.25">
      <c r="A517" t="s">
        <v>529</v>
      </c>
      <c r="B517" s="2">
        <v>45874</v>
      </c>
      <c r="C517" s="2">
        <v>45897</v>
      </c>
      <c r="D517" t="s">
        <v>647</v>
      </c>
      <c r="E517" t="s">
        <v>654</v>
      </c>
      <c r="F517" t="s">
        <v>691</v>
      </c>
      <c r="G517" t="s">
        <v>703</v>
      </c>
      <c r="H517" t="s">
        <v>710</v>
      </c>
      <c r="I517" t="s">
        <v>725</v>
      </c>
      <c r="J517" t="s">
        <v>731</v>
      </c>
      <c r="K517" t="s">
        <v>1248</v>
      </c>
      <c r="L517">
        <v>638.54</v>
      </c>
      <c r="M517">
        <v>987.24</v>
      </c>
      <c r="N517">
        <v>0</v>
      </c>
      <c r="O517">
        <v>11</v>
      </c>
    </row>
    <row r="518" spans="1:15" x14ac:dyDescent="0.25">
      <c r="A518" t="s">
        <v>530</v>
      </c>
      <c r="B518" s="2">
        <v>45199</v>
      </c>
      <c r="C518" s="2">
        <v>45229</v>
      </c>
      <c r="D518" t="s">
        <v>647</v>
      </c>
      <c r="E518" t="s">
        <v>652</v>
      </c>
      <c r="F518" t="s">
        <v>689</v>
      </c>
      <c r="G518" t="s">
        <v>706</v>
      </c>
      <c r="H518" t="s">
        <v>708</v>
      </c>
      <c r="I518" t="s">
        <v>726</v>
      </c>
      <c r="J518" t="s">
        <v>728</v>
      </c>
      <c r="K518" t="s">
        <v>1249</v>
      </c>
      <c r="L518">
        <v>649.13</v>
      </c>
      <c r="M518">
        <v>975.43</v>
      </c>
      <c r="N518">
        <v>0.157</v>
      </c>
      <c r="O518">
        <v>27</v>
      </c>
    </row>
    <row r="519" spans="1:15" x14ac:dyDescent="0.25">
      <c r="A519" t="s">
        <v>531</v>
      </c>
      <c r="B519" s="2">
        <v>45794</v>
      </c>
      <c r="C519" s="2">
        <v>45807</v>
      </c>
      <c r="D519" t="s">
        <v>646</v>
      </c>
      <c r="E519" t="s">
        <v>651</v>
      </c>
      <c r="F519" t="s">
        <v>665</v>
      </c>
      <c r="G519" t="s">
        <v>704</v>
      </c>
      <c r="H519" t="s">
        <v>710</v>
      </c>
      <c r="I519" t="s">
        <v>721</v>
      </c>
      <c r="J519" t="s">
        <v>733</v>
      </c>
      <c r="K519" t="s">
        <v>1250</v>
      </c>
      <c r="L519">
        <v>66.400000000000006</v>
      </c>
      <c r="M519">
        <v>141.43</v>
      </c>
      <c r="N519">
        <v>0.107</v>
      </c>
      <c r="O519">
        <v>8</v>
      </c>
    </row>
    <row r="520" spans="1:15" x14ac:dyDescent="0.25">
      <c r="A520" t="s">
        <v>532</v>
      </c>
      <c r="B520" s="2">
        <v>45413</v>
      </c>
      <c r="C520" s="2">
        <v>45438</v>
      </c>
      <c r="D520" t="s">
        <v>649</v>
      </c>
      <c r="E520" t="s">
        <v>656</v>
      </c>
      <c r="F520" t="s">
        <v>671</v>
      </c>
      <c r="G520" t="s">
        <v>703</v>
      </c>
      <c r="H520" t="s">
        <v>707</v>
      </c>
      <c r="I520" t="s">
        <v>717</v>
      </c>
      <c r="J520" t="s">
        <v>729</v>
      </c>
      <c r="K520" t="s">
        <v>1251</v>
      </c>
      <c r="L520">
        <v>930.71</v>
      </c>
      <c r="M520">
        <v>1625.42</v>
      </c>
      <c r="N520">
        <v>0.13800000000000001</v>
      </c>
      <c r="O520">
        <v>7</v>
      </c>
    </row>
    <row r="521" spans="1:15" x14ac:dyDescent="0.25">
      <c r="A521" t="s">
        <v>533</v>
      </c>
      <c r="B521" s="2">
        <v>45047</v>
      </c>
      <c r="C521" s="2">
        <v>45064</v>
      </c>
      <c r="D521" t="s">
        <v>646</v>
      </c>
      <c r="E521" t="s">
        <v>651</v>
      </c>
      <c r="F521" t="s">
        <v>663</v>
      </c>
      <c r="G521" t="s">
        <v>701</v>
      </c>
      <c r="H521" t="s">
        <v>711</v>
      </c>
      <c r="I521" t="s">
        <v>721</v>
      </c>
      <c r="J521" t="s">
        <v>727</v>
      </c>
      <c r="K521" t="s">
        <v>1252</v>
      </c>
      <c r="L521">
        <v>327.97</v>
      </c>
      <c r="M521">
        <v>299.94</v>
      </c>
      <c r="N521">
        <v>4.9000000000000002E-2</v>
      </c>
      <c r="O521">
        <v>3</v>
      </c>
    </row>
    <row r="522" spans="1:15" x14ac:dyDescent="0.25">
      <c r="A522" t="s">
        <v>534</v>
      </c>
      <c r="B522" s="2">
        <v>45482</v>
      </c>
      <c r="C522" s="2">
        <v>45512</v>
      </c>
      <c r="D522" t="s">
        <v>649</v>
      </c>
      <c r="E522" t="s">
        <v>657</v>
      </c>
      <c r="F522" t="s">
        <v>673</v>
      </c>
      <c r="G522" t="s">
        <v>701</v>
      </c>
      <c r="H522" t="s">
        <v>711</v>
      </c>
      <c r="I522" t="s">
        <v>713</v>
      </c>
      <c r="J522" t="s">
        <v>727</v>
      </c>
      <c r="K522" t="s">
        <v>1253</v>
      </c>
      <c r="L522">
        <v>1062.3800000000001</v>
      </c>
      <c r="M522">
        <v>1503.96</v>
      </c>
      <c r="N522">
        <v>0.18</v>
      </c>
      <c r="O522">
        <v>6</v>
      </c>
    </row>
    <row r="523" spans="1:15" x14ac:dyDescent="0.25">
      <c r="A523" t="s">
        <v>535</v>
      </c>
      <c r="B523" s="2">
        <v>45056</v>
      </c>
      <c r="C523" s="2">
        <v>45073</v>
      </c>
      <c r="D523" t="s">
        <v>647</v>
      </c>
      <c r="E523" t="s">
        <v>654</v>
      </c>
      <c r="F523" t="s">
        <v>691</v>
      </c>
      <c r="G523" t="s">
        <v>704</v>
      </c>
      <c r="H523" t="s">
        <v>707</v>
      </c>
      <c r="I523" t="s">
        <v>724</v>
      </c>
      <c r="J523" t="s">
        <v>731</v>
      </c>
      <c r="K523" t="s">
        <v>1254</v>
      </c>
      <c r="L523">
        <v>1286.1600000000001</v>
      </c>
      <c r="M523">
        <v>3101.11</v>
      </c>
      <c r="N523">
        <v>0.1</v>
      </c>
      <c r="O523">
        <v>23</v>
      </c>
    </row>
    <row r="524" spans="1:15" x14ac:dyDescent="0.25">
      <c r="A524" t="s">
        <v>536</v>
      </c>
      <c r="B524" s="2">
        <v>45482</v>
      </c>
      <c r="C524" s="2">
        <v>45485</v>
      </c>
      <c r="D524" t="s">
        <v>647</v>
      </c>
      <c r="E524" t="s">
        <v>659</v>
      </c>
      <c r="F524" t="s">
        <v>685</v>
      </c>
      <c r="G524" t="s">
        <v>705</v>
      </c>
      <c r="H524" t="s">
        <v>707</v>
      </c>
      <c r="I524" t="s">
        <v>726</v>
      </c>
      <c r="J524" t="s">
        <v>733</v>
      </c>
      <c r="K524" t="s">
        <v>1255</v>
      </c>
      <c r="L524">
        <v>748.39</v>
      </c>
      <c r="M524">
        <v>979.42</v>
      </c>
      <c r="N524">
        <v>0</v>
      </c>
      <c r="O524">
        <v>23</v>
      </c>
    </row>
    <row r="525" spans="1:15" x14ac:dyDescent="0.25">
      <c r="A525" t="s">
        <v>537</v>
      </c>
      <c r="B525" s="2">
        <v>45406</v>
      </c>
      <c r="C525" s="2">
        <v>45422</v>
      </c>
      <c r="D525" t="s">
        <v>646</v>
      </c>
      <c r="E525" t="s">
        <v>650</v>
      </c>
      <c r="F525" t="s">
        <v>662</v>
      </c>
      <c r="G525" t="s">
        <v>703</v>
      </c>
      <c r="H525" t="s">
        <v>708</v>
      </c>
      <c r="I525" t="s">
        <v>725</v>
      </c>
      <c r="J525" t="s">
        <v>732</v>
      </c>
      <c r="K525" t="s">
        <v>1256</v>
      </c>
      <c r="L525">
        <v>513.30999999999995</v>
      </c>
      <c r="M525">
        <v>1186.26</v>
      </c>
      <c r="N525">
        <v>9.4E-2</v>
      </c>
      <c r="O525">
        <v>15</v>
      </c>
    </row>
    <row r="526" spans="1:15" x14ac:dyDescent="0.25">
      <c r="A526" t="s">
        <v>538</v>
      </c>
      <c r="B526" s="2">
        <v>45304</v>
      </c>
      <c r="C526" s="2">
        <v>45306</v>
      </c>
      <c r="D526" t="s">
        <v>648</v>
      </c>
      <c r="E526" t="s">
        <v>660</v>
      </c>
      <c r="F526" t="s">
        <v>686</v>
      </c>
      <c r="G526" t="s">
        <v>703</v>
      </c>
      <c r="H526" t="s">
        <v>711</v>
      </c>
      <c r="I526" t="s">
        <v>718</v>
      </c>
      <c r="J526" t="s">
        <v>727</v>
      </c>
      <c r="K526" t="s">
        <v>1257</v>
      </c>
      <c r="L526">
        <v>1061.3699999999999</v>
      </c>
      <c r="M526">
        <v>1938.33</v>
      </c>
      <c r="N526">
        <v>0.17</v>
      </c>
      <c r="O526">
        <v>4</v>
      </c>
    </row>
    <row r="527" spans="1:15" x14ac:dyDescent="0.25">
      <c r="A527" t="s">
        <v>539</v>
      </c>
      <c r="B527" s="2">
        <v>45398</v>
      </c>
      <c r="C527" s="2">
        <v>45409</v>
      </c>
      <c r="D527" t="s">
        <v>646</v>
      </c>
      <c r="E527" t="s">
        <v>650</v>
      </c>
      <c r="F527" t="s">
        <v>678</v>
      </c>
      <c r="G527" t="s">
        <v>706</v>
      </c>
      <c r="H527" t="s">
        <v>708</v>
      </c>
      <c r="I527" t="s">
        <v>726</v>
      </c>
      <c r="J527" t="s">
        <v>728</v>
      </c>
      <c r="K527" t="s">
        <v>1258</v>
      </c>
      <c r="L527">
        <v>401.3</v>
      </c>
      <c r="M527">
        <v>826.47</v>
      </c>
      <c r="N527">
        <v>0.22500000000000001</v>
      </c>
      <c r="O527">
        <v>13</v>
      </c>
    </row>
    <row r="528" spans="1:15" x14ac:dyDescent="0.25">
      <c r="A528" t="s">
        <v>540</v>
      </c>
      <c r="B528" s="2">
        <v>45695</v>
      </c>
      <c r="C528" s="2">
        <v>45704</v>
      </c>
      <c r="D528" t="s">
        <v>646</v>
      </c>
      <c r="E528" t="s">
        <v>651</v>
      </c>
      <c r="F528" t="s">
        <v>665</v>
      </c>
      <c r="G528" t="s">
        <v>705</v>
      </c>
      <c r="H528" t="s">
        <v>710</v>
      </c>
      <c r="I528" t="s">
        <v>712</v>
      </c>
      <c r="J528" t="s">
        <v>728</v>
      </c>
      <c r="K528" t="s">
        <v>1259</v>
      </c>
      <c r="L528">
        <v>90.68</v>
      </c>
      <c r="M528">
        <v>118.17</v>
      </c>
      <c r="N528">
        <v>0.13500000000000001</v>
      </c>
      <c r="O528">
        <v>21</v>
      </c>
    </row>
    <row r="529" spans="1:15" x14ac:dyDescent="0.25">
      <c r="A529" t="s">
        <v>541</v>
      </c>
      <c r="B529" s="2">
        <v>44938</v>
      </c>
      <c r="C529" s="2">
        <v>44952</v>
      </c>
      <c r="D529" t="s">
        <v>647</v>
      </c>
      <c r="E529" t="s">
        <v>659</v>
      </c>
      <c r="F529" t="s">
        <v>676</v>
      </c>
      <c r="G529" t="s">
        <v>703</v>
      </c>
      <c r="H529" t="s">
        <v>707</v>
      </c>
      <c r="I529" t="s">
        <v>724</v>
      </c>
      <c r="J529" t="s">
        <v>728</v>
      </c>
      <c r="K529" t="s">
        <v>1260</v>
      </c>
      <c r="L529">
        <v>1083.0899999999999</v>
      </c>
      <c r="M529">
        <v>1425.87</v>
      </c>
      <c r="N529">
        <v>0</v>
      </c>
      <c r="O529">
        <v>8</v>
      </c>
    </row>
    <row r="530" spans="1:15" x14ac:dyDescent="0.25">
      <c r="A530" t="s">
        <v>542</v>
      </c>
      <c r="B530" s="2">
        <v>45448</v>
      </c>
      <c r="C530" s="2">
        <v>45466</v>
      </c>
      <c r="D530" t="s">
        <v>646</v>
      </c>
      <c r="E530" t="s">
        <v>650</v>
      </c>
      <c r="F530" t="s">
        <v>664</v>
      </c>
      <c r="G530" t="s">
        <v>704</v>
      </c>
      <c r="H530" t="s">
        <v>710</v>
      </c>
      <c r="I530" t="s">
        <v>726</v>
      </c>
      <c r="J530" t="s">
        <v>731</v>
      </c>
      <c r="K530" t="s">
        <v>1261</v>
      </c>
      <c r="L530">
        <v>1208.74</v>
      </c>
      <c r="M530">
        <v>1594.78</v>
      </c>
      <c r="N530">
        <v>5.8999999999999997E-2</v>
      </c>
      <c r="O530">
        <v>39</v>
      </c>
    </row>
    <row r="531" spans="1:15" x14ac:dyDescent="0.25">
      <c r="A531" t="s">
        <v>543</v>
      </c>
      <c r="B531" s="2">
        <v>45162</v>
      </c>
      <c r="C531" s="2">
        <v>45189</v>
      </c>
      <c r="D531" t="s">
        <v>646</v>
      </c>
      <c r="E531" t="s">
        <v>661</v>
      </c>
      <c r="F531" t="s">
        <v>687</v>
      </c>
      <c r="G531" t="s">
        <v>705</v>
      </c>
      <c r="H531" t="s">
        <v>709</v>
      </c>
      <c r="I531" t="s">
        <v>724</v>
      </c>
      <c r="J531" t="s">
        <v>728</v>
      </c>
      <c r="K531" t="s">
        <v>1262</v>
      </c>
      <c r="L531">
        <v>1399.64</v>
      </c>
      <c r="M531">
        <v>3342.11</v>
      </c>
      <c r="N531">
        <v>0</v>
      </c>
      <c r="O531">
        <v>10</v>
      </c>
    </row>
    <row r="532" spans="1:15" x14ac:dyDescent="0.25">
      <c r="A532" t="s">
        <v>544</v>
      </c>
      <c r="B532" s="2">
        <v>45316</v>
      </c>
      <c r="C532" s="2">
        <v>45330</v>
      </c>
      <c r="D532" t="s">
        <v>647</v>
      </c>
      <c r="E532" t="s">
        <v>652</v>
      </c>
      <c r="F532" t="s">
        <v>666</v>
      </c>
      <c r="G532" t="s">
        <v>704</v>
      </c>
      <c r="H532" t="s">
        <v>709</v>
      </c>
      <c r="I532" t="s">
        <v>714</v>
      </c>
      <c r="J532" t="s">
        <v>729</v>
      </c>
      <c r="K532" t="s">
        <v>1263</v>
      </c>
      <c r="L532">
        <v>937.16</v>
      </c>
      <c r="M532">
        <v>1069.77</v>
      </c>
      <c r="N532">
        <v>3.7999999999999999E-2</v>
      </c>
      <c r="O532">
        <v>9</v>
      </c>
    </row>
    <row r="533" spans="1:15" x14ac:dyDescent="0.25">
      <c r="A533" t="s">
        <v>545</v>
      </c>
      <c r="B533" s="2">
        <v>45727</v>
      </c>
      <c r="C533" s="2">
        <v>45742</v>
      </c>
      <c r="D533" t="s">
        <v>649</v>
      </c>
      <c r="E533" t="s">
        <v>656</v>
      </c>
      <c r="F533" t="s">
        <v>671</v>
      </c>
      <c r="G533" t="s">
        <v>705</v>
      </c>
      <c r="H533" t="s">
        <v>708</v>
      </c>
      <c r="I533" t="s">
        <v>714</v>
      </c>
      <c r="J533" t="s">
        <v>730</v>
      </c>
      <c r="K533" t="s">
        <v>1264</v>
      </c>
      <c r="L533">
        <v>116.97</v>
      </c>
      <c r="M533">
        <v>140.82</v>
      </c>
      <c r="N533">
        <v>0.122</v>
      </c>
      <c r="O533">
        <v>5</v>
      </c>
    </row>
    <row r="534" spans="1:15" x14ac:dyDescent="0.25">
      <c r="A534" t="s">
        <v>546</v>
      </c>
      <c r="B534" s="2">
        <v>45769</v>
      </c>
      <c r="C534" s="2">
        <v>45789</v>
      </c>
      <c r="D534" t="s">
        <v>649</v>
      </c>
      <c r="E534" t="s">
        <v>657</v>
      </c>
      <c r="F534" t="s">
        <v>679</v>
      </c>
      <c r="G534" t="s">
        <v>706</v>
      </c>
      <c r="H534" t="s">
        <v>709</v>
      </c>
      <c r="I534" t="s">
        <v>723</v>
      </c>
      <c r="J534" t="s">
        <v>732</v>
      </c>
      <c r="K534" t="s">
        <v>1265</v>
      </c>
      <c r="L534">
        <v>59.51</v>
      </c>
      <c r="M534">
        <v>67.040000000000006</v>
      </c>
      <c r="N534">
        <v>0.114</v>
      </c>
      <c r="O534">
        <v>9</v>
      </c>
    </row>
    <row r="535" spans="1:15" x14ac:dyDescent="0.25">
      <c r="A535" t="s">
        <v>547</v>
      </c>
      <c r="B535" s="2">
        <v>45155</v>
      </c>
      <c r="C535" s="2">
        <v>45172</v>
      </c>
      <c r="D535" t="s">
        <v>646</v>
      </c>
      <c r="E535" t="s">
        <v>661</v>
      </c>
      <c r="F535" t="s">
        <v>687</v>
      </c>
      <c r="G535" t="s">
        <v>706</v>
      </c>
      <c r="H535" t="s">
        <v>707</v>
      </c>
      <c r="I535" t="s">
        <v>720</v>
      </c>
      <c r="J535" t="s">
        <v>730</v>
      </c>
      <c r="K535" t="s">
        <v>1266</v>
      </c>
      <c r="L535">
        <v>676.37</v>
      </c>
      <c r="M535">
        <v>1276.67</v>
      </c>
      <c r="N535">
        <v>6.6000000000000003E-2</v>
      </c>
      <c r="O535">
        <v>10</v>
      </c>
    </row>
    <row r="536" spans="1:15" x14ac:dyDescent="0.25">
      <c r="A536" t="s">
        <v>548</v>
      </c>
      <c r="B536" s="2">
        <v>45832</v>
      </c>
      <c r="C536" s="2">
        <v>45852</v>
      </c>
      <c r="D536" t="s">
        <v>646</v>
      </c>
      <c r="E536" t="s">
        <v>661</v>
      </c>
      <c r="F536" t="s">
        <v>682</v>
      </c>
      <c r="G536" t="s">
        <v>706</v>
      </c>
      <c r="H536" t="s">
        <v>709</v>
      </c>
      <c r="I536" t="s">
        <v>713</v>
      </c>
      <c r="J536" t="s">
        <v>731</v>
      </c>
      <c r="K536" t="s">
        <v>1267</v>
      </c>
      <c r="L536">
        <v>1151.06</v>
      </c>
      <c r="M536">
        <v>2821.36</v>
      </c>
      <c r="N536">
        <v>0.248</v>
      </c>
      <c r="O536">
        <v>20</v>
      </c>
    </row>
    <row r="537" spans="1:15" x14ac:dyDescent="0.25">
      <c r="A537" t="s">
        <v>549</v>
      </c>
      <c r="B537" s="2">
        <v>45667</v>
      </c>
      <c r="C537" s="2">
        <v>45694</v>
      </c>
      <c r="D537" t="s">
        <v>648</v>
      </c>
      <c r="E537" t="s">
        <v>655</v>
      </c>
      <c r="F537" t="s">
        <v>672</v>
      </c>
      <c r="G537" t="s">
        <v>703</v>
      </c>
      <c r="H537" t="s">
        <v>707</v>
      </c>
      <c r="I537" t="s">
        <v>717</v>
      </c>
      <c r="J537" t="s">
        <v>731</v>
      </c>
      <c r="K537" t="s">
        <v>1268</v>
      </c>
      <c r="L537">
        <v>725.62</v>
      </c>
      <c r="M537">
        <v>1559.19</v>
      </c>
      <c r="N537">
        <v>0.19</v>
      </c>
      <c r="O537">
        <v>12</v>
      </c>
    </row>
    <row r="538" spans="1:15" x14ac:dyDescent="0.25">
      <c r="A538" t="s">
        <v>550</v>
      </c>
      <c r="B538" s="2">
        <v>45108</v>
      </c>
      <c r="C538" s="2">
        <v>45118</v>
      </c>
      <c r="D538" t="s">
        <v>649</v>
      </c>
      <c r="E538" t="s">
        <v>657</v>
      </c>
      <c r="F538" t="s">
        <v>690</v>
      </c>
      <c r="G538" t="s">
        <v>701</v>
      </c>
      <c r="H538" t="s">
        <v>711</v>
      </c>
      <c r="I538" t="s">
        <v>721</v>
      </c>
      <c r="J538" t="s">
        <v>729</v>
      </c>
      <c r="K538" t="s">
        <v>1269</v>
      </c>
      <c r="L538">
        <v>479.5</v>
      </c>
      <c r="M538">
        <v>656.66</v>
      </c>
      <c r="N538">
        <v>0.14899999999999999</v>
      </c>
      <c r="O538">
        <v>14</v>
      </c>
    </row>
    <row r="539" spans="1:15" x14ac:dyDescent="0.25">
      <c r="A539" t="s">
        <v>551</v>
      </c>
      <c r="B539" s="2">
        <v>45520</v>
      </c>
      <c r="C539" s="2">
        <v>45530</v>
      </c>
      <c r="D539" t="s">
        <v>648</v>
      </c>
      <c r="E539" t="s">
        <v>660</v>
      </c>
      <c r="F539" t="s">
        <v>677</v>
      </c>
      <c r="G539" t="s">
        <v>701</v>
      </c>
      <c r="H539" t="s">
        <v>710</v>
      </c>
      <c r="I539" t="s">
        <v>716</v>
      </c>
      <c r="J539" t="s">
        <v>731</v>
      </c>
      <c r="K539" t="s">
        <v>1121</v>
      </c>
      <c r="L539">
        <v>1291.7</v>
      </c>
      <c r="M539">
        <v>2657.84</v>
      </c>
      <c r="N539">
        <v>8.6999999999999994E-2</v>
      </c>
      <c r="O539">
        <v>21</v>
      </c>
    </row>
    <row r="540" spans="1:15" x14ac:dyDescent="0.25">
      <c r="A540" t="s">
        <v>552</v>
      </c>
      <c r="B540" s="2">
        <v>45114</v>
      </c>
      <c r="C540" s="2">
        <v>45120</v>
      </c>
      <c r="D540" t="s">
        <v>646</v>
      </c>
      <c r="E540" t="s">
        <v>661</v>
      </c>
      <c r="F540" t="s">
        <v>695</v>
      </c>
      <c r="G540" t="s">
        <v>705</v>
      </c>
      <c r="H540" t="s">
        <v>709</v>
      </c>
      <c r="I540" t="s">
        <v>717</v>
      </c>
      <c r="J540" t="s">
        <v>733</v>
      </c>
      <c r="K540" t="s">
        <v>1270</v>
      </c>
      <c r="L540">
        <v>612.59</v>
      </c>
      <c r="M540">
        <v>1424.74</v>
      </c>
      <c r="N540">
        <v>4.3999999999999997E-2</v>
      </c>
      <c r="O540">
        <v>15</v>
      </c>
    </row>
    <row r="541" spans="1:15" x14ac:dyDescent="0.25">
      <c r="A541" t="s">
        <v>553</v>
      </c>
      <c r="B541" s="2">
        <v>45288</v>
      </c>
      <c r="C541" s="2">
        <v>45292</v>
      </c>
      <c r="D541" t="s">
        <v>646</v>
      </c>
      <c r="E541" t="s">
        <v>661</v>
      </c>
      <c r="F541" t="s">
        <v>695</v>
      </c>
      <c r="G541" t="s">
        <v>702</v>
      </c>
      <c r="H541" t="s">
        <v>710</v>
      </c>
      <c r="I541" t="s">
        <v>720</v>
      </c>
      <c r="J541" t="s">
        <v>728</v>
      </c>
      <c r="K541" t="s">
        <v>1271</v>
      </c>
      <c r="L541">
        <v>1141.8</v>
      </c>
      <c r="M541">
        <v>2318.7399999999998</v>
      </c>
      <c r="N541">
        <v>0.107</v>
      </c>
      <c r="O541">
        <v>32</v>
      </c>
    </row>
    <row r="542" spans="1:15" x14ac:dyDescent="0.25">
      <c r="A542" t="s">
        <v>554</v>
      </c>
      <c r="B542" s="2">
        <v>44952</v>
      </c>
      <c r="C542" s="2">
        <v>44972</v>
      </c>
      <c r="D542" t="s">
        <v>649</v>
      </c>
      <c r="E542" t="s">
        <v>656</v>
      </c>
      <c r="F542" t="s">
        <v>671</v>
      </c>
      <c r="G542" t="s">
        <v>705</v>
      </c>
      <c r="H542" t="s">
        <v>708</v>
      </c>
      <c r="I542" t="s">
        <v>719</v>
      </c>
      <c r="J542" t="s">
        <v>729</v>
      </c>
      <c r="K542" t="s">
        <v>1272</v>
      </c>
      <c r="L542">
        <v>492.62</v>
      </c>
      <c r="M542">
        <v>366.7</v>
      </c>
      <c r="N542">
        <v>8.8999999999999996E-2</v>
      </c>
      <c r="O542">
        <v>10</v>
      </c>
    </row>
    <row r="543" spans="1:15" x14ac:dyDescent="0.25">
      <c r="A543" t="s">
        <v>555</v>
      </c>
      <c r="B543" s="2">
        <v>45115</v>
      </c>
      <c r="C543" s="2">
        <v>45116</v>
      </c>
      <c r="D543" t="s">
        <v>646</v>
      </c>
      <c r="E543" t="s">
        <v>650</v>
      </c>
      <c r="F543" t="s">
        <v>664</v>
      </c>
      <c r="G543" t="s">
        <v>704</v>
      </c>
      <c r="H543" t="s">
        <v>708</v>
      </c>
      <c r="I543" t="s">
        <v>726</v>
      </c>
      <c r="J543" t="s">
        <v>731</v>
      </c>
      <c r="K543" t="s">
        <v>1273</v>
      </c>
      <c r="L543">
        <v>1258.72</v>
      </c>
      <c r="M543">
        <v>2797.41</v>
      </c>
      <c r="N543">
        <v>0</v>
      </c>
      <c r="O543">
        <v>7</v>
      </c>
    </row>
    <row r="544" spans="1:15" x14ac:dyDescent="0.25">
      <c r="A544" t="s">
        <v>556</v>
      </c>
      <c r="B544" s="2">
        <v>45450</v>
      </c>
      <c r="C544" s="2">
        <v>45452</v>
      </c>
      <c r="D544" t="s">
        <v>647</v>
      </c>
      <c r="E544" t="s">
        <v>659</v>
      </c>
      <c r="F544" t="s">
        <v>685</v>
      </c>
      <c r="G544" t="s">
        <v>701</v>
      </c>
      <c r="H544" t="s">
        <v>707</v>
      </c>
      <c r="I544" t="s">
        <v>719</v>
      </c>
      <c r="J544" t="s">
        <v>732</v>
      </c>
      <c r="K544" t="s">
        <v>1274</v>
      </c>
      <c r="L544">
        <v>1370.28</v>
      </c>
      <c r="M544">
        <v>2209.66</v>
      </c>
      <c r="N544">
        <v>0.13300000000000001</v>
      </c>
      <c r="O544">
        <v>16</v>
      </c>
    </row>
    <row r="545" spans="1:15" x14ac:dyDescent="0.25">
      <c r="A545" t="s">
        <v>557</v>
      </c>
      <c r="B545" s="2">
        <v>44968</v>
      </c>
      <c r="C545" s="2">
        <v>44969</v>
      </c>
      <c r="D545" t="s">
        <v>646</v>
      </c>
      <c r="E545" t="s">
        <v>651</v>
      </c>
      <c r="F545" t="s">
        <v>663</v>
      </c>
      <c r="G545" t="s">
        <v>703</v>
      </c>
      <c r="H545" t="s">
        <v>711</v>
      </c>
      <c r="I545" t="s">
        <v>726</v>
      </c>
      <c r="J545" t="s">
        <v>733</v>
      </c>
      <c r="K545" t="s">
        <v>1275</v>
      </c>
      <c r="L545">
        <v>944.61</v>
      </c>
      <c r="M545">
        <v>839.04</v>
      </c>
      <c r="N545">
        <v>5.8999999999999997E-2</v>
      </c>
      <c r="O545">
        <v>6</v>
      </c>
    </row>
    <row r="546" spans="1:15" x14ac:dyDescent="0.25">
      <c r="A546" t="s">
        <v>558</v>
      </c>
      <c r="B546" s="2">
        <v>45108</v>
      </c>
      <c r="C546" s="2">
        <v>45115</v>
      </c>
      <c r="D546" t="s">
        <v>649</v>
      </c>
      <c r="E546" t="s">
        <v>656</v>
      </c>
      <c r="F546" t="s">
        <v>698</v>
      </c>
      <c r="G546" t="s">
        <v>705</v>
      </c>
      <c r="H546" t="s">
        <v>710</v>
      </c>
      <c r="I546" t="s">
        <v>725</v>
      </c>
      <c r="J546" t="s">
        <v>731</v>
      </c>
      <c r="K546" t="s">
        <v>1276</v>
      </c>
      <c r="L546">
        <v>460.21</v>
      </c>
      <c r="M546">
        <v>1139.1500000000001</v>
      </c>
      <c r="N546">
        <v>0.115</v>
      </c>
      <c r="O546">
        <v>14</v>
      </c>
    </row>
    <row r="547" spans="1:15" x14ac:dyDescent="0.25">
      <c r="A547" t="s">
        <v>559</v>
      </c>
      <c r="B547" s="2">
        <v>45889</v>
      </c>
      <c r="C547" s="2">
        <v>45895</v>
      </c>
      <c r="D547" t="s">
        <v>648</v>
      </c>
      <c r="E547" t="s">
        <v>660</v>
      </c>
      <c r="F547" t="s">
        <v>700</v>
      </c>
      <c r="G547" t="s">
        <v>701</v>
      </c>
      <c r="H547" t="s">
        <v>707</v>
      </c>
      <c r="I547" t="s">
        <v>724</v>
      </c>
      <c r="J547" t="s">
        <v>729</v>
      </c>
      <c r="K547" t="s">
        <v>1277</v>
      </c>
      <c r="L547">
        <v>1304.95</v>
      </c>
      <c r="M547">
        <v>1712.03</v>
      </c>
      <c r="N547">
        <v>0.21199999999999999</v>
      </c>
      <c r="O547">
        <v>8</v>
      </c>
    </row>
    <row r="548" spans="1:15" x14ac:dyDescent="0.25">
      <c r="A548" t="s">
        <v>560</v>
      </c>
      <c r="B548" s="2">
        <v>45355</v>
      </c>
      <c r="C548" s="2">
        <v>45367</v>
      </c>
      <c r="D548" t="s">
        <v>646</v>
      </c>
      <c r="E548" t="s">
        <v>661</v>
      </c>
      <c r="F548" t="s">
        <v>682</v>
      </c>
      <c r="G548" t="s">
        <v>706</v>
      </c>
      <c r="H548" t="s">
        <v>710</v>
      </c>
      <c r="I548" t="s">
        <v>724</v>
      </c>
      <c r="J548" t="s">
        <v>732</v>
      </c>
      <c r="K548" t="s">
        <v>1278</v>
      </c>
      <c r="L548">
        <v>441.08</v>
      </c>
      <c r="M548">
        <v>1054.29</v>
      </c>
      <c r="N548">
        <v>0.23699999999999999</v>
      </c>
      <c r="O548">
        <v>6</v>
      </c>
    </row>
    <row r="549" spans="1:15" x14ac:dyDescent="0.25">
      <c r="A549" t="s">
        <v>561</v>
      </c>
      <c r="B549" s="2">
        <v>45177</v>
      </c>
      <c r="C549" s="2">
        <v>45201</v>
      </c>
      <c r="D549" t="s">
        <v>648</v>
      </c>
      <c r="E549" t="s">
        <v>653</v>
      </c>
      <c r="F549" t="s">
        <v>667</v>
      </c>
      <c r="G549" t="s">
        <v>702</v>
      </c>
      <c r="H549" t="s">
        <v>711</v>
      </c>
      <c r="I549" t="s">
        <v>720</v>
      </c>
      <c r="J549" t="s">
        <v>733</v>
      </c>
      <c r="K549" t="s">
        <v>1279</v>
      </c>
      <c r="L549">
        <v>1299.03</v>
      </c>
      <c r="M549">
        <v>2451.2199999999998</v>
      </c>
      <c r="N549">
        <v>0.20799999999999999</v>
      </c>
      <c r="O549">
        <v>8</v>
      </c>
    </row>
    <row r="550" spans="1:15" x14ac:dyDescent="0.25">
      <c r="A550" t="s">
        <v>562</v>
      </c>
      <c r="B550" s="2">
        <v>44985</v>
      </c>
      <c r="C550" s="2">
        <v>44991</v>
      </c>
      <c r="D550" t="s">
        <v>649</v>
      </c>
      <c r="E550" t="s">
        <v>656</v>
      </c>
      <c r="F550" t="s">
        <v>698</v>
      </c>
      <c r="G550" t="s">
        <v>705</v>
      </c>
      <c r="H550" t="s">
        <v>709</v>
      </c>
      <c r="I550" t="s">
        <v>726</v>
      </c>
      <c r="J550" t="s">
        <v>728</v>
      </c>
      <c r="K550" t="s">
        <v>1280</v>
      </c>
      <c r="L550">
        <v>880.02</v>
      </c>
      <c r="M550">
        <v>1251.21</v>
      </c>
      <c r="N550">
        <v>0.123</v>
      </c>
      <c r="O550">
        <v>29</v>
      </c>
    </row>
    <row r="551" spans="1:15" x14ac:dyDescent="0.25">
      <c r="A551" t="s">
        <v>563</v>
      </c>
      <c r="B551" s="2">
        <v>45486</v>
      </c>
      <c r="C551" s="2">
        <v>45507</v>
      </c>
      <c r="D551" t="s">
        <v>648</v>
      </c>
      <c r="E551" t="s">
        <v>655</v>
      </c>
      <c r="F551" t="s">
        <v>692</v>
      </c>
      <c r="G551" t="s">
        <v>701</v>
      </c>
      <c r="H551" t="s">
        <v>709</v>
      </c>
      <c r="I551" t="s">
        <v>724</v>
      </c>
      <c r="J551" t="s">
        <v>732</v>
      </c>
      <c r="K551" t="s">
        <v>1281</v>
      </c>
      <c r="L551">
        <v>702.98</v>
      </c>
      <c r="M551">
        <v>1104.8</v>
      </c>
      <c r="N551">
        <v>0.17499999999999999</v>
      </c>
      <c r="O551">
        <v>12</v>
      </c>
    </row>
    <row r="552" spans="1:15" x14ac:dyDescent="0.25">
      <c r="A552" t="s">
        <v>564</v>
      </c>
      <c r="B552" s="2">
        <v>45633</v>
      </c>
      <c r="C552" s="2">
        <v>45652</v>
      </c>
      <c r="D552" t="s">
        <v>649</v>
      </c>
      <c r="E552" t="s">
        <v>658</v>
      </c>
      <c r="F552" t="s">
        <v>683</v>
      </c>
      <c r="G552" t="s">
        <v>706</v>
      </c>
      <c r="H552" t="s">
        <v>708</v>
      </c>
      <c r="I552" t="s">
        <v>726</v>
      </c>
      <c r="J552" t="s">
        <v>729</v>
      </c>
      <c r="K552" t="s">
        <v>1282</v>
      </c>
      <c r="L552">
        <v>1035.24</v>
      </c>
      <c r="M552">
        <v>2383.41</v>
      </c>
      <c r="N552">
        <v>0.17</v>
      </c>
      <c r="O552">
        <v>15</v>
      </c>
    </row>
    <row r="553" spans="1:15" x14ac:dyDescent="0.25">
      <c r="A553" t="s">
        <v>565</v>
      </c>
      <c r="B553" s="2">
        <v>45875</v>
      </c>
      <c r="C553" s="2">
        <v>45892</v>
      </c>
      <c r="D553" t="s">
        <v>648</v>
      </c>
      <c r="E553" t="s">
        <v>655</v>
      </c>
      <c r="F553" t="s">
        <v>672</v>
      </c>
      <c r="G553" t="s">
        <v>704</v>
      </c>
      <c r="H553" t="s">
        <v>710</v>
      </c>
      <c r="I553" t="s">
        <v>720</v>
      </c>
      <c r="J553" t="s">
        <v>732</v>
      </c>
      <c r="K553" t="s">
        <v>1283</v>
      </c>
      <c r="L553">
        <v>86.64</v>
      </c>
      <c r="M553">
        <v>213.06</v>
      </c>
      <c r="N553">
        <v>0.21199999999999999</v>
      </c>
      <c r="O553">
        <v>11</v>
      </c>
    </row>
    <row r="554" spans="1:15" x14ac:dyDescent="0.25">
      <c r="A554" t="s">
        <v>566</v>
      </c>
      <c r="B554" s="2">
        <v>44988</v>
      </c>
      <c r="C554" s="2">
        <v>45005</v>
      </c>
      <c r="D554" t="s">
        <v>647</v>
      </c>
      <c r="E554" t="s">
        <v>652</v>
      </c>
      <c r="F554" t="s">
        <v>694</v>
      </c>
      <c r="G554" t="s">
        <v>705</v>
      </c>
      <c r="H554" t="s">
        <v>708</v>
      </c>
      <c r="I554" t="s">
        <v>726</v>
      </c>
      <c r="J554" t="s">
        <v>729</v>
      </c>
      <c r="K554" t="s">
        <v>1284</v>
      </c>
      <c r="L554">
        <v>1171.17</v>
      </c>
      <c r="M554">
        <v>2030.64</v>
      </c>
      <c r="N554">
        <v>0.157</v>
      </c>
      <c r="O554">
        <v>11</v>
      </c>
    </row>
    <row r="555" spans="1:15" x14ac:dyDescent="0.25">
      <c r="A555" t="s">
        <v>567</v>
      </c>
      <c r="B555" s="2">
        <v>45704</v>
      </c>
      <c r="C555" s="2">
        <v>45733</v>
      </c>
      <c r="D555" t="s">
        <v>649</v>
      </c>
      <c r="E555" t="s">
        <v>656</v>
      </c>
      <c r="F555" t="s">
        <v>684</v>
      </c>
      <c r="G555" t="s">
        <v>704</v>
      </c>
      <c r="H555" t="s">
        <v>707</v>
      </c>
      <c r="I555" t="s">
        <v>716</v>
      </c>
      <c r="J555" t="s">
        <v>733</v>
      </c>
      <c r="K555" t="s">
        <v>1285</v>
      </c>
      <c r="L555">
        <v>730.42</v>
      </c>
      <c r="M555">
        <v>956.7</v>
      </c>
      <c r="N555">
        <v>4.2000000000000003E-2</v>
      </c>
      <c r="O555">
        <v>22</v>
      </c>
    </row>
    <row r="556" spans="1:15" x14ac:dyDescent="0.25">
      <c r="A556" t="s">
        <v>568</v>
      </c>
      <c r="B556" s="2">
        <v>45703</v>
      </c>
      <c r="C556" s="2">
        <v>45717</v>
      </c>
      <c r="D556" t="s">
        <v>646</v>
      </c>
      <c r="E556" t="s">
        <v>650</v>
      </c>
      <c r="F556" t="s">
        <v>675</v>
      </c>
      <c r="G556" t="s">
        <v>702</v>
      </c>
      <c r="H556" t="s">
        <v>711</v>
      </c>
      <c r="I556" t="s">
        <v>716</v>
      </c>
      <c r="J556" t="s">
        <v>733</v>
      </c>
      <c r="K556" t="s">
        <v>1286</v>
      </c>
      <c r="L556">
        <v>1162.8599999999999</v>
      </c>
      <c r="M556">
        <v>1447.68</v>
      </c>
      <c r="N556">
        <v>8.6999999999999994E-2</v>
      </c>
      <c r="O556">
        <v>12</v>
      </c>
    </row>
    <row r="557" spans="1:15" x14ac:dyDescent="0.25">
      <c r="A557" t="s">
        <v>569</v>
      </c>
      <c r="B557" s="2">
        <v>45535</v>
      </c>
      <c r="C557" s="2">
        <v>45561</v>
      </c>
      <c r="D557" t="s">
        <v>647</v>
      </c>
      <c r="E557" t="s">
        <v>652</v>
      </c>
      <c r="F557" t="s">
        <v>689</v>
      </c>
      <c r="G557" t="s">
        <v>702</v>
      </c>
      <c r="H557" t="s">
        <v>708</v>
      </c>
      <c r="I557" t="s">
        <v>714</v>
      </c>
      <c r="J557" t="s">
        <v>730</v>
      </c>
      <c r="K557" t="s">
        <v>1287</v>
      </c>
      <c r="L557">
        <v>1189.03</v>
      </c>
      <c r="M557">
        <v>2949.62</v>
      </c>
      <c r="N557">
        <v>0.125</v>
      </c>
      <c r="O557">
        <v>13</v>
      </c>
    </row>
    <row r="558" spans="1:15" x14ac:dyDescent="0.25">
      <c r="A558" t="s">
        <v>570</v>
      </c>
      <c r="B558" s="2">
        <v>45053</v>
      </c>
      <c r="C558" s="2">
        <v>45066</v>
      </c>
      <c r="D558" t="s">
        <v>647</v>
      </c>
      <c r="E558" t="s">
        <v>654</v>
      </c>
      <c r="F558" t="s">
        <v>691</v>
      </c>
      <c r="G558" t="s">
        <v>706</v>
      </c>
      <c r="H558" t="s">
        <v>707</v>
      </c>
      <c r="I558" t="s">
        <v>726</v>
      </c>
      <c r="J558" t="s">
        <v>733</v>
      </c>
      <c r="K558" t="s">
        <v>1288</v>
      </c>
      <c r="L558">
        <v>1443.28</v>
      </c>
      <c r="M558">
        <v>2580.5700000000002</v>
      </c>
      <c r="N558">
        <v>0</v>
      </c>
      <c r="O558">
        <v>18</v>
      </c>
    </row>
    <row r="559" spans="1:15" x14ac:dyDescent="0.25">
      <c r="A559" t="s">
        <v>571</v>
      </c>
      <c r="B559" s="2">
        <v>45791</v>
      </c>
      <c r="C559" s="2">
        <v>45789</v>
      </c>
      <c r="D559" t="s">
        <v>648</v>
      </c>
      <c r="E559" t="s">
        <v>653</v>
      </c>
      <c r="F559" t="s">
        <v>688</v>
      </c>
      <c r="G559" t="s">
        <v>703</v>
      </c>
      <c r="H559" t="s">
        <v>710</v>
      </c>
      <c r="I559" t="s">
        <v>721</v>
      </c>
      <c r="J559" t="s">
        <v>728</v>
      </c>
      <c r="K559" t="s">
        <v>1289</v>
      </c>
      <c r="L559">
        <v>883.5</v>
      </c>
      <c r="M559">
        <v>1978.91</v>
      </c>
      <c r="N559">
        <v>5.3999999999999999E-2</v>
      </c>
      <c r="O559">
        <v>27</v>
      </c>
    </row>
    <row r="560" spans="1:15" x14ac:dyDescent="0.25">
      <c r="A560" t="s">
        <v>572</v>
      </c>
      <c r="B560" s="2">
        <v>45362</v>
      </c>
      <c r="C560" s="2">
        <v>45380</v>
      </c>
      <c r="D560" t="s">
        <v>648</v>
      </c>
      <c r="E560" t="s">
        <v>660</v>
      </c>
      <c r="F560" t="s">
        <v>700</v>
      </c>
      <c r="G560" t="s">
        <v>701</v>
      </c>
      <c r="H560" t="s">
        <v>707</v>
      </c>
      <c r="I560" t="s">
        <v>724</v>
      </c>
      <c r="J560" t="s">
        <v>732</v>
      </c>
      <c r="K560" t="s">
        <v>1290</v>
      </c>
      <c r="L560">
        <v>710.98</v>
      </c>
      <c r="M560">
        <v>1481.45</v>
      </c>
      <c r="N560">
        <v>0.21099999999999999</v>
      </c>
      <c r="O560">
        <v>9</v>
      </c>
    </row>
    <row r="561" spans="1:15" x14ac:dyDescent="0.25">
      <c r="A561" t="s">
        <v>573</v>
      </c>
      <c r="B561" s="2">
        <v>45430</v>
      </c>
      <c r="C561" s="2">
        <v>45434</v>
      </c>
      <c r="D561" t="s">
        <v>646</v>
      </c>
      <c r="E561" t="s">
        <v>650</v>
      </c>
      <c r="F561" t="s">
        <v>664</v>
      </c>
      <c r="G561" t="s">
        <v>701</v>
      </c>
      <c r="H561" t="s">
        <v>711</v>
      </c>
      <c r="I561" t="s">
        <v>722</v>
      </c>
      <c r="J561" t="s">
        <v>733</v>
      </c>
      <c r="K561" t="s">
        <v>1291</v>
      </c>
      <c r="L561">
        <v>857.42</v>
      </c>
      <c r="M561">
        <v>1658.92</v>
      </c>
      <c r="N561">
        <v>0.122</v>
      </c>
      <c r="O561">
        <v>9</v>
      </c>
    </row>
    <row r="562" spans="1:15" x14ac:dyDescent="0.25">
      <c r="A562" t="s">
        <v>574</v>
      </c>
      <c r="B562" s="2">
        <v>45299</v>
      </c>
      <c r="C562" s="2">
        <v>45303</v>
      </c>
      <c r="D562" t="s">
        <v>647</v>
      </c>
      <c r="E562" t="s">
        <v>654</v>
      </c>
      <c r="F562" t="s">
        <v>668</v>
      </c>
      <c r="G562" t="s">
        <v>701</v>
      </c>
      <c r="H562" t="s">
        <v>711</v>
      </c>
      <c r="I562" t="s">
        <v>718</v>
      </c>
      <c r="J562" t="s">
        <v>728</v>
      </c>
      <c r="K562" t="s">
        <v>1292</v>
      </c>
      <c r="L562">
        <v>802.32</v>
      </c>
      <c r="M562">
        <v>602.34</v>
      </c>
      <c r="N562">
        <v>0.12</v>
      </c>
      <c r="O562">
        <v>25</v>
      </c>
    </row>
    <row r="563" spans="1:15" x14ac:dyDescent="0.25">
      <c r="A563" t="s">
        <v>575</v>
      </c>
      <c r="B563" s="2">
        <v>45590</v>
      </c>
      <c r="C563" s="2">
        <v>45601</v>
      </c>
      <c r="D563" t="s">
        <v>648</v>
      </c>
      <c r="E563" t="s">
        <v>660</v>
      </c>
      <c r="F563" t="s">
        <v>700</v>
      </c>
      <c r="G563" t="s">
        <v>701</v>
      </c>
      <c r="H563" t="s">
        <v>710</v>
      </c>
      <c r="I563" t="s">
        <v>725</v>
      </c>
      <c r="J563" t="s">
        <v>727</v>
      </c>
      <c r="K563" t="s">
        <v>1293</v>
      </c>
      <c r="L563">
        <v>446.66</v>
      </c>
      <c r="M563">
        <v>527.64</v>
      </c>
      <c r="N563">
        <v>0.14499999999999999</v>
      </c>
      <c r="O563">
        <v>15</v>
      </c>
    </row>
    <row r="564" spans="1:15" x14ac:dyDescent="0.25">
      <c r="A564" t="s">
        <v>576</v>
      </c>
      <c r="B564" s="2">
        <v>45626</v>
      </c>
      <c r="C564" s="2">
        <v>45645</v>
      </c>
      <c r="D564" t="s">
        <v>646</v>
      </c>
      <c r="E564" t="s">
        <v>650</v>
      </c>
      <c r="F564" t="s">
        <v>662</v>
      </c>
      <c r="G564" t="s">
        <v>701</v>
      </c>
      <c r="H564" t="s">
        <v>708</v>
      </c>
      <c r="I564" t="s">
        <v>716</v>
      </c>
      <c r="J564" t="s">
        <v>730</v>
      </c>
      <c r="K564" t="s">
        <v>1294</v>
      </c>
      <c r="L564">
        <v>1195.98</v>
      </c>
      <c r="M564">
        <v>1841.9</v>
      </c>
      <c r="N564">
        <v>5.5E-2</v>
      </c>
      <c r="O564">
        <v>19</v>
      </c>
    </row>
    <row r="565" spans="1:15" x14ac:dyDescent="0.25">
      <c r="A565" t="s">
        <v>577</v>
      </c>
      <c r="B565" s="2">
        <v>45029</v>
      </c>
      <c r="C565" s="2">
        <v>45048</v>
      </c>
      <c r="D565" t="s">
        <v>648</v>
      </c>
      <c r="E565" t="s">
        <v>653</v>
      </c>
      <c r="F565" t="s">
        <v>681</v>
      </c>
      <c r="G565" t="s">
        <v>704</v>
      </c>
      <c r="H565" t="s">
        <v>710</v>
      </c>
      <c r="I565" t="s">
        <v>718</v>
      </c>
      <c r="J565" t="s">
        <v>732</v>
      </c>
      <c r="K565" t="s">
        <v>1295</v>
      </c>
      <c r="L565">
        <v>671.05</v>
      </c>
      <c r="M565">
        <v>1645.48</v>
      </c>
      <c r="N565">
        <v>0.13700000000000001</v>
      </c>
      <c r="O565">
        <v>6</v>
      </c>
    </row>
    <row r="566" spans="1:15" x14ac:dyDescent="0.25">
      <c r="A566" t="s">
        <v>578</v>
      </c>
      <c r="B566" s="2">
        <v>45692</v>
      </c>
      <c r="C566" s="2">
        <v>45696</v>
      </c>
      <c r="D566" t="s">
        <v>649</v>
      </c>
      <c r="E566" t="s">
        <v>658</v>
      </c>
      <c r="F566" t="s">
        <v>693</v>
      </c>
      <c r="G566" t="s">
        <v>706</v>
      </c>
      <c r="H566" t="s">
        <v>709</v>
      </c>
      <c r="I566" t="s">
        <v>716</v>
      </c>
      <c r="J566" t="s">
        <v>729</v>
      </c>
      <c r="K566" t="s">
        <v>1296</v>
      </c>
      <c r="L566">
        <v>586.21</v>
      </c>
      <c r="M566">
        <v>727.22</v>
      </c>
      <c r="N566">
        <v>6.8000000000000005E-2</v>
      </c>
      <c r="O566">
        <v>15</v>
      </c>
    </row>
    <row r="567" spans="1:15" x14ac:dyDescent="0.25">
      <c r="A567" t="s">
        <v>579</v>
      </c>
      <c r="B567" s="2">
        <v>45315</v>
      </c>
      <c r="C567" s="2">
        <v>45326</v>
      </c>
      <c r="D567" t="s">
        <v>649</v>
      </c>
      <c r="E567" t="s">
        <v>658</v>
      </c>
      <c r="F567" t="s">
        <v>693</v>
      </c>
      <c r="G567" t="s">
        <v>704</v>
      </c>
      <c r="H567" t="s">
        <v>707</v>
      </c>
      <c r="I567" t="s">
        <v>717</v>
      </c>
      <c r="J567" t="s">
        <v>731</v>
      </c>
      <c r="K567" t="s">
        <v>1297</v>
      </c>
      <c r="L567">
        <v>525.34</v>
      </c>
      <c r="M567">
        <v>1233.79</v>
      </c>
      <c r="N567">
        <v>0.14299999999999999</v>
      </c>
      <c r="O567">
        <v>4</v>
      </c>
    </row>
    <row r="568" spans="1:15" x14ac:dyDescent="0.25">
      <c r="A568" t="s">
        <v>580</v>
      </c>
      <c r="B568" s="2">
        <v>45330</v>
      </c>
      <c r="C568" s="2">
        <v>45331</v>
      </c>
      <c r="D568" t="s">
        <v>646</v>
      </c>
      <c r="E568" t="s">
        <v>650</v>
      </c>
      <c r="F568" t="s">
        <v>675</v>
      </c>
      <c r="G568" t="s">
        <v>701</v>
      </c>
      <c r="H568" t="s">
        <v>711</v>
      </c>
      <c r="I568" t="s">
        <v>721</v>
      </c>
      <c r="J568" t="s">
        <v>727</v>
      </c>
      <c r="K568" t="s">
        <v>1298</v>
      </c>
      <c r="L568">
        <v>1233.52</v>
      </c>
      <c r="M568">
        <v>1543.76</v>
      </c>
      <c r="N568">
        <v>0.126</v>
      </c>
      <c r="O568">
        <v>13</v>
      </c>
    </row>
    <row r="569" spans="1:15" x14ac:dyDescent="0.25">
      <c r="A569" t="s">
        <v>581</v>
      </c>
      <c r="B569" s="2">
        <v>45834</v>
      </c>
      <c r="C569" s="2">
        <v>45849</v>
      </c>
      <c r="D569" t="s">
        <v>646</v>
      </c>
      <c r="E569" t="s">
        <v>651</v>
      </c>
      <c r="F569" t="s">
        <v>663</v>
      </c>
      <c r="G569" t="s">
        <v>705</v>
      </c>
      <c r="H569" t="s">
        <v>708</v>
      </c>
      <c r="I569" t="s">
        <v>720</v>
      </c>
      <c r="J569" t="s">
        <v>731</v>
      </c>
      <c r="K569" t="s">
        <v>1299</v>
      </c>
      <c r="L569">
        <v>1170.1500000000001</v>
      </c>
      <c r="M569">
        <v>2115.19</v>
      </c>
      <c r="N569">
        <v>9.1999999999999998E-2</v>
      </c>
      <c r="O569">
        <v>23</v>
      </c>
    </row>
    <row r="570" spans="1:15" x14ac:dyDescent="0.25">
      <c r="A570" t="s">
        <v>582</v>
      </c>
      <c r="B570" s="2">
        <v>45600</v>
      </c>
      <c r="C570" s="2">
        <v>45603</v>
      </c>
      <c r="D570" t="s">
        <v>649</v>
      </c>
      <c r="E570" t="s">
        <v>657</v>
      </c>
      <c r="F570" t="s">
        <v>679</v>
      </c>
      <c r="G570" t="s">
        <v>701</v>
      </c>
      <c r="H570" t="s">
        <v>708</v>
      </c>
      <c r="I570" t="s">
        <v>719</v>
      </c>
      <c r="J570" t="s">
        <v>732</v>
      </c>
      <c r="K570" t="s">
        <v>1300</v>
      </c>
      <c r="L570">
        <v>740.68</v>
      </c>
      <c r="M570">
        <v>1837.19</v>
      </c>
      <c r="N570">
        <v>0.19700000000000001</v>
      </c>
      <c r="O570">
        <v>17</v>
      </c>
    </row>
    <row r="571" spans="1:15" x14ac:dyDescent="0.25">
      <c r="A571" t="s">
        <v>583</v>
      </c>
      <c r="B571" s="2">
        <v>45342</v>
      </c>
      <c r="C571" s="2">
        <v>45342</v>
      </c>
      <c r="D571" t="s">
        <v>648</v>
      </c>
      <c r="E571" t="s">
        <v>660</v>
      </c>
      <c r="F571" t="s">
        <v>700</v>
      </c>
      <c r="G571" t="s">
        <v>706</v>
      </c>
      <c r="H571" t="s">
        <v>708</v>
      </c>
      <c r="I571" t="s">
        <v>712</v>
      </c>
      <c r="J571" t="s">
        <v>729</v>
      </c>
      <c r="K571" t="s">
        <v>1301</v>
      </c>
      <c r="L571">
        <v>1407.05</v>
      </c>
      <c r="M571">
        <v>2858.93</v>
      </c>
      <c r="N571">
        <v>0</v>
      </c>
      <c r="O571">
        <v>12</v>
      </c>
    </row>
    <row r="572" spans="1:15" x14ac:dyDescent="0.25">
      <c r="A572" t="s">
        <v>584</v>
      </c>
      <c r="B572" s="2">
        <v>45760</v>
      </c>
      <c r="C572" s="2">
        <v>45761</v>
      </c>
      <c r="D572" t="s">
        <v>647</v>
      </c>
      <c r="E572" t="s">
        <v>652</v>
      </c>
      <c r="F572" t="s">
        <v>666</v>
      </c>
      <c r="G572" t="s">
        <v>706</v>
      </c>
      <c r="H572" t="s">
        <v>708</v>
      </c>
      <c r="I572" t="s">
        <v>715</v>
      </c>
      <c r="J572" t="s">
        <v>727</v>
      </c>
      <c r="K572" t="s">
        <v>1302</v>
      </c>
      <c r="L572">
        <v>138.9</v>
      </c>
      <c r="M572">
        <v>289.92</v>
      </c>
      <c r="N572">
        <v>2.9000000000000001E-2</v>
      </c>
      <c r="O572">
        <v>12</v>
      </c>
    </row>
    <row r="573" spans="1:15" x14ac:dyDescent="0.25">
      <c r="A573" t="s">
        <v>585</v>
      </c>
      <c r="B573" s="2">
        <v>45078</v>
      </c>
      <c r="C573" s="2">
        <v>45078</v>
      </c>
      <c r="D573" t="s">
        <v>647</v>
      </c>
      <c r="E573" t="s">
        <v>654</v>
      </c>
      <c r="F573" t="s">
        <v>668</v>
      </c>
      <c r="G573" t="s">
        <v>701</v>
      </c>
      <c r="H573" t="s">
        <v>707</v>
      </c>
      <c r="I573" t="s">
        <v>718</v>
      </c>
      <c r="J573" t="s">
        <v>733</v>
      </c>
      <c r="K573" t="s">
        <v>1303</v>
      </c>
      <c r="L573">
        <v>669.37</v>
      </c>
      <c r="M573">
        <v>997.2</v>
      </c>
      <c r="N573">
        <v>8.2000000000000003E-2</v>
      </c>
      <c r="O573">
        <v>5</v>
      </c>
    </row>
    <row r="574" spans="1:15" x14ac:dyDescent="0.25">
      <c r="A574" t="s">
        <v>586</v>
      </c>
      <c r="B574" s="2">
        <v>45740</v>
      </c>
      <c r="C574" s="2">
        <v>45751</v>
      </c>
      <c r="D574" t="s">
        <v>647</v>
      </c>
      <c r="E574" t="s">
        <v>654</v>
      </c>
      <c r="F574" t="s">
        <v>691</v>
      </c>
      <c r="G574" t="s">
        <v>702</v>
      </c>
      <c r="H574" t="s">
        <v>709</v>
      </c>
      <c r="I574" t="s">
        <v>713</v>
      </c>
      <c r="J574" t="s">
        <v>730</v>
      </c>
      <c r="K574" t="s">
        <v>1304</v>
      </c>
      <c r="L574">
        <v>23.83</v>
      </c>
      <c r="M574">
        <v>47.29</v>
      </c>
      <c r="N574">
        <v>6.4000000000000001E-2</v>
      </c>
      <c r="O574">
        <v>19</v>
      </c>
    </row>
    <row r="575" spans="1:15" x14ac:dyDescent="0.25">
      <c r="A575" t="s">
        <v>587</v>
      </c>
      <c r="B575" s="2">
        <v>45293</v>
      </c>
      <c r="C575" s="2">
        <v>45293</v>
      </c>
      <c r="D575" t="s">
        <v>648</v>
      </c>
      <c r="E575" t="s">
        <v>653</v>
      </c>
      <c r="F575" t="s">
        <v>688</v>
      </c>
      <c r="G575" t="s">
        <v>702</v>
      </c>
      <c r="H575" t="s">
        <v>711</v>
      </c>
      <c r="I575" t="s">
        <v>720</v>
      </c>
      <c r="J575" t="s">
        <v>731</v>
      </c>
      <c r="K575" t="s">
        <v>1305</v>
      </c>
      <c r="L575">
        <v>444.41</v>
      </c>
      <c r="M575">
        <v>754.24</v>
      </c>
      <c r="N575">
        <v>0.20699999999999999</v>
      </c>
      <c r="O575">
        <v>32</v>
      </c>
    </row>
    <row r="576" spans="1:15" x14ac:dyDescent="0.25">
      <c r="A576" t="s">
        <v>588</v>
      </c>
      <c r="B576" s="2">
        <v>45279</v>
      </c>
      <c r="C576" s="2">
        <v>45292</v>
      </c>
      <c r="D576" t="s">
        <v>648</v>
      </c>
      <c r="E576" t="s">
        <v>653</v>
      </c>
      <c r="F576" t="s">
        <v>667</v>
      </c>
      <c r="G576" t="s">
        <v>706</v>
      </c>
      <c r="H576" t="s">
        <v>707</v>
      </c>
      <c r="I576" t="s">
        <v>723</v>
      </c>
      <c r="J576" t="s">
        <v>732</v>
      </c>
      <c r="K576" t="s">
        <v>1306</v>
      </c>
      <c r="L576">
        <v>856.1</v>
      </c>
      <c r="M576">
        <v>901.48</v>
      </c>
      <c r="N576">
        <v>5.6000000000000001E-2</v>
      </c>
      <c r="O576">
        <v>17</v>
      </c>
    </row>
    <row r="577" spans="1:15" x14ac:dyDescent="0.25">
      <c r="A577" t="s">
        <v>589</v>
      </c>
      <c r="B577" s="2">
        <v>45042</v>
      </c>
      <c r="C577" s="2">
        <v>45042</v>
      </c>
      <c r="D577" t="s">
        <v>649</v>
      </c>
      <c r="E577" t="s">
        <v>657</v>
      </c>
      <c r="F577" t="s">
        <v>673</v>
      </c>
      <c r="G577" t="s">
        <v>704</v>
      </c>
      <c r="H577" t="s">
        <v>711</v>
      </c>
      <c r="I577" t="s">
        <v>724</v>
      </c>
      <c r="J577" t="s">
        <v>727</v>
      </c>
      <c r="K577" t="s">
        <v>1307</v>
      </c>
      <c r="L577">
        <v>81.489999999999995</v>
      </c>
      <c r="M577">
        <v>113.08</v>
      </c>
      <c r="N577">
        <v>0.121</v>
      </c>
      <c r="O577">
        <v>5</v>
      </c>
    </row>
    <row r="578" spans="1:15" x14ac:dyDescent="0.25">
      <c r="A578" t="s">
        <v>590</v>
      </c>
      <c r="B578" s="2">
        <v>45872</v>
      </c>
      <c r="C578" s="2">
        <v>45885</v>
      </c>
      <c r="D578" t="s">
        <v>648</v>
      </c>
      <c r="E578" t="s">
        <v>653</v>
      </c>
      <c r="F578" t="s">
        <v>681</v>
      </c>
      <c r="G578" t="s">
        <v>706</v>
      </c>
      <c r="H578" t="s">
        <v>710</v>
      </c>
      <c r="I578" t="s">
        <v>719</v>
      </c>
      <c r="J578" t="s">
        <v>729</v>
      </c>
      <c r="K578" t="s">
        <v>1308</v>
      </c>
      <c r="L578">
        <v>698.66</v>
      </c>
      <c r="M578">
        <v>868.62</v>
      </c>
      <c r="N578">
        <v>7.1999999999999995E-2</v>
      </c>
      <c r="O578">
        <v>15</v>
      </c>
    </row>
    <row r="579" spans="1:15" x14ac:dyDescent="0.25">
      <c r="A579" t="s">
        <v>591</v>
      </c>
      <c r="B579" s="2">
        <v>45140</v>
      </c>
      <c r="C579" s="2">
        <v>45157</v>
      </c>
      <c r="D579" t="s">
        <v>648</v>
      </c>
      <c r="E579" t="s">
        <v>653</v>
      </c>
      <c r="F579" t="s">
        <v>688</v>
      </c>
      <c r="G579" t="s">
        <v>701</v>
      </c>
      <c r="H579" t="s">
        <v>708</v>
      </c>
      <c r="I579" t="s">
        <v>721</v>
      </c>
      <c r="J579" t="s">
        <v>729</v>
      </c>
      <c r="K579" t="s">
        <v>1309</v>
      </c>
      <c r="L579">
        <v>175.38</v>
      </c>
      <c r="M579">
        <v>347.9</v>
      </c>
      <c r="N579">
        <v>7.1999999999999995E-2</v>
      </c>
      <c r="O579">
        <v>43</v>
      </c>
    </row>
    <row r="580" spans="1:15" x14ac:dyDescent="0.25">
      <c r="A580" t="s">
        <v>592</v>
      </c>
      <c r="B580" s="2">
        <v>45092</v>
      </c>
      <c r="C580" s="2">
        <v>45119</v>
      </c>
      <c r="D580" t="s">
        <v>649</v>
      </c>
      <c r="E580" t="s">
        <v>658</v>
      </c>
      <c r="F580" t="s">
        <v>693</v>
      </c>
      <c r="G580" t="s">
        <v>704</v>
      </c>
      <c r="H580" t="s">
        <v>711</v>
      </c>
      <c r="I580" t="s">
        <v>714</v>
      </c>
      <c r="J580" t="s">
        <v>733</v>
      </c>
      <c r="K580" t="s">
        <v>1310</v>
      </c>
      <c r="L580">
        <v>751.28</v>
      </c>
      <c r="M580">
        <v>1111.8800000000001</v>
      </c>
      <c r="N580">
        <v>0.13500000000000001</v>
      </c>
      <c r="O580">
        <v>7</v>
      </c>
    </row>
    <row r="581" spans="1:15" x14ac:dyDescent="0.25">
      <c r="A581" t="s">
        <v>593</v>
      </c>
      <c r="B581" s="2">
        <v>45607</v>
      </c>
      <c r="C581" s="2">
        <v>45620</v>
      </c>
      <c r="D581" t="s">
        <v>649</v>
      </c>
      <c r="E581" t="s">
        <v>658</v>
      </c>
      <c r="F581" t="s">
        <v>683</v>
      </c>
      <c r="G581" t="s">
        <v>701</v>
      </c>
      <c r="H581" t="s">
        <v>707</v>
      </c>
      <c r="I581" t="s">
        <v>718</v>
      </c>
      <c r="J581" t="s">
        <v>729</v>
      </c>
      <c r="K581" t="s">
        <v>1311</v>
      </c>
      <c r="L581">
        <v>164.53</v>
      </c>
      <c r="M581">
        <v>327.72</v>
      </c>
      <c r="N581">
        <v>6.7000000000000004E-2</v>
      </c>
      <c r="O581">
        <v>14</v>
      </c>
    </row>
    <row r="582" spans="1:15" x14ac:dyDescent="0.25">
      <c r="A582" t="s">
        <v>594</v>
      </c>
      <c r="B582" s="2">
        <v>45849</v>
      </c>
      <c r="C582" s="2">
        <v>45872</v>
      </c>
      <c r="D582" t="s">
        <v>646</v>
      </c>
      <c r="E582" t="s">
        <v>650</v>
      </c>
      <c r="F582" t="s">
        <v>678</v>
      </c>
      <c r="G582" t="s">
        <v>705</v>
      </c>
      <c r="H582" t="s">
        <v>707</v>
      </c>
      <c r="I582" t="s">
        <v>712</v>
      </c>
      <c r="J582" t="s">
        <v>730</v>
      </c>
      <c r="K582" t="s">
        <v>1312</v>
      </c>
      <c r="L582">
        <v>389.93</v>
      </c>
      <c r="M582">
        <v>486.13</v>
      </c>
      <c r="N582">
        <v>0.13200000000000001</v>
      </c>
      <c r="O582">
        <v>17</v>
      </c>
    </row>
    <row r="583" spans="1:15" x14ac:dyDescent="0.25">
      <c r="A583" t="s">
        <v>595</v>
      </c>
      <c r="B583" s="2">
        <v>45080</v>
      </c>
      <c r="C583" s="2">
        <v>45108</v>
      </c>
      <c r="D583" t="s">
        <v>648</v>
      </c>
      <c r="E583" t="s">
        <v>655</v>
      </c>
      <c r="F583" t="s">
        <v>672</v>
      </c>
      <c r="G583" t="s">
        <v>705</v>
      </c>
      <c r="H583" t="s">
        <v>709</v>
      </c>
      <c r="I583" t="s">
        <v>720</v>
      </c>
      <c r="J583" t="s">
        <v>727</v>
      </c>
      <c r="K583" t="s">
        <v>1313</v>
      </c>
      <c r="L583">
        <v>860.4</v>
      </c>
      <c r="M583">
        <v>2066.6</v>
      </c>
      <c r="N583">
        <v>0.01</v>
      </c>
      <c r="O583">
        <v>3</v>
      </c>
    </row>
    <row r="584" spans="1:15" x14ac:dyDescent="0.25">
      <c r="A584" t="s">
        <v>596</v>
      </c>
      <c r="B584" s="2">
        <v>44955</v>
      </c>
      <c r="C584" s="2">
        <v>44963</v>
      </c>
      <c r="D584" t="s">
        <v>648</v>
      </c>
      <c r="E584" t="s">
        <v>655</v>
      </c>
      <c r="F584" t="s">
        <v>672</v>
      </c>
      <c r="G584" t="s">
        <v>701</v>
      </c>
      <c r="H584" t="s">
        <v>709</v>
      </c>
      <c r="I584" t="s">
        <v>726</v>
      </c>
      <c r="J584" t="s">
        <v>732</v>
      </c>
      <c r="K584" t="s">
        <v>1314</v>
      </c>
      <c r="L584">
        <v>41.84</v>
      </c>
      <c r="M584">
        <v>86.2</v>
      </c>
      <c r="N584">
        <v>0.22600000000000001</v>
      </c>
      <c r="O584">
        <v>27</v>
      </c>
    </row>
    <row r="585" spans="1:15" x14ac:dyDescent="0.25">
      <c r="A585" t="s">
        <v>597</v>
      </c>
      <c r="B585" s="2">
        <v>45541</v>
      </c>
      <c r="C585" s="2">
        <v>45539</v>
      </c>
      <c r="D585" t="s">
        <v>647</v>
      </c>
      <c r="E585" t="s">
        <v>652</v>
      </c>
      <c r="F585" t="s">
        <v>666</v>
      </c>
      <c r="G585" t="s">
        <v>701</v>
      </c>
      <c r="H585" t="s">
        <v>711</v>
      </c>
      <c r="I585" t="s">
        <v>720</v>
      </c>
      <c r="J585" t="s">
        <v>731</v>
      </c>
      <c r="K585" t="s">
        <v>1315</v>
      </c>
      <c r="L585">
        <v>1368.17</v>
      </c>
      <c r="M585">
        <v>2307.75</v>
      </c>
      <c r="N585">
        <v>0.16300000000000001</v>
      </c>
      <c r="O585">
        <v>21</v>
      </c>
    </row>
    <row r="586" spans="1:15" x14ac:dyDescent="0.25">
      <c r="A586" t="s">
        <v>598</v>
      </c>
      <c r="B586" s="2">
        <v>45507</v>
      </c>
      <c r="C586" s="2">
        <v>45513</v>
      </c>
      <c r="D586" t="s">
        <v>646</v>
      </c>
      <c r="E586" t="s">
        <v>650</v>
      </c>
      <c r="F586" t="s">
        <v>675</v>
      </c>
      <c r="G586" t="s">
        <v>704</v>
      </c>
      <c r="H586" t="s">
        <v>709</v>
      </c>
      <c r="I586" t="s">
        <v>722</v>
      </c>
      <c r="J586" t="s">
        <v>731</v>
      </c>
      <c r="K586" t="s">
        <v>1316</v>
      </c>
      <c r="L586">
        <v>643.21</v>
      </c>
      <c r="M586">
        <v>1112.81</v>
      </c>
      <c r="N586">
        <v>0.14099999999999999</v>
      </c>
      <c r="O586">
        <v>4</v>
      </c>
    </row>
    <row r="587" spans="1:15" x14ac:dyDescent="0.25">
      <c r="A587" t="s">
        <v>599</v>
      </c>
      <c r="B587" s="2">
        <v>45764</v>
      </c>
      <c r="C587" s="2">
        <v>45764</v>
      </c>
      <c r="D587" t="s">
        <v>648</v>
      </c>
      <c r="E587" t="s">
        <v>655</v>
      </c>
      <c r="F587" t="s">
        <v>670</v>
      </c>
      <c r="G587" t="s">
        <v>701</v>
      </c>
      <c r="H587" t="s">
        <v>710</v>
      </c>
      <c r="I587" t="s">
        <v>716</v>
      </c>
      <c r="J587" t="s">
        <v>730</v>
      </c>
      <c r="K587" t="s">
        <v>1317</v>
      </c>
      <c r="L587">
        <v>719.41</v>
      </c>
      <c r="M587">
        <v>1125.99</v>
      </c>
      <c r="N587">
        <v>4.1000000000000002E-2</v>
      </c>
      <c r="O587">
        <v>21</v>
      </c>
    </row>
    <row r="588" spans="1:15" x14ac:dyDescent="0.25">
      <c r="A588" t="s">
        <v>600</v>
      </c>
      <c r="B588" s="2">
        <v>45049</v>
      </c>
      <c r="C588" s="2">
        <v>45062</v>
      </c>
      <c r="D588" t="s">
        <v>648</v>
      </c>
      <c r="E588" t="s">
        <v>660</v>
      </c>
      <c r="F588" t="s">
        <v>700</v>
      </c>
      <c r="G588" t="s">
        <v>701</v>
      </c>
      <c r="H588" t="s">
        <v>709</v>
      </c>
      <c r="I588" t="s">
        <v>716</v>
      </c>
      <c r="J588" t="s">
        <v>730</v>
      </c>
      <c r="K588" t="s">
        <v>1318</v>
      </c>
      <c r="L588">
        <v>64.5</v>
      </c>
      <c r="M588">
        <v>123.62</v>
      </c>
      <c r="N588">
        <v>0</v>
      </c>
      <c r="O588">
        <v>3</v>
      </c>
    </row>
    <row r="589" spans="1:15" x14ac:dyDescent="0.25">
      <c r="A589" t="s">
        <v>601</v>
      </c>
      <c r="B589" s="2">
        <v>45364</v>
      </c>
      <c r="C589" s="2">
        <v>45388</v>
      </c>
      <c r="D589" t="s">
        <v>646</v>
      </c>
      <c r="E589" t="s">
        <v>651</v>
      </c>
      <c r="F589" t="s">
        <v>669</v>
      </c>
      <c r="G589" t="s">
        <v>704</v>
      </c>
      <c r="H589" t="s">
        <v>710</v>
      </c>
      <c r="I589" t="s">
        <v>716</v>
      </c>
      <c r="J589" t="s">
        <v>727</v>
      </c>
      <c r="K589" t="s">
        <v>1319</v>
      </c>
      <c r="L589">
        <v>1232.78</v>
      </c>
      <c r="M589">
        <v>1731.75</v>
      </c>
      <c r="N589">
        <v>9.2999999999999999E-2</v>
      </c>
      <c r="O589">
        <v>16</v>
      </c>
    </row>
    <row r="590" spans="1:15" x14ac:dyDescent="0.25">
      <c r="A590" t="s">
        <v>602</v>
      </c>
      <c r="B590" s="2">
        <v>45459</v>
      </c>
      <c r="C590" s="2">
        <v>45464</v>
      </c>
      <c r="D590" t="s">
        <v>647</v>
      </c>
      <c r="E590" t="s">
        <v>652</v>
      </c>
      <c r="F590" t="s">
        <v>689</v>
      </c>
      <c r="G590" t="s">
        <v>705</v>
      </c>
      <c r="H590" t="s">
        <v>710</v>
      </c>
      <c r="I590" t="s">
        <v>721</v>
      </c>
      <c r="J590" t="s">
        <v>730</v>
      </c>
      <c r="K590" t="s">
        <v>1320</v>
      </c>
      <c r="L590">
        <v>1367.13</v>
      </c>
      <c r="M590">
        <v>3062.01</v>
      </c>
      <c r="N590">
        <v>0.10299999999999999</v>
      </c>
      <c r="O590">
        <v>25</v>
      </c>
    </row>
    <row r="591" spans="1:15" x14ac:dyDescent="0.25">
      <c r="A591" t="s">
        <v>603</v>
      </c>
      <c r="B591" s="2">
        <v>45703</v>
      </c>
      <c r="C591" s="2">
        <v>45715</v>
      </c>
      <c r="D591" t="s">
        <v>649</v>
      </c>
      <c r="E591" t="s">
        <v>657</v>
      </c>
      <c r="F591" t="s">
        <v>679</v>
      </c>
      <c r="G591" t="s">
        <v>703</v>
      </c>
      <c r="H591" t="s">
        <v>711</v>
      </c>
      <c r="I591" t="s">
        <v>723</v>
      </c>
      <c r="J591" t="s">
        <v>733</v>
      </c>
      <c r="K591" t="s">
        <v>1321</v>
      </c>
      <c r="L591">
        <v>1027.26</v>
      </c>
      <c r="M591">
        <v>2200.41</v>
      </c>
      <c r="N591">
        <v>8.7999999999999995E-2</v>
      </c>
      <c r="O591">
        <v>6</v>
      </c>
    </row>
    <row r="592" spans="1:15" x14ac:dyDescent="0.25">
      <c r="A592" t="s">
        <v>604</v>
      </c>
      <c r="B592" s="2">
        <v>45019</v>
      </c>
      <c r="C592" s="2">
        <v>45032</v>
      </c>
      <c r="D592" t="s">
        <v>649</v>
      </c>
      <c r="E592" t="s">
        <v>657</v>
      </c>
      <c r="F592" t="s">
        <v>673</v>
      </c>
      <c r="G592" t="s">
        <v>703</v>
      </c>
      <c r="H592" t="s">
        <v>709</v>
      </c>
      <c r="I592" t="s">
        <v>724</v>
      </c>
      <c r="J592" t="s">
        <v>733</v>
      </c>
      <c r="K592" t="s">
        <v>1322</v>
      </c>
      <c r="L592">
        <v>790.54</v>
      </c>
      <c r="M592">
        <v>601.49</v>
      </c>
      <c r="N592">
        <v>0</v>
      </c>
      <c r="O592">
        <v>15</v>
      </c>
    </row>
    <row r="593" spans="1:15" x14ac:dyDescent="0.25">
      <c r="A593" t="s">
        <v>605</v>
      </c>
      <c r="B593" s="2">
        <v>45899</v>
      </c>
      <c r="C593" s="2">
        <v>45922</v>
      </c>
      <c r="D593" t="s">
        <v>649</v>
      </c>
      <c r="E593" t="s">
        <v>657</v>
      </c>
      <c r="F593" t="s">
        <v>673</v>
      </c>
      <c r="G593" t="s">
        <v>701</v>
      </c>
      <c r="H593" t="s">
        <v>711</v>
      </c>
      <c r="I593" t="s">
        <v>718</v>
      </c>
      <c r="J593" t="s">
        <v>727</v>
      </c>
      <c r="K593" t="s">
        <v>1323</v>
      </c>
      <c r="L593">
        <v>663.9</v>
      </c>
      <c r="M593">
        <v>947.77</v>
      </c>
      <c r="N593">
        <v>0.17399999999999999</v>
      </c>
      <c r="O593">
        <v>15</v>
      </c>
    </row>
    <row r="594" spans="1:15" x14ac:dyDescent="0.25">
      <c r="A594" t="s">
        <v>606</v>
      </c>
      <c r="B594" s="2">
        <v>44984</v>
      </c>
      <c r="C594" s="2">
        <v>44983</v>
      </c>
      <c r="D594" t="s">
        <v>648</v>
      </c>
      <c r="E594" t="s">
        <v>660</v>
      </c>
      <c r="F594" t="s">
        <v>686</v>
      </c>
      <c r="G594" t="s">
        <v>703</v>
      </c>
      <c r="H594" t="s">
        <v>708</v>
      </c>
      <c r="I594" t="s">
        <v>716</v>
      </c>
      <c r="J594" t="s">
        <v>729</v>
      </c>
      <c r="K594" t="s">
        <v>1324</v>
      </c>
      <c r="L594">
        <v>1015.91</v>
      </c>
      <c r="M594">
        <v>2331.48</v>
      </c>
      <c r="N594">
        <v>0.14599999999999999</v>
      </c>
      <c r="O594">
        <v>26</v>
      </c>
    </row>
    <row r="595" spans="1:15" x14ac:dyDescent="0.25">
      <c r="A595" t="s">
        <v>607</v>
      </c>
      <c r="B595" s="2">
        <v>45504</v>
      </c>
      <c r="C595" s="2">
        <v>45519</v>
      </c>
      <c r="D595" t="s">
        <v>647</v>
      </c>
      <c r="E595" t="s">
        <v>652</v>
      </c>
      <c r="F595" t="s">
        <v>689</v>
      </c>
      <c r="G595" t="s">
        <v>701</v>
      </c>
      <c r="H595" t="s">
        <v>709</v>
      </c>
      <c r="I595" t="s">
        <v>721</v>
      </c>
      <c r="J595" t="s">
        <v>732</v>
      </c>
      <c r="K595" t="s">
        <v>1325</v>
      </c>
      <c r="L595">
        <v>1252.52</v>
      </c>
      <c r="M595">
        <v>1417.24</v>
      </c>
      <c r="N595">
        <v>0.192</v>
      </c>
      <c r="O595">
        <v>5</v>
      </c>
    </row>
    <row r="596" spans="1:15" x14ac:dyDescent="0.25">
      <c r="A596" t="s">
        <v>608</v>
      </c>
      <c r="B596" s="2">
        <v>45823</v>
      </c>
      <c r="C596" s="2">
        <v>45850</v>
      </c>
      <c r="D596" t="s">
        <v>649</v>
      </c>
      <c r="E596" t="s">
        <v>657</v>
      </c>
      <c r="F596" t="s">
        <v>673</v>
      </c>
      <c r="G596" t="s">
        <v>704</v>
      </c>
      <c r="H596" t="s">
        <v>711</v>
      </c>
      <c r="I596" t="s">
        <v>712</v>
      </c>
      <c r="J596" t="s">
        <v>733</v>
      </c>
      <c r="K596" t="s">
        <v>1326</v>
      </c>
      <c r="L596">
        <v>318.83</v>
      </c>
      <c r="M596">
        <v>699.5</v>
      </c>
      <c r="N596">
        <v>0.08</v>
      </c>
      <c r="O596">
        <v>13</v>
      </c>
    </row>
    <row r="597" spans="1:15" x14ac:dyDescent="0.25">
      <c r="A597" t="s">
        <v>609</v>
      </c>
      <c r="B597" s="2">
        <v>45473</v>
      </c>
      <c r="C597" s="2">
        <v>45494</v>
      </c>
      <c r="D597" t="s">
        <v>646</v>
      </c>
      <c r="E597" t="s">
        <v>650</v>
      </c>
      <c r="F597" t="s">
        <v>662</v>
      </c>
      <c r="G597" t="s">
        <v>705</v>
      </c>
      <c r="H597" t="s">
        <v>707</v>
      </c>
      <c r="I597" t="s">
        <v>723</v>
      </c>
      <c r="J597" t="s">
        <v>731</v>
      </c>
      <c r="K597" t="s">
        <v>1327</v>
      </c>
      <c r="L597">
        <v>753.43</v>
      </c>
      <c r="M597">
        <v>1787.2</v>
      </c>
      <c r="N597">
        <v>7.2999999999999995E-2</v>
      </c>
      <c r="O597">
        <v>9</v>
      </c>
    </row>
    <row r="598" spans="1:15" x14ac:dyDescent="0.25">
      <c r="A598" t="s">
        <v>610</v>
      </c>
      <c r="B598" s="2">
        <v>45705</v>
      </c>
      <c r="C598" s="2">
        <v>45703</v>
      </c>
      <c r="D598" t="s">
        <v>648</v>
      </c>
      <c r="E598" t="s">
        <v>653</v>
      </c>
      <c r="F598" t="s">
        <v>667</v>
      </c>
      <c r="G598" t="s">
        <v>705</v>
      </c>
      <c r="H598" t="s">
        <v>707</v>
      </c>
      <c r="I598" t="s">
        <v>726</v>
      </c>
      <c r="J598" t="s">
        <v>727</v>
      </c>
      <c r="K598" t="s">
        <v>1328</v>
      </c>
      <c r="L598">
        <v>1133.47</v>
      </c>
      <c r="M598">
        <v>1698.75</v>
      </c>
      <c r="N598">
        <v>4.2999999999999997E-2</v>
      </c>
      <c r="O598">
        <v>5</v>
      </c>
    </row>
    <row r="599" spans="1:15" x14ac:dyDescent="0.25">
      <c r="A599" t="s">
        <v>611</v>
      </c>
      <c r="B599" s="2">
        <v>44933</v>
      </c>
      <c r="C599" s="2">
        <v>44956</v>
      </c>
      <c r="D599" t="s">
        <v>646</v>
      </c>
      <c r="E599" t="s">
        <v>661</v>
      </c>
      <c r="F599" t="s">
        <v>695</v>
      </c>
      <c r="G599" t="s">
        <v>704</v>
      </c>
      <c r="H599" t="s">
        <v>708</v>
      </c>
      <c r="I599" t="s">
        <v>720</v>
      </c>
      <c r="J599" t="s">
        <v>728</v>
      </c>
      <c r="K599" t="s">
        <v>1329</v>
      </c>
      <c r="L599">
        <v>299.02</v>
      </c>
      <c r="M599">
        <v>724.7</v>
      </c>
      <c r="N599">
        <v>0.14000000000000001</v>
      </c>
      <c r="O599">
        <v>5</v>
      </c>
    </row>
    <row r="600" spans="1:15" x14ac:dyDescent="0.25">
      <c r="A600" t="s">
        <v>612</v>
      </c>
      <c r="B600" s="2">
        <v>45726</v>
      </c>
      <c r="C600" s="2">
        <v>45751</v>
      </c>
      <c r="D600" t="s">
        <v>647</v>
      </c>
      <c r="E600" t="s">
        <v>652</v>
      </c>
      <c r="F600" t="s">
        <v>666</v>
      </c>
      <c r="G600" t="s">
        <v>701</v>
      </c>
      <c r="H600" t="s">
        <v>711</v>
      </c>
      <c r="I600" t="s">
        <v>722</v>
      </c>
      <c r="J600" t="s">
        <v>728</v>
      </c>
      <c r="K600" t="s">
        <v>1330</v>
      </c>
      <c r="L600">
        <v>783.72</v>
      </c>
      <c r="M600">
        <v>1355.94</v>
      </c>
      <c r="N600">
        <v>0.187</v>
      </c>
      <c r="O600">
        <v>4</v>
      </c>
    </row>
    <row r="601" spans="1:15" x14ac:dyDescent="0.25">
      <c r="A601" t="s">
        <v>613</v>
      </c>
      <c r="B601" s="2">
        <v>45521</v>
      </c>
      <c r="C601" s="2">
        <v>45519</v>
      </c>
      <c r="D601" t="s">
        <v>648</v>
      </c>
      <c r="E601" t="s">
        <v>655</v>
      </c>
      <c r="F601" t="s">
        <v>692</v>
      </c>
      <c r="G601" t="s">
        <v>704</v>
      </c>
      <c r="H601" t="s">
        <v>711</v>
      </c>
      <c r="I601" t="s">
        <v>724</v>
      </c>
      <c r="J601" t="s">
        <v>732</v>
      </c>
      <c r="K601" t="s">
        <v>1331</v>
      </c>
      <c r="L601">
        <v>165.3</v>
      </c>
      <c r="M601">
        <v>275.07</v>
      </c>
      <c r="N601">
        <v>0.13300000000000001</v>
      </c>
      <c r="O601">
        <v>25</v>
      </c>
    </row>
    <row r="602" spans="1:15" x14ac:dyDescent="0.25">
      <c r="A602" t="s">
        <v>614</v>
      </c>
      <c r="B602" s="2">
        <v>45360</v>
      </c>
      <c r="C602" s="2">
        <v>45373</v>
      </c>
      <c r="D602" t="s">
        <v>649</v>
      </c>
      <c r="E602" t="s">
        <v>658</v>
      </c>
      <c r="F602" t="s">
        <v>693</v>
      </c>
      <c r="G602" t="s">
        <v>704</v>
      </c>
      <c r="H602" t="s">
        <v>708</v>
      </c>
      <c r="I602" t="s">
        <v>718</v>
      </c>
      <c r="J602" t="s">
        <v>731</v>
      </c>
      <c r="K602" t="s">
        <v>1332</v>
      </c>
      <c r="L602">
        <v>985.45</v>
      </c>
      <c r="M602">
        <v>1802.44</v>
      </c>
      <c r="N602">
        <v>8.9999999999999993E-3</v>
      </c>
      <c r="O602">
        <v>19</v>
      </c>
    </row>
    <row r="603" spans="1:15" x14ac:dyDescent="0.25">
      <c r="A603" t="s">
        <v>615</v>
      </c>
      <c r="B603" s="2">
        <v>45523</v>
      </c>
      <c r="C603" s="2">
        <v>45537</v>
      </c>
      <c r="D603" t="s">
        <v>648</v>
      </c>
      <c r="E603" t="s">
        <v>653</v>
      </c>
      <c r="F603" t="s">
        <v>667</v>
      </c>
      <c r="G603" t="s">
        <v>704</v>
      </c>
      <c r="H603" t="s">
        <v>710</v>
      </c>
      <c r="I603" t="s">
        <v>712</v>
      </c>
      <c r="J603" t="s">
        <v>728</v>
      </c>
      <c r="K603" t="s">
        <v>1333</v>
      </c>
      <c r="L603">
        <v>1337.01</v>
      </c>
      <c r="M603">
        <v>1269.78</v>
      </c>
      <c r="N603">
        <v>0.16</v>
      </c>
      <c r="O603">
        <v>7</v>
      </c>
    </row>
    <row r="604" spans="1:15" x14ac:dyDescent="0.25">
      <c r="A604" t="s">
        <v>616</v>
      </c>
      <c r="B604" s="2">
        <v>45880</v>
      </c>
      <c r="C604" s="2">
        <v>45897</v>
      </c>
      <c r="D604" t="s">
        <v>649</v>
      </c>
      <c r="E604" t="s">
        <v>657</v>
      </c>
      <c r="F604" t="s">
        <v>690</v>
      </c>
      <c r="G604" t="s">
        <v>702</v>
      </c>
      <c r="H604" t="s">
        <v>708</v>
      </c>
      <c r="I604" t="s">
        <v>721</v>
      </c>
      <c r="J604" t="s">
        <v>729</v>
      </c>
      <c r="K604" t="s">
        <v>1334</v>
      </c>
      <c r="L604">
        <v>416.16</v>
      </c>
      <c r="M604">
        <v>571.9</v>
      </c>
      <c r="N604">
        <v>7.0999999999999994E-2</v>
      </c>
      <c r="O604">
        <v>2</v>
      </c>
    </row>
    <row r="605" spans="1:15" x14ac:dyDescent="0.25">
      <c r="A605" t="s">
        <v>617</v>
      </c>
      <c r="B605" s="2">
        <v>45793</v>
      </c>
      <c r="C605" s="2">
        <v>45795</v>
      </c>
      <c r="D605" t="s">
        <v>647</v>
      </c>
      <c r="E605" t="s">
        <v>652</v>
      </c>
      <c r="F605" t="s">
        <v>689</v>
      </c>
      <c r="G605" t="s">
        <v>706</v>
      </c>
      <c r="H605" t="s">
        <v>707</v>
      </c>
      <c r="I605" t="s">
        <v>713</v>
      </c>
      <c r="J605" t="s">
        <v>728</v>
      </c>
      <c r="K605" t="s">
        <v>1335</v>
      </c>
      <c r="L605">
        <v>1144.3800000000001</v>
      </c>
      <c r="M605">
        <v>2755.04</v>
      </c>
      <c r="N605">
        <v>0.15</v>
      </c>
      <c r="O605">
        <v>17</v>
      </c>
    </row>
    <row r="606" spans="1:15" x14ac:dyDescent="0.25">
      <c r="A606" t="s">
        <v>618</v>
      </c>
      <c r="B606" s="2">
        <v>45026</v>
      </c>
      <c r="C606" s="2">
        <v>45041</v>
      </c>
      <c r="D606" t="s">
        <v>649</v>
      </c>
      <c r="E606" t="s">
        <v>658</v>
      </c>
      <c r="F606" t="s">
        <v>683</v>
      </c>
      <c r="G606" t="s">
        <v>705</v>
      </c>
      <c r="H606" t="s">
        <v>707</v>
      </c>
      <c r="I606" t="s">
        <v>726</v>
      </c>
      <c r="J606" t="s">
        <v>728</v>
      </c>
      <c r="K606" t="s">
        <v>1336</v>
      </c>
      <c r="L606">
        <v>405.66</v>
      </c>
      <c r="M606">
        <v>962.51</v>
      </c>
      <c r="N606">
        <v>0.19</v>
      </c>
      <c r="O606">
        <v>7</v>
      </c>
    </row>
    <row r="607" spans="1:15" x14ac:dyDescent="0.25">
      <c r="A607" t="s">
        <v>619</v>
      </c>
      <c r="B607" s="2">
        <v>45186</v>
      </c>
      <c r="C607" s="2">
        <v>45201</v>
      </c>
      <c r="D607" t="s">
        <v>648</v>
      </c>
      <c r="E607" t="s">
        <v>655</v>
      </c>
      <c r="F607" t="s">
        <v>692</v>
      </c>
      <c r="G607" t="s">
        <v>705</v>
      </c>
      <c r="H607" t="s">
        <v>707</v>
      </c>
      <c r="I607" t="s">
        <v>717</v>
      </c>
      <c r="J607" t="s">
        <v>731</v>
      </c>
      <c r="K607" t="s">
        <v>1337</v>
      </c>
      <c r="L607">
        <v>689.33</v>
      </c>
      <c r="M607">
        <v>668.27</v>
      </c>
      <c r="N607">
        <v>0.186</v>
      </c>
      <c r="O607">
        <v>13</v>
      </c>
    </row>
    <row r="608" spans="1:15" x14ac:dyDescent="0.25">
      <c r="A608" t="s">
        <v>620</v>
      </c>
      <c r="B608" s="2">
        <v>45038</v>
      </c>
      <c r="C608" s="2">
        <v>45060</v>
      </c>
      <c r="D608" t="s">
        <v>647</v>
      </c>
      <c r="E608" t="s">
        <v>652</v>
      </c>
      <c r="F608" t="s">
        <v>694</v>
      </c>
      <c r="G608" t="s">
        <v>706</v>
      </c>
      <c r="H608" t="s">
        <v>707</v>
      </c>
      <c r="I608" t="s">
        <v>720</v>
      </c>
      <c r="J608" t="s">
        <v>733</v>
      </c>
      <c r="K608" t="s">
        <v>1338</v>
      </c>
      <c r="L608">
        <v>1209.22</v>
      </c>
      <c r="M608">
        <v>1404.33</v>
      </c>
      <c r="N608">
        <v>0.10299999999999999</v>
      </c>
      <c r="O608">
        <v>11</v>
      </c>
    </row>
    <row r="609" spans="1:15" x14ac:dyDescent="0.25">
      <c r="A609" t="s">
        <v>621</v>
      </c>
      <c r="B609" s="2">
        <v>45827</v>
      </c>
      <c r="C609" s="2">
        <v>45829</v>
      </c>
      <c r="D609" t="s">
        <v>646</v>
      </c>
      <c r="E609" t="s">
        <v>661</v>
      </c>
      <c r="F609" t="s">
        <v>682</v>
      </c>
      <c r="G609" t="s">
        <v>705</v>
      </c>
      <c r="I609" t="s">
        <v>722</v>
      </c>
      <c r="J609" t="s">
        <v>730</v>
      </c>
      <c r="K609" t="s">
        <v>1339</v>
      </c>
      <c r="L609">
        <v>1466.27</v>
      </c>
      <c r="M609">
        <v>3589.89</v>
      </c>
      <c r="N609">
        <v>9.7000000000000003E-2</v>
      </c>
      <c r="O609">
        <v>9</v>
      </c>
    </row>
    <row r="610" spans="1:15" x14ac:dyDescent="0.25">
      <c r="A610" t="s">
        <v>622</v>
      </c>
      <c r="B610" s="2">
        <v>45623</v>
      </c>
      <c r="C610" s="2">
        <v>45650</v>
      </c>
      <c r="D610" t="s">
        <v>646</v>
      </c>
      <c r="E610" t="s">
        <v>650</v>
      </c>
      <c r="F610" t="s">
        <v>675</v>
      </c>
      <c r="G610" t="s">
        <v>701</v>
      </c>
      <c r="H610" t="s">
        <v>710</v>
      </c>
      <c r="I610" t="s">
        <v>717</v>
      </c>
      <c r="J610" t="s">
        <v>728</v>
      </c>
      <c r="K610" t="s">
        <v>1340</v>
      </c>
      <c r="L610">
        <v>143.33000000000001</v>
      </c>
      <c r="M610">
        <v>233.51</v>
      </c>
      <c r="N610">
        <v>0.16300000000000001</v>
      </c>
      <c r="O610">
        <v>14</v>
      </c>
    </row>
    <row r="611" spans="1:15" x14ac:dyDescent="0.25">
      <c r="A611" t="s">
        <v>623</v>
      </c>
      <c r="B611" s="2">
        <v>45319</v>
      </c>
      <c r="C611" s="2">
        <v>45318</v>
      </c>
      <c r="D611" t="s">
        <v>646</v>
      </c>
      <c r="E611" t="s">
        <v>661</v>
      </c>
      <c r="F611" t="s">
        <v>695</v>
      </c>
      <c r="G611" t="s">
        <v>706</v>
      </c>
      <c r="H611" t="s">
        <v>711</v>
      </c>
      <c r="I611" t="s">
        <v>719</v>
      </c>
      <c r="J611" t="s">
        <v>727</v>
      </c>
      <c r="K611" t="s">
        <v>1341</v>
      </c>
      <c r="L611">
        <v>109.75</v>
      </c>
      <c r="M611">
        <v>124.25</v>
      </c>
      <c r="N611">
        <v>0.12</v>
      </c>
      <c r="O611">
        <v>19</v>
      </c>
    </row>
    <row r="612" spans="1:15" x14ac:dyDescent="0.25">
      <c r="A612" t="s">
        <v>624</v>
      </c>
      <c r="B612" s="2">
        <v>45032</v>
      </c>
      <c r="C612" s="2">
        <v>45039</v>
      </c>
      <c r="D612" t="s">
        <v>648</v>
      </c>
      <c r="E612" t="s">
        <v>660</v>
      </c>
      <c r="F612" t="s">
        <v>697</v>
      </c>
      <c r="G612" t="s">
        <v>701</v>
      </c>
      <c r="H612" t="s">
        <v>710</v>
      </c>
      <c r="I612" t="s">
        <v>719</v>
      </c>
      <c r="J612" t="s">
        <v>728</v>
      </c>
      <c r="K612" t="s">
        <v>1342</v>
      </c>
      <c r="L612">
        <v>1099.1500000000001</v>
      </c>
      <c r="M612">
        <v>1431.37</v>
      </c>
      <c r="N612">
        <v>0.104</v>
      </c>
      <c r="O612">
        <v>8</v>
      </c>
    </row>
    <row r="613" spans="1:15" x14ac:dyDescent="0.25">
      <c r="A613" t="s">
        <v>625</v>
      </c>
      <c r="B613" s="2">
        <v>45323</v>
      </c>
      <c r="C613" s="2">
        <v>45323</v>
      </c>
      <c r="D613" t="s">
        <v>648</v>
      </c>
      <c r="E613" t="s">
        <v>660</v>
      </c>
      <c r="F613" t="s">
        <v>697</v>
      </c>
      <c r="G613" t="s">
        <v>704</v>
      </c>
      <c r="H613" t="s">
        <v>710</v>
      </c>
      <c r="I613" t="s">
        <v>722</v>
      </c>
      <c r="J613" t="s">
        <v>728</v>
      </c>
      <c r="K613" t="s">
        <v>1343</v>
      </c>
      <c r="L613">
        <v>714.43</v>
      </c>
      <c r="M613">
        <v>1595.52</v>
      </c>
      <c r="N613">
        <v>0.19400000000000001</v>
      </c>
      <c r="O613">
        <v>14</v>
      </c>
    </row>
    <row r="614" spans="1:15" x14ac:dyDescent="0.25">
      <c r="A614" t="s">
        <v>626</v>
      </c>
      <c r="B614" s="2">
        <v>45584</v>
      </c>
      <c r="C614" s="2">
        <v>45602</v>
      </c>
      <c r="D614" t="s">
        <v>648</v>
      </c>
      <c r="E614" t="s">
        <v>660</v>
      </c>
      <c r="F614" t="s">
        <v>677</v>
      </c>
      <c r="G614" t="s">
        <v>702</v>
      </c>
      <c r="I614" t="s">
        <v>712</v>
      </c>
      <c r="J614" t="s">
        <v>732</v>
      </c>
      <c r="K614" t="s">
        <v>1344</v>
      </c>
      <c r="L614">
        <v>942.02</v>
      </c>
      <c r="M614">
        <v>1028.46</v>
      </c>
      <c r="N614">
        <v>0</v>
      </c>
      <c r="O614">
        <v>9</v>
      </c>
    </row>
    <row r="615" spans="1:15" x14ac:dyDescent="0.25">
      <c r="A615" t="s">
        <v>627</v>
      </c>
      <c r="B615" s="2">
        <v>45468</v>
      </c>
      <c r="C615" s="2">
        <v>45473</v>
      </c>
      <c r="D615" t="s">
        <v>646</v>
      </c>
      <c r="E615" t="s">
        <v>650</v>
      </c>
      <c r="F615" t="s">
        <v>662</v>
      </c>
      <c r="G615" t="s">
        <v>702</v>
      </c>
      <c r="H615" t="s">
        <v>711</v>
      </c>
      <c r="I615" t="s">
        <v>724</v>
      </c>
      <c r="J615" t="s">
        <v>729</v>
      </c>
      <c r="K615" t="s">
        <v>1345</v>
      </c>
      <c r="L615">
        <v>1323.55</v>
      </c>
      <c r="M615">
        <v>3230.35</v>
      </c>
      <c r="N615">
        <v>2.1999999999999999E-2</v>
      </c>
      <c r="O615">
        <v>26</v>
      </c>
    </row>
    <row r="616" spans="1:15" x14ac:dyDescent="0.25">
      <c r="A616" t="s">
        <v>628</v>
      </c>
      <c r="B616" s="2">
        <v>45137</v>
      </c>
      <c r="C616" s="2">
        <v>45157</v>
      </c>
      <c r="D616" t="s">
        <v>649</v>
      </c>
      <c r="E616" t="s">
        <v>657</v>
      </c>
      <c r="F616" t="s">
        <v>690</v>
      </c>
      <c r="G616" t="s">
        <v>706</v>
      </c>
      <c r="H616" t="s">
        <v>709</v>
      </c>
      <c r="I616" t="s">
        <v>715</v>
      </c>
      <c r="J616" t="s">
        <v>729</v>
      </c>
      <c r="K616" t="s">
        <v>1346</v>
      </c>
      <c r="L616">
        <v>1418.51</v>
      </c>
      <c r="M616">
        <v>2789.61</v>
      </c>
      <c r="N616">
        <v>0.17100000000000001</v>
      </c>
      <c r="O616">
        <v>8</v>
      </c>
    </row>
    <row r="617" spans="1:15" x14ac:dyDescent="0.25">
      <c r="A617" t="s">
        <v>629</v>
      </c>
      <c r="B617" s="2">
        <v>45727</v>
      </c>
      <c r="C617" s="2">
        <v>45743</v>
      </c>
      <c r="D617" t="s">
        <v>647</v>
      </c>
      <c r="E617" t="s">
        <v>652</v>
      </c>
      <c r="F617" t="s">
        <v>689</v>
      </c>
      <c r="G617" t="s">
        <v>706</v>
      </c>
      <c r="H617" t="s">
        <v>710</v>
      </c>
      <c r="I617" t="s">
        <v>717</v>
      </c>
      <c r="J617" t="s">
        <v>728</v>
      </c>
      <c r="K617" t="s">
        <v>1347</v>
      </c>
      <c r="L617">
        <v>1317.58</v>
      </c>
      <c r="M617">
        <v>1897.74</v>
      </c>
      <c r="N617">
        <v>8.1000000000000003E-2</v>
      </c>
      <c r="O617">
        <v>6</v>
      </c>
    </row>
    <row r="618" spans="1:15" x14ac:dyDescent="0.25">
      <c r="A618" t="s">
        <v>630</v>
      </c>
      <c r="B618" s="2">
        <v>45208</v>
      </c>
      <c r="C618" s="2">
        <v>45210</v>
      </c>
      <c r="D618" t="s">
        <v>646</v>
      </c>
      <c r="E618" t="s">
        <v>651</v>
      </c>
      <c r="F618" t="s">
        <v>663</v>
      </c>
      <c r="G618" t="s">
        <v>702</v>
      </c>
      <c r="H618" t="s">
        <v>709</v>
      </c>
      <c r="I618" t="s">
        <v>723</v>
      </c>
      <c r="J618" t="s">
        <v>729</v>
      </c>
      <c r="K618" t="s">
        <v>1348</v>
      </c>
      <c r="L618">
        <v>391.16</v>
      </c>
      <c r="M618">
        <v>902.47</v>
      </c>
      <c r="N618">
        <v>4.0000000000000001E-3</v>
      </c>
      <c r="O618">
        <v>12</v>
      </c>
    </row>
    <row r="619" spans="1:15" x14ac:dyDescent="0.25">
      <c r="A619" t="s">
        <v>631</v>
      </c>
      <c r="B619" s="2">
        <v>45643</v>
      </c>
      <c r="C619" s="2">
        <v>45673</v>
      </c>
      <c r="D619" t="s">
        <v>649</v>
      </c>
      <c r="E619" t="s">
        <v>658</v>
      </c>
      <c r="F619" t="s">
        <v>693</v>
      </c>
      <c r="G619" t="s">
        <v>701</v>
      </c>
      <c r="H619" t="s">
        <v>707</v>
      </c>
      <c r="I619" t="s">
        <v>726</v>
      </c>
      <c r="J619" t="s">
        <v>732</v>
      </c>
      <c r="K619" t="s">
        <v>1349</v>
      </c>
      <c r="L619">
        <v>722.87</v>
      </c>
      <c r="M619">
        <v>-33.659999999999997</v>
      </c>
      <c r="N619">
        <v>0.10199999999999999</v>
      </c>
      <c r="O619">
        <v>28</v>
      </c>
    </row>
    <row r="620" spans="1:15" x14ac:dyDescent="0.25">
      <c r="A620" t="s">
        <v>632</v>
      </c>
      <c r="B620" s="2">
        <v>45849</v>
      </c>
      <c r="C620" s="2">
        <v>45854</v>
      </c>
      <c r="D620" t="s">
        <v>649</v>
      </c>
      <c r="E620" t="s">
        <v>658</v>
      </c>
      <c r="F620" t="s">
        <v>683</v>
      </c>
      <c r="G620" t="s">
        <v>706</v>
      </c>
      <c r="H620" t="s">
        <v>708</v>
      </c>
      <c r="I620" t="s">
        <v>723</v>
      </c>
      <c r="J620" t="s">
        <v>728</v>
      </c>
      <c r="K620" t="s">
        <v>1350</v>
      </c>
      <c r="L620">
        <v>930.03</v>
      </c>
      <c r="M620">
        <v>1086.68</v>
      </c>
      <c r="N620">
        <v>0.109</v>
      </c>
      <c r="O620">
        <v>26</v>
      </c>
    </row>
    <row r="621" spans="1:15" x14ac:dyDescent="0.25">
      <c r="A621" t="s">
        <v>633</v>
      </c>
      <c r="B621" s="2">
        <v>45578</v>
      </c>
      <c r="C621" s="2">
        <v>45589</v>
      </c>
      <c r="D621" t="s">
        <v>649</v>
      </c>
      <c r="E621" t="s">
        <v>657</v>
      </c>
      <c r="F621" t="s">
        <v>690</v>
      </c>
      <c r="G621" t="s">
        <v>702</v>
      </c>
      <c r="H621" t="s">
        <v>710</v>
      </c>
      <c r="I621" t="s">
        <v>721</v>
      </c>
      <c r="J621" t="s">
        <v>727</v>
      </c>
      <c r="K621" t="s">
        <v>1351</v>
      </c>
      <c r="L621">
        <v>816.7</v>
      </c>
      <c r="M621">
        <v>1010.75</v>
      </c>
      <c r="N621">
        <v>4.7E-2</v>
      </c>
      <c r="O621">
        <v>43</v>
      </c>
    </row>
    <row r="622" spans="1:15" x14ac:dyDescent="0.25">
      <c r="A622" t="s">
        <v>634</v>
      </c>
      <c r="B622" s="2">
        <v>45177</v>
      </c>
      <c r="C622" s="2">
        <v>45183</v>
      </c>
      <c r="D622" t="s">
        <v>646</v>
      </c>
      <c r="E622" t="s">
        <v>650</v>
      </c>
      <c r="F622" t="s">
        <v>678</v>
      </c>
      <c r="G622" t="s">
        <v>702</v>
      </c>
      <c r="H622" t="s">
        <v>711</v>
      </c>
      <c r="I622" t="s">
        <v>714</v>
      </c>
      <c r="J622" t="s">
        <v>733</v>
      </c>
      <c r="K622" t="s">
        <v>1352</v>
      </c>
      <c r="L622">
        <v>251.03</v>
      </c>
      <c r="M622">
        <v>411.48</v>
      </c>
      <c r="N622">
        <v>0.16500000000000001</v>
      </c>
      <c r="O622">
        <v>3</v>
      </c>
    </row>
    <row r="623" spans="1:15" x14ac:dyDescent="0.25">
      <c r="A623" t="s">
        <v>635</v>
      </c>
      <c r="B623" s="2">
        <v>45764</v>
      </c>
      <c r="C623" s="2">
        <v>45780</v>
      </c>
      <c r="D623" t="s">
        <v>648</v>
      </c>
      <c r="E623" t="s">
        <v>655</v>
      </c>
      <c r="F623" t="s">
        <v>692</v>
      </c>
      <c r="G623" t="s">
        <v>704</v>
      </c>
      <c r="H623" t="s">
        <v>709</v>
      </c>
      <c r="I623" t="s">
        <v>713</v>
      </c>
      <c r="J623" t="s">
        <v>729</v>
      </c>
      <c r="K623" t="s">
        <v>1353</v>
      </c>
      <c r="L623">
        <v>168.68</v>
      </c>
      <c r="M623">
        <v>413.34</v>
      </c>
      <c r="N623">
        <v>0.186</v>
      </c>
      <c r="O623">
        <v>7</v>
      </c>
    </row>
    <row r="624" spans="1:15" x14ac:dyDescent="0.25">
      <c r="A624" t="s">
        <v>636</v>
      </c>
      <c r="B624" s="2">
        <v>45501</v>
      </c>
      <c r="C624" s="2">
        <v>45527</v>
      </c>
      <c r="D624" t="s">
        <v>647</v>
      </c>
      <c r="E624" t="s">
        <v>654</v>
      </c>
      <c r="F624" t="s">
        <v>696</v>
      </c>
      <c r="G624" t="s">
        <v>701</v>
      </c>
      <c r="H624" t="s">
        <v>707</v>
      </c>
      <c r="I624" t="s">
        <v>713</v>
      </c>
      <c r="J624" t="s">
        <v>729</v>
      </c>
      <c r="K624" t="s">
        <v>1354</v>
      </c>
      <c r="L624">
        <v>1339.24</v>
      </c>
      <c r="M624">
        <v>1558.89</v>
      </c>
      <c r="N624">
        <v>0.192</v>
      </c>
      <c r="O624">
        <v>24</v>
      </c>
    </row>
    <row r="625" spans="1:15" x14ac:dyDescent="0.25">
      <c r="A625" t="s">
        <v>637</v>
      </c>
      <c r="B625" s="2">
        <v>45857</v>
      </c>
      <c r="C625" s="2">
        <v>45869</v>
      </c>
      <c r="D625" t="s">
        <v>646</v>
      </c>
      <c r="E625" t="s">
        <v>650</v>
      </c>
      <c r="F625" t="s">
        <v>664</v>
      </c>
      <c r="G625" t="s">
        <v>705</v>
      </c>
      <c r="H625" t="s">
        <v>709</v>
      </c>
      <c r="I625" t="s">
        <v>719</v>
      </c>
      <c r="J625" t="s">
        <v>733</v>
      </c>
      <c r="K625" t="s">
        <v>1355</v>
      </c>
      <c r="L625">
        <v>619.64</v>
      </c>
      <c r="M625">
        <v>861.16</v>
      </c>
      <c r="N625">
        <v>0.113</v>
      </c>
      <c r="O625">
        <v>14</v>
      </c>
    </row>
    <row r="626" spans="1:15" x14ac:dyDescent="0.25">
      <c r="A626" t="s">
        <v>638</v>
      </c>
      <c r="B626" s="2">
        <v>45141</v>
      </c>
      <c r="C626" s="2">
        <v>45140</v>
      </c>
      <c r="D626" t="s">
        <v>647</v>
      </c>
      <c r="E626" t="s">
        <v>659</v>
      </c>
      <c r="F626" t="s">
        <v>685</v>
      </c>
      <c r="G626" t="s">
        <v>703</v>
      </c>
      <c r="H626" t="s">
        <v>711</v>
      </c>
      <c r="I626" t="s">
        <v>713</v>
      </c>
      <c r="J626" t="s">
        <v>729</v>
      </c>
      <c r="K626" t="s">
        <v>1356</v>
      </c>
      <c r="L626">
        <v>1021.97</v>
      </c>
      <c r="M626">
        <v>2296.25</v>
      </c>
      <c r="N626">
        <v>0.161</v>
      </c>
      <c r="O626">
        <v>26</v>
      </c>
    </row>
    <row r="627" spans="1:15" x14ac:dyDescent="0.25">
      <c r="A627" t="s">
        <v>639</v>
      </c>
      <c r="B627" s="2">
        <v>45249</v>
      </c>
      <c r="C627" s="2">
        <v>45272</v>
      </c>
      <c r="D627" t="s">
        <v>647</v>
      </c>
      <c r="E627" t="s">
        <v>654</v>
      </c>
      <c r="F627" t="s">
        <v>680</v>
      </c>
      <c r="G627" t="s">
        <v>705</v>
      </c>
      <c r="H627" t="s">
        <v>711</v>
      </c>
      <c r="I627" t="s">
        <v>712</v>
      </c>
      <c r="J627" t="s">
        <v>729</v>
      </c>
      <c r="K627" t="s">
        <v>1357</v>
      </c>
      <c r="L627">
        <v>1349.04</v>
      </c>
      <c r="M627">
        <v>2636.6</v>
      </c>
      <c r="N627">
        <v>0.114</v>
      </c>
      <c r="O627">
        <v>14</v>
      </c>
    </row>
    <row r="628" spans="1:15" x14ac:dyDescent="0.25">
      <c r="A628" t="s">
        <v>640</v>
      </c>
      <c r="B628" s="2">
        <v>45282</v>
      </c>
      <c r="C628" s="2">
        <v>45307</v>
      </c>
      <c r="D628" t="s">
        <v>647</v>
      </c>
      <c r="E628" t="s">
        <v>654</v>
      </c>
      <c r="F628" t="s">
        <v>696</v>
      </c>
      <c r="G628" t="s">
        <v>705</v>
      </c>
      <c r="H628" t="s">
        <v>707</v>
      </c>
      <c r="I628" t="s">
        <v>720</v>
      </c>
      <c r="J628" t="s">
        <v>727</v>
      </c>
      <c r="K628" t="s">
        <v>1358</v>
      </c>
      <c r="L628">
        <v>1346.81</v>
      </c>
      <c r="M628">
        <v>978.09</v>
      </c>
      <c r="N628">
        <v>0.159</v>
      </c>
      <c r="O628">
        <v>17</v>
      </c>
    </row>
    <row r="629" spans="1:15" x14ac:dyDescent="0.25">
      <c r="A629" t="s">
        <v>641</v>
      </c>
      <c r="B629" s="2">
        <v>45141</v>
      </c>
      <c r="C629" s="2">
        <v>45168</v>
      </c>
      <c r="D629" t="s">
        <v>647</v>
      </c>
      <c r="E629" t="s">
        <v>659</v>
      </c>
      <c r="F629" t="s">
        <v>685</v>
      </c>
      <c r="G629" t="s">
        <v>704</v>
      </c>
      <c r="H629" t="s">
        <v>710</v>
      </c>
      <c r="I629" t="s">
        <v>725</v>
      </c>
      <c r="J629" t="s">
        <v>732</v>
      </c>
      <c r="K629" t="s">
        <v>1359</v>
      </c>
      <c r="L629">
        <v>226.04</v>
      </c>
      <c r="M629">
        <v>545.72</v>
      </c>
      <c r="N629">
        <v>0.151</v>
      </c>
      <c r="O629">
        <v>11</v>
      </c>
    </row>
    <row r="630" spans="1:15" x14ac:dyDescent="0.25">
      <c r="A630" t="s">
        <v>642</v>
      </c>
      <c r="B630" s="2">
        <v>45100</v>
      </c>
      <c r="C630" s="2">
        <v>45125</v>
      </c>
      <c r="D630" t="s">
        <v>648</v>
      </c>
      <c r="E630" t="s">
        <v>653</v>
      </c>
      <c r="F630" t="s">
        <v>688</v>
      </c>
      <c r="G630" t="s">
        <v>706</v>
      </c>
      <c r="H630" t="s">
        <v>708</v>
      </c>
      <c r="I630" t="s">
        <v>725</v>
      </c>
      <c r="J630" t="s">
        <v>730</v>
      </c>
      <c r="K630" t="s">
        <v>1360</v>
      </c>
      <c r="L630">
        <v>807.02</v>
      </c>
      <c r="M630">
        <v>1435.54</v>
      </c>
      <c r="N630">
        <v>0</v>
      </c>
      <c r="O630">
        <v>23</v>
      </c>
    </row>
    <row r="631" spans="1:15" x14ac:dyDescent="0.25">
      <c r="A631" t="s">
        <v>643</v>
      </c>
      <c r="B631" s="2">
        <v>45267</v>
      </c>
      <c r="C631" s="2">
        <v>45293</v>
      </c>
      <c r="D631" t="s">
        <v>649</v>
      </c>
      <c r="E631" t="s">
        <v>656</v>
      </c>
      <c r="F631" t="s">
        <v>698</v>
      </c>
      <c r="G631" t="s">
        <v>706</v>
      </c>
      <c r="H631" t="s">
        <v>710</v>
      </c>
      <c r="I631" t="s">
        <v>718</v>
      </c>
      <c r="J631" t="s">
        <v>727</v>
      </c>
      <c r="K631" t="s">
        <v>1361</v>
      </c>
      <c r="L631">
        <v>1071.99</v>
      </c>
      <c r="M631">
        <v>2397.3000000000002</v>
      </c>
      <c r="N631">
        <v>6.2E-2</v>
      </c>
      <c r="O631">
        <v>18</v>
      </c>
    </row>
    <row r="632" spans="1:15" x14ac:dyDescent="0.25">
      <c r="A632" t="s">
        <v>644</v>
      </c>
      <c r="B632" s="2">
        <v>45249</v>
      </c>
      <c r="C632" s="2">
        <v>45279</v>
      </c>
      <c r="D632" t="s">
        <v>647</v>
      </c>
      <c r="E632" t="s">
        <v>652</v>
      </c>
      <c r="F632" t="s">
        <v>694</v>
      </c>
      <c r="G632" t="s">
        <v>704</v>
      </c>
      <c r="H632" t="s">
        <v>707</v>
      </c>
      <c r="J632" t="s">
        <v>730</v>
      </c>
      <c r="K632" t="s">
        <v>1362</v>
      </c>
      <c r="L632">
        <v>807.11</v>
      </c>
      <c r="M632">
        <v>1853.86</v>
      </c>
      <c r="N632">
        <v>0.13900000000000001</v>
      </c>
      <c r="O632">
        <v>8</v>
      </c>
    </row>
    <row r="633" spans="1:15" x14ac:dyDescent="0.25">
      <c r="A633" t="s">
        <v>645</v>
      </c>
      <c r="B633" s="2">
        <v>45716</v>
      </c>
      <c r="C633" s="2">
        <v>45726</v>
      </c>
      <c r="D633" t="s">
        <v>647</v>
      </c>
      <c r="E633" t="s">
        <v>652</v>
      </c>
      <c r="F633" t="s">
        <v>666</v>
      </c>
      <c r="G633" t="s">
        <v>702</v>
      </c>
      <c r="H633" t="s">
        <v>710</v>
      </c>
      <c r="I633" t="s">
        <v>725</v>
      </c>
      <c r="J633" t="s">
        <v>731</v>
      </c>
      <c r="K633" t="s">
        <v>1363</v>
      </c>
      <c r="L633">
        <v>51.86</v>
      </c>
      <c r="M633">
        <v>45.98</v>
      </c>
      <c r="N633">
        <v>0.17299999999999999</v>
      </c>
      <c r="O633">
        <v>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C211A-DC81-413D-A384-CE0D6F14B099}">
  <dimension ref="A3:B56"/>
  <sheetViews>
    <sheetView workbookViewId="0">
      <selection activeCell="P17" sqref="P17"/>
    </sheetView>
  </sheetViews>
  <sheetFormatPr defaultRowHeight="15" x14ac:dyDescent="0.25"/>
  <cols>
    <col min="1" max="1" width="19.28515625" bestFit="1" customWidth="1"/>
    <col min="2" max="2" width="20.7109375" bestFit="1" customWidth="1"/>
  </cols>
  <sheetData>
    <row r="3" spans="1:2" x14ac:dyDescent="0.25">
      <c r="A3" s="17" t="s">
        <v>1387</v>
      </c>
      <c r="B3" t="s">
        <v>1389</v>
      </c>
    </row>
    <row r="4" spans="1:2" x14ac:dyDescent="0.25">
      <c r="A4" s="18" t="s">
        <v>646</v>
      </c>
      <c r="B4" s="20">
        <v>2609130.8879</v>
      </c>
    </row>
    <row r="5" spans="1:2" x14ac:dyDescent="0.25">
      <c r="A5" s="19" t="s">
        <v>650</v>
      </c>
      <c r="B5" s="20">
        <v>947364.86620999989</v>
      </c>
    </row>
    <row r="6" spans="1:2" x14ac:dyDescent="0.25">
      <c r="A6" s="44" t="s">
        <v>1395</v>
      </c>
      <c r="B6" s="20">
        <v>250503.78704999996</v>
      </c>
    </row>
    <row r="7" spans="1:2" x14ac:dyDescent="0.25">
      <c r="A7" s="44" t="s">
        <v>1396</v>
      </c>
      <c r="B7" s="20">
        <v>550327.79727999994</v>
      </c>
    </row>
    <row r="8" spans="1:2" x14ac:dyDescent="0.25">
      <c r="A8" s="44" t="s">
        <v>1397</v>
      </c>
      <c r="B8" s="20">
        <v>146533.28187999999</v>
      </c>
    </row>
    <row r="9" spans="1:2" x14ac:dyDescent="0.25">
      <c r="A9" s="19" t="s">
        <v>651</v>
      </c>
      <c r="B9" s="20">
        <v>881838.67691000004</v>
      </c>
    </row>
    <row r="10" spans="1:2" x14ac:dyDescent="0.25">
      <c r="A10" s="44" t="s">
        <v>1395</v>
      </c>
      <c r="B10" s="20">
        <v>263244.54462</v>
      </c>
    </row>
    <row r="11" spans="1:2" x14ac:dyDescent="0.25">
      <c r="A11" s="44" t="s">
        <v>1396</v>
      </c>
      <c r="B11" s="20">
        <v>276445.19975999999</v>
      </c>
    </row>
    <row r="12" spans="1:2" x14ac:dyDescent="0.25">
      <c r="A12" s="44" t="s">
        <v>1397</v>
      </c>
      <c r="B12" s="20">
        <v>342148.93252999999</v>
      </c>
    </row>
    <row r="13" spans="1:2" x14ac:dyDescent="0.25">
      <c r="A13" s="19" t="s">
        <v>661</v>
      </c>
      <c r="B13" s="20">
        <v>779927.34477999993</v>
      </c>
    </row>
    <row r="14" spans="1:2" x14ac:dyDescent="0.25">
      <c r="A14" s="44" t="s">
        <v>1395</v>
      </c>
      <c r="B14" s="20">
        <v>364691.14463999995</v>
      </c>
    </row>
    <row r="15" spans="1:2" x14ac:dyDescent="0.25">
      <c r="A15" s="44" t="s">
        <v>1396</v>
      </c>
      <c r="B15" s="20">
        <v>191518.50867000001</v>
      </c>
    </row>
    <row r="16" spans="1:2" x14ac:dyDescent="0.25">
      <c r="A16" s="44" t="s">
        <v>1397</v>
      </c>
      <c r="B16" s="20">
        <v>223717.69146999999</v>
      </c>
    </row>
    <row r="17" spans="1:2" x14ac:dyDescent="0.25">
      <c r="A17" s="18" t="s">
        <v>648</v>
      </c>
      <c r="B17" s="20">
        <v>2689188.19894</v>
      </c>
    </row>
    <row r="18" spans="1:2" x14ac:dyDescent="0.25">
      <c r="A18" s="19" t="s">
        <v>655</v>
      </c>
      <c r="B18" s="20">
        <v>1037870.6328199999</v>
      </c>
    </row>
    <row r="19" spans="1:2" x14ac:dyDescent="0.25">
      <c r="A19" s="44" t="s">
        <v>1395</v>
      </c>
      <c r="B19" s="20">
        <v>377332.38417999994</v>
      </c>
    </row>
    <row r="20" spans="1:2" x14ac:dyDescent="0.25">
      <c r="A20" s="44" t="s">
        <v>1396</v>
      </c>
      <c r="B20" s="20">
        <v>306190.48610999994</v>
      </c>
    </row>
    <row r="21" spans="1:2" x14ac:dyDescent="0.25">
      <c r="A21" s="44" t="s">
        <v>1397</v>
      </c>
      <c r="B21" s="20">
        <v>354347.76253000001</v>
      </c>
    </row>
    <row r="22" spans="1:2" x14ac:dyDescent="0.25">
      <c r="A22" s="19" t="s">
        <v>653</v>
      </c>
      <c r="B22" s="20">
        <v>882622.97854000004</v>
      </c>
    </row>
    <row r="23" spans="1:2" x14ac:dyDescent="0.25">
      <c r="A23" s="44" t="s">
        <v>1395</v>
      </c>
      <c r="B23" s="20">
        <v>249507.26559999998</v>
      </c>
    </row>
    <row r="24" spans="1:2" x14ac:dyDescent="0.25">
      <c r="A24" s="44" t="s">
        <v>1396</v>
      </c>
      <c r="B24" s="20">
        <v>356412.15492999996</v>
      </c>
    </row>
    <row r="25" spans="1:2" x14ac:dyDescent="0.25">
      <c r="A25" s="44" t="s">
        <v>1397</v>
      </c>
      <c r="B25" s="20">
        <v>276703.55800999998</v>
      </c>
    </row>
    <row r="26" spans="1:2" x14ac:dyDescent="0.25">
      <c r="A26" s="19" t="s">
        <v>660</v>
      </c>
      <c r="B26" s="20">
        <v>768694.58758000005</v>
      </c>
    </row>
    <row r="27" spans="1:2" x14ac:dyDescent="0.25">
      <c r="A27" s="44" t="s">
        <v>1395</v>
      </c>
      <c r="B27" s="20">
        <v>288079.88713000005</v>
      </c>
    </row>
    <row r="28" spans="1:2" x14ac:dyDescent="0.25">
      <c r="A28" s="44" t="s">
        <v>1396</v>
      </c>
      <c r="B28" s="20">
        <v>396688.46359</v>
      </c>
    </row>
    <row r="29" spans="1:2" x14ac:dyDescent="0.25">
      <c r="A29" s="44" t="s">
        <v>1397</v>
      </c>
      <c r="B29" s="20">
        <v>83926.236860000005</v>
      </c>
    </row>
    <row r="30" spans="1:2" x14ac:dyDescent="0.25">
      <c r="A30" s="18" t="s">
        <v>647</v>
      </c>
      <c r="B30" s="20">
        <v>2819701.6023499998</v>
      </c>
    </row>
    <row r="31" spans="1:2" x14ac:dyDescent="0.25">
      <c r="A31" s="19" t="s">
        <v>659</v>
      </c>
      <c r="B31" s="20">
        <v>899054.11212000006</v>
      </c>
    </row>
    <row r="32" spans="1:2" x14ac:dyDescent="0.25">
      <c r="A32" s="44" t="s">
        <v>1395</v>
      </c>
      <c r="B32" s="20">
        <v>282462.98259000003</v>
      </c>
    </row>
    <row r="33" spans="1:2" x14ac:dyDescent="0.25">
      <c r="A33" s="44" t="s">
        <v>1396</v>
      </c>
      <c r="B33" s="20">
        <v>431317.10412000003</v>
      </c>
    </row>
    <row r="34" spans="1:2" x14ac:dyDescent="0.25">
      <c r="A34" s="44" t="s">
        <v>1397</v>
      </c>
      <c r="B34" s="20">
        <v>185274.02540999997</v>
      </c>
    </row>
    <row r="35" spans="1:2" x14ac:dyDescent="0.25">
      <c r="A35" s="19" t="s">
        <v>654</v>
      </c>
      <c r="B35" s="20">
        <v>1065574.1297500001</v>
      </c>
    </row>
    <row r="36" spans="1:2" x14ac:dyDescent="0.25">
      <c r="A36" s="44" t="s">
        <v>1395</v>
      </c>
      <c r="B36" s="20">
        <v>488008.81062999996</v>
      </c>
    </row>
    <row r="37" spans="1:2" x14ac:dyDescent="0.25">
      <c r="A37" s="44" t="s">
        <v>1396</v>
      </c>
      <c r="B37" s="20">
        <v>365432.33679000009</v>
      </c>
    </row>
    <row r="38" spans="1:2" x14ac:dyDescent="0.25">
      <c r="A38" s="44" t="s">
        <v>1397</v>
      </c>
      <c r="B38" s="20">
        <v>212132.98232999997</v>
      </c>
    </row>
    <row r="39" spans="1:2" x14ac:dyDescent="0.25">
      <c r="A39" s="19" t="s">
        <v>652</v>
      </c>
      <c r="B39" s="20">
        <v>855073.36047999992</v>
      </c>
    </row>
    <row r="40" spans="1:2" x14ac:dyDescent="0.25">
      <c r="A40" s="44" t="s">
        <v>1395</v>
      </c>
      <c r="B40" s="20">
        <v>196462.92158999998</v>
      </c>
    </row>
    <row r="41" spans="1:2" x14ac:dyDescent="0.25">
      <c r="A41" s="44" t="s">
        <v>1396</v>
      </c>
      <c r="B41" s="20">
        <v>370401.94354999991</v>
      </c>
    </row>
    <row r="42" spans="1:2" x14ac:dyDescent="0.25">
      <c r="A42" s="44" t="s">
        <v>1397</v>
      </c>
      <c r="B42" s="20">
        <v>288208.49534000002</v>
      </c>
    </row>
    <row r="43" spans="1:2" x14ac:dyDescent="0.25">
      <c r="A43" s="18" t="s">
        <v>649</v>
      </c>
      <c r="B43" s="20">
        <v>2800987.9360100003</v>
      </c>
    </row>
    <row r="44" spans="1:2" x14ac:dyDescent="0.25">
      <c r="A44" s="19" t="s">
        <v>657</v>
      </c>
      <c r="B44" s="20">
        <v>758280.91688999999</v>
      </c>
    </row>
    <row r="45" spans="1:2" x14ac:dyDescent="0.25">
      <c r="A45" s="44" t="s">
        <v>1395</v>
      </c>
      <c r="B45" s="20">
        <v>269344.22398999997</v>
      </c>
    </row>
    <row r="46" spans="1:2" x14ac:dyDescent="0.25">
      <c r="A46" s="44" t="s">
        <v>1396</v>
      </c>
      <c r="B46" s="20">
        <v>332686.45243999996</v>
      </c>
    </row>
    <row r="47" spans="1:2" x14ac:dyDescent="0.25">
      <c r="A47" s="44" t="s">
        <v>1397</v>
      </c>
      <c r="B47" s="20">
        <v>156250.24046000003</v>
      </c>
    </row>
    <row r="48" spans="1:2" x14ac:dyDescent="0.25">
      <c r="A48" s="19" t="s">
        <v>656</v>
      </c>
      <c r="B48" s="20">
        <v>929424.88821999996</v>
      </c>
    </row>
    <row r="49" spans="1:2" x14ac:dyDescent="0.25">
      <c r="A49" s="44" t="s">
        <v>1395</v>
      </c>
      <c r="B49" s="20">
        <v>369878.67228999996</v>
      </c>
    </row>
    <row r="50" spans="1:2" x14ac:dyDescent="0.25">
      <c r="A50" s="44" t="s">
        <v>1396</v>
      </c>
      <c r="B50" s="20">
        <v>383309.25281999999</v>
      </c>
    </row>
    <row r="51" spans="1:2" x14ac:dyDescent="0.25">
      <c r="A51" s="44" t="s">
        <v>1397</v>
      </c>
      <c r="B51" s="20">
        <v>176236.96311000001</v>
      </c>
    </row>
    <row r="52" spans="1:2" x14ac:dyDescent="0.25">
      <c r="A52" s="19" t="s">
        <v>658</v>
      </c>
      <c r="B52" s="20">
        <v>1113282.1309</v>
      </c>
    </row>
    <row r="53" spans="1:2" x14ac:dyDescent="0.25">
      <c r="A53" s="44" t="s">
        <v>1395</v>
      </c>
      <c r="B53" s="20">
        <v>276400.40975999995</v>
      </c>
    </row>
    <row r="54" spans="1:2" x14ac:dyDescent="0.25">
      <c r="A54" s="44" t="s">
        <v>1396</v>
      </c>
      <c r="B54" s="20">
        <v>507901.41704000003</v>
      </c>
    </row>
    <row r="55" spans="1:2" x14ac:dyDescent="0.25">
      <c r="A55" s="44" t="s">
        <v>1397</v>
      </c>
      <c r="B55" s="20">
        <v>328980.30410000007</v>
      </c>
    </row>
    <row r="56" spans="1:2" x14ac:dyDescent="0.25">
      <c r="A56" s="18" t="s">
        <v>1388</v>
      </c>
      <c r="B56" s="20">
        <v>10919008.6252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
  <sheetViews>
    <sheetView workbookViewId="0">
      <selection activeCell="L37" sqref="L37"/>
    </sheetView>
  </sheetViews>
  <sheetFormatPr defaultRowHeight="15" x14ac:dyDescent="0.25"/>
  <cols>
    <col min="1" max="1" width="16.7109375" customWidth="1"/>
    <col min="2" max="2" width="16.28515625" customWidth="1"/>
    <col min="3" max="3" width="12.28515625" bestFit="1" customWidth="1"/>
    <col min="4" max="4" width="7.85546875" bestFit="1" customWidth="1"/>
    <col min="5" max="5" width="9.140625" bestFit="1" customWidth="1"/>
    <col min="6" max="6" width="11.42578125" bestFit="1" customWidth="1"/>
    <col min="7" max="7" width="7.5703125" bestFit="1" customWidth="1"/>
    <col min="8" max="8" width="8" bestFit="1" customWidth="1"/>
    <col min="9" max="9" width="11.28515625" customWidth="1"/>
    <col min="10" max="88" width="16.42578125" bestFit="1" customWidth="1"/>
    <col min="89" max="89" width="16.28515625" bestFit="1" customWidth="1"/>
    <col min="90" max="180" width="16.42578125" bestFit="1" customWidth="1"/>
    <col min="181" max="181" width="17.42578125" bestFit="1" customWidth="1"/>
    <col min="182" max="263" width="16.42578125" bestFit="1" customWidth="1"/>
    <col min="264" max="264" width="12.7109375" bestFit="1" customWidth="1"/>
    <col min="265" max="358" width="16.42578125" bestFit="1" customWidth="1"/>
    <col min="359" max="359" width="14.140625" bestFit="1" customWidth="1"/>
    <col min="360" max="534" width="16.42578125" bestFit="1" customWidth="1"/>
    <col min="535" max="535" width="12.42578125" bestFit="1" customWidth="1"/>
    <col min="536" max="638" width="16.42578125" bestFit="1" customWidth="1"/>
    <col min="639" max="639" width="12.85546875" bestFit="1" customWidth="1"/>
    <col min="640" max="640" width="11.28515625" bestFit="1" customWidth="1"/>
  </cols>
  <sheetData>
    <row r="1" spans="1:9" x14ac:dyDescent="0.25">
      <c r="A1" s="17" t="s">
        <v>1391</v>
      </c>
      <c r="B1" t="s">
        <v>1427</v>
      </c>
    </row>
    <row r="3" spans="1:9" x14ac:dyDescent="0.25">
      <c r="A3" s="17" t="s">
        <v>1392</v>
      </c>
      <c r="B3" s="17" t="s">
        <v>1393</v>
      </c>
    </row>
    <row r="4" spans="1:9" x14ac:dyDescent="0.25">
      <c r="A4" s="17" t="s">
        <v>1387</v>
      </c>
      <c r="B4" t="s">
        <v>733</v>
      </c>
      <c r="C4" t="s">
        <v>727</v>
      </c>
      <c r="D4" t="s">
        <v>731</v>
      </c>
      <c r="E4" t="s">
        <v>732</v>
      </c>
      <c r="F4" t="s">
        <v>729</v>
      </c>
      <c r="G4" t="s">
        <v>730</v>
      </c>
      <c r="H4" t="s">
        <v>728</v>
      </c>
      <c r="I4" t="s">
        <v>1388</v>
      </c>
    </row>
    <row r="5" spans="1:9" x14ac:dyDescent="0.25">
      <c r="A5" s="18" t="s">
        <v>655</v>
      </c>
      <c r="B5" s="21">
        <v>0.16129032258064516</v>
      </c>
      <c r="C5" s="21">
        <v>0.11290322580645161</v>
      </c>
      <c r="D5" s="21">
        <v>8.0645161290322578E-2</v>
      </c>
      <c r="E5" s="21">
        <v>0.19354838709677419</v>
      </c>
      <c r="F5" s="21">
        <v>0.19354838709677419</v>
      </c>
      <c r="G5" s="21">
        <v>0.14516129032258066</v>
      </c>
      <c r="H5" s="21">
        <v>0.11290322580645161</v>
      </c>
      <c r="I5" s="21">
        <v>1</v>
      </c>
    </row>
    <row r="6" spans="1:9" x14ac:dyDescent="0.25">
      <c r="A6" s="18" t="s">
        <v>653</v>
      </c>
      <c r="B6" s="21">
        <v>0.13636363636363635</v>
      </c>
      <c r="C6" s="21">
        <v>0.13636363636363635</v>
      </c>
      <c r="D6" s="21">
        <v>0.13636363636363635</v>
      </c>
      <c r="E6" s="21">
        <v>0.15909090909090909</v>
      </c>
      <c r="F6" s="21">
        <v>6.8181818181818177E-2</v>
      </c>
      <c r="G6" s="21">
        <v>6.8181818181818177E-2</v>
      </c>
      <c r="H6" s="21">
        <v>0.29545454545454547</v>
      </c>
      <c r="I6" s="21">
        <v>1</v>
      </c>
    </row>
    <row r="7" spans="1:9" x14ac:dyDescent="0.25">
      <c r="A7" s="18" t="s">
        <v>659</v>
      </c>
      <c r="B7" s="21">
        <v>7.8431372549019607E-2</v>
      </c>
      <c r="C7" s="21">
        <v>0.19607843137254902</v>
      </c>
      <c r="D7" s="21">
        <v>9.8039215686274508E-2</v>
      </c>
      <c r="E7" s="21">
        <v>0.11764705882352941</v>
      </c>
      <c r="F7" s="21">
        <v>0.15686274509803921</v>
      </c>
      <c r="G7" s="21">
        <v>0.13725490196078433</v>
      </c>
      <c r="H7" s="21">
        <v>0.21568627450980393</v>
      </c>
      <c r="I7" s="21">
        <v>1</v>
      </c>
    </row>
    <row r="8" spans="1:9" x14ac:dyDescent="0.25">
      <c r="A8" s="18" t="s">
        <v>657</v>
      </c>
      <c r="B8" s="21">
        <v>0.12962962962962962</v>
      </c>
      <c r="C8" s="21">
        <v>0.18518518518518517</v>
      </c>
      <c r="D8" s="21">
        <v>0.1111111111111111</v>
      </c>
      <c r="E8" s="21">
        <v>0.18518518518518517</v>
      </c>
      <c r="F8" s="21">
        <v>0.1111111111111111</v>
      </c>
      <c r="G8" s="21">
        <v>5.5555555555555552E-2</v>
      </c>
      <c r="H8" s="21">
        <v>0.22222222222222221</v>
      </c>
      <c r="I8" s="21">
        <v>1</v>
      </c>
    </row>
    <row r="9" spans="1:9" x14ac:dyDescent="0.25">
      <c r="A9" s="18" t="s">
        <v>656</v>
      </c>
      <c r="B9" s="21">
        <v>0.17647058823529413</v>
      </c>
      <c r="C9" s="21">
        <v>0.11764705882352941</v>
      </c>
      <c r="D9" s="21">
        <v>0.13725490196078433</v>
      </c>
      <c r="E9" s="21">
        <v>0.19607843137254902</v>
      </c>
      <c r="F9" s="21">
        <v>7.8431372549019607E-2</v>
      </c>
      <c r="G9" s="21">
        <v>0.13725490196078433</v>
      </c>
      <c r="H9" s="21">
        <v>0.15686274509803921</v>
      </c>
      <c r="I9" s="21">
        <v>1</v>
      </c>
    </row>
    <row r="10" spans="1:9" x14ac:dyDescent="0.25">
      <c r="A10" s="18" t="s">
        <v>654</v>
      </c>
      <c r="B10" s="21">
        <v>0.11666666666666667</v>
      </c>
      <c r="C10" s="21">
        <v>0.16666666666666666</v>
      </c>
      <c r="D10" s="21">
        <v>0.15</v>
      </c>
      <c r="E10" s="21">
        <v>0.2</v>
      </c>
      <c r="F10" s="21">
        <v>0.11666666666666667</v>
      </c>
      <c r="G10" s="21">
        <v>0.15</v>
      </c>
      <c r="H10" s="21">
        <v>0.1</v>
      </c>
      <c r="I10" s="21">
        <v>1</v>
      </c>
    </row>
    <row r="11" spans="1:9" x14ac:dyDescent="0.25">
      <c r="A11" s="18" t="s">
        <v>652</v>
      </c>
      <c r="B11" s="21">
        <v>8.4745762711864403E-2</v>
      </c>
      <c r="C11" s="21">
        <v>0.13559322033898305</v>
      </c>
      <c r="D11" s="21">
        <v>0.11864406779661017</v>
      </c>
      <c r="E11" s="21">
        <v>0.11864406779661017</v>
      </c>
      <c r="F11" s="21">
        <v>0.20338983050847459</v>
      </c>
      <c r="G11" s="21">
        <v>0.1864406779661017</v>
      </c>
      <c r="H11" s="21">
        <v>0.15254237288135594</v>
      </c>
      <c r="I11" s="21">
        <v>1</v>
      </c>
    </row>
    <row r="12" spans="1:9" x14ac:dyDescent="0.25">
      <c r="A12" s="18" t="s">
        <v>650</v>
      </c>
      <c r="B12" s="21">
        <v>0.17857142857142858</v>
      </c>
      <c r="C12" s="21">
        <v>8.9285714285714288E-2</v>
      </c>
      <c r="D12" s="21">
        <v>0.17857142857142858</v>
      </c>
      <c r="E12" s="21">
        <v>3.5714285714285712E-2</v>
      </c>
      <c r="F12" s="21">
        <v>0.10714285714285714</v>
      </c>
      <c r="G12" s="21">
        <v>0.26785714285714285</v>
      </c>
      <c r="H12" s="21">
        <v>0.14285714285714285</v>
      </c>
      <c r="I12" s="21">
        <v>1</v>
      </c>
    </row>
    <row r="13" spans="1:9" x14ac:dyDescent="0.25">
      <c r="A13" s="18" t="s">
        <v>651</v>
      </c>
      <c r="B13" s="21">
        <v>0.29545454545454547</v>
      </c>
      <c r="C13" s="21">
        <v>0.13636363636363635</v>
      </c>
      <c r="D13" s="21">
        <v>0.13636363636363635</v>
      </c>
      <c r="E13" s="21">
        <v>0.11363636363636363</v>
      </c>
      <c r="F13" s="21">
        <v>4.5454545454545456E-2</v>
      </c>
      <c r="G13" s="21">
        <v>0.13636363636363635</v>
      </c>
      <c r="H13" s="21">
        <v>0.13636363636363635</v>
      </c>
      <c r="I13" s="21">
        <v>1</v>
      </c>
    </row>
    <row r="14" spans="1:9" x14ac:dyDescent="0.25">
      <c r="A14" s="18" t="s">
        <v>661</v>
      </c>
      <c r="B14" s="21">
        <v>8.8888888888888892E-2</v>
      </c>
      <c r="C14" s="21">
        <v>0.24444444444444444</v>
      </c>
      <c r="D14" s="21">
        <v>0.15555555555555556</v>
      </c>
      <c r="E14" s="21">
        <v>0.15555555555555556</v>
      </c>
      <c r="F14" s="21">
        <v>0.15555555555555556</v>
      </c>
      <c r="G14" s="21">
        <v>8.8888888888888892E-2</v>
      </c>
      <c r="H14" s="21">
        <v>0.1111111111111111</v>
      </c>
      <c r="I14" s="21">
        <v>1</v>
      </c>
    </row>
    <row r="15" spans="1:9" x14ac:dyDescent="0.25">
      <c r="A15" s="18" t="s">
        <v>658</v>
      </c>
      <c r="B15" s="21">
        <v>0.14814814814814814</v>
      </c>
      <c r="C15" s="21">
        <v>0.12962962962962962</v>
      </c>
      <c r="D15" s="21">
        <v>0.16666666666666666</v>
      </c>
      <c r="E15" s="21">
        <v>0.12962962962962962</v>
      </c>
      <c r="F15" s="21">
        <v>0.16666666666666666</v>
      </c>
      <c r="G15" s="21">
        <v>7.407407407407407E-2</v>
      </c>
      <c r="H15" s="21">
        <v>0.18518518518518517</v>
      </c>
      <c r="I15" s="21">
        <v>1</v>
      </c>
    </row>
    <row r="16" spans="1:9" x14ac:dyDescent="0.25">
      <c r="A16" s="18" t="s">
        <v>660</v>
      </c>
      <c r="B16" s="21">
        <v>7.8431372549019607E-2</v>
      </c>
      <c r="C16" s="21">
        <v>9.8039215686274508E-2</v>
      </c>
      <c r="D16" s="21">
        <v>9.8039215686274508E-2</v>
      </c>
      <c r="E16" s="21">
        <v>0.17647058823529413</v>
      </c>
      <c r="F16" s="21">
        <v>0.19607843137254902</v>
      </c>
      <c r="G16" s="21">
        <v>0.19607843137254902</v>
      </c>
      <c r="H16" s="21">
        <v>0.15686274509803921</v>
      </c>
      <c r="I16" s="21">
        <v>1</v>
      </c>
    </row>
    <row r="17" spans="1:9" x14ac:dyDescent="0.25">
      <c r="A17" s="18" t="s">
        <v>1388</v>
      </c>
      <c r="B17" s="21">
        <v>0.13787638668779714</v>
      </c>
      <c r="C17" s="21">
        <v>0.14421553090332806</v>
      </c>
      <c r="D17" s="21">
        <v>0.12995245641838352</v>
      </c>
      <c r="E17" s="21">
        <v>0.14896988906497624</v>
      </c>
      <c r="F17" s="21">
        <v>0.13629160063391443</v>
      </c>
      <c r="G17" s="21">
        <v>0.13946117274167988</v>
      </c>
      <c r="H17" s="21">
        <v>0.16323296354992076</v>
      </c>
      <c r="I17" s="21">
        <v>1</v>
      </c>
    </row>
  </sheetData>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H9"/>
  <sheetViews>
    <sheetView workbookViewId="0">
      <selection activeCell="T594" sqref="T594"/>
    </sheetView>
  </sheetViews>
  <sheetFormatPr defaultRowHeight="15" x14ac:dyDescent="0.25"/>
  <cols>
    <col min="1" max="1" width="20.7109375" bestFit="1" customWidth="1"/>
    <col min="2" max="2" width="16.28515625" bestFit="1" customWidth="1"/>
    <col min="3" max="3" width="10.5703125" bestFit="1" customWidth="1"/>
    <col min="4" max="4" width="12.140625" bestFit="1" customWidth="1"/>
    <col min="5" max="6" width="7.140625" bestFit="1" customWidth="1"/>
    <col min="7" max="7" width="11.7109375" bestFit="1" customWidth="1"/>
    <col min="8" max="8" width="11.28515625" customWidth="1"/>
  </cols>
  <sheetData>
    <row r="3" spans="1:8" x14ac:dyDescent="0.25">
      <c r="A3" s="17" t="s">
        <v>1389</v>
      </c>
      <c r="B3" s="17" t="s">
        <v>1393</v>
      </c>
    </row>
    <row r="4" spans="1:8" x14ac:dyDescent="0.25">
      <c r="A4" s="17" t="s">
        <v>1387</v>
      </c>
      <c r="B4" t="s">
        <v>711</v>
      </c>
      <c r="C4" t="s">
        <v>710</v>
      </c>
      <c r="D4" t="s">
        <v>709</v>
      </c>
      <c r="E4" t="s">
        <v>708</v>
      </c>
      <c r="F4" t="s">
        <v>707</v>
      </c>
      <c r="G4" t="s">
        <v>1379</v>
      </c>
      <c r="H4" t="s">
        <v>1388</v>
      </c>
    </row>
    <row r="5" spans="1:8" x14ac:dyDescent="0.25">
      <c r="A5" s="18" t="s">
        <v>646</v>
      </c>
      <c r="B5" s="21">
        <v>0.17716109829662025</v>
      </c>
      <c r="C5" s="21">
        <v>0.24321571118294991</v>
      </c>
      <c r="D5" s="21">
        <v>0.20216228975179579</v>
      </c>
      <c r="E5" s="21">
        <v>0.16611138148720239</v>
      </c>
      <c r="F5" s="21">
        <v>0.19881012373721935</v>
      </c>
      <c r="G5" s="21">
        <v>1.2539395544212323E-2</v>
      </c>
      <c r="H5" s="21">
        <v>1</v>
      </c>
    </row>
    <row r="6" spans="1:8" x14ac:dyDescent="0.25">
      <c r="A6" s="18" t="s">
        <v>648</v>
      </c>
      <c r="B6" s="21">
        <v>0.27959652887305253</v>
      </c>
      <c r="C6" s="21">
        <v>0.21153722604622072</v>
      </c>
      <c r="D6" s="21">
        <v>0.13624034482391928</v>
      </c>
      <c r="E6" s="32">
        <v>0.25656495690482312</v>
      </c>
      <c r="F6" s="32">
        <v>0.11261896037598862</v>
      </c>
      <c r="G6" s="21">
        <v>3.4419829759956932E-3</v>
      </c>
      <c r="H6" s="21">
        <v>1</v>
      </c>
    </row>
    <row r="7" spans="1:8" x14ac:dyDescent="0.25">
      <c r="A7" s="18" t="s">
        <v>647</v>
      </c>
      <c r="B7" s="21">
        <v>0.22795080721460581</v>
      </c>
      <c r="C7" s="21">
        <v>0.18066408359148337</v>
      </c>
      <c r="D7" s="21">
        <v>0.19367518969910266</v>
      </c>
      <c r="E7" s="21">
        <v>0.14670400206363879</v>
      </c>
      <c r="F7" s="21">
        <v>0.2363308200891267</v>
      </c>
      <c r="G7" s="21">
        <v>1.4675097342042687E-2</v>
      </c>
      <c r="H7" s="21">
        <v>1</v>
      </c>
    </row>
    <row r="8" spans="1:8" x14ac:dyDescent="0.25">
      <c r="A8" s="18" t="s">
        <v>649</v>
      </c>
      <c r="B8" s="21">
        <v>0.3008275905823079</v>
      </c>
      <c r="C8" s="21">
        <v>0.1137943752282059</v>
      </c>
      <c r="D8" s="21">
        <v>0.20338414276125116</v>
      </c>
      <c r="E8" s="32">
        <v>0.20900008716349935</v>
      </c>
      <c r="F8" s="32">
        <v>0.16654949001834427</v>
      </c>
      <c r="G8" s="21">
        <v>6.4443142463915136E-3</v>
      </c>
      <c r="H8" s="21">
        <v>1</v>
      </c>
    </row>
    <row r="9" spans="1:8" x14ac:dyDescent="0.25">
      <c r="A9" s="18" t="s">
        <v>1388</v>
      </c>
      <c r="B9" s="21">
        <v>0.24722866156363657</v>
      </c>
      <c r="C9" s="21">
        <v>0.18606089474929668</v>
      </c>
      <c r="D9" s="21">
        <v>0.18404844652489599</v>
      </c>
      <c r="E9" s="21">
        <v>0.1943790041709143</v>
      </c>
      <c r="F9" s="21">
        <v>0.1789961694653576</v>
      </c>
      <c r="G9" s="21">
        <v>9.2868235258988657E-3</v>
      </c>
      <c r="H9" s="21">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3:B40"/>
  <sheetViews>
    <sheetView workbookViewId="0">
      <selection activeCell="I39" sqref="I39"/>
    </sheetView>
  </sheetViews>
  <sheetFormatPr defaultRowHeight="15" x14ac:dyDescent="0.25"/>
  <cols>
    <col min="1" max="1" width="13.140625" customWidth="1"/>
    <col min="2" max="2" width="20.7109375" bestFit="1" customWidth="1"/>
  </cols>
  <sheetData>
    <row r="3" spans="1:2" x14ac:dyDescent="0.25">
      <c r="A3" s="17" t="s">
        <v>1387</v>
      </c>
      <c r="B3" t="s">
        <v>1389</v>
      </c>
    </row>
    <row r="4" spans="1:2" x14ac:dyDescent="0.25">
      <c r="A4" s="18" t="s">
        <v>1395</v>
      </c>
      <c r="B4" s="20"/>
    </row>
    <row r="5" spans="1:2" x14ac:dyDescent="0.25">
      <c r="A5" s="28" t="s">
        <v>1398</v>
      </c>
      <c r="B5" s="20">
        <v>151883.44939999998</v>
      </c>
    </row>
    <row r="6" spans="1:2" x14ac:dyDescent="0.25">
      <c r="A6" s="28" t="s">
        <v>1399</v>
      </c>
      <c r="B6" s="20">
        <v>433788.64049000002</v>
      </c>
    </row>
    <row r="7" spans="1:2" x14ac:dyDescent="0.25">
      <c r="A7" s="28" t="s">
        <v>1400</v>
      </c>
      <c r="B7" s="20">
        <v>215576.67437999998</v>
      </c>
    </row>
    <row r="8" spans="1:2" x14ac:dyDescent="0.25">
      <c r="A8" s="28" t="s">
        <v>1401</v>
      </c>
      <c r="B8" s="20">
        <v>371604.58273999998</v>
      </c>
    </row>
    <row r="9" spans="1:2" x14ac:dyDescent="0.25">
      <c r="A9" s="28" t="s">
        <v>1402</v>
      </c>
      <c r="B9" s="20">
        <v>470192.17181999993</v>
      </c>
    </row>
    <row r="10" spans="1:2" x14ac:dyDescent="0.25">
      <c r="A10" s="28" t="s">
        <v>1403</v>
      </c>
      <c r="B10" s="20">
        <v>236474.06157000002</v>
      </c>
    </row>
    <row r="11" spans="1:2" x14ac:dyDescent="0.25">
      <c r="A11" s="28" t="s">
        <v>1404</v>
      </c>
      <c r="B11" s="20">
        <v>560860.55604000005</v>
      </c>
    </row>
    <row r="12" spans="1:2" x14ac:dyDescent="0.25">
      <c r="A12" s="28" t="s">
        <v>1405</v>
      </c>
      <c r="B12" s="20">
        <v>339044.67038999998</v>
      </c>
    </row>
    <row r="13" spans="1:2" x14ac:dyDescent="0.25">
      <c r="A13" s="28" t="s">
        <v>1409</v>
      </c>
      <c r="B13" s="20">
        <v>141266.51418999999</v>
      </c>
    </row>
    <row r="14" spans="1:2" x14ac:dyDescent="0.25">
      <c r="A14" s="28" t="s">
        <v>1406</v>
      </c>
      <c r="B14" s="20">
        <v>246114.84045000005</v>
      </c>
    </row>
    <row r="15" spans="1:2" x14ac:dyDescent="0.25">
      <c r="A15" s="28" t="s">
        <v>1407</v>
      </c>
      <c r="B15" s="20">
        <v>127009.5058</v>
      </c>
    </row>
    <row r="16" spans="1:2" x14ac:dyDescent="0.25">
      <c r="A16" s="28" t="s">
        <v>1408</v>
      </c>
      <c r="B16" s="20">
        <v>382101.36679999996</v>
      </c>
    </row>
    <row r="17" spans="1:2" x14ac:dyDescent="0.25">
      <c r="A17" s="18" t="s">
        <v>1396</v>
      </c>
      <c r="B17" s="20"/>
    </row>
    <row r="18" spans="1:2" x14ac:dyDescent="0.25">
      <c r="A18" s="28" t="s">
        <v>1398</v>
      </c>
      <c r="B18" s="20">
        <v>299100.37307999993</v>
      </c>
    </row>
    <row r="19" spans="1:2" x14ac:dyDescent="0.25">
      <c r="A19" s="28" t="s">
        <v>1399</v>
      </c>
      <c r="B19" s="20">
        <v>307793.71461999998</v>
      </c>
    </row>
    <row r="20" spans="1:2" x14ac:dyDescent="0.25">
      <c r="A20" s="28" t="s">
        <v>1400</v>
      </c>
      <c r="B20" s="20">
        <v>374300.10980999999</v>
      </c>
    </row>
    <row r="21" spans="1:2" x14ac:dyDescent="0.25">
      <c r="A21" s="28" t="s">
        <v>1401</v>
      </c>
      <c r="B21" s="20">
        <v>239506.82713999998</v>
      </c>
    </row>
    <row r="22" spans="1:2" x14ac:dyDescent="0.25">
      <c r="A22" s="28" t="s">
        <v>1402</v>
      </c>
      <c r="B22" s="20">
        <v>416985.76566999999</v>
      </c>
    </row>
    <row r="23" spans="1:2" x14ac:dyDescent="0.25">
      <c r="A23" s="28" t="s">
        <v>1403</v>
      </c>
      <c r="B23" s="20">
        <v>634490.72337999998</v>
      </c>
    </row>
    <row r="24" spans="1:2" x14ac:dyDescent="0.25">
      <c r="A24" s="28" t="s">
        <v>1404</v>
      </c>
      <c r="B24" s="20">
        <v>275628.61963000003</v>
      </c>
    </row>
    <row r="25" spans="1:2" x14ac:dyDescent="0.25">
      <c r="A25" s="28" t="s">
        <v>1405</v>
      </c>
      <c r="B25" s="20">
        <v>384156.19037999999</v>
      </c>
    </row>
    <row r="26" spans="1:2" x14ac:dyDescent="0.25">
      <c r="A26" s="28" t="s">
        <v>1409</v>
      </c>
      <c r="B26" s="20">
        <v>347613.18766999996</v>
      </c>
    </row>
    <row r="27" spans="1:2" x14ac:dyDescent="0.25">
      <c r="A27" s="28" t="s">
        <v>1406</v>
      </c>
      <c r="B27" s="20">
        <v>417732.48301000003</v>
      </c>
    </row>
    <row r="28" spans="1:2" x14ac:dyDescent="0.25">
      <c r="A28" s="28" t="s">
        <v>1407</v>
      </c>
      <c r="B28" s="20">
        <v>416944.18554999994</v>
      </c>
    </row>
    <row r="29" spans="1:2" x14ac:dyDescent="0.25">
      <c r="A29" s="28" t="s">
        <v>1408</v>
      </c>
      <c r="B29" s="20">
        <v>354378.93715999997</v>
      </c>
    </row>
    <row r="30" spans="1:2" x14ac:dyDescent="0.25">
      <c r="A30" s="18" t="s">
        <v>1397</v>
      </c>
      <c r="B30" s="20"/>
    </row>
    <row r="31" spans="1:2" x14ac:dyDescent="0.25">
      <c r="A31" s="28" t="s">
        <v>1398</v>
      </c>
      <c r="B31" s="20">
        <v>223498.20032</v>
      </c>
    </row>
    <row r="32" spans="1:2" x14ac:dyDescent="0.25">
      <c r="A32" s="28" t="s">
        <v>1399</v>
      </c>
      <c r="B32" s="20">
        <v>221608.49787000005</v>
      </c>
    </row>
    <row r="33" spans="1:2" x14ac:dyDescent="0.25">
      <c r="A33" s="28" t="s">
        <v>1400</v>
      </c>
      <c r="B33" s="20">
        <v>209425.98853999999</v>
      </c>
    </row>
    <row r="34" spans="1:2" x14ac:dyDescent="0.25">
      <c r="A34" s="28" t="s">
        <v>1401</v>
      </c>
      <c r="B34" s="20">
        <v>336135.16749999998</v>
      </c>
    </row>
    <row r="35" spans="1:2" x14ac:dyDescent="0.25">
      <c r="A35" s="28" t="s">
        <v>1402</v>
      </c>
      <c r="B35" s="20">
        <v>375723.96025999996</v>
      </c>
    </row>
    <row r="36" spans="1:2" x14ac:dyDescent="0.25">
      <c r="A36" s="28" t="s">
        <v>1403</v>
      </c>
      <c r="B36" s="20">
        <v>382009.37595999998</v>
      </c>
    </row>
    <row r="37" spans="1:2" x14ac:dyDescent="0.25">
      <c r="A37" s="28" t="s">
        <v>1404</v>
      </c>
      <c r="B37" s="20">
        <v>486970.83348000003</v>
      </c>
    </row>
    <row r="38" spans="1:2" x14ac:dyDescent="0.25">
      <c r="A38" s="28" t="s">
        <v>1405</v>
      </c>
      <c r="B38" s="20">
        <v>366808.72249999997</v>
      </c>
    </row>
    <row r="39" spans="1:2" x14ac:dyDescent="0.25">
      <c r="A39" s="28" t="s">
        <v>1409</v>
      </c>
      <c r="B39" s="20">
        <v>172279.72760000001</v>
      </c>
    </row>
    <row r="40" spans="1:2" x14ac:dyDescent="0.25">
      <c r="A40" s="18" t="s">
        <v>1388</v>
      </c>
      <c r="B40" s="20">
        <v>10919008.6252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F4"/>
  <sheetViews>
    <sheetView workbookViewId="0">
      <selection activeCell="T594" sqref="T594"/>
    </sheetView>
  </sheetViews>
  <sheetFormatPr defaultRowHeight="15" x14ac:dyDescent="0.25"/>
  <cols>
    <col min="1" max="1" width="20.7109375" customWidth="1"/>
    <col min="2" max="2" width="17.85546875" customWidth="1"/>
    <col min="3" max="3" width="16.7109375" customWidth="1"/>
    <col min="4" max="4" width="20.5703125" bestFit="1" customWidth="1"/>
    <col min="6" max="6" width="15.5703125" bestFit="1" customWidth="1"/>
  </cols>
  <sheetData>
    <row r="3" spans="1:6" x14ac:dyDescent="0.25">
      <c r="A3" t="s">
        <v>1389</v>
      </c>
      <c r="B3" t="s">
        <v>1410</v>
      </c>
      <c r="C3" t="s">
        <v>1411</v>
      </c>
      <c r="F3" s="25" t="s">
        <v>1413</v>
      </c>
    </row>
    <row r="4" spans="1:6" x14ac:dyDescent="0.25">
      <c r="A4" s="29">
        <v>10919008.625199998</v>
      </c>
      <c r="B4" s="29">
        <v>3422813.4151999978</v>
      </c>
      <c r="C4" s="29">
        <v>-171.6491070851782</v>
      </c>
      <c r="F4" s="30">
        <f>GETPIVOTDATA("Sum of GrossRevenue",$A$3)/631</f>
        <v>17304.29259144215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B6"/>
  <sheetViews>
    <sheetView workbookViewId="0">
      <selection activeCell="B5" sqref="B5"/>
    </sheetView>
  </sheetViews>
  <sheetFormatPr defaultRowHeight="15" x14ac:dyDescent="0.25"/>
  <cols>
    <col min="1" max="1" width="13.140625" customWidth="1"/>
    <col min="2" max="2" width="16.140625" bestFit="1" customWidth="1"/>
  </cols>
  <sheetData>
    <row r="3" spans="1:2" x14ac:dyDescent="0.25">
      <c r="A3" s="17" t="s">
        <v>1387</v>
      </c>
      <c r="B3" t="s">
        <v>1392</v>
      </c>
    </row>
    <row r="4" spans="1:2" x14ac:dyDescent="0.25">
      <c r="A4" s="18" t="s">
        <v>1412</v>
      </c>
      <c r="B4" s="21">
        <v>0.72741679873217113</v>
      </c>
    </row>
    <row r="5" spans="1:2" x14ac:dyDescent="0.25">
      <c r="A5" s="18" t="s">
        <v>1394</v>
      </c>
      <c r="B5" s="21">
        <v>0.27258320126782887</v>
      </c>
    </row>
    <row r="6" spans="1:2" x14ac:dyDescent="0.25">
      <c r="A6" s="18" t="s">
        <v>1388</v>
      </c>
      <c r="B6" s="21">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9F753-88C9-42F5-8593-E11EB1FBD5FD}">
  <dimension ref="A3:D22"/>
  <sheetViews>
    <sheetView workbookViewId="0">
      <selection activeCell="T594" sqref="T594"/>
    </sheetView>
  </sheetViews>
  <sheetFormatPr defaultRowHeight="15" x14ac:dyDescent="0.25"/>
  <cols>
    <col min="1" max="1" width="16.140625" bestFit="1" customWidth="1"/>
    <col min="2" max="3" width="16.28515625" bestFit="1" customWidth="1"/>
    <col min="4" max="4" width="11.28515625" bestFit="1" customWidth="1"/>
    <col min="5" max="5" width="4.7109375" bestFit="1" customWidth="1"/>
    <col min="6" max="6" width="7.28515625" bestFit="1" customWidth="1"/>
    <col min="7" max="7" width="19.42578125" bestFit="1" customWidth="1"/>
    <col min="8" max="8" width="11.28515625" bestFit="1" customWidth="1"/>
    <col min="9" max="9" width="4.7109375" bestFit="1" customWidth="1"/>
    <col min="10" max="10" width="7.28515625" bestFit="1" customWidth="1"/>
    <col min="11" max="11" width="19.42578125" bestFit="1" customWidth="1"/>
    <col min="12" max="12" width="11.28515625" bestFit="1" customWidth="1"/>
  </cols>
  <sheetData>
    <row r="3" spans="1:4" x14ac:dyDescent="0.25">
      <c r="A3" s="17" t="s">
        <v>1392</v>
      </c>
      <c r="B3" s="17" t="s">
        <v>1393</v>
      </c>
    </row>
    <row r="4" spans="1:4" x14ac:dyDescent="0.25">
      <c r="B4" t="s">
        <v>1415</v>
      </c>
      <c r="C4" t="s">
        <v>1416</v>
      </c>
      <c r="D4" t="s">
        <v>1388</v>
      </c>
    </row>
    <row r="5" spans="1:4" x14ac:dyDescent="0.25">
      <c r="A5" s="17" t="s">
        <v>1387</v>
      </c>
    </row>
    <row r="6" spans="1:4" x14ac:dyDescent="0.25">
      <c r="A6" s="18" t="s">
        <v>720</v>
      </c>
      <c r="B6" s="20">
        <v>37</v>
      </c>
      <c r="C6" s="20">
        <v>9</v>
      </c>
      <c r="D6" s="20">
        <v>46</v>
      </c>
    </row>
    <row r="7" spans="1:4" x14ac:dyDescent="0.25">
      <c r="A7" s="18" t="s">
        <v>717</v>
      </c>
      <c r="B7" s="20">
        <v>43</v>
      </c>
      <c r="C7" s="20">
        <v>4</v>
      </c>
      <c r="D7" s="20">
        <v>47</v>
      </c>
    </row>
    <row r="8" spans="1:4" x14ac:dyDescent="0.25">
      <c r="A8" s="18" t="s">
        <v>712</v>
      </c>
      <c r="B8" s="20">
        <v>29</v>
      </c>
      <c r="C8" s="20">
        <v>8</v>
      </c>
      <c r="D8" s="20">
        <v>37</v>
      </c>
    </row>
    <row r="9" spans="1:4" x14ac:dyDescent="0.25">
      <c r="A9" s="18" t="s">
        <v>726</v>
      </c>
      <c r="B9" s="20">
        <v>30</v>
      </c>
      <c r="C9" s="20">
        <v>8</v>
      </c>
      <c r="D9" s="20">
        <v>38</v>
      </c>
    </row>
    <row r="10" spans="1:4" x14ac:dyDescent="0.25">
      <c r="A10" s="18" t="s">
        <v>718</v>
      </c>
      <c r="B10" s="20">
        <v>31</v>
      </c>
      <c r="C10" s="20">
        <v>3</v>
      </c>
      <c r="D10" s="20">
        <v>34</v>
      </c>
    </row>
    <row r="11" spans="1:4" x14ac:dyDescent="0.25">
      <c r="A11" s="18" t="s">
        <v>721</v>
      </c>
      <c r="B11" s="20">
        <v>47</v>
      </c>
      <c r="C11" s="20">
        <v>4</v>
      </c>
      <c r="D11" s="20">
        <v>51</v>
      </c>
    </row>
    <row r="12" spans="1:4" x14ac:dyDescent="0.25">
      <c r="A12" s="18" t="s">
        <v>715</v>
      </c>
      <c r="B12" s="20">
        <v>27</v>
      </c>
      <c r="C12" s="20">
        <v>3</v>
      </c>
      <c r="D12" s="20">
        <v>30</v>
      </c>
    </row>
    <row r="13" spans="1:4" x14ac:dyDescent="0.25">
      <c r="A13" s="18" t="s">
        <v>722</v>
      </c>
      <c r="B13" s="20">
        <v>41</v>
      </c>
      <c r="C13" s="20">
        <v>4</v>
      </c>
      <c r="D13" s="20">
        <v>45</v>
      </c>
    </row>
    <row r="14" spans="1:4" x14ac:dyDescent="0.25">
      <c r="A14" s="18" t="s">
        <v>714</v>
      </c>
      <c r="B14" s="20">
        <v>29</v>
      </c>
      <c r="C14" s="20">
        <v>9</v>
      </c>
      <c r="D14" s="20">
        <v>38</v>
      </c>
    </row>
    <row r="15" spans="1:4" x14ac:dyDescent="0.25">
      <c r="A15" s="18" t="s">
        <v>713</v>
      </c>
      <c r="B15" s="20">
        <v>44</v>
      </c>
      <c r="C15" s="20">
        <v>6</v>
      </c>
      <c r="D15" s="20">
        <v>50</v>
      </c>
    </row>
    <row r="16" spans="1:4" x14ac:dyDescent="0.25">
      <c r="A16" s="18" t="s">
        <v>723</v>
      </c>
      <c r="B16" s="20">
        <v>40</v>
      </c>
      <c r="C16" s="20">
        <v>4</v>
      </c>
      <c r="D16" s="20">
        <v>44</v>
      </c>
    </row>
    <row r="17" spans="1:4" x14ac:dyDescent="0.25">
      <c r="A17" s="18" t="s">
        <v>716</v>
      </c>
      <c r="B17" s="20">
        <v>38</v>
      </c>
      <c r="C17" s="20">
        <v>8</v>
      </c>
      <c r="D17" s="20">
        <v>46</v>
      </c>
    </row>
    <row r="18" spans="1:4" x14ac:dyDescent="0.25">
      <c r="A18" s="18" t="s">
        <v>724</v>
      </c>
      <c r="B18" s="20">
        <v>40</v>
      </c>
      <c r="C18" s="20">
        <v>8</v>
      </c>
      <c r="D18" s="20">
        <v>48</v>
      </c>
    </row>
    <row r="19" spans="1:4" x14ac:dyDescent="0.25">
      <c r="A19" s="18" t="s">
        <v>725</v>
      </c>
      <c r="B19" s="20">
        <v>27</v>
      </c>
      <c r="C19" s="20">
        <v>5</v>
      </c>
      <c r="D19" s="20">
        <v>32</v>
      </c>
    </row>
    <row r="20" spans="1:4" x14ac:dyDescent="0.25">
      <c r="A20" s="18" t="s">
        <v>719</v>
      </c>
      <c r="B20" s="20">
        <v>33</v>
      </c>
      <c r="C20" s="20">
        <v>4</v>
      </c>
      <c r="D20" s="20">
        <v>37</v>
      </c>
    </row>
    <row r="21" spans="1:4" x14ac:dyDescent="0.25">
      <c r="A21" s="18" t="s">
        <v>1368</v>
      </c>
      <c r="B21" s="20">
        <v>6</v>
      </c>
      <c r="C21" s="20">
        <v>2</v>
      </c>
      <c r="D21" s="20">
        <v>8</v>
      </c>
    </row>
    <row r="22" spans="1:4" x14ac:dyDescent="0.25">
      <c r="A22" s="18" t="s">
        <v>1388</v>
      </c>
      <c r="B22" s="20">
        <v>542</v>
      </c>
      <c r="C22" s="20">
        <v>89</v>
      </c>
      <c r="D22" s="20">
        <v>631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637507-8B8E-4F96-A979-C1749AD5C0ED}">
  <dimension ref="A3:B7"/>
  <sheetViews>
    <sheetView workbookViewId="0">
      <selection activeCell="I33" sqref="I33"/>
    </sheetView>
  </sheetViews>
  <sheetFormatPr defaultRowHeight="15" x14ac:dyDescent="0.25"/>
  <cols>
    <col min="1" max="1" width="13.140625" bestFit="1" customWidth="1"/>
    <col min="2" max="2" width="24.140625" bestFit="1" customWidth="1"/>
  </cols>
  <sheetData>
    <row r="3" spans="1:2" x14ac:dyDescent="0.25">
      <c r="A3" s="17" t="s">
        <v>1387</v>
      </c>
      <c r="B3" t="s">
        <v>1420</v>
      </c>
    </row>
    <row r="4" spans="1:2" x14ac:dyDescent="0.25">
      <c r="A4" s="18" t="s">
        <v>1417</v>
      </c>
      <c r="B4" s="20">
        <v>294</v>
      </c>
    </row>
    <row r="5" spans="1:2" x14ac:dyDescent="0.25">
      <c r="A5" s="18" t="s">
        <v>1418</v>
      </c>
      <c r="B5" s="20">
        <v>174</v>
      </c>
    </row>
    <row r="6" spans="1:2" x14ac:dyDescent="0.25">
      <c r="A6" s="18" t="s">
        <v>1419</v>
      </c>
      <c r="B6" s="20">
        <v>163</v>
      </c>
    </row>
    <row r="7" spans="1:2" x14ac:dyDescent="0.25">
      <c r="A7" s="18" t="s">
        <v>1388</v>
      </c>
      <c r="B7" s="20">
        <v>631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3AC41-DED6-4D71-B46B-6FCFE8698A7E}">
  <dimension ref="A3:G41"/>
  <sheetViews>
    <sheetView topLeftCell="A4" workbookViewId="0">
      <selection activeCell="T594" sqref="T594"/>
    </sheetView>
  </sheetViews>
  <sheetFormatPr defaultRowHeight="15" x14ac:dyDescent="0.25"/>
  <cols>
    <col min="1" max="1" width="13.140625" bestFit="1" customWidth="1"/>
    <col min="2" max="2" width="20.7109375" bestFit="1" customWidth="1"/>
    <col min="3" max="3" width="17.85546875" bestFit="1" customWidth="1"/>
    <col min="4" max="4" width="16.140625" bestFit="1" customWidth="1"/>
    <col min="5" max="5" width="18.5703125" bestFit="1" customWidth="1"/>
    <col min="6" max="6" width="12.7109375" bestFit="1" customWidth="1"/>
    <col min="7" max="7" width="15" bestFit="1" customWidth="1"/>
  </cols>
  <sheetData>
    <row r="3" spans="1:4" x14ac:dyDescent="0.25">
      <c r="A3" s="17" t="s">
        <v>1387</v>
      </c>
      <c r="B3" t="s">
        <v>1389</v>
      </c>
      <c r="C3" t="s">
        <v>1410</v>
      </c>
      <c r="D3" t="s">
        <v>1392</v>
      </c>
    </row>
    <row r="4" spans="1:4" x14ac:dyDescent="0.25">
      <c r="A4" s="18" t="s">
        <v>720</v>
      </c>
      <c r="B4" s="33">
        <v>877449.32373000006</v>
      </c>
      <c r="C4" s="33">
        <v>282234.27372999996</v>
      </c>
      <c r="D4" s="20">
        <v>46</v>
      </c>
    </row>
    <row r="5" spans="1:4" x14ac:dyDescent="0.25">
      <c r="A5" s="18" t="s">
        <v>717</v>
      </c>
      <c r="B5" s="33">
        <v>866976.37309999985</v>
      </c>
      <c r="C5" s="33">
        <v>320763.18309999991</v>
      </c>
      <c r="D5" s="20">
        <v>47</v>
      </c>
    </row>
    <row r="6" spans="1:4" x14ac:dyDescent="0.25">
      <c r="A6" s="18" t="s">
        <v>712</v>
      </c>
      <c r="B6" s="33">
        <v>689776.36459000013</v>
      </c>
      <c r="C6" s="33">
        <v>230359.52458999999</v>
      </c>
      <c r="D6" s="20">
        <v>37</v>
      </c>
    </row>
    <row r="7" spans="1:4" x14ac:dyDescent="0.25">
      <c r="A7" s="18" t="s">
        <v>726</v>
      </c>
      <c r="B7" s="33">
        <v>576820.19091</v>
      </c>
      <c r="C7" s="33">
        <v>151076.93090999997</v>
      </c>
      <c r="D7" s="20">
        <v>38</v>
      </c>
    </row>
    <row r="8" spans="1:4" x14ac:dyDescent="0.25">
      <c r="A8" s="18" t="s">
        <v>718</v>
      </c>
      <c r="B8" s="33">
        <v>543846.44053000002</v>
      </c>
      <c r="C8" s="33">
        <v>204981.34052999999</v>
      </c>
      <c r="D8" s="20">
        <v>34</v>
      </c>
    </row>
    <row r="9" spans="1:4" x14ac:dyDescent="0.25">
      <c r="A9" s="18" t="s">
        <v>721</v>
      </c>
      <c r="B9" s="33">
        <v>812637.17232000013</v>
      </c>
      <c r="C9" s="33">
        <v>251733.01232000004</v>
      </c>
      <c r="D9" s="20">
        <v>51</v>
      </c>
    </row>
    <row r="10" spans="1:4" x14ac:dyDescent="0.25">
      <c r="A10" s="18" t="s">
        <v>715</v>
      </c>
      <c r="B10" s="33">
        <v>510653.71305000002</v>
      </c>
      <c r="C10" s="33">
        <v>172441.87305000002</v>
      </c>
      <c r="D10" s="20">
        <v>30</v>
      </c>
    </row>
    <row r="11" spans="1:4" x14ac:dyDescent="0.25">
      <c r="A11" s="18" t="s">
        <v>722</v>
      </c>
      <c r="B11" s="33">
        <v>698700.30030999973</v>
      </c>
      <c r="C11" s="33">
        <v>138152.81030999997</v>
      </c>
      <c r="D11" s="20">
        <v>45</v>
      </c>
    </row>
    <row r="12" spans="1:4" x14ac:dyDescent="0.25">
      <c r="A12" s="18" t="s">
        <v>714</v>
      </c>
      <c r="B12" s="33">
        <v>541165.67181999993</v>
      </c>
      <c r="C12" s="33">
        <v>140021.69181999995</v>
      </c>
      <c r="D12" s="20">
        <v>38</v>
      </c>
    </row>
    <row r="13" spans="1:4" x14ac:dyDescent="0.25">
      <c r="A13" s="18" t="s">
        <v>713</v>
      </c>
      <c r="B13" s="33">
        <v>802384.66227999993</v>
      </c>
      <c r="C13" s="33">
        <v>273113.11228</v>
      </c>
      <c r="D13" s="20">
        <v>50</v>
      </c>
    </row>
    <row r="14" spans="1:4" x14ac:dyDescent="0.25">
      <c r="A14" s="18" t="s">
        <v>723</v>
      </c>
      <c r="B14" s="33">
        <v>883348.12936000002</v>
      </c>
      <c r="C14" s="33">
        <v>278762.26935999992</v>
      </c>
      <c r="D14" s="20">
        <v>44</v>
      </c>
    </row>
    <row r="15" spans="1:4" x14ac:dyDescent="0.25">
      <c r="A15" s="18" t="s">
        <v>716</v>
      </c>
      <c r="B15" s="33">
        <v>853476.70104999992</v>
      </c>
      <c r="C15" s="33">
        <v>270154.73105</v>
      </c>
      <c r="D15" s="20">
        <v>46</v>
      </c>
    </row>
    <row r="16" spans="1:4" x14ac:dyDescent="0.25">
      <c r="A16" s="18" t="s">
        <v>724</v>
      </c>
      <c r="B16" s="33">
        <v>976696.69714999991</v>
      </c>
      <c r="C16" s="33">
        <v>313054.76715000003</v>
      </c>
      <c r="D16" s="20">
        <v>48</v>
      </c>
    </row>
    <row r="17" spans="1:7" x14ac:dyDescent="0.25">
      <c r="A17" s="18" t="s">
        <v>725</v>
      </c>
      <c r="B17" s="33">
        <v>388325.13658999989</v>
      </c>
      <c r="C17" s="33">
        <v>110646.45658999999</v>
      </c>
      <c r="D17" s="20">
        <v>32</v>
      </c>
    </row>
    <row r="18" spans="1:7" x14ac:dyDescent="0.25">
      <c r="A18" s="18" t="s">
        <v>719</v>
      </c>
      <c r="B18" s="33">
        <v>647724.89694000012</v>
      </c>
      <c r="C18" s="33">
        <v>185219.43694000004</v>
      </c>
      <c r="D18" s="20">
        <v>37</v>
      </c>
    </row>
    <row r="19" spans="1:7" x14ac:dyDescent="0.25">
      <c r="A19" s="18" t="s">
        <v>1368</v>
      </c>
      <c r="B19" s="33">
        <v>249026.85146999994</v>
      </c>
      <c r="C19" s="33">
        <v>100098.00146999999</v>
      </c>
      <c r="D19" s="20">
        <v>8</v>
      </c>
    </row>
    <row r="20" spans="1:7" x14ac:dyDescent="0.25">
      <c r="A20" s="18" t="s">
        <v>1388</v>
      </c>
      <c r="B20" s="33">
        <v>10919008.62519999</v>
      </c>
      <c r="C20" s="33">
        <v>3422813.4151999992</v>
      </c>
      <c r="D20" s="20">
        <v>631</v>
      </c>
    </row>
    <row r="24" spans="1:7" x14ac:dyDescent="0.25">
      <c r="A24" s="10" t="s">
        <v>1387</v>
      </c>
      <c r="B24" s="10" t="s">
        <v>1389</v>
      </c>
      <c r="C24" s="10" t="s">
        <v>1410</v>
      </c>
      <c r="D24" s="10" t="s">
        <v>1392</v>
      </c>
      <c r="E24" s="34" t="s">
        <v>1421</v>
      </c>
      <c r="F24" s="34" t="s">
        <v>1422</v>
      </c>
      <c r="G24" s="17"/>
    </row>
    <row r="25" spans="1:7" x14ac:dyDescent="0.25">
      <c r="A25" s="35" t="s">
        <v>1368</v>
      </c>
      <c r="B25" s="36">
        <v>249026.85146999994</v>
      </c>
      <c r="C25" s="36">
        <v>100098.00146999999</v>
      </c>
      <c r="D25" s="35">
        <v>8</v>
      </c>
      <c r="E25" s="36">
        <f t="shared" ref="E25:E41" si="0">B25/D25</f>
        <v>31128.356433749992</v>
      </c>
      <c r="F25" s="36">
        <f t="shared" ref="F25:F41" si="1">C25/D25</f>
        <v>12512.250183749999</v>
      </c>
    </row>
    <row r="26" spans="1:7" x14ac:dyDescent="0.25">
      <c r="A26" s="35" t="s">
        <v>724</v>
      </c>
      <c r="B26" s="36">
        <v>976696.69714999991</v>
      </c>
      <c r="C26" s="36">
        <v>313054.76715000003</v>
      </c>
      <c r="D26" s="35">
        <v>48</v>
      </c>
      <c r="E26" s="36">
        <f t="shared" si="0"/>
        <v>20347.847857291665</v>
      </c>
      <c r="F26" s="36">
        <f t="shared" si="1"/>
        <v>6521.9743156250006</v>
      </c>
    </row>
    <row r="27" spans="1:7" x14ac:dyDescent="0.25">
      <c r="A27" s="35" t="s">
        <v>723</v>
      </c>
      <c r="B27" s="36">
        <v>883348.12936000002</v>
      </c>
      <c r="C27" s="36">
        <v>278762.26935999992</v>
      </c>
      <c r="D27" s="35">
        <v>44</v>
      </c>
      <c r="E27" s="36">
        <f t="shared" si="0"/>
        <v>20076.09384909091</v>
      </c>
      <c r="F27" s="36">
        <f t="shared" si="1"/>
        <v>6335.50612181818</v>
      </c>
    </row>
    <row r="28" spans="1:7" x14ac:dyDescent="0.25">
      <c r="A28" t="s">
        <v>720</v>
      </c>
      <c r="B28" s="33">
        <v>877449.32373000006</v>
      </c>
      <c r="C28" s="33">
        <v>282234.27372999996</v>
      </c>
      <c r="D28">
        <v>46</v>
      </c>
      <c r="E28" s="33">
        <f t="shared" si="0"/>
        <v>19074.985298478263</v>
      </c>
      <c r="F28" s="33">
        <f t="shared" si="1"/>
        <v>6135.5276897826079</v>
      </c>
    </row>
    <row r="29" spans="1:7" x14ac:dyDescent="0.25">
      <c r="A29" t="s">
        <v>712</v>
      </c>
      <c r="B29" s="33">
        <v>689776.36459000013</v>
      </c>
      <c r="C29" s="33">
        <v>230359.52458999999</v>
      </c>
      <c r="D29">
        <v>37</v>
      </c>
      <c r="E29" s="33">
        <f t="shared" si="0"/>
        <v>18642.604448378381</v>
      </c>
      <c r="F29" s="33">
        <f t="shared" si="1"/>
        <v>6225.9330970270266</v>
      </c>
    </row>
    <row r="30" spans="1:7" x14ac:dyDescent="0.25">
      <c r="A30" t="s">
        <v>716</v>
      </c>
      <c r="B30" s="33">
        <v>853476.70104999992</v>
      </c>
      <c r="C30" s="33">
        <v>270154.73105</v>
      </c>
      <c r="D30">
        <v>46</v>
      </c>
      <c r="E30" s="33">
        <f t="shared" si="0"/>
        <v>18553.841327173912</v>
      </c>
      <c r="F30" s="33">
        <f t="shared" si="1"/>
        <v>5872.9289358695651</v>
      </c>
    </row>
    <row r="31" spans="1:7" x14ac:dyDescent="0.25">
      <c r="A31" s="39" t="s">
        <v>717</v>
      </c>
      <c r="B31" s="40">
        <v>866976.37309999985</v>
      </c>
      <c r="C31" s="40">
        <v>320763.18309999991</v>
      </c>
      <c r="D31" s="39">
        <v>47</v>
      </c>
      <c r="E31" s="40">
        <f t="shared" si="0"/>
        <v>18446.305810638296</v>
      </c>
      <c r="F31" s="40">
        <f t="shared" si="1"/>
        <v>6824.7485765957426</v>
      </c>
    </row>
    <row r="32" spans="1:7" x14ac:dyDescent="0.25">
      <c r="A32" t="s">
        <v>719</v>
      </c>
      <c r="B32" s="33">
        <v>647724.89694000012</v>
      </c>
      <c r="C32" s="33">
        <v>185219.43694000004</v>
      </c>
      <c r="D32">
        <v>37</v>
      </c>
      <c r="E32" s="33">
        <f t="shared" si="0"/>
        <v>17506.078295675678</v>
      </c>
      <c r="F32" s="33">
        <f t="shared" si="1"/>
        <v>5005.9307281081092</v>
      </c>
    </row>
    <row r="33" spans="1:6" x14ac:dyDescent="0.25">
      <c r="A33" t="s">
        <v>1388</v>
      </c>
      <c r="B33" s="33">
        <v>10919008.62519999</v>
      </c>
      <c r="C33" s="33">
        <v>3422813.4151999992</v>
      </c>
      <c r="D33">
        <v>631</v>
      </c>
      <c r="E33" s="33">
        <f t="shared" si="0"/>
        <v>17304.292591442139</v>
      </c>
      <c r="F33" s="33">
        <f t="shared" si="1"/>
        <v>5424.4269654516629</v>
      </c>
    </row>
    <row r="34" spans="1:6" x14ac:dyDescent="0.25">
      <c r="A34" t="s">
        <v>715</v>
      </c>
      <c r="B34" s="33">
        <v>510653.71305000002</v>
      </c>
      <c r="C34" s="33">
        <v>172441.87305000002</v>
      </c>
      <c r="D34">
        <v>30</v>
      </c>
      <c r="E34" s="33">
        <f t="shared" si="0"/>
        <v>17021.790434999999</v>
      </c>
      <c r="F34" s="33">
        <f t="shared" si="1"/>
        <v>5748.0624350000007</v>
      </c>
    </row>
    <row r="35" spans="1:6" x14ac:dyDescent="0.25">
      <c r="A35" t="s">
        <v>713</v>
      </c>
      <c r="B35" s="33">
        <v>802384.66227999993</v>
      </c>
      <c r="C35" s="33">
        <v>273113.11228</v>
      </c>
      <c r="D35">
        <v>50</v>
      </c>
      <c r="E35" s="33">
        <f t="shared" si="0"/>
        <v>16047.693245599999</v>
      </c>
      <c r="F35" s="33">
        <f t="shared" si="1"/>
        <v>5462.2622455999999</v>
      </c>
    </row>
    <row r="36" spans="1:6" x14ac:dyDescent="0.25">
      <c r="A36" t="s">
        <v>718</v>
      </c>
      <c r="B36" s="33">
        <v>543846.44053000002</v>
      </c>
      <c r="C36" s="33">
        <v>204981.34052999999</v>
      </c>
      <c r="D36">
        <v>34</v>
      </c>
      <c r="E36" s="33">
        <f t="shared" si="0"/>
        <v>15995.483545000001</v>
      </c>
      <c r="F36" s="33">
        <f t="shared" si="1"/>
        <v>6028.8629567647058</v>
      </c>
    </row>
    <row r="37" spans="1:6" x14ac:dyDescent="0.25">
      <c r="A37" t="s">
        <v>721</v>
      </c>
      <c r="B37" s="33">
        <v>812637.17232000013</v>
      </c>
      <c r="C37" s="33">
        <v>251733.01232000004</v>
      </c>
      <c r="D37">
        <v>51</v>
      </c>
      <c r="E37" s="33">
        <f t="shared" si="0"/>
        <v>15934.062202352943</v>
      </c>
      <c r="F37" s="33">
        <f t="shared" si="1"/>
        <v>4935.9414180392168</v>
      </c>
    </row>
    <row r="38" spans="1:6" x14ac:dyDescent="0.25">
      <c r="A38" s="41" t="s">
        <v>722</v>
      </c>
      <c r="B38" s="42">
        <v>698700.30030999973</v>
      </c>
      <c r="C38" s="42">
        <v>138152.81030999997</v>
      </c>
      <c r="D38" s="41">
        <v>45</v>
      </c>
      <c r="E38" s="42">
        <f t="shared" si="0"/>
        <v>15526.673340222216</v>
      </c>
      <c r="F38" s="42">
        <f t="shared" si="1"/>
        <v>3070.0624513333328</v>
      </c>
    </row>
    <row r="39" spans="1:6" x14ac:dyDescent="0.25">
      <c r="A39" s="37" t="s">
        <v>726</v>
      </c>
      <c r="B39" s="38">
        <v>576820.19091</v>
      </c>
      <c r="C39" s="38">
        <v>151076.93090999997</v>
      </c>
      <c r="D39" s="37">
        <v>38</v>
      </c>
      <c r="E39" s="38">
        <f t="shared" si="0"/>
        <v>15179.478708157894</v>
      </c>
      <c r="F39" s="38">
        <f t="shared" si="1"/>
        <v>3975.7087081578939</v>
      </c>
    </row>
    <row r="40" spans="1:6" x14ac:dyDescent="0.25">
      <c r="A40" s="37" t="s">
        <v>714</v>
      </c>
      <c r="B40" s="38">
        <v>541165.67181999993</v>
      </c>
      <c r="C40" s="38">
        <v>140021.69181999995</v>
      </c>
      <c r="D40" s="37">
        <v>38</v>
      </c>
      <c r="E40" s="38">
        <f t="shared" si="0"/>
        <v>14241.201889999998</v>
      </c>
      <c r="F40" s="38">
        <f t="shared" si="1"/>
        <v>3684.7813636842093</v>
      </c>
    </row>
    <row r="41" spans="1:6" x14ac:dyDescent="0.25">
      <c r="A41" s="37" t="s">
        <v>725</v>
      </c>
      <c r="B41" s="38">
        <v>388325.13658999989</v>
      </c>
      <c r="C41" s="38">
        <v>110646.45658999999</v>
      </c>
      <c r="D41" s="37">
        <v>32</v>
      </c>
      <c r="E41" s="38">
        <f t="shared" si="0"/>
        <v>12135.160518437497</v>
      </c>
      <c r="F41" s="38">
        <f t="shared" si="1"/>
        <v>3457.7017684374996</v>
      </c>
    </row>
  </sheetData>
  <autoFilter ref="A24:F24" xr:uid="{E5032F0D-C5E9-4947-85E5-17818453BBBF}">
    <sortState ref="A25:F41">
      <sortCondition descending="1" ref="E24"/>
    </sortState>
  </autoFilter>
  <pageMargins left="0.7" right="0.7" top="0.75" bottom="0.75" header="0.3" footer="0.3"/>
  <pageSetup orientation="portrait"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68991-E9E4-493B-B3B3-2768C2EBD517}">
  <dimension ref="A3:B32"/>
  <sheetViews>
    <sheetView workbookViewId="0">
      <selection activeCell="T594" sqref="T594"/>
    </sheetView>
  </sheetViews>
  <sheetFormatPr defaultRowHeight="15" x14ac:dyDescent="0.25"/>
  <cols>
    <col min="1" max="1" width="15.85546875" bestFit="1" customWidth="1"/>
    <col min="2" max="2" width="17.85546875" bestFit="1" customWidth="1"/>
  </cols>
  <sheetData>
    <row r="3" spans="1:2" x14ac:dyDescent="0.25">
      <c r="A3" s="17" t="s">
        <v>1387</v>
      </c>
      <c r="B3" t="s">
        <v>1410</v>
      </c>
    </row>
    <row r="4" spans="1:2" x14ac:dyDescent="0.25">
      <c r="A4" s="18" t="s">
        <v>646</v>
      </c>
      <c r="B4" s="33">
        <v>849158.89789999998</v>
      </c>
    </row>
    <row r="5" spans="1:2" x14ac:dyDescent="0.25">
      <c r="A5" s="19" t="s">
        <v>711</v>
      </c>
      <c r="B5" s="33">
        <v>178727.35370000001</v>
      </c>
    </row>
    <row r="6" spans="1:2" x14ac:dyDescent="0.25">
      <c r="A6" s="19" t="s">
        <v>710</v>
      </c>
      <c r="B6" s="33">
        <v>202729.86446999994</v>
      </c>
    </row>
    <row r="7" spans="1:2" x14ac:dyDescent="0.25">
      <c r="A7" s="19" t="s">
        <v>709</v>
      </c>
      <c r="B7" s="33">
        <v>164839.30456000002</v>
      </c>
    </row>
    <row r="8" spans="1:2" x14ac:dyDescent="0.25">
      <c r="A8" s="19" t="s">
        <v>708</v>
      </c>
      <c r="B8" s="33">
        <v>145453.94626999999</v>
      </c>
    </row>
    <row r="9" spans="1:2" x14ac:dyDescent="0.25">
      <c r="A9" s="19" t="s">
        <v>707</v>
      </c>
      <c r="B9" s="33">
        <v>141171.08467000001</v>
      </c>
    </row>
    <row r="10" spans="1:2" x14ac:dyDescent="0.25">
      <c r="A10" s="19" t="s">
        <v>1379</v>
      </c>
      <c r="B10" s="33">
        <v>16237.344230000001</v>
      </c>
    </row>
    <row r="11" spans="1:2" x14ac:dyDescent="0.25">
      <c r="A11" s="18" t="s">
        <v>648</v>
      </c>
      <c r="B11" s="33">
        <v>862778.94893999991</v>
      </c>
    </row>
    <row r="12" spans="1:2" x14ac:dyDescent="0.25">
      <c r="A12" s="19" t="s">
        <v>711</v>
      </c>
      <c r="B12" s="33">
        <v>258674.92591000005</v>
      </c>
    </row>
    <row r="13" spans="1:2" x14ac:dyDescent="0.25">
      <c r="A13" s="19" t="s">
        <v>710</v>
      </c>
      <c r="B13" s="33">
        <v>175736.86191999997</v>
      </c>
    </row>
    <row r="14" spans="1:2" x14ac:dyDescent="0.25">
      <c r="A14" s="19" t="s">
        <v>709</v>
      </c>
      <c r="B14" s="33">
        <v>96609.64751999997</v>
      </c>
    </row>
    <row r="15" spans="1:2" x14ac:dyDescent="0.25">
      <c r="A15" s="19" t="s">
        <v>708</v>
      </c>
      <c r="B15" s="33">
        <v>261943.84436999995</v>
      </c>
    </row>
    <row r="16" spans="1:2" x14ac:dyDescent="0.25">
      <c r="A16" s="19" t="s">
        <v>707</v>
      </c>
      <c r="B16" s="33">
        <v>69035.70921999999</v>
      </c>
    </row>
    <row r="17" spans="1:2" x14ac:dyDescent="0.25">
      <c r="A17" s="19" t="s">
        <v>1379</v>
      </c>
      <c r="B17" s="33">
        <v>777.95999999999913</v>
      </c>
    </row>
    <row r="18" spans="1:2" x14ac:dyDescent="0.25">
      <c r="A18" s="18" t="s">
        <v>647</v>
      </c>
      <c r="B18" s="33">
        <v>841039.91235</v>
      </c>
    </row>
    <row r="19" spans="1:2" x14ac:dyDescent="0.25">
      <c r="A19" s="19" t="s">
        <v>711</v>
      </c>
      <c r="B19" s="33">
        <v>229541.94635999991</v>
      </c>
    </row>
    <row r="20" spans="1:2" x14ac:dyDescent="0.25">
      <c r="A20" s="19" t="s">
        <v>710</v>
      </c>
      <c r="B20" s="33">
        <v>151146.74599000002</v>
      </c>
    </row>
    <row r="21" spans="1:2" x14ac:dyDescent="0.25">
      <c r="A21" s="19" t="s">
        <v>709</v>
      </c>
      <c r="B21" s="33">
        <v>132709.51273000002</v>
      </c>
    </row>
    <row r="22" spans="1:2" x14ac:dyDescent="0.25">
      <c r="A22" s="19" t="s">
        <v>708</v>
      </c>
      <c r="B22" s="33">
        <v>149042.38969000001</v>
      </c>
    </row>
    <row r="23" spans="1:2" x14ac:dyDescent="0.25">
      <c r="A23" s="19" t="s">
        <v>707</v>
      </c>
      <c r="B23" s="33">
        <v>158051.77209000004</v>
      </c>
    </row>
    <row r="24" spans="1:2" x14ac:dyDescent="0.25">
      <c r="A24" s="19" t="s">
        <v>1379</v>
      </c>
      <c r="B24" s="33">
        <v>20547.545489999997</v>
      </c>
    </row>
    <row r="25" spans="1:2" x14ac:dyDescent="0.25">
      <c r="A25" s="18" t="s">
        <v>649</v>
      </c>
      <c r="B25" s="33">
        <v>869835.65601000004</v>
      </c>
    </row>
    <row r="26" spans="1:2" x14ac:dyDescent="0.25">
      <c r="A26" s="19" t="s">
        <v>711</v>
      </c>
      <c r="B26" s="33">
        <v>292716.95204000006</v>
      </c>
    </row>
    <row r="27" spans="1:2" x14ac:dyDescent="0.25">
      <c r="A27" s="19" t="s">
        <v>710</v>
      </c>
      <c r="B27" s="33">
        <v>105550.85219999998</v>
      </c>
    </row>
    <row r="28" spans="1:2" x14ac:dyDescent="0.25">
      <c r="A28" s="19" t="s">
        <v>709</v>
      </c>
      <c r="B28" s="33">
        <v>111692.81025000002</v>
      </c>
    </row>
    <row r="29" spans="1:2" x14ac:dyDescent="0.25">
      <c r="A29" s="19" t="s">
        <v>708</v>
      </c>
      <c r="B29" s="33">
        <v>200067.16277</v>
      </c>
    </row>
    <row r="30" spans="1:2" x14ac:dyDescent="0.25">
      <c r="A30" s="19" t="s">
        <v>707</v>
      </c>
      <c r="B30" s="33">
        <v>151779.17228999996</v>
      </c>
    </row>
    <row r="31" spans="1:2" x14ac:dyDescent="0.25">
      <c r="A31" s="19" t="s">
        <v>1379</v>
      </c>
      <c r="B31" s="33">
        <v>8028.7064599999994</v>
      </c>
    </row>
    <row r="32" spans="1:2" x14ac:dyDescent="0.25">
      <c r="A32" s="18" t="s">
        <v>1388</v>
      </c>
      <c r="B32" s="33">
        <v>3422813.4151999997</v>
      </c>
    </row>
  </sheetData>
  <pageMargins left="0.7" right="0.7" top="0.75" bottom="0.75" header="0.3" footer="0.3"/>
  <pageSetup orientation="portrait"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27050-97AF-4968-8D71-E77462A1B574}">
  <dimension ref="A3:H1278"/>
  <sheetViews>
    <sheetView zoomScale="90" zoomScaleNormal="90" workbookViewId="0">
      <selection activeCell="T594" sqref="T594"/>
    </sheetView>
  </sheetViews>
  <sheetFormatPr defaultRowHeight="15" x14ac:dyDescent="0.25"/>
  <cols>
    <col min="1" max="1" width="13.28515625" bestFit="1" customWidth="1"/>
    <col min="2" max="2" width="20.7109375" style="50" bestFit="1" customWidth="1"/>
    <col min="3" max="3" width="13.28515625" bestFit="1" customWidth="1"/>
    <col min="4" max="4" width="12.28515625" bestFit="1" customWidth="1"/>
    <col min="5" max="5" width="20.5703125" bestFit="1" customWidth="1"/>
    <col min="6" max="6" width="19.7109375" bestFit="1" customWidth="1"/>
  </cols>
  <sheetData>
    <row r="3" spans="1:8" x14ac:dyDescent="0.25">
      <c r="A3" s="17" t="s">
        <v>1387</v>
      </c>
      <c r="B3" s="50" t="s">
        <v>1389</v>
      </c>
      <c r="D3" s="10" t="s">
        <v>1387</v>
      </c>
      <c r="E3" s="10" t="s">
        <v>1374</v>
      </c>
      <c r="F3" s="10" t="s">
        <v>1423</v>
      </c>
    </row>
    <row r="4" spans="1:8" x14ac:dyDescent="0.25">
      <c r="A4" s="18" t="s">
        <v>971</v>
      </c>
      <c r="B4" s="51">
        <v>139277.83032000001</v>
      </c>
      <c r="D4" s="39" t="s">
        <v>971</v>
      </c>
      <c r="E4" s="40">
        <v>139277.83032000001</v>
      </c>
      <c r="F4" s="33">
        <f>E4</f>
        <v>139277.83032000001</v>
      </c>
      <c r="H4" s="45">
        <f>E4/E633</f>
        <v>1.2755538080495737E-2</v>
      </c>
    </row>
    <row r="5" spans="1:8" x14ac:dyDescent="0.25">
      <c r="A5" s="18" t="s">
        <v>781</v>
      </c>
      <c r="B5" s="51">
        <v>109244</v>
      </c>
      <c r="D5" s="39" t="s">
        <v>781</v>
      </c>
      <c r="E5" s="40">
        <v>109244</v>
      </c>
      <c r="F5" s="33">
        <f t="shared" ref="F5:F68" si="0">E5+F4</f>
        <v>248521.83032000001</v>
      </c>
    </row>
    <row r="6" spans="1:8" x14ac:dyDescent="0.25">
      <c r="A6" s="18" t="s">
        <v>1155</v>
      </c>
      <c r="B6" s="51">
        <v>102122.94203999999</v>
      </c>
      <c r="D6" s="39" t="s">
        <v>1155</v>
      </c>
      <c r="E6" s="40">
        <v>102122.94203999999</v>
      </c>
      <c r="F6" s="33">
        <f t="shared" si="0"/>
        <v>350644.77236</v>
      </c>
    </row>
    <row r="7" spans="1:8" x14ac:dyDescent="0.25">
      <c r="A7" s="18" t="s">
        <v>909</v>
      </c>
      <c r="B7" s="51">
        <v>92715.25</v>
      </c>
      <c r="D7" s="39" t="s">
        <v>909</v>
      </c>
      <c r="E7" s="40">
        <v>92715.25</v>
      </c>
      <c r="F7" s="33">
        <f t="shared" si="0"/>
        <v>443360.02236</v>
      </c>
    </row>
    <row r="8" spans="1:8" x14ac:dyDescent="0.25">
      <c r="A8" s="18" t="s">
        <v>874</v>
      </c>
      <c r="B8" s="51">
        <v>87404.929919999995</v>
      </c>
      <c r="D8" s="39" t="s">
        <v>874</v>
      </c>
      <c r="E8" s="40">
        <v>87404.929919999995</v>
      </c>
      <c r="F8" s="33">
        <f t="shared" si="0"/>
        <v>530764.95227999997</v>
      </c>
    </row>
    <row r="9" spans="1:8" x14ac:dyDescent="0.25">
      <c r="A9" s="18" t="s">
        <v>899</v>
      </c>
      <c r="B9" s="51">
        <v>85637.740319999997</v>
      </c>
      <c r="D9" s="39" t="s">
        <v>899</v>
      </c>
      <c r="E9" s="40">
        <v>85637.740319999997</v>
      </c>
      <c r="F9" s="33">
        <f t="shared" si="0"/>
        <v>616402.69259999995</v>
      </c>
    </row>
    <row r="10" spans="1:8" x14ac:dyDescent="0.25">
      <c r="A10" s="18" t="s">
        <v>1198</v>
      </c>
      <c r="B10" s="51">
        <v>84136.119600000005</v>
      </c>
      <c r="D10" s="39" t="s">
        <v>1198</v>
      </c>
      <c r="E10" s="40">
        <v>84136.119600000005</v>
      </c>
      <c r="F10" s="33">
        <f t="shared" si="0"/>
        <v>700538.81219999993</v>
      </c>
    </row>
    <row r="11" spans="1:8" x14ac:dyDescent="0.25">
      <c r="A11" s="18" t="s">
        <v>1096</v>
      </c>
      <c r="B11" s="51">
        <v>82514.711519999997</v>
      </c>
      <c r="D11" s="39" t="s">
        <v>1096</v>
      </c>
      <c r="E11" s="40">
        <v>82514.711519999997</v>
      </c>
      <c r="F11" s="33">
        <f t="shared" si="0"/>
        <v>783053.52371999994</v>
      </c>
    </row>
    <row r="12" spans="1:8" x14ac:dyDescent="0.25">
      <c r="A12" s="18" t="s">
        <v>1345</v>
      </c>
      <c r="B12" s="51">
        <v>82141.339799999987</v>
      </c>
      <c r="D12" s="39" t="s">
        <v>1345</v>
      </c>
      <c r="E12" s="40">
        <v>82141.339799999987</v>
      </c>
      <c r="F12" s="33">
        <f t="shared" si="0"/>
        <v>865194.8635199999</v>
      </c>
    </row>
    <row r="13" spans="1:8" x14ac:dyDescent="0.25">
      <c r="A13" s="18" t="s">
        <v>1010</v>
      </c>
      <c r="B13" s="51">
        <v>79548.755999999994</v>
      </c>
      <c r="D13" s="39" t="s">
        <v>1010</v>
      </c>
      <c r="E13" s="40">
        <v>79548.755999999994</v>
      </c>
      <c r="F13" s="33">
        <f t="shared" si="0"/>
        <v>944743.61951999995</v>
      </c>
    </row>
    <row r="14" spans="1:8" x14ac:dyDescent="0.25">
      <c r="A14" s="18" t="s">
        <v>1388</v>
      </c>
      <c r="B14" s="51">
        <v>944743.61951999995</v>
      </c>
      <c r="D14" t="s">
        <v>1080</v>
      </c>
      <c r="E14" s="33">
        <v>79082.507010000001</v>
      </c>
      <c r="F14" s="33">
        <f t="shared" si="0"/>
        <v>1023826.12653</v>
      </c>
    </row>
    <row r="15" spans="1:8" x14ac:dyDescent="0.25">
      <c r="B15"/>
      <c r="D15" t="s">
        <v>797</v>
      </c>
      <c r="E15" s="33">
        <v>72665.817450000002</v>
      </c>
      <c r="F15" s="33">
        <f t="shared" si="0"/>
        <v>1096491.94398</v>
      </c>
    </row>
    <row r="16" spans="1:8" x14ac:dyDescent="0.25">
      <c r="B16"/>
      <c r="D16" t="s">
        <v>1320</v>
      </c>
      <c r="E16" s="33">
        <v>68665.574250000005</v>
      </c>
      <c r="F16" s="33">
        <f t="shared" si="0"/>
        <v>1165157.51823</v>
      </c>
    </row>
    <row r="17" spans="2:6" x14ac:dyDescent="0.25">
      <c r="B17"/>
      <c r="D17" t="s">
        <v>957</v>
      </c>
      <c r="E17" s="33">
        <v>66988.771199999988</v>
      </c>
      <c r="F17" s="33">
        <f t="shared" si="0"/>
        <v>1232146.2894300001</v>
      </c>
    </row>
    <row r="18" spans="2:6" x14ac:dyDescent="0.25">
      <c r="B18"/>
      <c r="D18" t="s">
        <v>1271</v>
      </c>
      <c r="E18" s="33">
        <v>66260.314239999992</v>
      </c>
      <c r="F18" s="33">
        <f t="shared" si="0"/>
        <v>1298406.6036700001</v>
      </c>
    </row>
    <row r="19" spans="2:6" x14ac:dyDescent="0.25">
      <c r="B19"/>
      <c r="D19" t="s">
        <v>851</v>
      </c>
      <c r="E19" s="33">
        <v>65119.329599999997</v>
      </c>
      <c r="F19" s="33">
        <f t="shared" si="0"/>
        <v>1363525.9332700002</v>
      </c>
    </row>
    <row r="20" spans="2:6" x14ac:dyDescent="0.25">
      <c r="B20"/>
      <c r="D20" t="s">
        <v>860</v>
      </c>
      <c r="E20" s="33">
        <v>65111.38614000001</v>
      </c>
      <c r="F20" s="33">
        <f t="shared" si="0"/>
        <v>1428637.3194100002</v>
      </c>
    </row>
    <row r="21" spans="2:6" x14ac:dyDescent="0.25">
      <c r="B21"/>
      <c r="D21" t="s">
        <v>1121</v>
      </c>
      <c r="E21" s="33">
        <v>65066.934229999999</v>
      </c>
      <c r="F21" s="33">
        <f t="shared" si="0"/>
        <v>1493704.2536400002</v>
      </c>
    </row>
    <row r="22" spans="2:6" x14ac:dyDescent="0.25">
      <c r="B22"/>
      <c r="D22" t="s">
        <v>1254</v>
      </c>
      <c r="E22" s="33">
        <v>64192.976999999999</v>
      </c>
      <c r="F22" s="33">
        <f t="shared" si="0"/>
        <v>1557897.2306400002</v>
      </c>
    </row>
    <row r="23" spans="2:6" x14ac:dyDescent="0.25">
      <c r="B23"/>
      <c r="D23" t="s">
        <v>743</v>
      </c>
      <c r="E23" s="33">
        <v>60928.502359999999</v>
      </c>
      <c r="F23" s="33">
        <f t="shared" si="0"/>
        <v>1618825.7330000002</v>
      </c>
    </row>
    <row r="24" spans="2:6" x14ac:dyDescent="0.25">
      <c r="B24"/>
      <c r="D24" t="s">
        <v>814</v>
      </c>
      <c r="E24" s="33">
        <v>60292.805299999993</v>
      </c>
      <c r="F24" s="33">
        <f t="shared" si="0"/>
        <v>1679118.5383000001</v>
      </c>
    </row>
    <row r="25" spans="2:6" x14ac:dyDescent="0.25">
      <c r="B25"/>
      <c r="D25" t="s">
        <v>1261</v>
      </c>
      <c r="E25" s="33">
        <v>58526.83122</v>
      </c>
      <c r="F25" s="33">
        <f t="shared" si="0"/>
        <v>1737645.3695200002</v>
      </c>
    </row>
    <row r="26" spans="2:6" x14ac:dyDescent="0.25">
      <c r="B26"/>
      <c r="D26" t="s">
        <v>1157</v>
      </c>
      <c r="E26" s="33">
        <v>58091.634960000003</v>
      </c>
      <c r="F26" s="33">
        <f t="shared" si="0"/>
        <v>1795737.0044800001</v>
      </c>
    </row>
    <row r="27" spans="2:6" x14ac:dyDescent="0.25">
      <c r="B27"/>
      <c r="D27" t="s">
        <v>1164</v>
      </c>
      <c r="E27" s="33">
        <v>58057.65</v>
      </c>
      <c r="F27" s="33">
        <f t="shared" si="0"/>
        <v>1853794.65448</v>
      </c>
    </row>
    <row r="28" spans="2:6" x14ac:dyDescent="0.25">
      <c r="B28"/>
      <c r="D28" t="s">
        <v>1129</v>
      </c>
      <c r="E28" s="33">
        <v>56176.777799999996</v>
      </c>
      <c r="F28" s="33">
        <f t="shared" si="0"/>
        <v>1909971.4322800001</v>
      </c>
    </row>
    <row r="29" spans="2:6" x14ac:dyDescent="0.25">
      <c r="B29"/>
      <c r="D29" t="s">
        <v>933</v>
      </c>
      <c r="E29" s="33">
        <v>55880.483749999999</v>
      </c>
      <c r="F29" s="33">
        <f t="shared" si="0"/>
        <v>1965851.91603</v>
      </c>
    </row>
    <row r="30" spans="2:6" x14ac:dyDescent="0.25">
      <c r="B30"/>
      <c r="D30" t="s">
        <v>1053</v>
      </c>
      <c r="E30" s="33">
        <v>53034.364139999991</v>
      </c>
      <c r="F30" s="33">
        <f t="shared" si="0"/>
        <v>2018886.2801699999</v>
      </c>
    </row>
    <row r="31" spans="2:6" x14ac:dyDescent="0.25">
      <c r="B31"/>
      <c r="D31" t="s">
        <v>834</v>
      </c>
      <c r="E31" s="33">
        <v>52780.07</v>
      </c>
      <c r="F31" s="33">
        <f t="shared" si="0"/>
        <v>2071666.35017</v>
      </c>
    </row>
    <row r="32" spans="2:6" x14ac:dyDescent="0.25">
      <c r="B32"/>
      <c r="D32" t="s">
        <v>1125</v>
      </c>
      <c r="E32" s="33">
        <v>52361.645000000004</v>
      </c>
      <c r="F32" s="33">
        <f t="shared" si="0"/>
        <v>2124027.99517</v>
      </c>
    </row>
    <row r="33" spans="2:6" x14ac:dyDescent="0.25">
      <c r="B33"/>
      <c r="D33" t="s">
        <v>1324</v>
      </c>
      <c r="E33" s="33">
        <v>51768.181920000003</v>
      </c>
      <c r="F33" s="33">
        <f t="shared" si="0"/>
        <v>2175796.1770899999</v>
      </c>
    </row>
    <row r="34" spans="2:6" x14ac:dyDescent="0.25">
      <c r="B34"/>
      <c r="D34" t="s">
        <v>1289</v>
      </c>
      <c r="E34" s="33">
        <v>50545.319219999998</v>
      </c>
      <c r="F34" s="33">
        <f t="shared" si="0"/>
        <v>2226341.4963099998</v>
      </c>
    </row>
    <row r="35" spans="2:6" x14ac:dyDescent="0.25">
      <c r="B35"/>
      <c r="D35" t="s">
        <v>1245</v>
      </c>
      <c r="E35" s="33">
        <v>50296.415399999998</v>
      </c>
      <c r="F35" s="33">
        <f t="shared" si="0"/>
        <v>2276637.9117099997</v>
      </c>
    </row>
    <row r="36" spans="2:6" x14ac:dyDescent="0.25">
      <c r="B36"/>
      <c r="D36" t="s">
        <v>1356</v>
      </c>
      <c r="E36" s="33">
        <v>50090.397499999999</v>
      </c>
      <c r="F36" s="33">
        <f t="shared" si="0"/>
        <v>2326728.3092099996</v>
      </c>
    </row>
    <row r="37" spans="2:6" x14ac:dyDescent="0.25">
      <c r="B37"/>
      <c r="D37" t="s">
        <v>1091</v>
      </c>
      <c r="E37" s="33">
        <v>49336.511399999996</v>
      </c>
      <c r="F37" s="33">
        <f t="shared" si="0"/>
        <v>2376064.8206099998</v>
      </c>
    </row>
    <row r="38" spans="2:6" x14ac:dyDescent="0.25">
      <c r="B38"/>
      <c r="D38" t="s">
        <v>937</v>
      </c>
      <c r="E38" s="33">
        <v>47962.717579999997</v>
      </c>
      <c r="F38" s="33">
        <f t="shared" si="0"/>
        <v>2424027.5381899998</v>
      </c>
    </row>
    <row r="39" spans="2:6" x14ac:dyDescent="0.25">
      <c r="B39"/>
      <c r="D39" t="s">
        <v>1116</v>
      </c>
      <c r="E39" s="33">
        <v>47693.373</v>
      </c>
      <c r="F39" s="33">
        <f t="shared" si="0"/>
        <v>2471720.9111899999</v>
      </c>
    </row>
    <row r="40" spans="2:6" x14ac:dyDescent="0.25">
      <c r="B40"/>
      <c r="D40" t="s">
        <v>1288</v>
      </c>
      <c r="E40" s="33">
        <v>46450.26</v>
      </c>
      <c r="F40" s="33">
        <f t="shared" si="0"/>
        <v>2518171.1711899997</v>
      </c>
    </row>
    <row r="41" spans="2:6" x14ac:dyDescent="0.25">
      <c r="B41"/>
      <c r="D41" t="s">
        <v>1181</v>
      </c>
      <c r="E41" s="33">
        <v>45547.183360000003</v>
      </c>
      <c r="F41" s="33">
        <f t="shared" si="0"/>
        <v>2563718.3545499998</v>
      </c>
    </row>
    <row r="42" spans="2:6" x14ac:dyDescent="0.25">
      <c r="B42"/>
      <c r="D42" t="s">
        <v>1299</v>
      </c>
      <c r="E42" s="33">
        <v>44173.627960000005</v>
      </c>
      <c r="F42" s="33">
        <f t="shared" si="0"/>
        <v>2607891.98251</v>
      </c>
    </row>
    <row r="43" spans="2:6" x14ac:dyDescent="0.25">
      <c r="B43"/>
      <c r="D43" t="s">
        <v>1090</v>
      </c>
      <c r="E43" s="33">
        <v>43907.94</v>
      </c>
      <c r="F43" s="33">
        <f t="shared" si="0"/>
        <v>2651799.9225099999</v>
      </c>
    </row>
    <row r="44" spans="2:6" x14ac:dyDescent="0.25">
      <c r="B44"/>
      <c r="D44" t="s">
        <v>1110</v>
      </c>
      <c r="E44" s="33">
        <v>43553.493060000001</v>
      </c>
      <c r="F44" s="33">
        <f t="shared" si="0"/>
        <v>2695353.4155699997</v>
      </c>
    </row>
    <row r="45" spans="2:6" x14ac:dyDescent="0.25">
      <c r="B45"/>
      <c r="D45" t="s">
        <v>829</v>
      </c>
      <c r="E45" s="33">
        <v>43209.006119999991</v>
      </c>
      <c r="F45" s="33">
        <f t="shared" si="0"/>
        <v>2738562.4216899998</v>
      </c>
    </row>
    <row r="46" spans="2:6" x14ac:dyDescent="0.25">
      <c r="B46"/>
      <c r="D46" t="s">
        <v>1040</v>
      </c>
      <c r="E46" s="33">
        <v>43084.872000000003</v>
      </c>
      <c r="F46" s="33">
        <f t="shared" si="0"/>
        <v>2781647.2936899997</v>
      </c>
    </row>
    <row r="47" spans="2:6" x14ac:dyDescent="0.25">
      <c r="B47"/>
      <c r="D47" t="s">
        <v>883</v>
      </c>
      <c r="E47" s="33">
        <v>42495.805439999996</v>
      </c>
      <c r="F47" s="33">
        <f t="shared" si="0"/>
        <v>2824143.0991299995</v>
      </c>
    </row>
    <row r="48" spans="2:6" x14ac:dyDescent="0.25">
      <c r="B48"/>
      <c r="D48" t="s">
        <v>1267</v>
      </c>
      <c r="E48" s="33">
        <v>42433.254400000005</v>
      </c>
      <c r="F48" s="33">
        <f t="shared" si="0"/>
        <v>2866576.3535299995</v>
      </c>
    </row>
    <row r="49" spans="2:6" x14ac:dyDescent="0.25">
      <c r="B49"/>
      <c r="D49" t="s">
        <v>1211</v>
      </c>
      <c r="E49" s="33">
        <v>41914.215840000004</v>
      </c>
      <c r="F49" s="33">
        <f t="shared" si="0"/>
        <v>2908490.5693699997</v>
      </c>
    </row>
    <row r="50" spans="2:6" x14ac:dyDescent="0.25">
      <c r="B50"/>
      <c r="D50" t="s">
        <v>1351</v>
      </c>
      <c r="E50" s="33">
        <v>41419.524249999995</v>
      </c>
      <c r="F50" s="33">
        <f t="shared" si="0"/>
        <v>2949910.0936199995</v>
      </c>
    </row>
    <row r="51" spans="2:6" x14ac:dyDescent="0.25">
      <c r="B51"/>
      <c r="D51" t="s">
        <v>915</v>
      </c>
      <c r="E51" s="33">
        <v>41352.246200000009</v>
      </c>
      <c r="F51" s="33">
        <f t="shared" si="0"/>
        <v>2991262.3398199994</v>
      </c>
    </row>
    <row r="52" spans="2:6" x14ac:dyDescent="0.25">
      <c r="B52"/>
      <c r="D52" t="s">
        <v>1162</v>
      </c>
      <c r="E52" s="33">
        <v>41138.261999999995</v>
      </c>
      <c r="F52" s="33">
        <f t="shared" si="0"/>
        <v>3032400.6018199995</v>
      </c>
    </row>
    <row r="53" spans="2:6" x14ac:dyDescent="0.25">
      <c r="B53"/>
      <c r="D53" t="s">
        <v>774</v>
      </c>
      <c r="E53" s="33">
        <v>41106.800970000004</v>
      </c>
      <c r="F53" s="33">
        <f t="shared" si="0"/>
        <v>3073507.4027899997</v>
      </c>
    </row>
    <row r="54" spans="2:6" x14ac:dyDescent="0.25">
      <c r="B54"/>
      <c r="D54" t="s">
        <v>1315</v>
      </c>
      <c r="E54" s="33">
        <v>40563.321749999996</v>
      </c>
      <c r="F54" s="33">
        <f t="shared" si="0"/>
        <v>3114070.7245399999</v>
      </c>
    </row>
    <row r="55" spans="2:6" x14ac:dyDescent="0.25">
      <c r="B55"/>
      <c r="D55" t="s">
        <v>1213</v>
      </c>
      <c r="E55" s="33">
        <v>40488.792960000006</v>
      </c>
      <c r="F55" s="33">
        <f t="shared" si="0"/>
        <v>3154559.5175000001</v>
      </c>
    </row>
    <row r="56" spans="2:6" x14ac:dyDescent="0.25">
      <c r="B56"/>
      <c r="D56" t="s">
        <v>1361</v>
      </c>
      <c r="E56" s="33">
        <v>40476.013200000001</v>
      </c>
      <c r="F56" s="33">
        <f t="shared" si="0"/>
        <v>3195035.5307</v>
      </c>
    </row>
    <row r="57" spans="2:6" x14ac:dyDescent="0.25">
      <c r="B57"/>
      <c r="D57" t="s">
        <v>1047</v>
      </c>
      <c r="E57" s="33">
        <v>40325.31</v>
      </c>
      <c r="F57" s="33">
        <f t="shared" si="0"/>
        <v>3235360.8407000001</v>
      </c>
    </row>
    <row r="58" spans="2:6" x14ac:dyDescent="0.25">
      <c r="B58"/>
      <c r="D58" t="s">
        <v>998</v>
      </c>
      <c r="E58" s="33">
        <v>40139.874619999995</v>
      </c>
      <c r="F58" s="33">
        <f t="shared" si="0"/>
        <v>3275500.71532</v>
      </c>
    </row>
    <row r="59" spans="2:6" x14ac:dyDescent="0.25">
      <c r="B59"/>
      <c r="D59" t="s">
        <v>1335</v>
      </c>
      <c r="E59" s="33">
        <v>39810.328000000001</v>
      </c>
      <c r="F59" s="33">
        <f t="shared" si="0"/>
        <v>3315311.0433200002</v>
      </c>
    </row>
    <row r="60" spans="2:6" x14ac:dyDescent="0.25">
      <c r="B60"/>
      <c r="D60" t="s">
        <v>1036</v>
      </c>
      <c r="E60" s="33">
        <v>39686.4182</v>
      </c>
      <c r="F60" s="33">
        <f t="shared" si="0"/>
        <v>3354997.4615200004</v>
      </c>
    </row>
    <row r="61" spans="2:6" x14ac:dyDescent="0.25">
      <c r="B61"/>
      <c r="D61" t="s">
        <v>1056</v>
      </c>
      <c r="E61" s="33">
        <v>39546.774539999999</v>
      </c>
      <c r="F61" s="33">
        <f t="shared" si="0"/>
        <v>3394544.2360600005</v>
      </c>
    </row>
    <row r="62" spans="2:6" x14ac:dyDescent="0.25">
      <c r="B62"/>
      <c r="D62" t="s">
        <v>854</v>
      </c>
      <c r="E62" s="33">
        <v>39516.804389999998</v>
      </c>
      <c r="F62" s="33">
        <f t="shared" si="0"/>
        <v>3434061.0404500007</v>
      </c>
    </row>
    <row r="63" spans="2:6" x14ac:dyDescent="0.25">
      <c r="B63"/>
      <c r="D63" t="s">
        <v>753</v>
      </c>
      <c r="E63" s="33">
        <v>39263.702919999996</v>
      </c>
      <c r="F63" s="33">
        <f t="shared" si="0"/>
        <v>3473324.7433700007</v>
      </c>
    </row>
    <row r="64" spans="2:6" x14ac:dyDescent="0.25">
      <c r="B64"/>
      <c r="D64" t="s">
        <v>1000</v>
      </c>
      <c r="E64" s="33">
        <v>38818.760160000005</v>
      </c>
      <c r="F64" s="33">
        <f t="shared" si="0"/>
        <v>3512143.5035300008</v>
      </c>
    </row>
    <row r="65" spans="2:6" x14ac:dyDescent="0.25">
      <c r="B65"/>
      <c r="D65" t="s">
        <v>1071</v>
      </c>
      <c r="E65" s="33">
        <v>38535.955099999999</v>
      </c>
      <c r="F65" s="33">
        <f t="shared" si="0"/>
        <v>3550679.4586300007</v>
      </c>
    </row>
    <row r="66" spans="2:6" x14ac:dyDescent="0.25">
      <c r="B66"/>
      <c r="D66" t="s">
        <v>1109</v>
      </c>
      <c r="E66" s="33">
        <v>38422.022320000004</v>
      </c>
      <c r="F66" s="33">
        <f t="shared" si="0"/>
        <v>3589101.4809500007</v>
      </c>
    </row>
    <row r="67" spans="2:6" x14ac:dyDescent="0.25">
      <c r="B67"/>
      <c r="D67" t="s">
        <v>752</v>
      </c>
      <c r="E67" s="33">
        <v>38096.18406</v>
      </c>
      <c r="F67" s="33">
        <f t="shared" si="0"/>
        <v>3627197.6650100006</v>
      </c>
    </row>
    <row r="68" spans="2:6" x14ac:dyDescent="0.25">
      <c r="B68"/>
      <c r="D68" t="s">
        <v>1115</v>
      </c>
      <c r="E68" s="33">
        <v>37562.28</v>
      </c>
      <c r="F68" s="33">
        <f t="shared" si="0"/>
        <v>3664759.9450100004</v>
      </c>
    </row>
    <row r="69" spans="2:6" x14ac:dyDescent="0.25">
      <c r="B69"/>
      <c r="D69" t="s">
        <v>970</v>
      </c>
      <c r="E69" s="33">
        <v>37038.581760000001</v>
      </c>
      <c r="F69" s="33">
        <f t="shared" ref="F69:F132" si="1">E69+F68</f>
        <v>3701798.5267700003</v>
      </c>
    </row>
    <row r="70" spans="2:6" x14ac:dyDescent="0.25">
      <c r="B70"/>
      <c r="D70" t="s">
        <v>1204</v>
      </c>
      <c r="E70" s="33">
        <v>36549.429260000004</v>
      </c>
      <c r="F70" s="33">
        <f t="shared" si="1"/>
        <v>3738347.9560300005</v>
      </c>
    </row>
    <row r="71" spans="2:6" x14ac:dyDescent="0.25">
      <c r="B71"/>
      <c r="D71" t="s">
        <v>1215</v>
      </c>
      <c r="E71" s="33">
        <v>36161.097000000002</v>
      </c>
      <c r="F71" s="33">
        <f t="shared" si="1"/>
        <v>3774509.0530300005</v>
      </c>
    </row>
    <row r="72" spans="2:6" x14ac:dyDescent="0.25">
      <c r="B72"/>
      <c r="D72" t="s">
        <v>782</v>
      </c>
      <c r="E72" s="33">
        <v>35621.302319999995</v>
      </c>
      <c r="F72" s="33">
        <f t="shared" si="1"/>
        <v>3810130.3553500003</v>
      </c>
    </row>
    <row r="73" spans="2:6" x14ac:dyDescent="0.25">
      <c r="B73"/>
      <c r="D73" t="s">
        <v>872</v>
      </c>
      <c r="E73" s="33">
        <v>35567.737920000007</v>
      </c>
      <c r="F73" s="33">
        <f t="shared" si="1"/>
        <v>3845698.0932700005</v>
      </c>
    </row>
    <row r="74" spans="2:6" x14ac:dyDescent="0.25">
      <c r="B74"/>
      <c r="D74" t="s">
        <v>810</v>
      </c>
      <c r="E74" s="33">
        <v>35396.277799999996</v>
      </c>
      <c r="F74" s="33">
        <f t="shared" si="1"/>
        <v>3881094.3710700003</v>
      </c>
    </row>
    <row r="75" spans="2:6" x14ac:dyDescent="0.25">
      <c r="B75"/>
      <c r="D75" t="s">
        <v>751</v>
      </c>
      <c r="E75" s="33">
        <v>35367.211040000002</v>
      </c>
      <c r="F75" s="33">
        <f t="shared" si="1"/>
        <v>3916461.5821100003</v>
      </c>
    </row>
    <row r="76" spans="2:6" x14ac:dyDescent="0.25">
      <c r="B76"/>
      <c r="D76" t="s">
        <v>1094</v>
      </c>
      <c r="E76" s="33">
        <v>35167.7448</v>
      </c>
      <c r="F76" s="33">
        <f t="shared" si="1"/>
        <v>3951629.3269100003</v>
      </c>
    </row>
    <row r="77" spans="2:6" x14ac:dyDescent="0.25">
      <c r="B77"/>
      <c r="D77" t="s">
        <v>1012</v>
      </c>
      <c r="E77" s="33">
        <v>34840.344000000005</v>
      </c>
      <c r="F77" s="33">
        <f t="shared" si="1"/>
        <v>3986469.6709100003</v>
      </c>
    </row>
    <row r="78" spans="2:6" x14ac:dyDescent="0.25">
      <c r="B78"/>
      <c r="D78" t="s">
        <v>1087</v>
      </c>
      <c r="E78" s="33">
        <v>34816.968000000001</v>
      </c>
      <c r="F78" s="33">
        <f t="shared" si="1"/>
        <v>4021286.6389100002</v>
      </c>
    </row>
    <row r="79" spans="2:6" x14ac:dyDescent="0.25">
      <c r="B79"/>
      <c r="D79" t="s">
        <v>1239</v>
      </c>
      <c r="E79" s="33">
        <v>34800.431400000001</v>
      </c>
      <c r="F79" s="33">
        <f t="shared" si="1"/>
        <v>4056087.0703100003</v>
      </c>
    </row>
    <row r="80" spans="2:6" x14ac:dyDescent="0.25">
      <c r="B80"/>
      <c r="D80" t="s">
        <v>1006</v>
      </c>
      <c r="E80" s="33">
        <v>34632.106319999999</v>
      </c>
      <c r="F80" s="33">
        <f t="shared" si="1"/>
        <v>4090719.1766300001</v>
      </c>
    </row>
    <row r="81" spans="2:6" x14ac:dyDescent="0.25">
      <c r="B81"/>
      <c r="D81" t="s">
        <v>783</v>
      </c>
      <c r="E81" s="33">
        <v>34444.462359999998</v>
      </c>
      <c r="F81" s="33">
        <f t="shared" si="1"/>
        <v>4125163.6389899999</v>
      </c>
    </row>
    <row r="82" spans="2:6" x14ac:dyDescent="0.25">
      <c r="B82"/>
      <c r="D82" t="s">
        <v>1301</v>
      </c>
      <c r="E82" s="33">
        <v>34307.159999999996</v>
      </c>
      <c r="F82" s="33">
        <f t="shared" si="1"/>
        <v>4159470.79899</v>
      </c>
    </row>
    <row r="83" spans="2:6" x14ac:dyDescent="0.25">
      <c r="B83"/>
      <c r="D83" t="s">
        <v>831</v>
      </c>
      <c r="E83" s="33">
        <v>34139.159999999996</v>
      </c>
      <c r="F83" s="33">
        <f t="shared" si="1"/>
        <v>4193609.9589900002</v>
      </c>
    </row>
    <row r="84" spans="2:6" x14ac:dyDescent="0.25">
      <c r="B84"/>
      <c r="D84" t="s">
        <v>976</v>
      </c>
      <c r="E84" s="33">
        <v>34082.864639999993</v>
      </c>
      <c r="F84" s="33">
        <f t="shared" si="1"/>
        <v>4227692.8236300005</v>
      </c>
    </row>
    <row r="85" spans="2:6" x14ac:dyDescent="0.25">
      <c r="B85"/>
      <c r="D85" t="s">
        <v>1332</v>
      </c>
      <c r="E85" s="33">
        <v>33938.142760000002</v>
      </c>
      <c r="F85" s="33">
        <f t="shared" si="1"/>
        <v>4261630.9663900007</v>
      </c>
    </row>
    <row r="86" spans="2:6" x14ac:dyDescent="0.25">
      <c r="B86"/>
      <c r="D86" t="s">
        <v>794</v>
      </c>
      <c r="E86" s="33">
        <v>33687.501800000005</v>
      </c>
      <c r="F86" s="33">
        <f t="shared" si="1"/>
        <v>4295318.4681900004</v>
      </c>
    </row>
    <row r="87" spans="2:6" x14ac:dyDescent="0.25">
      <c r="B87"/>
      <c r="D87" t="s">
        <v>1287</v>
      </c>
      <c r="E87" s="33">
        <v>33551.927499999998</v>
      </c>
      <c r="F87" s="33">
        <f t="shared" si="1"/>
        <v>4328870.3956900006</v>
      </c>
    </row>
    <row r="88" spans="2:6" x14ac:dyDescent="0.25">
      <c r="B88"/>
      <c r="D88" t="s">
        <v>1262</v>
      </c>
      <c r="E88" s="33">
        <v>33421.1</v>
      </c>
      <c r="F88" s="33">
        <f t="shared" si="1"/>
        <v>4362291.4956900002</v>
      </c>
    </row>
    <row r="89" spans="2:6" x14ac:dyDescent="0.25">
      <c r="B89"/>
      <c r="D89" t="s">
        <v>1247</v>
      </c>
      <c r="E89" s="33">
        <v>33308.550000000003</v>
      </c>
      <c r="F89" s="33">
        <f t="shared" si="1"/>
        <v>4395600.0456900001</v>
      </c>
    </row>
    <row r="90" spans="2:6" x14ac:dyDescent="0.25">
      <c r="B90"/>
      <c r="D90" t="s">
        <v>1113</v>
      </c>
      <c r="E90" s="33">
        <v>33200.038079999998</v>
      </c>
      <c r="F90" s="33">
        <f t="shared" si="1"/>
        <v>4428800.0837700004</v>
      </c>
    </row>
    <row r="91" spans="2:6" x14ac:dyDescent="0.25">
      <c r="B91"/>
      <c r="D91" t="s">
        <v>1294</v>
      </c>
      <c r="E91" s="33">
        <v>33071.3145</v>
      </c>
      <c r="F91" s="33">
        <f t="shared" si="1"/>
        <v>4461871.3982700007</v>
      </c>
    </row>
    <row r="92" spans="2:6" x14ac:dyDescent="0.25">
      <c r="B92"/>
      <c r="D92" t="s">
        <v>811</v>
      </c>
      <c r="E92" s="33">
        <v>33062.236480000007</v>
      </c>
      <c r="F92" s="33">
        <f t="shared" si="1"/>
        <v>4494933.6347500011</v>
      </c>
    </row>
    <row r="93" spans="2:6" x14ac:dyDescent="0.25">
      <c r="B93"/>
      <c r="D93" t="s">
        <v>1360</v>
      </c>
      <c r="E93" s="33">
        <v>33017.42</v>
      </c>
      <c r="F93" s="33">
        <f t="shared" si="1"/>
        <v>4527951.0547500011</v>
      </c>
    </row>
    <row r="94" spans="2:6" x14ac:dyDescent="0.25">
      <c r="B94"/>
      <c r="D94" t="s">
        <v>1357</v>
      </c>
      <c r="E94" s="33">
        <v>32704.386400000003</v>
      </c>
      <c r="F94" s="33">
        <f t="shared" si="1"/>
        <v>4560655.4411500013</v>
      </c>
    </row>
    <row r="95" spans="2:6" x14ac:dyDescent="0.25">
      <c r="B95"/>
      <c r="D95" t="s">
        <v>779</v>
      </c>
      <c r="E95" s="33">
        <v>32506.559399999998</v>
      </c>
      <c r="F95" s="33">
        <f t="shared" si="1"/>
        <v>4593162.0005500009</v>
      </c>
    </row>
    <row r="96" spans="2:6" x14ac:dyDescent="0.25">
      <c r="B96"/>
      <c r="D96" t="s">
        <v>1238</v>
      </c>
      <c r="E96" s="33">
        <v>32335.21802</v>
      </c>
      <c r="F96" s="33">
        <f t="shared" si="1"/>
        <v>4625497.2185700005</v>
      </c>
    </row>
    <row r="97" spans="2:6" x14ac:dyDescent="0.25">
      <c r="B97"/>
      <c r="D97" t="s">
        <v>1106</v>
      </c>
      <c r="E97" s="33">
        <v>32280.32474</v>
      </c>
      <c r="F97" s="33">
        <f t="shared" si="1"/>
        <v>4657777.5433100006</v>
      </c>
    </row>
    <row r="98" spans="2:6" x14ac:dyDescent="0.25">
      <c r="B98"/>
      <c r="D98" t="s">
        <v>876</v>
      </c>
      <c r="E98" s="33">
        <v>32086.37586</v>
      </c>
      <c r="F98" s="33">
        <f t="shared" si="1"/>
        <v>4689863.9191700006</v>
      </c>
    </row>
    <row r="99" spans="2:6" x14ac:dyDescent="0.25">
      <c r="B99"/>
      <c r="D99" t="s">
        <v>1280</v>
      </c>
      <c r="E99" s="33">
        <v>31822.023930000003</v>
      </c>
      <c r="F99" s="33">
        <f t="shared" si="1"/>
        <v>4721685.9431000007</v>
      </c>
    </row>
    <row r="100" spans="2:6" x14ac:dyDescent="0.25">
      <c r="B100"/>
      <c r="D100" t="s">
        <v>789</v>
      </c>
      <c r="E100" s="33">
        <v>31680.795320000001</v>
      </c>
      <c r="F100" s="33">
        <f t="shared" si="1"/>
        <v>4753366.7384200003</v>
      </c>
    </row>
    <row r="101" spans="2:6" x14ac:dyDescent="0.25">
      <c r="B101"/>
      <c r="D101" t="s">
        <v>907</v>
      </c>
      <c r="E101" s="33">
        <v>31556.187599999997</v>
      </c>
      <c r="F101" s="33">
        <f t="shared" si="1"/>
        <v>4784922.9260200001</v>
      </c>
    </row>
    <row r="102" spans="2:6" x14ac:dyDescent="0.25">
      <c r="B102"/>
      <c r="D102" t="s">
        <v>1147</v>
      </c>
      <c r="E102" s="33">
        <v>31513.423040000001</v>
      </c>
      <c r="F102" s="33">
        <f t="shared" si="1"/>
        <v>4816436.3490599999</v>
      </c>
    </row>
    <row r="103" spans="2:6" x14ac:dyDescent="0.25">
      <c r="B103"/>
      <c r="D103" t="s">
        <v>1175</v>
      </c>
      <c r="E103" s="33">
        <v>31513.085009999999</v>
      </c>
      <c r="F103" s="33">
        <f t="shared" si="1"/>
        <v>4847949.4340699995</v>
      </c>
    </row>
    <row r="104" spans="2:6" x14ac:dyDescent="0.25">
      <c r="B104"/>
      <c r="D104" t="s">
        <v>776</v>
      </c>
      <c r="E104" s="33">
        <v>31404.1</v>
      </c>
      <c r="F104" s="33">
        <f t="shared" si="1"/>
        <v>4879353.5340699991</v>
      </c>
    </row>
    <row r="105" spans="2:6" x14ac:dyDescent="0.25">
      <c r="B105"/>
      <c r="D105" t="s">
        <v>929</v>
      </c>
      <c r="E105" s="33">
        <v>31191.64716</v>
      </c>
      <c r="F105" s="33">
        <f t="shared" si="1"/>
        <v>4910545.1812299993</v>
      </c>
    </row>
    <row r="106" spans="2:6" x14ac:dyDescent="0.25">
      <c r="B106"/>
      <c r="D106" t="s">
        <v>1108</v>
      </c>
      <c r="E106" s="33">
        <v>31005.24768</v>
      </c>
      <c r="F106" s="33">
        <f t="shared" si="1"/>
        <v>4941550.4289099993</v>
      </c>
    </row>
    <row r="107" spans="2:6" x14ac:dyDescent="0.25">
      <c r="B107"/>
      <c r="D107" t="s">
        <v>1044</v>
      </c>
      <c r="E107" s="33">
        <v>30799.273800000003</v>
      </c>
      <c r="F107" s="33">
        <f t="shared" si="1"/>
        <v>4972349.7027099989</v>
      </c>
    </row>
    <row r="108" spans="2:6" x14ac:dyDescent="0.25">
      <c r="B108"/>
      <c r="D108" t="s">
        <v>1229</v>
      </c>
      <c r="E108" s="33">
        <v>30692.47896</v>
      </c>
      <c r="F108" s="33">
        <f t="shared" si="1"/>
        <v>5003042.1816699989</v>
      </c>
    </row>
    <row r="109" spans="2:6" x14ac:dyDescent="0.25">
      <c r="B109"/>
      <c r="D109" t="s">
        <v>1274</v>
      </c>
      <c r="E109" s="33">
        <v>30652.403519999996</v>
      </c>
      <c r="F109" s="33">
        <f t="shared" si="1"/>
        <v>5033694.5851899991</v>
      </c>
    </row>
    <row r="110" spans="2:6" x14ac:dyDescent="0.25">
      <c r="B110"/>
      <c r="D110" t="s">
        <v>960</v>
      </c>
      <c r="E110" s="33">
        <v>30479.418970000002</v>
      </c>
      <c r="F110" s="33">
        <f t="shared" si="1"/>
        <v>5064174.0041599991</v>
      </c>
    </row>
    <row r="111" spans="2:6" x14ac:dyDescent="0.25">
      <c r="B111"/>
      <c r="D111" t="s">
        <v>1159</v>
      </c>
      <c r="E111" s="33">
        <v>30435.614999999998</v>
      </c>
      <c r="F111" s="33">
        <f t="shared" si="1"/>
        <v>5094609.6191599993</v>
      </c>
    </row>
    <row r="112" spans="2:6" x14ac:dyDescent="0.25">
      <c r="B112"/>
      <c r="D112" t="s">
        <v>1354</v>
      </c>
      <c r="E112" s="33">
        <v>30229.994880000002</v>
      </c>
      <c r="F112" s="33">
        <f t="shared" si="1"/>
        <v>5124839.6140399994</v>
      </c>
    </row>
    <row r="113" spans="2:6" x14ac:dyDescent="0.25">
      <c r="B113"/>
      <c r="D113" t="s">
        <v>845</v>
      </c>
      <c r="E113" s="33">
        <v>30151.675319999998</v>
      </c>
      <c r="F113" s="33">
        <f t="shared" si="1"/>
        <v>5154991.2893599998</v>
      </c>
    </row>
    <row r="114" spans="2:6" x14ac:dyDescent="0.25">
      <c r="B114"/>
      <c r="D114" t="s">
        <v>1282</v>
      </c>
      <c r="E114" s="33">
        <v>29673.454499999993</v>
      </c>
      <c r="F114" s="33">
        <f t="shared" si="1"/>
        <v>5184664.7438599998</v>
      </c>
    </row>
    <row r="115" spans="2:6" x14ac:dyDescent="0.25">
      <c r="B115"/>
      <c r="D115" t="s">
        <v>790</v>
      </c>
      <c r="E115" s="33">
        <v>29659.68995</v>
      </c>
      <c r="F115" s="33">
        <f t="shared" si="1"/>
        <v>5214324.4338099994</v>
      </c>
    </row>
    <row r="116" spans="2:6" x14ac:dyDescent="0.25">
      <c r="B116"/>
      <c r="D116" t="s">
        <v>887</v>
      </c>
      <c r="E116" s="33">
        <v>29654.83008</v>
      </c>
      <c r="F116" s="33">
        <f t="shared" si="1"/>
        <v>5243979.2638899991</v>
      </c>
    </row>
    <row r="117" spans="2:6" x14ac:dyDescent="0.25">
      <c r="B117"/>
      <c r="D117" t="s">
        <v>1156</v>
      </c>
      <c r="E117" s="33">
        <v>29627.320319999999</v>
      </c>
      <c r="F117" s="33">
        <f t="shared" si="1"/>
        <v>5273606.5842099991</v>
      </c>
    </row>
    <row r="118" spans="2:6" x14ac:dyDescent="0.25">
      <c r="B118"/>
      <c r="D118" t="s">
        <v>1007</v>
      </c>
      <c r="E118" s="33">
        <v>29536.716</v>
      </c>
      <c r="F118" s="33">
        <f t="shared" si="1"/>
        <v>5303143.3002099991</v>
      </c>
    </row>
    <row r="119" spans="2:6" x14ac:dyDescent="0.25">
      <c r="B119"/>
      <c r="D119" t="s">
        <v>893</v>
      </c>
      <c r="E119" s="33">
        <v>29263.754519999995</v>
      </c>
      <c r="F119" s="33">
        <f t="shared" si="1"/>
        <v>5332407.054729999</v>
      </c>
    </row>
    <row r="120" spans="2:6" x14ac:dyDescent="0.25">
      <c r="B120"/>
      <c r="D120" t="s">
        <v>1339</v>
      </c>
      <c r="E120" s="33">
        <v>29175.036029999999</v>
      </c>
      <c r="F120" s="33">
        <f t="shared" si="1"/>
        <v>5361582.0907599991</v>
      </c>
    </row>
    <row r="121" spans="2:6" x14ac:dyDescent="0.25">
      <c r="B121"/>
      <c r="D121" t="s">
        <v>1220</v>
      </c>
      <c r="E121" s="33">
        <v>28856.475000000002</v>
      </c>
      <c r="F121" s="33">
        <f t="shared" si="1"/>
        <v>5390438.5657599987</v>
      </c>
    </row>
    <row r="122" spans="2:6" x14ac:dyDescent="0.25">
      <c r="B122"/>
      <c r="D122" t="s">
        <v>941</v>
      </c>
      <c r="E122" s="33">
        <v>28386.015839999996</v>
      </c>
      <c r="F122" s="33">
        <f t="shared" si="1"/>
        <v>5418824.5815999983</v>
      </c>
    </row>
    <row r="123" spans="2:6" x14ac:dyDescent="0.25">
      <c r="B123"/>
      <c r="D123" t="s">
        <v>1070</v>
      </c>
      <c r="E123" s="33">
        <v>28247.74656</v>
      </c>
      <c r="F123" s="33">
        <f t="shared" si="1"/>
        <v>5447072.3281599982</v>
      </c>
    </row>
    <row r="124" spans="2:6" x14ac:dyDescent="0.25">
      <c r="B124"/>
      <c r="D124" t="s">
        <v>953</v>
      </c>
      <c r="E124" s="33">
        <v>28211.92124</v>
      </c>
      <c r="F124" s="33">
        <f t="shared" si="1"/>
        <v>5475284.2493999982</v>
      </c>
    </row>
    <row r="125" spans="2:6" x14ac:dyDescent="0.25">
      <c r="B125"/>
      <c r="D125" t="s">
        <v>922</v>
      </c>
      <c r="E125" s="33">
        <v>28072.190160000002</v>
      </c>
      <c r="F125" s="33">
        <f t="shared" si="1"/>
        <v>5503356.439559998</v>
      </c>
    </row>
    <row r="126" spans="2:6" x14ac:dyDescent="0.25">
      <c r="B126"/>
      <c r="D126" t="s">
        <v>1063</v>
      </c>
      <c r="E126" s="33">
        <v>27756.432000000001</v>
      </c>
      <c r="F126" s="33">
        <f t="shared" si="1"/>
        <v>5531112.871559998</v>
      </c>
    </row>
    <row r="127" spans="2:6" x14ac:dyDescent="0.25">
      <c r="B127"/>
      <c r="D127" t="s">
        <v>795</v>
      </c>
      <c r="E127" s="33">
        <v>27701.570400000001</v>
      </c>
      <c r="F127" s="33">
        <f t="shared" si="1"/>
        <v>5558814.4419599976</v>
      </c>
    </row>
    <row r="128" spans="2:6" x14ac:dyDescent="0.25">
      <c r="B128"/>
      <c r="D128" t="s">
        <v>844</v>
      </c>
      <c r="E128" s="33">
        <v>27676.35</v>
      </c>
      <c r="F128" s="33">
        <f t="shared" si="1"/>
        <v>5586490.7919599973</v>
      </c>
    </row>
    <row r="129" spans="2:6" x14ac:dyDescent="0.25">
      <c r="B129"/>
      <c r="D129" t="s">
        <v>1074</v>
      </c>
      <c r="E129" s="33">
        <v>27465.647999999997</v>
      </c>
      <c r="F129" s="33">
        <f t="shared" si="1"/>
        <v>5613956.4399599973</v>
      </c>
    </row>
    <row r="130" spans="2:6" x14ac:dyDescent="0.25">
      <c r="B130"/>
      <c r="D130" t="s">
        <v>869</v>
      </c>
      <c r="E130" s="33">
        <v>27370.540859999997</v>
      </c>
      <c r="F130" s="33">
        <f t="shared" si="1"/>
        <v>5641326.9808199974</v>
      </c>
    </row>
    <row r="131" spans="2:6" x14ac:dyDescent="0.25">
      <c r="B131"/>
      <c r="D131" t="s">
        <v>768</v>
      </c>
      <c r="E131" s="33">
        <v>27331.829999999998</v>
      </c>
      <c r="F131" s="33">
        <f t="shared" si="1"/>
        <v>5668658.8108199975</v>
      </c>
    </row>
    <row r="132" spans="2:6" x14ac:dyDescent="0.25">
      <c r="B132"/>
      <c r="D132" t="s">
        <v>1168</v>
      </c>
      <c r="E132" s="33">
        <v>27249</v>
      </c>
      <c r="F132" s="33">
        <f t="shared" si="1"/>
        <v>5695907.8108199975</v>
      </c>
    </row>
    <row r="133" spans="2:6" x14ac:dyDescent="0.25">
      <c r="B133"/>
      <c r="D133" t="s">
        <v>1208</v>
      </c>
      <c r="E133" s="33">
        <v>27194.152039999997</v>
      </c>
      <c r="F133" s="33">
        <f t="shared" ref="F133:F196" si="2">E133+F132</f>
        <v>5723101.9628599975</v>
      </c>
    </row>
    <row r="134" spans="2:6" x14ac:dyDescent="0.25">
      <c r="B134"/>
      <c r="D134" t="s">
        <v>1082</v>
      </c>
      <c r="E134" s="33">
        <v>27158.894079999998</v>
      </c>
      <c r="F134" s="33">
        <f t="shared" si="2"/>
        <v>5750260.8569399975</v>
      </c>
    </row>
    <row r="135" spans="2:6" x14ac:dyDescent="0.25">
      <c r="B135"/>
      <c r="D135" t="s">
        <v>1022</v>
      </c>
      <c r="E135" s="33">
        <v>26765.040239999998</v>
      </c>
      <c r="F135" s="33">
        <f t="shared" si="2"/>
        <v>5777025.8971799975</v>
      </c>
    </row>
    <row r="136" spans="2:6" x14ac:dyDescent="0.25">
      <c r="B136"/>
      <c r="D136" t="s">
        <v>1086</v>
      </c>
      <c r="E136" s="33">
        <v>26552.60298</v>
      </c>
      <c r="F136" s="33">
        <f t="shared" si="2"/>
        <v>5803578.5001599975</v>
      </c>
    </row>
    <row r="137" spans="2:6" x14ac:dyDescent="0.25">
      <c r="B137"/>
      <c r="D137" t="s">
        <v>918</v>
      </c>
      <c r="E137" s="33">
        <v>26408.63841</v>
      </c>
      <c r="F137" s="33">
        <f t="shared" si="2"/>
        <v>5829987.1385699976</v>
      </c>
    </row>
    <row r="138" spans="2:6" x14ac:dyDescent="0.25">
      <c r="B138"/>
      <c r="D138" t="s">
        <v>798</v>
      </c>
      <c r="E138" s="33">
        <v>26304.275999999998</v>
      </c>
      <c r="F138" s="33">
        <f t="shared" si="2"/>
        <v>5856291.4145699972</v>
      </c>
    </row>
    <row r="139" spans="2:6" x14ac:dyDescent="0.25">
      <c r="B139"/>
      <c r="D139" t="s">
        <v>765</v>
      </c>
      <c r="E139" s="33">
        <v>26150.364320000001</v>
      </c>
      <c r="F139" s="33">
        <f t="shared" si="2"/>
        <v>5882441.7788899969</v>
      </c>
    </row>
    <row r="140" spans="2:6" x14ac:dyDescent="0.25">
      <c r="B140"/>
      <c r="D140" t="s">
        <v>939</v>
      </c>
      <c r="E140" s="33">
        <v>26131.70736</v>
      </c>
      <c r="F140" s="33">
        <f t="shared" si="2"/>
        <v>5908573.4862499973</v>
      </c>
    </row>
    <row r="141" spans="2:6" x14ac:dyDescent="0.25">
      <c r="B141"/>
      <c r="D141" t="s">
        <v>1073</v>
      </c>
      <c r="E141" s="33">
        <v>26106.613960000002</v>
      </c>
      <c r="F141" s="33">
        <f t="shared" si="2"/>
        <v>5934680.100209997</v>
      </c>
    </row>
    <row r="142" spans="2:6" x14ac:dyDescent="0.25">
      <c r="B142"/>
      <c r="D142" t="s">
        <v>1058</v>
      </c>
      <c r="E142" s="33">
        <v>26015.449459999996</v>
      </c>
      <c r="F142" s="33">
        <f t="shared" si="2"/>
        <v>5960695.5496699968</v>
      </c>
    </row>
    <row r="143" spans="2:6" x14ac:dyDescent="0.25">
      <c r="B143"/>
      <c r="D143" t="s">
        <v>750</v>
      </c>
      <c r="E143" s="33">
        <v>25948.414799999995</v>
      </c>
      <c r="F143" s="33">
        <f t="shared" si="2"/>
        <v>5986643.9644699972</v>
      </c>
    </row>
    <row r="144" spans="2:6" x14ac:dyDescent="0.25">
      <c r="B144"/>
      <c r="D144" t="s">
        <v>878</v>
      </c>
      <c r="E144" s="33">
        <v>25672.127039999999</v>
      </c>
      <c r="F144" s="33">
        <f t="shared" si="2"/>
        <v>6012316.0915099969</v>
      </c>
    </row>
    <row r="145" spans="2:6" x14ac:dyDescent="0.25">
      <c r="B145"/>
      <c r="D145" t="s">
        <v>1034</v>
      </c>
      <c r="E145" s="33">
        <v>25577.274079999999</v>
      </c>
      <c r="F145" s="33">
        <f t="shared" si="2"/>
        <v>6037893.3655899968</v>
      </c>
    </row>
    <row r="146" spans="2:6" x14ac:dyDescent="0.25">
      <c r="B146"/>
      <c r="D146" t="s">
        <v>938</v>
      </c>
      <c r="E146" s="33">
        <v>25553.782800000001</v>
      </c>
      <c r="F146" s="33">
        <f t="shared" si="2"/>
        <v>6063447.148389997</v>
      </c>
    </row>
    <row r="147" spans="2:6" x14ac:dyDescent="0.25">
      <c r="B147"/>
      <c r="D147" t="s">
        <v>833</v>
      </c>
      <c r="E147" s="33">
        <v>25502.910479999999</v>
      </c>
      <c r="F147" s="33">
        <f t="shared" si="2"/>
        <v>6088950.058869997</v>
      </c>
    </row>
    <row r="148" spans="2:6" x14ac:dyDescent="0.25">
      <c r="B148"/>
      <c r="D148" t="s">
        <v>987</v>
      </c>
      <c r="E148" s="33">
        <v>25483.91488</v>
      </c>
      <c r="F148" s="33">
        <f t="shared" si="2"/>
        <v>6114433.9737499971</v>
      </c>
    </row>
    <row r="149" spans="2:6" x14ac:dyDescent="0.25">
      <c r="B149"/>
      <c r="D149" t="s">
        <v>936</v>
      </c>
      <c r="E149" s="33">
        <v>25299.040000000001</v>
      </c>
      <c r="F149" s="33">
        <f t="shared" si="2"/>
        <v>6139733.0137499971</v>
      </c>
    </row>
    <row r="150" spans="2:6" x14ac:dyDescent="0.25">
      <c r="B150"/>
      <c r="D150" t="s">
        <v>1201</v>
      </c>
      <c r="E150" s="33">
        <v>25269.09</v>
      </c>
      <c r="F150" s="33">
        <f t="shared" si="2"/>
        <v>6165002.103749997</v>
      </c>
    </row>
    <row r="151" spans="2:6" x14ac:dyDescent="0.25">
      <c r="B151"/>
      <c r="D151" t="s">
        <v>1230</v>
      </c>
      <c r="E151" s="33">
        <v>25249.613219999999</v>
      </c>
      <c r="F151" s="33">
        <f t="shared" si="2"/>
        <v>6190251.7169699967</v>
      </c>
    </row>
    <row r="152" spans="2:6" x14ac:dyDescent="0.25">
      <c r="B152"/>
      <c r="D152" t="s">
        <v>1350</v>
      </c>
      <c r="E152" s="33">
        <v>25174.028880000002</v>
      </c>
      <c r="F152" s="33">
        <f t="shared" si="2"/>
        <v>6215425.7458499968</v>
      </c>
    </row>
    <row r="153" spans="2:6" x14ac:dyDescent="0.25">
      <c r="B153"/>
      <c r="D153" t="s">
        <v>1319</v>
      </c>
      <c r="E153" s="33">
        <v>25131.155999999999</v>
      </c>
      <c r="F153" s="33">
        <f t="shared" si="2"/>
        <v>6240556.9018499972</v>
      </c>
    </row>
    <row r="154" spans="2:6" x14ac:dyDescent="0.25">
      <c r="B154"/>
      <c r="D154" t="s">
        <v>1300</v>
      </c>
      <c r="E154" s="33">
        <v>25079.480689999997</v>
      </c>
      <c r="F154" s="33">
        <f t="shared" si="2"/>
        <v>6265636.3825399969</v>
      </c>
    </row>
    <row r="155" spans="2:6" x14ac:dyDescent="0.25">
      <c r="B155"/>
      <c r="D155" t="s">
        <v>758</v>
      </c>
      <c r="E155" s="33">
        <v>24894.430559999997</v>
      </c>
      <c r="F155" s="33">
        <f t="shared" si="2"/>
        <v>6290530.8130999971</v>
      </c>
    </row>
    <row r="156" spans="2:6" x14ac:dyDescent="0.25">
      <c r="B156"/>
      <c r="D156" t="s">
        <v>849</v>
      </c>
      <c r="E156" s="33">
        <v>24523.006720000001</v>
      </c>
      <c r="F156" s="33">
        <f t="shared" si="2"/>
        <v>6315053.8198199971</v>
      </c>
    </row>
    <row r="157" spans="2:6" x14ac:dyDescent="0.25">
      <c r="B157"/>
      <c r="D157" t="s">
        <v>926</v>
      </c>
      <c r="E157" s="33">
        <v>24374.594880000001</v>
      </c>
      <c r="F157" s="33">
        <f t="shared" si="2"/>
        <v>6339428.4146999968</v>
      </c>
    </row>
    <row r="158" spans="2:6" x14ac:dyDescent="0.25">
      <c r="B158"/>
      <c r="D158" t="s">
        <v>1192</v>
      </c>
      <c r="E158" s="33">
        <v>24321.57</v>
      </c>
      <c r="F158" s="33">
        <f t="shared" si="2"/>
        <v>6363749.9846999971</v>
      </c>
    </row>
    <row r="159" spans="2:6" x14ac:dyDescent="0.25">
      <c r="B159"/>
      <c r="D159" t="s">
        <v>1171</v>
      </c>
      <c r="E159" s="33">
        <v>24278.849280000002</v>
      </c>
      <c r="F159" s="33">
        <f t="shared" si="2"/>
        <v>6388028.8339799969</v>
      </c>
    </row>
    <row r="160" spans="2:6" x14ac:dyDescent="0.25">
      <c r="B160"/>
      <c r="D160" t="s">
        <v>947</v>
      </c>
      <c r="E160" s="33">
        <v>24223.05</v>
      </c>
      <c r="F160" s="33">
        <f t="shared" si="2"/>
        <v>6412251.8839799967</v>
      </c>
    </row>
    <row r="161" spans="2:6" x14ac:dyDescent="0.25">
      <c r="B161"/>
      <c r="D161" t="s">
        <v>989</v>
      </c>
      <c r="E161" s="33">
        <v>24161.205600000001</v>
      </c>
      <c r="F161" s="33">
        <f t="shared" si="2"/>
        <v>6436413.0895799967</v>
      </c>
    </row>
    <row r="162" spans="2:6" x14ac:dyDescent="0.25">
      <c r="B162"/>
      <c r="D162" t="s">
        <v>891</v>
      </c>
      <c r="E162" s="33">
        <v>24147.922500000001</v>
      </c>
      <c r="F162" s="33">
        <f t="shared" si="2"/>
        <v>6460561.012079997</v>
      </c>
    </row>
    <row r="163" spans="2:6" x14ac:dyDescent="0.25">
      <c r="B163"/>
      <c r="D163" t="s">
        <v>754</v>
      </c>
      <c r="E163" s="33">
        <v>23782.310720000001</v>
      </c>
      <c r="F163" s="33">
        <f t="shared" si="2"/>
        <v>6484343.3227999974</v>
      </c>
    </row>
    <row r="164" spans="2:6" x14ac:dyDescent="0.25">
      <c r="B164"/>
      <c r="D164" t="s">
        <v>1185</v>
      </c>
      <c r="E164" s="33">
        <v>23694.405119999999</v>
      </c>
      <c r="F164" s="33">
        <f t="shared" si="2"/>
        <v>6508037.7279199976</v>
      </c>
    </row>
    <row r="165" spans="2:6" x14ac:dyDescent="0.25">
      <c r="B165"/>
      <c r="D165" t="s">
        <v>841</v>
      </c>
      <c r="E165" s="33">
        <v>23687.524440000001</v>
      </c>
      <c r="F165" s="33">
        <f t="shared" si="2"/>
        <v>6531725.2523599975</v>
      </c>
    </row>
    <row r="166" spans="2:6" x14ac:dyDescent="0.25">
      <c r="B166"/>
      <c r="D166" t="s">
        <v>1142</v>
      </c>
      <c r="E166" s="33">
        <v>23668.560000000001</v>
      </c>
      <c r="F166" s="33">
        <f t="shared" si="2"/>
        <v>6555393.8123599971</v>
      </c>
    </row>
    <row r="167" spans="2:6" x14ac:dyDescent="0.25">
      <c r="B167"/>
      <c r="D167" t="s">
        <v>1026</v>
      </c>
      <c r="E167" s="33">
        <v>23375.594060000003</v>
      </c>
      <c r="F167" s="33">
        <f t="shared" si="2"/>
        <v>6578769.4064199971</v>
      </c>
    </row>
    <row r="168" spans="2:6" x14ac:dyDescent="0.25">
      <c r="B168"/>
      <c r="D168" t="s">
        <v>1089</v>
      </c>
      <c r="E168" s="33">
        <v>23195.01828</v>
      </c>
      <c r="F168" s="33">
        <f t="shared" si="2"/>
        <v>6601964.4246999975</v>
      </c>
    </row>
    <row r="169" spans="2:6" x14ac:dyDescent="0.25">
      <c r="B169"/>
      <c r="D169" t="s">
        <v>1187</v>
      </c>
      <c r="E169" s="33">
        <v>23132.398349999996</v>
      </c>
      <c r="F169" s="33">
        <f t="shared" si="2"/>
        <v>6625096.8230499979</v>
      </c>
    </row>
    <row r="170" spans="2:6" x14ac:dyDescent="0.25">
      <c r="B170"/>
      <c r="D170" t="s">
        <v>855</v>
      </c>
      <c r="E170" s="33">
        <v>22983.34563</v>
      </c>
      <c r="F170" s="33">
        <f t="shared" si="2"/>
        <v>6648080.1686799983</v>
      </c>
    </row>
    <row r="171" spans="2:6" x14ac:dyDescent="0.25">
      <c r="B171"/>
      <c r="D171" t="s">
        <v>994</v>
      </c>
      <c r="E171" s="33">
        <v>22882.675440000003</v>
      </c>
      <c r="F171" s="33">
        <f t="shared" si="2"/>
        <v>6670962.8441199986</v>
      </c>
    </row>
    <row r="172" spans="2:6" x14ac:dyDescent="0.25">
      <c r="B172"/>
      <c r="D172" t="s">
        <v>1317</v>
      </c>
      <c r="E172" s="33">
        <v>22676.312610000001</v>
      </c>
      <c r="F172" s="33">
        <f t="shared" si="2"/>
        <v>6693639.156729999</v>
      </c>
    </row>
    <row r="173" spans="2:6" x14ac:dyDescent="0.25">
      <c r="B173"/>
      <c r="D173" t="s">
        <v>1212</v>
      </c>
      <c r="E173" s="33">
        <v>22620.859800000002</v>
      </c>
      <c r="F173" s="33">
        <f t="shared" si="2"/>
        <v>6716260.0165299987</v>
      </c>
    </row>
    <row r="174" spans="2:6" x14ac:dyDescent="0.25">
      <c r="B174"/>
      <c r="D174" t="s">
        <v>1255</v>
      </c>
      <c r="E174" s="33">
        <v>22526.66</v>
      </c>
      <c r="F174" s="33">
        <f t="shared" si="2"/>
        <v>6738786.6765299989</v>
      </c>
    </row>
    <row r="175" spans="2:6" x14ac:dyDescent="0.25">
      <c r="B175"/>
      <c r="D175" t="s">
        <v>1139</v>
      </c>
      <c r="E175" s="33">
        <v>22457.143800000002</v>
      </c>
      <c r="F175" s="33">
        <f t="shared" si="2"/>
        <v>6761243.8203299986</v>
      </c>
    </row>
    <row r="176" spans="2:6" x14ac:dyDescent="0.25">
      <c r="B176"/>
      <c r="D176" t="s">
        <v>1054</v>
      </c>
      <c r="E176" s="33">
        <v>22380.204000000002</v>
      </c>
      <c r="F176" s="33">
        <f t="shared" si="2"/>
        <v>6783624.0243299985</v>
      </c>
    </row>
    <row r="177" spans="2:6" x14ac:dyDescent="0.25">
      <c r="B177"/>
      <c r="D177" t="s">
        <v>1249</v>
      </c>
      <c r="E177" s="33">
        <v>22201.762229999997</v>
      </c>
      <c r="F177" s="33">
        <f t="shared" si="2"/>
        <v>6805825.786559999</v>
      </c>
    </row>
    <row r="178" spans="2:6" x14ac:dyDescent="0.25">
      <c r="B178"/>
      <c r="D178" t="s">
        <v>1118</v>
      </c>
      <c r="E178" s="33">
        <v>22064.910300000003</v>
      </c>
      <c r="F178" s="33">
        <f t="shared" si="2"/>
        <v>6827890.6968599986</v>
      </c>
    </row>
    <row r="179" spans="2:6" x14ac:dyDescent="0.25">
      <c r="B179"/>
      <c r="D179" t="s">
        <v>894</v>
      </c>
      <c r="E179" s="33">
        <v>22044.871499999997</v>
      </c>
      <c r="F179" s="33">
        <f t="shared" si="2"/>
        <v>6849935.568359999</v>
      </c>
    </row>
    <row r="180" spans="2:6" x14ac:dyDescent="0.25">
      <c r="B180"/>
      <c r="D180" t="s">
        <v>1217</v>
      </c>
      <c r="E180" s="33">
        <v>21908.731650000002</v>
      </c>
      <c r="F180" s="33">
        <f t="shared" si="2"/>
        <v>6871844.3000099994</v>
      </c>
    </row>
    <row r="181" spans="2:6" x14ac:dyDescent="0.25">
      <c r="B181"/>
      <c r="D181" t="s">
        <v>812</v>
      </c>
      <c r="E181" s="33">
        <v>21787.936199999996</v>
      </c>
      <c r="F181" s="33">
        <f t="shared" si="2"/>
        <v>6893632.2362099998</v>
      </c>
    </row>
    <row r="182" spans="2:6" x14ac:dyDescent="0.25">
      <c r="B182"/>
      <c r="D182" t="s">
        <v>930</v>
      </c>
      <c r="E182" s="33">
        <v>21679.749799999998</v>
      </c>
      <c r="F182" s="33">
        <f t="shared" si="2"/>
        <v>6915311.9860100001</v>
      </c>
    </row>
    <row r="183" spans="2:6" x14ac:dyDescent="0.25">
      <c r="B183"/>
      <c r="D183" t="s">
        <v>1177</v>
      </c>
      <c r="E183" s="33">
        <v>21664.440000000002</v>
      </c>
      <c r="F183" s="33">
        <f t="shared" si="2"/>
        <v>6936976.4260100005</v>
      </c>
    </row>
    <row r="184" spans="2:6" x14ac:dyDescent="0.25">
      <c r="B184"/>
      <c r="D184" t="s">
        <v>747</v>
      </c>
      <c r="E184" s="33">
        <v>21585.15</v>
      </c>
      <c r="F184" s="33">
        <f t="shared" si="2"/>
        <v>6958561.5760100009</v>
      </c>
    </row>
    <row r="185" spans="2:6" x14ac:dyDescent="0.25">
      <c r="B185"/>
      <c r="D185" t="s">
        <v>1099</v>
      </c>
      <c r="E185" s="33">
        <v>21584.693520000001</v>
      </c>
      <c r="F185" s="33">
        <f t="shared" si="2"/>
        <v>6980146.2695300011</v>
      </c>
    </row>
    <row r="186" spans="2:6" x14ac:dyDescent="0.25">
      <c r="B186"/>
      <c r="D186" t="s">
        <v>959</v>
      </c>
      <c r="E186" s="33">
        <v>21573.6495</v>
      </c>
      <c r="F186" s="33">
        <f t="shared" si="2"/>
        <v>7001719.9190300014</v>
      </c>
    </row>
    <row r="187" spans="2:6" x14ac:dyDescent="0.25">
      <c r="B187"/>
      <c r="D187" t="s">
        <v>885</v>
      </c>
      <c r="E187" s="33">
        <v>21572.590500000002</v>
      </c>
      <c r="F187" s="33">
        <f t="shared" si="2"/>
        <v>7023292.5095300013</v>
      </c>
    </row>
    <row r="188" spans="2:6" x14ac:dyDescent="0.25">
      <c r="B188"/>
      <c r="D188" t="s">
        <v>1140</v>
      </c>
      <c r="E188" s="33">
        <v>21541.017959999997</v>
      </c>
      <c r="F188" s="33">
        <f t="shared" si="2"/>
        <v>7044833.5274900012</v>
      </c>
    </row>
    <row r="189" spans="2:6" x14ac:dyDescent="0.25">
      <c r="B189"/>
      <c r="D189" t="s">
        <v>818</v>
      </c>
      <c r="E189" s="33">
        <v>21062.61248</v>
      </c>
      <c r="F189" s="33">
        <f t="shared" si="2"/>
        <v>7065896.1399700008</v>
      </c>
    </row>
    <row r="190" spans="2:6" x14ac:dyDescent="0.25">
      <c r="B190"/>
      <c r="D190" t="s">
        <v>1189</v>
      </c>
      <c r="E190" s="33">
        <v>20797.98</v>
      </c>
      <c r="F190" s="33">
        <f t="shared" si="2"/>
        <v>7086694.1199700013</v>
      </c>
    </row>
    <row r="191" spans="2:6" x14ac:dyDescent="0.25">
      <c r="B191"/>
      <c r="D191" t="s">
        <v>1173</v>
      </c>
      <c r="E191" s="33">
        <v>20672.289000000001</v>
      </c>
      <c r="F191" s="33">
        <f t="shared" si="2"/>
        <v>7107366.4089700012</v>
      </c>
    </row>
    <row r="192" spans="2:6" x14ac:dyDescent="0.25">
      <c r="B192"/>
      <c r="D192" t="s">
        <v>1029</v>
      </c>
      <c r="E192" s="33">
        <v>20455.985130000001</v>
      </c>
      <c r="F192" s="33">
        <f t="shared" si="2"/>
        <v>7127822.3941000011</v>
      </c>
    </row>
    <row r="193" spans="2:6" x14ac:dyDescent="0.25">
      <c r="B193"/>
      <c r="D193" t="s">
        <v>1270</v>
      </c>
      <c r="E193" s="33">
        <v>20430.771599999996</v>
      </c>
      <c r="F193" s="33">
        <f t="shared" si="2"/>
        <v>7148253.1657000007</v>
      </c>
    </row>
    <row r="194" spans="2:6" x14ac:dyDescent="0.25">
      <c r="B194"/>
      <c r="D194" t="s">
        <v>1233</v>
      </c>
      <c r="E194" s="33">
        <v>20332.775539999999</v>
      </c>
      <c r="F194" s="33">
        <f t="shared" si="2"/>
        <v>7168585.9412400005</v>
      </c>
    </row>
    <row r="195" spans="2:6" x14ac:dyDescent="0.25">
      <c r="B195"/>
      <c r="D195" t="s">
        <v>757</v>
      </c>
      <c r="E195" s="33">
        <v>20225.2248</v>
      </c>
      <c r="F195" s="33">
        <f t="shared" si="2"/>
        <v>7188811.1660400005</v>
      </c>
    </row>
    <row r="196" spans="2:6" x14ac:dyDescent="0.25">
      <c r="B196"/>
      <c r="D196" t="s">
        <v>806</v>
      </c>
      <c r="E196" s="33">
        <v>20171.63305</v>
      </c>
      <c r="F196" s="33">
        <f t="shared" si="2"/>
        <v>7208982.7990900008</v>
      </c>
    </row>
    <row r="197" spans="2:6" x14ac:dyDescent="0.25">
      <c r="B197"/>
      <c r="D197" t="s">
        <v>1285</v>
      </c>
      <c r="E197" s="33">
        <v>20163.409200000002</v>
      </c>
      <c r="F197" s="33">
        <f t="shared" ref="F197:F260" si="3">E197+F196</f>
        <v>7229146.2082900004</v>
      </c>
    </row>
    <row r="198" spans="2:6" x14ac:dyDescent="0.25">
      <c r="B198"/>
      <c r="D198" t="s">
        <v>763</v>
      </c>
      <c r="E198" s="33">
        <v>20084.133720000002</v>
      </c>
      <c r="F198" s="33">
        <f t="shared" si="3"/>
        <v>7249230.3420100007</v>
      </c>
    </row>
    <row r="199" spans="2:6" x14ac:dyDescent="0.25">
      <c r="B199"/>
      <c r="D199" t="s">
        <v>827</v>
      </c>
      <c r="E199" s="33">
        <v>20079.343620000003</v>
      </c>
      <c r="F199" s="33">
        <f t="shared" si="3"/>
        <v>7269309.6856300011</v>
      </c>
    </row>
    <row r="200" spans="2:6" x14ac:dyDescent="0.25">
      <c r="B200"/>
      <c r="D200" t="s">
        <v>1076</v>
      </c>
      <c r="E200" s="33">
        <v>20053.439999999999</v>
      </c>
      <c r="F200" s="33">
        <f t="shared" si="3"/>
        <v>7289363.1256300015</v>
      </c>
    </row>
    <row r="201" spans="2:6" x14ac:dyDescent="0.25">
      <c r="B201"/>
      <c r="D201" t="s">
        <v>1160</v>
      </c>
      <c r="E201" s="33">
        <v>20038.536</v>
      </c>
      <c r="F201" s="33">
        <f t="shared" si="3"/>
        <v>7309401.6616300019</v>
      </c>
    </row>
    <row r="202" spans="2:6" x14ac:dyDescent="0.25">
      <c r="B202"/>
      <c r="D202" t="s">
        <v>1021</v>
      </c>
      <c r="E202" s="33">
        <v>20028.787380000002</v>
      </c>
      <c r="F202" s="33">
        <f t="shared" si="3"/>
        <v>7329430.4490100015</v>
      </c>
    </row>
    <row r="203" spans="2:6" x14ac:dyDescent="0.25">
      <c r="B203"/>
      <c r="D203" t="s">
        <v>755</v>
      </c>
      <c r="E203" s="33">
        <v>19903.585040000002</v>
      </c>
      <c r="F203" s="33">
        <f t="shared" si="3"/>
        <v>7349334.0340500018</v>
      </c>
    </row>
    <row r="204" spans="2:6" x14ac:dyDescent="0.25">
      <c r="B204"/>
      <c r="D204" t="s">
        <v>1127</v>
      </c>
      <c r="E204" s="33">
        <v>19800.88896</v>
      </c>
      <c r="F204" s="33">
        <f t="shared" si="3"/>
        <v>7369134.9230100019</v>
      </c>
    </row>
    <row r="205" spans="2:6" x14ac:dyDescent="0.25">
      <c r="B205"/>
      <c r="D205" t="s">
        <v>1120</v>
      </c>
      <c r="E205" s="33">
        <v>19773.362699999998</v>
      </c>
      <c r="F205" s="33">
        <f t="shared" si="3"/>
        <v>7388908.2857100023</v>
      </c>
    </row>
    <row r="206" spans="2:6" x14ac:dyDescent="0.25">
      <c r="B206"/>
      <c r="D206" t="s">
        <v>1184</v>
      </c>
      <c r="E206" s="33">
        <v>19628.476999999999</v>
      </c>
      <c r="F206" s="33">
        <f t="shared" si="3"/>
        <v>7408536.7627100023</v>
      </c>
    </row>
    <row r="207" spans="2:6" x14ac:dyDescent="0.25">
      <c r="B207"/>
      <c r="D207" t="s">
        <v>1273</v>
      </c>
      <c r="E207" s="33">
        <v>19581.87</v>
      </c>
      <c r="F207" s="33">
        <f t="shared" si="3"/>
        <v>7428118.6327100024</v>
      </c>
    </row>
    <row r="208" spans="2:6" x14ac:dyDescent="0.25">
      <c r="B208"/>
      <c r="D208" t="s">
        <v>1100</v>
      </c>
      <c r="E208" s="33">
        <v>19547.329920000004</v>
      </c>
      <c r="F208" s="33">
        <f t="shared" si="3"/>
        <v>7447665.9626300028</v>
      </c>
    </row>
    <row r="209" spans="2:6" x14ac:dyDescent="0.25">
      <c r="B209"/>
      <c r="D209" t="s">
        <v>924</v>
      </c>
      <c r="E209" s="33">
        <v>19542.975350000001</v>
      </c>
      <c r="F209" s="33">
        <f t="shared" si="3"/>
        <v>7467208.9379800027</v>
      </c>
    </row>
    <row r="210" spans="2:6" x14ac:dyDescent="0.25">
      <c r="B210"/>
      <c r="D210" t="s">
        <v>825</v>
      </c>
      <c r="E210" s="33">
        <v>19510.808000000001</v>
      </c>
      <c r="F210" s="33">
        <f t="shared" si="3"/>
        <v>7486719.7459800029</v>
      </c>
    </row>
    <row r="211" spans="2:6" x14ac:dyDescent="0.25">
      <c r="B211"/>
      <c r="D211" t="s">
        <v>1207</v>
      </c>
      <c r="E211" s="33">
        <v>19233.355499999998</v>
      </c>
      <c r="F211" s="33">
        <f t="shared" si="3"/>
        <v>7505953.1014800025</v>
      </c>
    </row>
    <row r="212" spans="2:6" x14ac:dyDescent="0.25">
      <c r="B212"/>
      <c r="D212" t="s">
        <v>1305</v>
      </c>
      <c r="E212" s="33">
        <v>19139.594240000002</v>
      </c>
      <c r="F212" s="33">
        <f t="shared" si="3"/>
        <v>7525092.6957200021</v>
      </c>
    </row>
    <row r="213" spans="2:6" x14ac:dyDescent="0.25">
      <c r="B213"/>
      <c r="D213" t="s">
        <v>990</v>
      </c>
      <c r="E213" s="33">
        <v>19073.059649999999</v>
      </c>
      <c r="F213" s="33">
        <f t="shared" si="3"/>
        <v>7544165.7553700022</v>
      </c>
    </row>
    <row r="214" spans="2:6" x14ac:dyDescent="0.25">
      <c r="B214"/>
      <c r="D214" t="s">
        <v>1024</v>
      </c>
      <c r="E214" s="33">
        <v>19066.045319999997</v>
      </c>
      <c r="F214" s="33">
        <f t="shared" si="3"/>
        <v>7563231.8006900018</v>
      </c>
    </row>
    <row r="215" spans="2:6" x14ac:dyDescent="0.25">
      <c r="B215"/>
      <c r="D215" t="s">
        <v>770</v>
      </c>
      <c r="E215" s="33">
        <v>18957.37689</v>
      </c>
      <c r="F215" s="33">
        <f t="shared" si="3"/>
        <v>7582189.1775800018</v>
      </c>
    </row>
    <row r="216" spans="2:6" x14ac:dyDescent="0.25">
      <c r="B216"/>
      <c r="D216" t="s">
        <v>1284</v>
      </c>
      <c r="E216" s="33">
        <v>18830.12472</v>
      </c>
      <c r="F216" s="33">
        <f t="shared" si="3"/>
        <v>7601019.3023000015</v>
      </c>
    </row>
    <row r="217" spans="2:6" x14ac:dyDescent="0.25">
      <c r="B217"/>
      <c r="D217" t="s">
        <v>1130</v>
      </c>
      <c r="E217" s="33">
        <v>18641.222160000001</v>
      </c>
      <c r="F217" s="33">
        <f t="shared" si="3"/>
        <v>7619660.5244600018</v>
      </c>
    </row>
    <row r="218" spans="2:6" x14ac:dyDescent="0.25">
      <c r="B218"/>
      <c r="D218" t="s">
        <v>1101</v>
      </c>
      <c r="E218" s="33">
        <v>18554.370299999999</v>
      </c>
      <c r="F218" s="33">
        <f t="shared" si="3"/>
        <v>7638214.8947600015</v>
      </c>
    </row>
    <row r="219" spans="2:6" x14ac:dyDescent="0.25">
      <c r="B219"/>
      <c r="D219" t="s">
        <v>1346</v>
      </c>
      <c r="E219" s="33">
        <v>18500.693520000001</v>
      </c>
      <c r="F219" s="33">
        <f t="shared" si="3"/>
        <v>7656715.5882800017</v>
      </c>
    </row>
    <row r="220" spans="2:6" x14ac:dyDescent="0.25">
      <c r="B220"/>
      <c r="D220" t="s">
        <v>1148</v>
      </c>
      <c r="E220" s="33">
        <v>18411.4084</v>
      </c>
      <c r="F220" s="33">
        <f t="shared" si="3"/>
        <v>7675126.9966800017</v>
      </c>
    </row>
    <row r="221" spans="2:6" x14ac:dyDescent="0.25">
      <c r="B221"/>
      <c r="D221" t="s">
        <v>815</v>
      </c>
      <c r="E221" s="33">
        <v>18258.868320000001</v>
      </c>
      <c r="F221" s="33">
        <f t="shared" si="3"/>
        <v>7693385.8650000021</v>
      </c>
    </row>
    <row r="222" spans="2:6" x14ac:dyDescent="0.25">
      <c r="B222"/>
      <c r="D222" t="s">
        <v>944</v>
      </c>
      <c r="E222" s="33">
        <v>18061.204320000004</v>
      </c>
      <c r="F222" s="33">
        <f t="shared" si="3"/>
        <v>7711447.0693200016</v>
      </c>
    </row>
    <row r="223" spans="2:6" x14ac:dyDescent="0.25">
      <c r="B223"/>
      <c r="D223" t="s">
        <v>1343</v>
      </c>
      <c r="E223" s="33">
        <v>18003.847679999999</v>
      </c>
      <c r="F223" s="33">
        <f t="shared" si="3"/>
        <v>7729450.9170000013</v>
      </c>
    </row>
    <row r="224" spans="2:6" x14ac:dyDescent="0.25">
      <c r="B224"/>
      <c r="D224" t="s">
        <v>995</v>
      </c>
      <c r="E224" s="33">
        <v>17964.4038</v>
      </c>
      <c r="F224" s="33">
        <f t="shared" si="3"/>
        <v>7747415.3208000017</v>
      </c>
    </row>
    <row r="225" spans="2:6" x14ac:dyDescent="0.25">
      <c r="B225"/>
      <c r="D225" t="s">
        <v>735</v>
      </c>
      <c r="E225" s="33">
        <v>17960.432489999999</v>
      </c>
      <c r="F225" s="33">
        <f t="shared" si="3"/>
        <v>7765375.7532900013</v>
      </c>
    </row>
    <row r="226" spans="2:6" x14ac:dyDescent="0.25">
      <c r="B226"/>
      <c r="D226" t="s">
        <v>778</v>
      </c>
      <c r="E226" s="33">
        <v>17930.494560000003</v>
      </c>
      <c r="F226" s="33">
        <f t="shared" si="3"/>
        <v>7783306.2478500009</v>
      </c>
    </row>
    <row r="227" spans="2:6" x14ac:dyDescent="0.25">
      <c r="B227"/>
      <c r="D227" t="s">
        <v>943</v>
      </c>
      <c r="E227" s="33">
        <v>17847.907199999998</v>
      </c>
      <c r="F227" s="33">
        <f t="shared" si="3"/>
        <v>7801154.1550500011</v>
      </c>
    </row>
    <row r="228" spans="2:6" x14ac:dyDescent="0.25">
      <c r="B228"/>
      <c r="D228" t="s">
        <v>1133</v>
      </c>
      <c r="E228" s="33">
        <v>17731.623</v>
      </c>
      <c r="F228" s="33">
        <f t="shared" si="3"/>
        <v>7818885.7780500008</v>
      </c>
    </row>
    <row r="229" spans="2:6" x14ac:dyDescent="0.25">
      <c r="B229"/>
      <c r="D229" t="s">
        <v>986</v>
      </c>
      <c r="E229" s="33">
        <v>17689.623</v>
      </c>
      <c r="F229" s="33">
        <f t="shared" si="3"/>
        <v>7836575.4010500005</v>
      </c>
    </row>
    <row r="230" spans="2:6" x14ac:dyDescent="0.25">
      <c r="B230"/>
      <c r="D230" t="s">
        <v>1001</v>
      </c>
      <c r="E230" s="33">
        <v>17594.028880000002</v>
      </c>
      <c r="F230" s="33">
        <f t="shared" si="3"/>
        <v>7854169.4299300006</v>
      </c>
    </row>
    <row r="231" spans="2:6" x14ac:dyDescent="0.25">
      <c r="B231"/>
      <c r="D231" t="s">
        <v>1298</v>
      </c>
      <c r="E231" s="33">
        <v>17540.201120000002</v>
      </c>
      <c r="F231" s="33">
        <f t="shared" si="3"/>
        <v>7871709.6310500009</v>
      </c>
    </row>
    <row r="232" spans="2:6" x14ac:dyDescent="0.25">
      <c r="B232"/>
      <c r="D232" t="s">
        <v>985</v>
      </c>
      <c r="E232" s="33">
        <v>17453.3436</v>
      </c>
      <c r="F232" s="33">
        <f t="shared" si="3"/>
        <v>7889162.9746500012</v>
      </c>
    </row>
    <row r="233" spans="2:6" x14ac:dyDescent="0.25">
      <c r="B233"/>
      <c r="D233" t="s">
        <v>1014</v>
      </c>
      <c r="E233" s="33">
        <v>17441.021520000002</v>
      </c>
      <c r="F233" s="33">
        <f t="shared" si="3"/>
        <v>7906603.9961700011</v>
      </c>
    </row>
    <row r="234" spans="2:6" x14ac:dyDescent="0.25">
      <c r="B234"/>
      <c r="D234" t="s">
        <v>1134</v>
      </c>
      <c r="E234" s="33">
        <v>17427.164800000002</v>
      </c>
      <c r="F234" s="33">
        <f t="shared" si="3"/>
        <v>7924031.1609700015</v>
      </c>
    </row>
    <row r="235" spans="2:6" x14ac:dyDescent="0.25">
      <c r="B235"/>
      <c r="D235" t="s">
        <v>969</v>
      </c>
      <c r="E235" s="33">
        <v>17359.804799999998</v>
      </c>
      <c r="F235" s="33">
        <f t="shared" si="3"/>
        <v>7941390.9657700015</v>
      </c>
    </row>
    <row r="236" spans="2:6" x14ac:dyDescent="0.25">
      <c r="B236"/>
      <c r="D236" t="s">
        <v>1135</v>
      </c>
      <c r="E236" s="33">
        <v>16946.091840000001</v>
      </c>
      <c r="F236" s="33">
        <f t="shared" si="3"/>
        <v>7958337.0576100014</v>
      </c>
    </row>
    <row r="237" spans="2:6" x14ac:dyDescent="0.25">
      <c r="B237"/>
      <c r="D237" t="s">
        <v>1105</v>
      </c>
      <c r="E237" s="33">
        <v>16873.45</v>
      </c>
      <c r="F237" s="33">
        <f t="shared" si="3"/>
        <v>7975210.5076100016</v>
      </c>
    </row>
    <row r="238" spans="2:6" x14ac:dyDescent="0.25">
      <c r="B238"/>
      <c r="D238" t="s">
        <v>962</v>
      </c>
      <c r="E238" s="33">
        <v>16609.090809999998</v>
      </c>
      <c r="F238" s="33">
        <f t="shared" si="3"/>
        <v>7991819.5984200016</v>
      </c>
    </row>
    <row r="239" spans="2:6" x14ac:dyDescent="0.25">
      <c r="B239"/>
      <c r="D239" t="s">
        <v>1232</v>
      </c>
      <c r="E239" s="33">
        <v>16574.544740000001</v>
      </c>
      <c r="F239" s="33">
        <f t="shared" si="3"/>
        <v>8008394.1431600014</v>
      </c>
    </row>
    <row r="240" spans="2:6" x14ac:dyDescent="0.25">
      <c r="B240"/>
      <c r="D240" t="s">
        <v>1085</v>
      </c>
      <c r="E240" s="33">
        <v>16487.22781</v>
      </c>
      <c r="F240" s="33">
        <f t="shared" si="3"/>
        <v>8024881.3709700014</v>
      </c>
    </row>
    <row r="241" spans="2:6" x14ac:dyDescent="0.25">
      <c r="B241"/>
      <c r="D241" t="s">
        <v>1051</v>
      </c>
      <c r="E241" s="33">
        <v>16306.59375</v>
      </c>
      <c r="F241" s="33">
        <f t="shared" si="3"/>
        <v>8041187.9647200014</v>
      </c>
    </row>
    <row r="242" spans="2:6" x14ac:dyDescent="0.25">
      <c r="B242"/>
      <c r="D242" t="s">
        <v>1202</v>
      </c>
      <c r="E242" s="33">
        <v>16252.219979999998</v>
      </c>
      <c r="F242" s="33">
        <f t="shared" si="3"/>
        <v>8057440.184700001</v>
      </c>
    </row>
    <row r="243" spans="2:6" x14ac:dyDescent="0.25">
      <c r="B243"/>
      <c r="D243" t="s">
        <v>1069</v>
      </c>
      <c r="E243" s="33">
        <v>16219.34496</v>
      </c>
      <c r="F243" s="33">
        <f t="shared" si="3"/>
        <v>8073659.5296600014</v>
      </c>
    </row>
    <row r="244" spans="2:6" x14ac:dyDescent="0.25">
      <c r="B244"/>
      <c r="D244" t="s">
        <v>1123</v>
      </c>
      <c r="E244" s="33">
        <v>16142.527829999999</v>
      </c>
      <c r="F244" s="33">
        <f t="shared" si="3"/>
        <v>8089802.0574900014</v>
      </c>
    </row>
    <row r="245" spans="2:6" x14ac:dyDescent="0.25">
      <c r="B245"/>
      <c r="D245" t="s">
        <v>1146</v>
      </c>
      <c r="E245" s="33">
        <v>16134.22069</v>
      </c>
      <c r="F245" s="33">
        <f t="shared" si="3"/>
        <v>8105936.2781800013</v>
      </c>
    </row>
    <row r="246" spans="2:6" x14ac:dyDescent="0.25">
      <c r="B246"/>
      <c r="D246" t="s">
        <v>1256</v>
      </c>
      <c r="E246" s="33">
        <v>16121.273400000002</v>
      </c>
      <c r="F246" s="33">
        <f t="shared" si="3"/>
        <v>8122057.5515800016</v>
      </c>
    </row>
    <row r="247" spans="2:6" x14ac:dyDescent="0.25">
      <c r="B247"/>
      <c r="D247" t="s">
        <v>863</v>
      </c>
      <c r="E247" s="33">
        <v>16071.44868</v>
      </c>
      <c r="F247" s="33">
        <f t="shared" si="3"/>
        <v>8138129.000260002</v>
      </c>
    </row>
    <row r="248" spans="2:6" x14ac:dyDescent="0.25">
      <c r="B248"/>
      <c r="D248" t="s">
        <v>856</v>
      </c>
      <c r="E248" s="33">
        <v>16061.972879999999</v>
      </c>
      <c r="F248" s="33">
        <f t="shared" si="3"/>
        <v>8154190.9731400022</v>
      </c>
    </row>
    <row r="249" spans="2:6" x14ac:dyDescent="0.25">
      <c r="B249"/>
      <c r="D249" t="s">
        <v>800</v>
      </c>
      <c r="E249" s="33">
        <v>16013.681599999998</v>
      </c>
      <c r="F249" s="33">
        <f t="shared" si="3"/>
        <v>8170204.654740002</v>
      </c>
    </row>
    <row r="250" spans="2:6" x14ac:dyDescent="0.25">
      <c r="B250"/>
      <c r="D250" t="s">
        <v>744</v>
      </c>
      <c r="E250" s="33">
        <v>16006.14344</v>
      </c>
      <c r="F250" s="33">
        <f t="shared" si="3"/>
        <v>8186210.7981800018</v>
      </c>
    </row>
    <row r="251" spans="2:6" x14ac:dyDescent="0.25">
      <c r="B251"/>
      <c r="D251" t="s">
        <v>1286</v>
      </c>
      <c r="E251" s="33">
        <v>15860.782080000001</v>
      </c>
      <c r="F251" s="33">
        <f t="shared" si="3"/>
        <v>8202071.5802600021</v>
      </c>
    </row>
    <row r="252" spans="2:6" x14ac:dyDescent="0.25">
      <c r="B252"/>
      <c r="D252" t="s">
        <v>942</v>
      </c>
      <c r="E252" s="33">
        <v>15825.399369999997</v>
      </c>
      <c r="F252" s="33">
        <f t="shared" si="3"/>
        <v>8217896.9796300018</v>
      </c>
    </row>
    <row r="253" spans="2:6" x14ac:dyDescent="0.25">
      <c r="B253"/>
      <c r="D253" t="s">
        <v>910</v>
      </c>
      <c r="E253" s="33">
        <v>15656.47056</v>
      </c>
      <c r="F253" s="33">
        <f t="shared" si="3"/>
        <v>8233553.4501900021</v>
      </c>
    </row>
    <row r="254" spans="2:6" x14ac:dyDescent="0.25">
      <c r="B254"/>
      <c r="D254" t="s">
        <v>1279</v>
      </c>
      <c r="E254" s="33">
        <v>15530.929919999999</v>
      </c>
      <c r="F254" s="33">
        <f t="shared" si="3"/>
        <v>8249084.3801100021</v>
      </c>
    </row>
    <row r="255" spans="2:6" x14ac:dyDescent="0.25">
      <c r="B255"/>
      <c r="D255" t="s">
        <v>1018</v>
      </c>
      <c r="E255" s="33">
        <v>15505.479600000001</v>
      </c>
      <c r="F255" s="33">
        <f t="shared" si="3"/>
        <v>8264589.8597100023</v>
      </c>
    </row>
    <row r="256" spans="2:6" x14ac:dyDescent="0.25">
      <c r="B256"/>
      <c r="D256" t="s">
        <v>958</v>
      </c>
      <c r="E256" s="33">
        <v>15490.527</v>
      </c>
      <c r="F256" s="33">
        <f t="shared" si="3"/>
        <v>8280080.3867100021</v>
      </c>
    </row>
    <row r="257" spans="2:6" x14ac:dyDescent="0.25">
      <c r="B257"/>
      <c r="D257" t="s">
        <v>1205</v>
      </c>
      <c r="E257" s="33">
        <v>15374.563199999999</v>
      </c>
      <c r="F257" s="33">
        <f t="shared" si="3"/>
        <v>8295454.9499100018</v>
      </c>
    </row>
    <row r="258" spans="2:6" x14ac:dyDescent="0.25">
      <c r="B258"/>
      <c r="D258" t="s">
        <v>1158</v>
      </c>
      <c r="E258" s="33">
        <v>15366.983199999999</v>
      </c>
      <c r="F258" s="33">
        <f t="shared" si="3"/>
        <v>8310821.9331100015</v>
      </c>
    </row>
    <row r="259" spans="2:6" x14ac:dyDescent="0.25">
      <c r="B259"/>
      <c r="D259" t="s">
        <v>1111</v>
      </c>
      <c r="E259" s="33">
        <v>15348.702599999999</v>
      </c>
      <c r="F259" s="33">
        <f t="shared" si="3"/>
        <v>8326170.6357100019</v>
      </c>
    </row>
    <row r="260" spans="2:6" x14ac:dyDescent="0.25">
      <c r="B260"/>
      <c r="D260" t="s">
        <v>1240</v>
      </c>
      <c r="E260" s="33">
        <v>15323.926799999999</v>
      </c>
      <c r="F260" s="33">
        <f t="shared" si="3"/>
        <v>8341494.5625100015</v>
      </c>
    </row>
    <row r="261" spans="2:6" x14ac:dyDescent="0.25">
      <c r="B261"/>
      <c r="D261" t="s">
        <v>1117</v>
      </c>
      <c r="E261" s="33">
        <v>15257.51748</v>
      </c>
      <c r="F261" s="33">
        <f t="shared" ref="F261:F324" si="4">E261+F260</f>
        <v>8356752.0799900014</v>
      </c>
    </row>
    <row r="262" spans="2:6" x14ac:dyDescent="0.25">
      <c r="B262"/>
      <c r="D262" t="s">
        <v>949</v>
      </c>
      <c r="E262" s="33">
        <v>15253.069799999999</v>
      </c>
      <c r="F262" s="33">
        <f t="shared" si="4"/>
        <v>8372005.1497900011</v>
      </c>
    </row>
    <row r="263" spans="2:6" x14ac:dyDescent="0.25">
      <c r="B263"/>
      <c r="D263" t="s">
        <v>1268</v>
      </c>
      <c r="E263" s="33">
        <v>15155.326800000001</v>
      </c>
      <c r="F263" s="33">
        <f t="shared" si="4"/>
        <v>8387160.476590001</v>
      </c>
    </row>
    <row r="264" spans="2:6" x14ac:dyDescent="0.25">
      <c r="B264"/>
      <c r="D264" t="s">
        <v>772</v>
      </c>
      <c r="E264" s="33">
        <v>14968.239</v>
      </c>
      <c r="F264" s="33">
        <f t="shared" si="4"/>
        <v>8402128.7155900002</v>
      </c>
    </row>
    <row r="265" spans="2:6" x14ac:dyDescent="0.25">
      <c r="B265"/>
      <c r="D265" t="s">
        <v>934</v>
      </c>
      <c r="E265" s="33">
        <v>14963.769179999999</v>
      </c>
      <c r="F265" s="33">
        <f t="shared" si="4"/>
        <v>8417092.48477</v>
      </c>
    </row>
    <row r="266" spans="2:6" x14ac:dyDescent="0.25">
      <c r="B266"/>
      <c r="D266" t="s">
        <v>1327</v>
      </c>
      <c r="E266" s="33">
        <v>14910.609600000002</v>
      </c>
      <c r="F266" s="33">
        <f t="shared" si="4"/>
        <v>8432003.0943700001</v>
      </c>
    </row>
    <row r="267" spans="2:6" x14ac:dyDescent="0.25">
      <c r="B267"/>
      <c r="D267" t="s">
        <v>784</v>
      </c>
      <c r="E267" s="33">
        <v>14894.903999999999</v>
      </c>
      <c r="F267" s="33">
        <f t="shared" si="4"/>
        <v>8446897.9983699992</v>
      </c>
    </row>
    <row r="268" spans="2:6" x14ac:dyDescent="0.25">
      <c r="B268"/>
      <c r="D268" t="s">
        <v>882</v>
      </c>
      <c r="E268" s="33">
        <v>14877.464000000002</v>
      </c>
      <c r="F268" s="33">
        <f t="shared" si="4"/>
        <v>8461775.4623699989</v>
      </c>
    </row>
    <row r="269" spans="2:6" x14ac:dyDescent="0.25">
      <c r="B269"/>
      <c r="D269" t="s">
        <v>1093</v>
      </c>
      <c r="E269" s="33">
        <v>14813.731920000002</v>
      </c>
      <c r="F269" s="33">
        <f t="shared" si="4"/>
        <v>8476589.1942899991</v>
      </c>
    </row>
    <row r="270" spans="2:6" x14ac:dyDescent="0.25">
      <c r="B270"/>
      <c r="D270" t="s">
        <v>1188</v>
      </c>
      <c r="E270" s="33">
        <v>14752.706080000002</v>
      </c>
      <c r="F270" s="33">
        <f t="shared" si="4"/>
        <v>8491341.9003699999</v>
      </c>
    </row>
    <row r="271" spans="2:6" x14ac:dyDescent="0.25">
      <c r="B271"/>
      <c r="D271" t="s">
        <v>742</v>
      </c>
      <c r="E271" s="33">
        <v>14714.12934</v>
      </c>
      <c r="F271" s="33">
        <f t="shared" si="4"/>
        <v>8506056.0297100004</v>
      </c>
    </row>
    <row r="272" spans="2:6" x14ac:dyDescent="0.25">
      <c r="B272"/>
      <c r="D272" t="s">
        <v>904</v>
      </c>
      <c r="E272" s="33">
        <v>14549.029120000001</v>
      </c>
      <c r="F272" s="33">
        <f t="shared" si="4"/>
        <v>8520605.0588300005</v>
      </c>
    </row>
    <row r="273" spans="2:6" x14ac:dyDescent="0.25">
      <c r="B273"/>
      <c r="D273" t="s">
        <v>1153</v>
      </c>
      <c r="E273" s="33">
        <v>14527.748400000002</v>
      </c>
      <c r="F273" s="33">
        <f t="shared" si="4"/>
        <v>8535132.8072300013</v>
      </c>
    </row>
    <row r="274" spans="2:6" x14ac:dyDescent="0.25">
      <c r="B274"/>
      <c r="D274" t="s">
        <v>1306</v>
      </c>
      <c r="E274" s="33">
        <v>14466.95104</v>
      </c>
      <c r="F274" s="33">
        <f t="shared" si="4"/>
        <v>8549599.758270001</v>
      </c>
    </row>
    <row r="275" spans="2:6" x14ac:dyDescent="0.25">
      <c r="B275"/>
      <c r="D275" t="s">
        <v>900</v>
      </c>
      <c r="E275" s="33">
        <v>14448.298699999998</v>
      </c>
      <c r="F275" s="33">
        <f t="shared" si="4"/>
        <v>8564048.0569700003</v>
      </c>
    </row>
    <row r="276" spans="2:6" x14ac:dyDescent="0.25">
      <c r="B276"/>
      <c r="D276" t="s">
        <v>1128</v>
      </c>
      <c r="E276" s="33">
        <v>14431.738420000001</v>
      </c>
      <c r="F276" s="33">
        <f t="shared" si="4"/>
        <v>8578479.7953900006</v>
      </c>
    </row>
    <row r="277" spans="2:6" x14ac:dyDescent="0.25">
      <c r="B277"/>
      <c r="D277" t="s">
        <v>801</v>
      </c>
      <c r="E277" s="33">
        <v>14287.896349999999</v>
      </c>
      <c r="F277" s="33">
        <f t="shared" si="4"/>
        <v>8592767.6917400006</v>
      </c>
    </row>
    <row r="278" spans="2:6" x14ac:dyDescent="0.25">
      <c r="B278"/>
      <c r="D278" t="s">
        <v>968</v>
      </c>
      <c r="E278" s="33">
        <v>14269.848599999999</v>
      </c>
      <c r="F278" s="33">
        <f t="shared" si="4"/>
        <v>8607037.5403400008</v>
      </c>
    </row>
    <row r="279" spans="2:6" x14ac:dyDescent="0.25">
      <c r="B279"/>
      <c r="D279" t="s">
        <v>1200</v>
      </c>
      <c r="E279" s="33">
        <v>14261.92439</v>
      </c>
      <c r="F279" s="33">
        <f t="shared" si="4"/>
        <v>8621299.4647300001</v>
      </c>
    </row>
    <row r="280" spans="2:6" x14ac:dyDescent="0.25">
      <c r="B280"/>
      <c r="D280" t="s">
        <v>820</v>
      </c>
      <c r="E280" s="33">
        <v>14197.064400000001</v>
      </c>
      <c r="F280" s="33">
        <f t="shared" si="4"/>
        <v>8635496.5291300006</v>
      </c>
    </row>
    <row r="281" spans="2:6" x14ac:dyDescent="0.25">
      <c r="B281"/>
      <c r="D281" t="s">
        <v>1276</v>
      </c>
      <c r="E281" s="33">
        <v>14114.068500000001</v>
      </c>
      <c r="F281" s="33">
        <f t="shared" si="4"/>
        <v>8649610.5976299997</v>
      </c>
    </row>
    <row r="282" spans="2:6" x14ac:dyDescent="0.25">
      <c r="B282"/>
      <c r="D282" t="s">
        <v>1358</v>
      </c>
      <c r="E282" s="33">
        <v>13983.752729999998</v>
      </c>
      <c r="F282" s="33">
        <f t="shared" si="4"/>
        <v>8663594.3503600005</v>
      </c>
    </row>
    <row r="283" spans="2:6" x14ac:dyDescent="0.25">
      <c r="B283"/>
      <c r="D283" t="s">
        <v>1309</v>
      </c>
      <c r="E283" s="33">
        <v>13882.6016</v>
      </c>
      <c r="F283" s="33">
        <f t="shared" si="4"/>
        <v>8677476.9519600011</v>
      </c>
    </row>
    <row r="284" spans="2:6" x14ac:dyDescent="0.25">
      <c r="B284"/>
      <c r="D284" t="s">
        <v>1338</v>
      </c>
      <c r="E284" s="33">
        <v>13856.52411</v>
      </c>
      <c r="F284" s="33">
        <f t="shared" si="4"/>
        <v>8691333.4760700017</v>
      </c>
    </row>
    <row r="285" spans="2:6" x14ac:dyDescent="0.25">
      <c r="B285"/>
      <c r="D285" t="s">
        <v>1102</v>
      </c>
      <c r="E285" s="33">
        <v>13784.586000000001</v>
      </c>
      <c r="F285" s="33">
        <f t="shared" si="4"/>
        <v>8705118.0620700009</v>
      </c>
    </row>
    <row r="286" spans="2:6" x14ac:dyDescent="0.25">
      <c r="B286"/>
      <c r="D286" t="s">
        <v>836</v>
      </c>
      <c r="E286" s="33">
        <v>13669.81</v>
      </c>
      <c r="F286" s="33">
        <f t="shared" si="4"/>
        <v>8718787.8720700014</v>
      </c>
    </row>
    <row r="287" spans="2:6" x14ac:dyDescent="0.25">
      <c r="B287"/>
      <c r="D287" t="s">
        <v>1079</v>
      </c>
      <c r="E287" s="33">
        <v>13637.287999999999</v>
      </c>
      <c r="F287" s="33">
        <f t="shared" si="4"/>
        <v>8732425.1600700021</v>
      </c>
    </row>
    <row r="288" spans="2:6" x14ac:dyDescent="0.25">
      <c r="B288"/>
      <c r="D288" t="s">
        <v>954</v>
      </c>
      <c r="E288" s="33">
        <v>13519.529099999998</v>
      </c>
      <c r="F288" s="33">
        <f t="shared" si="4"/>
        <v>8745944.6891700029</v>
      </c>
    </row>
    <row r="289" spans="2:6" x14ac:dyDescent="0.25">
      <c r="B289"/>
      <c r="D289" t="s">
        <v>1161</v>
      </c>
      <c r="E289" s="33">
        <v>13450.74</v>
      </c>
      <c r="F289" s="33">
        <f t="shared" si="4"/>
        <v>8759395.4291700032</v>
      </c>
    </row>
    <row r="290" spans="2:6" x14ac:dyDescent="0.25">
      <c r="B290"/>
      <c r="D290" t="s">
        <v>1138</v>
      </c>
      <c r="E290" s="33">
        <v>13437.300239999999</v>
      </c>
      <c r="F290" s="33">
        <f t="shared" si="4"/>
        <v>8772832.7294100039</v>
      </c>
    </row>
    <row r="291" spans="2:6" x14ac:dyDescent="0.25">
      <c r="B291"/>
      <c r="D291" t="s">
        <v>1015</v>
      </c>
      <c r="E291" s="33">
        <v>13360.438</v>
      </c>
      <c r="F291" s="33">
        <f t="shared" si="4"/>
        <v>8786193.167410003</v>
      </c>
    </row>
    <row r="292" spans="2:6" x14ac:dyDescent="0.25">
      <c r="B292"/>
      <c r="D292" t="s">
        <v>881</v>
      </c>
      <c r="E292" s="33">
        <v>13321.14</v>
      </c>
      <c r="F292" s="33">
        <f t="shared" si="4"/>
        <v>8799514.3074100036</v>
      </c>
    </row>
    <row r="293" spans="2:6" x14ac:dyDescent="0.25">
      <c r="B293"/>
      <c r="D293" t="s">
        <v>1292</v>
      </c>
      <c r="E293" s="33">
        <v>13251.48</v>
      </c>
      <c r="F293" s="33">
        <f t="shared" si="4"/>
        <v>8812765.7874100041</v>
      </c>
    </row>
    <row r="294" spans="2:6" x14ac:dyDescent="0.25">
      <c r="B294"/>
      <c r="D294" t="s">
        <v>767</v>
      </c>
      <c r="E294" s="33">
        <v>13218.5</v>
      </c>
      <c r="F294" s="33">
        <f t="shared" si="4"/>
        <v>8825984.2874100041</v>
      </c>
    </row>
    <row r="295" spans="2:6" x14ac:dyDescent="0.25">
      <c r="B295"/>
      <c r="D295" t="s">
        <v>1131</v>
      </c>
      <c r="E295" s="33">
        <v>13185.543</v>
      </c>
      <c r="F295" s="33">
        <f t="shared" si="4"/>
        <v>8839169.8304100037</v>
      </c>
    </row>
    <row r="296" spans="2:6" x14ac:dyDescent="0.25">
      <c r="B296"/>
      <c r="D296" t="s">
        <v>819</v>
      </c>
      <c r="E296" s="33">
        <v>13146.470699999998</v>
      </c>
      <c r="F296" s="33">
        <f t="shared" si="4"/>
        <v>8852316.3011100031</v>
      </c>
    </row>
    <row r="297" spans="2:6" x14ac:dyDescent="0.25">
      <c r="B297"/>
      <c r="D297" t="s">
        <v>1291</v>
      </c>
      <c r="E297" s="33">
        <v>13108.78584</v>
      </c>
      <c r="F297" s="33">
        <f t="shared" si="4"/>
        <v>8865425.0869500022</v>
      </c>
    </row>
    <row r="298" spans="2:6" x14ac:dyDescent="0.25">
      <c r="B298"/>
      <c r="D298" t="s">
        <v>1132</v>
      </c>
      <c r="E298" s="33">
        <v>12972.00222</v>
      </c>
      <c r="F298" s="33">
        <f t="shared" si="4"/>
        <v>8878397.0891700014</v>
      </c>
    </row>
    <row r="299" spans="2:6" x14ac:dyDescent="0.25">
      <c r="B299"/>
      <c r="D299" t="s">
        <v>1166</v>
      </c>
      <c r="E299" s="33">
        <v>12967.958640000001</v>
      </c>
      <c r="F299" s="33">
        <f t="shared" si="4"/>
        <v>8891365.0478100013</v>
      </c>
    </row>
    <row r="300" spans="2:6" x14ac:dyDescent="0.25">
      <c r="B300"/>
      <c r="D300" t="s">
        <v>1163</v>
      </c>
      <c r="E300" s="33">
        <v>12955.824749999998</v>
      </c>
      <c r="F300" s="33">
        <f t="shared" si="4"/>
        <v>8904320.8725600019</v>
      </c>
    </row>
    <row r="301" spans="2:6" x14ac:dyDescent="0.25">
      <c r="B301"/>
      <c r="D301" t="s">
        <v>879</v>
      </c>
      <c r="E301" s="33">
        <v>12954.358080000002</v>
      </c>
      <c r="F301" s="33">
        <f t="shared" si="4"/>
        <v>8917275.2306400016</v>
      </c>
    </row>
    <row r="302" spans="2:6" x14ac:dyDescent="0.25">
      <c r="B302"/>
      <c r="D302" t="s">
        <v>1114</v>
      </c>
      <c r="E302" s="33">
        <v>12881.097599999999</v>
      </c>
      <c r="F302" s="33">
        <f t="shared" si="4"/>
        <v>8930156.3282400016</v>
      </c>
    </row>
    <row r="303" spans="2:6" x14ac:dyDescent="0.25">
      <c r="B303"/>
      <c r="D303" t="s">
        <v>1362</v>
      </c>
      <c r="E303" s="33">
        <v>12769.38768</v>
      </c>
      <c r="F303" s="33">
        <f t="shared" si="4"/>
        <v>8942925.7159200013</v>
      </c>
    </row>
    <row r="304" spans="2:6" x14ac:dyDescent="0.25">
      <c r="B304"/>
      <c r="D304" t="s">
        <v>1098</v>
      </c>
      <c r="E304" s="33">
        <v>12717.311040000001</v>
      </c>
      <c r="F304" s="33">
        <f t="shared" si="4"/>
        <v>8955643.0269600004</v>
      </c>
    </row>
    <row r="305" spans="2:6" x14ac:dyDescent="0.25">
      <c r="B305"/>
      <c r="D305" t="s">
        <v>1033</v>
      </c>
      <c r="E305" s="33">
        <v>12699.28</v>
      </c>
      <c r="F305" s="33">
        <f t="shared" si="4"/>
        <v>8968342.3069599997</v>
      </c>
    </row>
    <row r="306" spans="2:6" x14ac:dyDescent="0.25">
      <c r="B306"/>
      <c r="D306" t="s">
        <v>1174</v>
      </c>
      <c r="E306" s="33">
        <v>12668.50728</v>
      </c>
      <c r="F306" s="33">
        <f t="shared" si="4"/>
        <v>8981010.8142399993</v>
      </c>
    </row>
    <row r="307" spans="2:6" x14ac:dyDescent="0.25">
      <c r="B307"/>
      <c r="D307" t="s">
        <v>999</v>
      </c>
      <c r="E307" s="33">
        <v>12597.52224</v>
      </c>
      <c r="F307" s="33">
        <f t="shared" si="4"/>
        <v>8993608.3364799991</v>
      </c>
    </row>
    <row r="308" spans="2:6" x14ac:dyDescent="0.25">
      <c r="B308"/>
      <c r="D308" t="s">
        <v>1183</v>
      </c>
      <c r="E308" s="33">
        <v>12462.65055</v>
      </c>
      <c r="F308" s="33">
        <f t="shared" si="4"/>
        <v>9006070.9870299995</v>
      </c>
    </row>
    <row r="309" spans="2:6" x14ac:dyDescent="0.25">
      <c r="B309"/>
      <c r="D309" t="s">
        <v>901</v>
      </c>
      <c r="E309" s="33">
        <v>12413.98458</v>
      </c>
      <c r="F309" s="33">
        <f t="shared" si="4"/>
        <v>9018484.9716100004</v>
      </c>
    </row>
    <row r="310" spans="2:6" x14ac:dyDescent="0.25">
      <c r="B310"/>
      <c r="D310" t="s">
        <v>838</v>
      </c>
      <c r="E310" s="33">
        <v>12335.654849999999</v>
      </c>
      <c r="F310" s="33">
        <f t="shared" si="4"/>
        <v>9030820.6264600009</v>
      </c>
    </row>
    <row r="311" spans="2:6" x14ac:dyDescent="0.25">
      <c r="B311"/>
      <c r="D311" t="s">
        <v>1182</v>
      </c>
      <c r="E311" s="33">
        <v>12289.2</v>
      </c>
      <c r="F311" s="33">
        <f t="shared" si="4"/>
        <v>9043109.8264600001</v>
      </c>
    </row>
    <row r="312" spans="2:6" x14ac:dyDescent="0.25">
      <c r="B312"/>
      <c r="D312" t="s">
        <v>978</v>
      </c>
      <c r="E312" s="33">
        <v>12248.675999999999</v>
      </c>
      <c r="F312" s="33">
        <f t="shared" si="4"/>
        <v>9055358.502460001</v>
      </c>
    </row>
    <row r="313" spans="2:6" x14ac:dyDescent="0.25">
      <c r="B313"/>
      <c r="D313" t="s">
        <v>1083</v>
      </c>
      <c r="E313" s="33">
        <v>12236.874600000001</v>
      </c>
      <c r="F313" s="33">
        <f t="shared" si="4"/>
        <v>9067595.3770600017</v>
      </c>
    </row>
    <row r="314" spans="2:6" x14ac:dyDescent="0.25">
      <c r="B314"/>
      <c r="D314" t="s">
        <v>897</v>
      </c>
      <c r="E314" s="33">
        <v>12194.714</v>
      </c>
      <c r="F314" s="33">
        <f t="shared" si="4"/>
        <v>9079790.0910600014</v>
      </c>
    </row>
    <row r="315" spans="2:6" x14ac:dyDescent="0.25">
      <c r="B315"/>
      <c r="D315" t="s">
        <v>984</v>
      </c>
      <c r="E315" s="33">
        <v>12186.368600000002</v>
      </c>
      <c r="F315" s="33">
        <f t="shared" si="4"/>
        <v>9091976.4596600011</v>
      </c>
    </row>
    <row r="316" spans="2:6" x14ac:dyDescent="0.25">
      <c r="B316"/>
      <c r="D316" t="s">
        <v>799</v>
      </c>
      <c r="E316" s="33">
        <v>12153.267360000002</v>
      </c>
      <c r="F316" s="33">
        <f t="shared" si="4"/>
        <v>9104129.727020001</v>
      </c>
    </row>
    <row r="317" spans="2:6" x14ac:dyDescent="0.25">
      <c r="B317"/>
      <c r="D317" t="s">
        <v>1308</v>
      </c>
      <c r="E317" s="33">
        <v>12091.190399999999</v>
      </c>
      <c r="F317" s="33">
        <f t="shared" si="4"/>
        <v>9116220.9174200017</v>
      </c>
    </row>
    <row r="318" spans="2:6" x14ac:dyDescent="0.25">
      <c r="B318"/>
      <c r="D318" t="s">
        <v>839</v>
      </c>
      <c r="E318" s="33">
        <v>12080.215199999999</v>
      </c>
      <c r="F318" s="33">
        <f t="shared" si="4"/>
        <v>9128301.1326200012</v>
      </c>
    </row>
    <row r="319" spans="2:6" x14ac:dyDescent="0.25">
      <c r="B319"/>
      <c r="D319" t="s">
        <v>1321</v>
      </c>
      <c r="E319" s="33">
        <v>12040.64352</v>
      </c>
      <c r="F319" s="33">
        <f t="shared" si="4"/>
        <v>9140341.7761400007</v>
      </c>
    </row>
    <row r="320" spans="2:6" x14ac:dyDescent="0.25">
      <c r="B320"/>
      <c r="D320" t="s">
        <v>868</v>
      </c>
      <c r="E320" s="33">
        <v>12031.491680000001</v>
      </c>
      <c r="F320" s="33">
        <f t="shared" si="4"/>
        <v>9152373.2678200006</v>
      </c>
    </row>
    <row r="321" spans="2:6" x14ac:dyDescent="0.25">
      <c r="B321"/>
      <c r="D321" t="s">
        <v>771</v>
      </c>
      <c r="E321" s="33">
        <v>11995.153920000001</v>
      </c>
      <c r="F321" s="33">
        <f t="shared" si="4"/>
        <v>9164368.4217400011</v>
      </c>
    </row>
    <row r="322" spans="2:6" x14ac:dyDescent="0.25">
      <c r="B322"/>
      <c r="D322" t="s">
        <v>1186</v>
      </c>
      <c r="E322" s="33">
        <v>11984.891250000001</v>
      </c>
      <c r="F322" s="33">
        <f t="shared" si="4"/>
        <v>9176353.3129900005</v>
      </c>
    </row>
    <row r="323" spans="2:6" x14ac:dyDescent="0.25">
      <c r="B323"/>
      <c r="D323" t="s">
        <v>1266</v>
      </c>
      <c r="E323" s="33">
        <v>11924.0978</v>
      </c>
      <c r="F323" s="33">
        <f t="shared" si="4"/>
        <v>9188277.4107900001</v>
      </c>
    </row>
    <row r="324" spans="2:6" x14ac:dyDescent="0.25">
      <c r="B324"/>
      <c r="D324" t="s">
        <v>1227</v>
      </c>
      <c r="E324" s="33">
        <v>11859.695119999998</v>
      </c>
      <c r="F324" s="33">
        <f t="shared" si="4"/>
        <v>9200137.1059099995</v>
      </c>
    </row>
    <row r="325" spans="2:6" x14ac:dyDescent="0.25">
      <c r="B325"/>
      <c r="D325" t="s">
        <v>898</v>
      </c>
      <c r="E325" s="33">
        <v>11851.806399999999</v>
      </c>
      <c r="F325" s="33">
        <f t="shared" ref="F325:F388" si="5">E325+F324</f>
        <v>9211988.9123099986</v>
      </c>
    </row>
    <row r="326" spans="2:6" x14ac:dyDescent="0.25">
      <c r="B326"/>
      <c r="D326" t="s">
        <v>822</v>
      </c>
      <c r="E326" s="33">
        <v>11842.8464</v>
      </c>
      <c r="F326" s="33">
        <f t="shared" si="5"/>
        <v>9223831.7587099988</v>
      </c>
    </row>
    <row r="327" spans="2:6" x14ac:dyDescent="0.25">
      <c r="B327"/>
      <c r="D327" t="s">
        <v>983</v>
      </c>
      <c r="E327" s="33">
        <v>11813.604160000001</v>
      </c>
      <c r="F327" s="33">
        <f t="shared" si="5"/>
        <v>9235645.3628699984</v>
      </c>
    </row>
    <row r="328" spans="2:6" x14ac:dyDescent="0.25">
      <c r="B328"/>
      <c r="D328" t="s">
        <v>1323</v>
      </c>
      <c r="E328" s="33">
        <v>11742.8703</v>
      </c>
      <c r="F328" s="33">
        <f t="shared" si="5"/>
        <v>9247388.233169999</v>
      </c>
    </row>
    <row r="329" spans="2:6" x14ac:dyDescent="0.25">
      <c r="B329"/>
      <c r="D329" t="s">
        <v>1017</v>
      </c>
      <c r="E329" s="33">
        <v>11696.156879999999</v>
      </c>
      <c r="F329" s="33">
        <f t="shared" si="5"/>
        <v>9259084.3900499996</v>
      </c>
    </row>
    <row r="330" spans="2:6" x14ac:dyDescent="0.25">
      <c r="B330"/>
      <c r="D330" t="s">
        <v>1008</v>
      </c>
      <c r="E330" s="33">
        <v>11417.429099999999</v>
      </c>
      <c r="F330" s="33">
        <f t="shared" si="5"/>
        <v>9270501.8191499989</v>
      </c>
    </row>
    <row r="331" spans="2:6" x14ac:dyDescent="0.25">
      <c r="B331"/>
      <c r="D331" t="s">
        <v>1260</v>
      </c>
      <c r="E331" s="33">
        <v>11406.96</v>
      </c>
      <c r="F331" s="33">
        <f t="shared" si="5"/>
        <v>9281908.7791499998</v>
      </c>
    </row>
    <row r="332" spans="2:6" x14ac:dyDescent="0.25">
      <c r="B332"/>
      <c r="D332" t="s">
        <v>931</v>
      </c>
      <c r="E332" s="33">
        <v>11326.846439999999</v>
      </c>
      <c r="F332" s="33">
        <f t="shared" si="5"/>
        <v>9293235.6255900003</v>
      </c>
    </row>
    <row r="333" spans="2:6" x14ac:dyDescent="0.25">
      <c r="B333"/>
      <c r="D333" t="s">
        <v>1126</v>
      </c>
      <c r="E333" s="33">
        <v>11285.764020000001</v>
      </c>
      <c r="F333" s="33">
        <f t="shared" si="5"/>
        <v>9304521.38961</v>
      </c>
    </row>
    <row r="334" spans="2:6" x14ac:dyDescent="0.25">
      <c r="B334"/>
      <c r="D334" t="s">
        <v>1046</v>
      </c>
      <c r="E334" s="33">
        <v>11283.400799999999</v>
      </c>
      <c r="F334" s="33">
        <f t="shared" si="5"/>
        <v>9315804.7904100008</v>
      </c>
    </row>
    <row r="335" spans="2:6" x14ac:dyDescent="0.25">
      <c r="B335"/>
      <c r="D335" t="s">
        <v>888</v>
      </c>
      <c r="E335" s="33">
        <v>11015.510400000003</v>
      </c>
      <c r="F335" s="33">
        <f t="shared" si="5"/>
        <v>9326820.3008099999</v>
      </c>
    </row>
    <row r="336" spans="2:6" x14ac:dyDescent="0.25">
      <c r="B336"/>
      <c r="D336" t="s">
        <v>738</v>
      </c>
      <c r="E336" s="33">
        <v>10957.9797</v>
      </c>
      <c r="F336" s="33">
        <f t="shared" si="5"/>
        <v>9337778.280509999</v>
      </c>
    </row>
    <row r="337" spans="2:6" x14ac:dyDescent="0.25">
      <c r="B337"/>
      <c r="D337" t="s">
        <v>796</v>
      </c>
      <c r="E337" s="33">
        <v>10947.904</v>
      </c>
      <c r="F337" s="33">
        <f t="shared" si="5"/>
        <v>9348726.1845099982</v>
      </c>
    </row>
    <row r="338" spans="2:6" x14ac:dyDescent="0.25">
      <c r="B338"/>
      <c r="D338" t="s">
        <v>1281</v>
      </c>
      <c r="E338" s="33">
        <v>10937.519999999999</v>
      </c>
      <c r="F338" s="33">
        <f t="shared" si="5"/>
        <v>9359663.7045099977</v>
      </c>
    </row>
    <row r="339" spans="2:6" x14ac:dyDescent="0.25">
      <c r="B339"/>
      <c r="D339" t="s">
        <v>756</v>
      </c>
      <c r="E339" s="33">
        <v>10936.992</v>
      </c>
      <c r="F339" s="33">
        <f t="shared" si="5"/>
        <v>9370600.6965099983</v>
      </c>
    </row>
    <row r="340" spans="2:6" x14ac:dyDescent="0.25">
      <c r="B340"/>
      <c r="D340" t="s">
        <v>1149</v>
      </c>
      <c r="E340" s="33">
        <v>10893.6232</v>
      </c>
      <c r="F340" s="33">
        <f t="shared" si="5"/>
        <v>9381494.3197099976</v>
      </c>
    </row>
    <row r="341" spans="2:6" x14ac:dyDescent="0.25">
      <c r="B341"/>
      <c r="D341" t="s">
        <v>1235</v>
      </c>
      <c r="E341" s="33">
        <v>10869.182940000001</v>
      </c>
      <c r="F341" s="33">
        <f t="shared" si="5"/>
        <v>9392363.5026499983</v>
      </c>
    </row>
    <row r="342" spans="2:6" x14ac:dyDescent="0.25">
      <c r="B342"/>
      <c r="D342" t="s">
        <v>1248</v>
      </c>
      <c r="E342" s="33">
        <v>10859.64</v>
      </c>
      <c r="F342" s="33">
        <f t="shared" si="5"/>
        <v>9403223.1426499989</v>
      </c>
    </row>
    <row r="343" spans="2:6" x14ac:dyDescent="0.25">
      <c r="B343"/>
      <c r="D343" t="s">
        <v>857</v>
      </c>
      <c r="E343" s="33">
        <v>10817.3416</v>
      </c>
      <c r="F343" s="33">
        <f t="shared" si="5"/>
        <v>9414040.4842499997</v>
      </c>
    </row>
    <row r="344" spans="2:6" x14ac:dyDescent="0.25">
      <c r="B344"/>
      <c r="D344" t="s">
        <v>1277</v>
      </c>
      <c r="E344" s="33">
        <v>10792.637119999999</v>
      </c>
      <c r="F344" s="33">
        <f t="shared" si="5"/>
        <v>9424833.1213699989</v>
      </c>
    </row>
    <row r="345" spans="2:6" x14ac:dyDescent="0.25">
      <c r="B345"/>
      <c r="D345" t="s">
        <v>1348</v>
      </c>
      <c r="E345" s="33">
        <v>10786.32144</v>
      </c>
      <c r="F345" s="33">
        <f t="shared" si="5"/>
        <v>9435619.442809999</v>
      </c>
    </row>
    <row r="346" spans="2:6" x14ac:dyDescent="0.25">
      <c r="B346"/>
      <c r="D346" t="s">
        <v>1355</v>
      </c>
      <c r="E346" s="33">
        <v>10693.88488</v>
      </c>
      <c r="F346" s="33">
        <f t="shared" si="5"/>
        <v>9446313.3276899997</v>
      </c>
    </row>
    <row r="347" spans="2:6" x14ac:dyDescent="0.25">
      <c r="B347"/>
      <c r="D347" t="s">
        <v>777</v>
      </c>
      <c r="E347" s="33">
        <v>10666.229420000001</v>
      </c>
      <c r="F347" s="33">
        <f t="shared" si="5"/>
        <v>9456979.5571100004</v>
      </c>
    </row>
    <row r="348" spans="2:6" x14ac:dyDescent="0.25">
      <c r="B348"/>
      <c r="D348" t="s">
        <v>804</v>
      </c>
      <c r="E348" s="33">
        <v>10647.727199999999</v>
      </c>
      <c r="F348" s="33">
        <f t="shared" si="5"/>
        <v>9467627.28431</v>
      </c>
    </row>
    <row r="349" spans="2:6" x14ac:dyDescent="0.25">
      <c r="B349"/>
      <c r="D349" t="s">
        <v>775</v>
      </c>
      <c r="E349" s="33">
        <v>10558.74</v>
      </c>
      <c r="F349" s="33">
        <f t="shared" si="5"/>
        <v>9478186.0243100002</v>
      </c>
    </row>
    <row r="350" spans="2:6" x14ac:dyDescent="0.25">
      <c r="B350"/>
      <c r="D350" t="s">
        <v>1290</v>
      </c>
      <c r="E350" s="33">
        <v>10519.776450000001</v>
      </c>
      <c r="F350" s="33">
        <f t="shared" si="5"/>
        <v>9488705.8007600009</v>
      </c>
    </row>
    <row r="351" spans="2:6" x14ac:dyDescent="0.25">
      <c r="B351"/>
      <c r="D351" t="s">
        <v>1347</v>
      </c>
      <c r="E351" s="33">
        <v>10464.138360000001</v>
      </c>
      <c r="F351" s="33">
        <f t="shared" si="5"/>
        <v>9499169.9391200002</v>
      </c>
    </row>
    <row r="352" spans="2:6" x14ac:dyDescent="0.25">
      <c r="B352"/>
      <c r="D352" t="s">
        <v>1023</v>
      </c>
      <c r="E352" s="33">
        <v>10456.416880000001</v>
      </c>
      <c r="F352" s="33">
        <f t="shared" si="5"/>
        <v>9509626.3560000006</v>
      </c>
    </row>
    <row r="353" spans="2:6" x14ac:dyDescent="0.25">
      <c r="B353"/>
      <c r="D353" t="s">
        <v>1203</v>
      </c>
      <c r="E353" s="33">
        <v>10428.057360000001</v>
      </c>
      <c r="F353" s="33">
        <f t="shared" si="5"/>
        <v>9520054.4133600015</v>
      </c>
    </row>
    <row r="354" spans="2:6" x14ac:dyDescent="0.25">
      <c r="B354"/>
      <c r="D354" t="s">
        <v>919</v>
      </c>
      <c r="E354" s="33">
        <v>10388.429999999998</v>
      </c>
      <c r="F354" s="33">
        <f t="shared" si="5"/>
        <v>9530442.8433600012</v>
      </c>
    </row>
    <row r="355" spans="2:6" x14ac:dyDescent="0.25">
      <c r="B355"/>
      <c r="D355" t="s">
        <v>892</v>
      </c>
      <c r="E355" s="33">
        <v>10382.65884</v>
      </c>
      <c r="F355" s="33">
        <f t="shared" si="5"/>
        <v>9540825.5022000019</v>
      </c>
    </row>
    <row r="356" spans="2:6" x14ac:dyDescent="0.25">
      <c r="B356"/>
      <c r="D356" t="s">
        <v>745</v>
      </c>
      <c r="E356" s="33">
        <v>10370.549999999999</v>
      </c>
      <c r="F356" s="33">
        <f t="shared" si="5"/>
        <v>9551196.0522000026</v>
      </c>
    </row>
    <row r="357" spans="2:6" x14ac:dyDescent="0.25">
      <c r="B357"/>
      <c r="D357" t="s">
        <v>1342</v>
      </c>
      <c r="E357" s="33">
        <v>10260.060159999999</v>
      </c>
      <c r="F357" s="33">
        <f t="shared" si="5"/>
        <v>9561456.1123600025</v>
      </c>
    </row>
    <row r="358" spans="2:6" x14ac:dyDescent="0.25">
      <c r="B358"/>
      <c r="D358" t="s">
        <v>1237</v>
      </c>
      <c r="E358" s="33">
        <v>10189.8891</v>
      </c>
      <c r="F358" s="33">
        <f t="shared" si="5"/>
        <v>9571646.0014600027</v>
      </c>
    </row>
    <row r="359" spans="2:6" x14ac:dyDescent="0.25">
      <c r="B359"/>
      <c r="D359" t="s">
        <v>1296</v>
      </c>
      <c r="E359" s="33">
        <v>10166.535600000001</v>
      </c>
      <c r="F359" s="33">
        <f t="shared" si="5"/>
        <v>9581812.5370600019</v>
      </c>
    </row>
    <row r="360" spans="2:6" x14ac:dyDescent="0.25">
      <c r="B360"/>
      <c r="D360" t="s">
        <v>826</v>
      </c>
      <c r="E360" s="33">
        <v>10161.46624</v>
      </c>
      <c r="F360" s="33">
        <f t="shared" si="5"/>
        <v>9591974.0033000018</v>
      </c>
    </row>
    <row r="361" spans="2:6" x14ac:dyDescent="0.25">
      <c r="B361"/>
      <c r="D361" t="s">
        <v>1154</v>
      </c>
      <c r="E361" s="33">
        <v>9984.7160999999978</v>
      </c>
      <c r="F361" s="33">
        <f t="shared" si="5"/>
        <v>9601958.7194000017</v>
      </c>
    </row>
    <row r="362" spans="2:6" x14ac:dyDescent="0.25">
      <c r="B362"/>
      <c r="D362" t="s">
        <v>877</v>
      </c>
      <c r="E362" s="33">
        <v>9969.4201499999999</v>
      </c>
      <c r="F362" s="33">
        <f t="shared" si="5"/>
        <v>9611928.1395500023</v>
      </c>
    </row>
    <row r="363" spans="2:6" x14ac:dyDescent="0.25">
      <c r="B363"/>
      <c r="D363" t="s">
        <v>1035</v>
      </c>
      <c r="E363" s="33">
        <v>9866.3104799999983</v>
      </c>
      <c r="F363" s="33">
        <f t="shared" si="5"/>
        <v>9621794.4500300027</v>
      </c>
    </row>
    <row r="364" spans="2:6" x14ac:dyDescent="0.25">
      <c r="B364"/>
      <c r="D364" t="s">
        <v>1043</v>
      </c>
      <c r="E364" s="33">
        <v>9847.2358600000007</v>
      </c>
      <c r="F364" s="33">
        <f t="shared" si="5"/>
        <v>9631641.6858900022</v>
      </c>
    </row>
    <row r="365" spans="2:6" x14ac:dyDescent="0.25">
      <c r="B365"/>
      <c r="D365" t="s">
        <v>1059</v>
      </c>
      <c r="E365" s="33">
        <v>9829.0483199999999</v>
      </c>
      <c r="F365" s="33">
        <f t="shared" si="5"/>
        <v>9641470.7342100013</v>
      </c>
    </row>
    <row r="366" spans="2:6" x14ac:dyDescent="0.25">
      <c r="B366"/>
      <c r="D366" t="s">
        <v>1251</v>
      </c>
      <c r="E366" s="33">
        <v>9807.7842799999999</v>
      </c>
      <c r="F366" s="33">
        <f t="shared" si="5"/>
        <v>9651278.5184900016</v>
      </c>
    </row>
    <row r="367" spans="2:6" x14ac:dyDescent="0.25">
      <c r="B367"/>
      <c r="D367" t="s">
        <v>764</v>
      </c>
      <c r="E367" s="33">
        <v>9805.8573800000013</v>
      </c>
      <c r="F367" s="33">
        <f t="shared" si="5"/>
        <v>9661084.3758700024</v>
      </c>
    </row>
    <row r="368" spans="2:6" x14ac:dyDescent="0.25">
      <c r="B368"/>
      <c r="D368" t="s">
        <v>980</v>
      </c>
      <c r="E368" s="33">
        <v>9774.3888000000006</v>
      </c>
      <c r="F368" s="33">
        <f t="shared" si="5"/>
        <v>9670858.7646700032</v>
      </c>
    </row>
    <row r="369" spans="2:6" x14ac:dyDescent="0.25">
      <c r="B369"/>
      <c r="D369" t="s">
        <v>1179</v>
      </c>
      <c r="E369" s="33">
        <v>9771.4483199999995</v>
      </c>
      <c r="F369" s="33">
        <f t="shared" si="5"/>
        <v>9680630.2129900027</v>
      </c>
    </row>
    <row r="370" spans="2:6" x14ac:dyDescent="0.25">
      <c r="B370"/>
      <c r="D370" t="s">
        <v>870</v>
      </c>
      <c r="E370" s="33">
        <v>9698.1638399999993</v>
      </c>
      <c r="F370" s="33">
        <f t="shared" si="5"/>
        <v>9690328.3768300023</v>
      </c>
    </row>
    <row r="371" spans="2:6" x14ac:dyDescent="0.25">
      <c r="B371"/>
      <c r="D371" t="s">
        <v>975</v>
      </c>
      <c r="E371" s="33">
        <v>9684.8756000000012</v>
      </c>
      <c r="F371" s="33">
        <f t="shared" si="5"/>
        <v>9700013.2524300031</v>
      </c>
    </row>
    <row r="372" spans="2:6" x14ac:dyDescent="0.25">
      <c r="B372"/>
      <c r="D372" t="s">
        <v>766</v>
      </c>
      <c r="E372" s="33">
        <v>9647.3852800000004</v>
      </c>
      <c r="F372" s="33">
        <f t="shared" si="5"/>
        <v>9709660.6377100032</v>
      </c>
    </row>
    <row r="373" spans="2:6" x14ac:dyDescent="0.25">
      <c r="B373"/>
      <c r="D373" t="s">
        <v>1222</v>
      </c>
      <c r="E373" s="33">
        <v>9614.4403999999995</v>
      </c>
      <c r="F373" s="33">
        <f t="shared" si="5"/>
        <v>9719275.0781100038</v>
      </c>
    </row>
    <row r="374" spans="2:6" x14ac:dyDescent="0.25">
      <c r="B374"/>
      <c r="D374" t="s">
        <v>1119</v>
      </c>
      <c r="E374" s="33">
        <v>9586.8057599999993</v>
      </c>
      <c r="F374" s="33">
        <f t="shared" si="5"/>
        <v>9728861.8838700037</v>
      </c>
    </row>
    <row r="375" spans="2:6" x14ac:dyDescent="0.25">
      <c r="B375"/>
      <c r="D375" t="s">
        <v>1152</v>
      </c>
      <c r="E375" s="33">
        <v>9509.2865999999995</v>
      </c>
      <c r="F375" s="33">
        <f t="shared" si="5"/>
        <v>9738371.170470003</v>
      </c>
    </row>
    <row r="376" spans="2:6" x14ac:dyDescent="0.25">
      <c r="B376"/>
      <c r="D376" t="s">
        <v>807</v>
      </c>
      <c r="E376" s="33">
        <v>9373.460219999999</v>
      </c>
      <c r="F376" s="33">
        <f t="shared" si="5"/>
        <v>9747744.6306900028</v>
      </c>
    </row>
    <row r="377" spans="2:6" x14ac:dyDescent="0.25">
      <c r="B377"/>
      <c r="D377" t="s">
        <v>1263</v>
      </c>
      <c r="E377" s="33">
        <v>9262.0686600000008</v>
      </c>
      <c r="F377" s="33">
        <f t="shared" si="5"/>
        <v>9757006.6993500032</v>
      </c>
    </row>
    <row r="378" spans="2:6" x14ac:dyDescent="0.25">
      <c r="B378"/>
      <c r="D378" t="s">
        <v>1344</v>
      </c>
      <c r="E378" s="33">
        <v>9256.14</v>
      </c>
      <c r="F378" s="33">
        <f t="shared" si="5"/>
        <v>9766262.8393500037</v>
      </c>
    </row>
    <row r="379" spans="2:6" x14ac:dyDescent="0.25">
      <c r="B379"/>
      <c r="D379" t="s">
        <v>1243</v>
      </c>
      <c r="E379" s="33">
        <v>9232.2830599999998</v>
      </c>
      <c r="F379" s="33">
        <f t="shared" si="5"/>
        <v>9775495.1224100031</v>
      </c>
    </row>
    <row r="380" spans="2:6" x14ac:dyDescent="0.25">
      <c r="B380"/>
      <c r="D380" t="s">
        <v>1050</v>
      </c>
      <c r="E380" s="33">
        <v>9062.34692</v>
      </c>
      <c r="F380" s="33">
        <f t="shared" si="5"/>
        <v>9784557.4693300035</v>
      </c>
    </row>
    <row r="381" spans="2:6" x14ac:dyDescent="0.25">
      <c r="B381"/>
      <c r="D381" t="s">
        <v>1322</v>
      </c>
      <c r="E381" s="33">
        <v>9022.35</v>
      </c>
      <c r="F381" s="33">
        <f t="shared" si="5"/>
        <v>9793579.8193300031</v>
      </c>
    </row>
    <row r="382" spans="2:6" x14ac:dyDescent="0.25">
      <c r="B382"/>
      <c r="D382" t="s">
        <v>1077</v>
      </c>
      <c r="E382" s="33">
        <v>8938.8996600000009</v>
      </c>
      <c r="F382" s="33">
        <f t="shared" si="5"/>
        <v>9802518.7189900037</v>
      </c>
    </row>
    <row r="383" spans="2:6" x14ac:dyDescent="0.25">
      <c r="B383"/>
      <c r="D383" t="s">
        <v>803</v>
      </c>
      <c r="E383" s="33">
        <v>8930.7124999999996</v>
      </c>
      <c r="F383" s="33">
        <f t="shared" si="5"/>
        <v>9811449.4314900041</v>
      </c>
    </row>
    <row r="384" spans="2:6" x14ac:dyDescent="0.25">
      <c r="B384"/>
      <c r="D384" t="s">
        <v>905</v>
      </c>
      <c r="E384" s="33">
        <v>8928.9795999999988</v>
      </c>
      <c r="F384" s="33">
        <f t="shared" si="5"/>
        <v>9820378.4110900033</v>
      </c>
    </row>
    <row r="385" spans="2:6" x14ac:dyDescent="0.25">
      <c r="B385"/>
      <c r="D385" t="s">
        <v>859</v>
      </c>
      <c r="E385" s="33">
        <v>8909.8587200000002</v>
      </c>
      <c r="F385" s="33">
        <f t="shared" si="5"/>
        <v>9829288.2698100042</v>
      </c>
    </row>
    <row r="386" spans="2:6" x14ac:dyDescent="0.25">
      <c r="B386"/>
      <c r="D386" t="s">
        <v>889</v>
      </c>
      <c r="E386" s="33">
        <v>8909.6646800000017</v>
      </c>
      <c r="F386" s="33">
        <f t="shared" si="5"/>
        <v>9838197.9344900046</v>
      </c>
    </row>
    <row r="387" spans="2:6" x14ac:dyDescent="0.25">
      <c r="B387"/>
      <c r="D387" t="s">
        <v>1013</v>
      </c>
      <c r="E387" s="33">
        <v>8907.6924999999992</v>
      </c>
      <c r="F387" s="33">
        <f t="shared" si="5"/>
        <v>9847105.6269900054</v>
      </c>
    </row>
    <row r="388" spans="2:6" x14ac:dyDescent="0.25">
      <c r="B388"/>
      <c r="D388" t="s">
        <v>1028</v>
      </c>
      <c r="E388" s="33">
        <v>8903.4839999999986</v>
      </c>
      <c r="F388" s="33">
        <f t="shared" si="5"/>
        <v>9856009.1109900046</v>
      </c>
    </row>
    <row r="389" spans="2:6" x14ac:dyDescent="0.25">
      <c r="B389"/>
      <c r="D389" t="s">
        <v>1049</v>
      </c>
      <c r="E389" s="33">
        <v>8780.5809000000008</v>
      </c>
      <c r="F389" s="33">
        <f t="shared" ref="F389:F452" si="6">E389+F388</f>
        <v>9864789.691890005</v>
      </c>
    </row>
    <row r="390" spans="2:6" x14ac:dyDescent="0.25">
      <c r="B390"/>
      <c r="D390" t="s">
        <v>1065</v>
      </c>
      <c r="E390" s="33">
        <v>8764.4065599999994</v>
      </c>
      <c r="F390" s="33">
        <f t="shared" si="6"/>
        <v>9873554.0984500051</v>
      </c>
    </row>
    <row r="391" spans="2:6" x14ac:dyDescent="0.25">
      <c r="B391"/>
      <c r="D391" t="s">
        <v>925</v>
      </c>
      <c r="E391" s="33">
        <v>8763.2849999999999</v>
      </c>
      <c r="F391" s="33">
        <f t="shared" si="6"/>
        <v>9882317.3834500052</v>
      </c>
    </row>
    <row r="392" spans="2:6" x14ac:dyDescent="0.25">
      <c r="B392"/>
      <c r="D392" t="s">
        <v>917</v>
      </c>
      <c r="E392" s="33">
        <v>8698.8768300000011</v>
      </c>
      <c r="F392" s="33">
        <f t="shared" si="6"/>
        <v>9891016.2602800056</v>
      </c>
    </row>
    <row r="393" spans="2:6" x14ac:dyDescent="0.25">
      <c r="B393"/>
      <c r="D393" t="s">
        <v>802</v>
      </c>
      <c r="E393" s="33">
        <v>8671.7354400000004</v>
      </c>
      <c r="F393" s="33">
        <f t="shared" si="6"/>
        <v>9899687.9957200065</v>
      </c>
    </row>
    <row r="394" spans="2:6" x14ac:dyDescent="0.25">
      <c r="B394"/>
      <c r="D394" t="s">
        <v>1231</v>
      </c>
      <c r="E394" s="33">
        <v>8644.6696000000011</v>
      </c>
      <c r="F394" s="33">
        <f t="shared" si="6"/>
        <v>9908332.6653200071</v>
      </c>
    </row>
    <row r="395" spans="2:6" x14ac:dyDescent="0.25">
      <c r="B395"/>
      <c r="D395" t="s">
        <v>1236</v>
      </c>
      <c r="E395" s="33">
        <v>8637.1874499999994</v>
      </c>
      <c r="F395" s="33">
        <f t="shared" si="6"/>
        <v>9916969.8527700063</v>
      </c>
    </row>
    <row r="396" spans="2:6" x14ac:dyDescent="0.25">
      <c r="B396"/>
      <c r="D396" t="s">
        <v>759</v>
      </c>
      <c r="E396" s="33">
        <v>8596.2905599999995</v>
      </c>
      <c r="F396" s="33">
        <f t="shared" si="6"/>
        <v>9925566.1433300059</v>
      </c>
    </row>
    <row r="397" spans="2:6" x14ac:dyDescent="0.25">
      <c r="B397"/>
      <c r="D397" t="s">
        <v>923</v>
      </c>
      <c r="E397" s="33">
        <v>8590.7094000000016</v>
      </c>
      <c r="F397" s="33">
        <f t="shared" si="6"/>
        <v>9934156.852730006</v>
      </c>
    </row>
    <row r="398" spans="2:6" x14ac:dyDescent="0.25">
      <c r="B398"/>
      <c r="D398" t="s">
        <v>1009</v>
      </c>
      <c r="E398" s="33">
        <v>8567.3924999999999</v>
      </c>
      <c r="F398" s="33">
        <f t="shared" si="6"/>
        <v>9942724.2452300061</v>
      </c>
    </row>
    <row r="399" spans="2:6" x14ac:dyDescent="0.25">
      <c r="B399"/>
      <c r="D399" t="s">
        <v>1295</v>
      </c>
      <c r="E399" s="33">
        <v>8520.2954399999999</v>
      </c>
      <c r="F399" s="33">
        <f t="shared" si="6"/>
        <v>9951244.5406700056</v>
      </c>
    </row>
    <row r="400" spans="2:6" x14ac:dyDescent="0.25">
      <c r="B400"/>
      <c r="D400" t="s">
        <v>1326</v>
      </c>
      <c r="E400" s="33">
        <v>8366.02</v>
      </c>
      <c r="F400" s="33">
        <f t="shared" si="6"/>
        <v>9959610.5606700052</v>
      </c>
    </row>
    <row r="401" spans="2:6" x14ac:dyDescent="0.25">
      <c r="B401"/>
      <c r="D401" t="s">
        <v>932</v>
      </c>
      <c r="E401" s="33">
        <v>8349.2224200000001</v>
      </c>
      <c r="F401" s="33">
        <f t="shared" si="6"/>
        <v>9967959.7830900047</v>
      </c>
    </row>
    <row r="402" spans="2:6" x14ac:dyDescent="0.25">
      <c r="B402"/>
      <c r="D402" t="s">
        <v>866</v>
      </c>
      <c r="E402" s="33">
        <v>8336.8896000000004</v>
      </c>
      <c r="F402" s="33">
        <f t="shared" si="6"/>
        <v>9976296.6726900041</v>
      </c>
    </row>
    <row r="403" spans="2:6" x14ac:dyDescent="0.25">
      <c r="B403"/>
      <c r="D403" t="s">
        <v>1206</v>
      </c>
      <c r="E403" s="33">
        <v>8330.2513199999994</v>
      </c>
      <c r="F403" s="33">
        <f t="shared" si="6"/>
        <v>9984626.9240100048</v>
      </c>
    </row>
    <row r="404" spans="2:6" x14ac:dyDescent="0.25">
      <c r="B404"/>
      <c r="D404" t="s">
        <v>1258</v>
      </c>
      <c r="E404" s="33">
        <v>8326.6852500000005</v>
      </c>
      <c r="F404" s="33">
        <f t="shared" si="6"/>
        <v>9992953.609260004</v>
      </c>
    </row>
    <row r="405" spans="2:6" x14ac:dyDescent="0.25">
      <c r="B405"/>
      <c r="D405" t="s">
        <v>824</v>
      </c>
      <c r="E405" s="33">
        <v>8324.8326000000015</v>
      </c>
      <c r="F405" s="33">
        <f t="shared" si="6"/>
        <v>10001278.441860003</v>
      </c>
    </row>
    <row r="406" spans="2:6" x14ac:dyDescent="0.25">
      <c r="B406"/>
      <c r="D406" t="s">
        <v>1242</v>
      </c>
      <c r="E406" s="33">
        <v>8297.4286000000011</v>
      </c>
      <c r="F406" s="33">
        <f t="shared" si="6"/>
        <v>10009575.870460004</v>
      </c>
    </row>
    <row r="407" spans="2:6" x14ac:dyDescent="0.25">
      <c r="B407"/>
      <c r="D407" t="s">
        <v>875</v>
      </c>
      <c r="E407" s="33">
        <v>8211.6342000000004</v>
      </c>
      <c r="F407" s="33">
        <f t="shared" si="6"/>
        <v>10017787.504660003</v>
      </c>
    </row>
    <row r="408" spans="2:6" x14ac:dyDescent="0.25">
      <c r="B408"/>
      <c r="D408" t="s">
        <v>996</v>
      </c>
      <c r="E408" s="33">
        <v>8186.057600000001</v>
      </c>
      <c r="F408" s="33">
        <f t="shared" si="6"/>
        <v>10025973.562260004</v>
      </c>
    </row>
    <row r="409" spans="2:6" x14ac:dyDescent="0.25">
      <c r="B409"/>
      <c r="D409" t="s">
        <v>896</v>
      </c>
      <c r="E409" s="33">
        <v>8154.5511600000009</v>
      </c>
      <c r="F409" s="33">
        <f t="shared" si="6"/>
        <v>10034128.113420004</v>
      </c>
    </row>
    <row r="410" spans="2:6" x14ac:dyDescent="0.25">
      <c r="B410"/>
      <c r="D410" t="s">
        <v>1328</v>
      </c>
      <c r="E410" s="33">
        <v>8128.5187499999993</v>
      </c>
      <c r="F410" s="33">
        <f t="shared" si="6"/>
        <v>10042256.632170005</v>
      </c>
    </row>
    <row r="411" spans="2:6" x14ac:dyDescent="0.25">
      <c r="B411"/>
      <c r="D411" t="s">
        <v>1037</v>
      </c>
      <c r="E411" s="33">
        <v>8093.4784</v>
      </c>
      <c r="F411" s="33">
        <f t="shared" si="6"/>
        <v>10050350.110570004</v>
      </c>
    </row>
    <row r="412" spans="2:6" x14ac:dyDescent="0.25">
      <c r="B412"/>
      <c r="D412" t="s">
        <v>1150</v>
      </c>
      <c r="E412" s="33">
        <v>7969.4615000000003</v>
      </c>
      <c r="F412" s="33">
        <f t="shared" si="6"/>
        <v>10058319.572070004</v>
      </c>
    </row>
    <row r="413" spans="2:6" x14ac:dyDescent="0.25">
      <c r="B413"/>
      <c r="D413" t="s">
        <v>884</v>
      </c>
      <c r="E413" s="33">
        <v>7901.5041599999995</v>
      </c>
      <c r="F413" s="33">
        <f t="shared" si="6"/>
        <v>10066221.076230004</v>
      </c>
    </row>
    <row r="414" spans="2:6" x14ac:dyDescent="0.25">
      <c r="B414"/>
      <c r="D414" t="s">
        <v>1190</v>
      </c>
      <c r="E414" s="33">
        <v>7854.6931199999999</v>
      </c>
      <c r="F414" s="33">
        <f t="shared" si="6"/>
        <v>10074075.769350005</v>
      </c>
    </row>
    <row r="415" spans="2:6" x14ac:dyDescent="0.25">
      <c r="B415"/>
      <c r="D415" t="s">
        <v>948</v>
      </c>
      <c r="E415" s="33">
        <v>7854.6693599999999</v>
      </c>
      <c r="F415" s="33">
        <f t="shared" si="6"/>
        <v>10081930.438710006</v>
      </c>
    </row>
    <row r="416" spans="2:6" x14ac:dyDescent="0.25">
      <c r="B416"/>
      <c r="D416" t="s">
        <v>1137</v>
      </c>
      <c r="E416" s="33">
        <v>7832.0010999999995</v>
      </c>
      <c r="F416" s="33">
        <f t="shared" si="6"/>
        <v>10089762.439810006</v>
      </c>
    </row>
    <row r="417" spans="2:6" x14ac:dyDescent="0.25">
      <c r="B417"/>
      <c r="D417" t="s">
        <v>1269</v>
      </c>
      <c r="E417" s="33">
        <v>7823.4472399999995</v>
      </c>
      <c r="F417" s="33">
        <f t="shared" si="6"/>
        <v>10097585.887050007</v>
      </c>
    </row>
    <row r="418" spans="2:6" x14ac:dyDescent="0.25">
      <c r="B418"/>
      <c r="D418" t="s">
        <v>950</v>
      </c>
      <c r="E418" s="33">
        <v>7738.9596900000006</v>
      </c>
      <c r="F418" s="33">
        <f t="shared" si="6"/>
        <v>10105324.846740007</v>
      </c>
    </row>
    <row r="419" spans="2:6" x14ac:dyDescent="0.25">
      <c r="B419"/>
      <c r="D419" t="s">
        <v>864</v>
      </c>
      <c r="E419" s="33">
        <v>7703.8640800000003</v>
      </c>
      <c r="F419" s="33">
        <f t="shared" si="6"/>
        <v>10113028.710820008</v>
      </c>
    </row>
    <row r="420" spans="2:6" x14ac:dyDescent="0.25">
      <c r="B420"/>
      <c r="D420" t="s">
        <v>916</v>
      </c>
      <c r="E420" s="33">
        <v>7689.4560000000001</v>
      </c>
      <c r="F420" s="33">
        <f t="shared" si="6"/>
        <v>10120718.166820008</v>
      </c>
    </row>
    <row r="421" spans="2:6" x14ac:dyDescent="0.25">
      <c r="B421"/>
      <c r="D421" t="s">
        <v>1003</v>
      </c>
      <c r="E421" s="33">
        <v>7678.2113999999992</v>
      </c>
      <c r="F421" s="33">
        <f t="shared" si="6"/>
        <v>10128396.378220009</v>
      </c>
    </row>
    <row r="422" spans="2:6" x14ac:dyDescent="0.25">
      <c r="B422"/>
      <c r="D422" t="s">
        <v>1191</v>
      </c>
      <c r="E422" s="33">
        <v>7643.2649999999994</v>
      </c>
      <c r="F422" s="33">
        <f t="shared" si="6"/>
        <v>10136039.643220009</v>
      </c>
    </row>
    <row r="423" spans="2:6" x14ac:dyDescent="0.25">
      <c r="B423"/>
      <c r="D423" t="s">
        <v>748</v>
      </c>
      <c r="E423" s="33">
        <v>7578.84</v>
      </c>
      <c r="F423" s="33">
        <f t="shared" si="6"/>
        <v>10143618.483220009</v>
      </c>
    </row>
    <row r="424" spans="2:6" x14ac:dyDescent="0.25">
      <c r="B424"/>
      <c r="D424" t="s">
        <v>993</v>
      </c>
      <c r="E424" s="33">
        <v>7568.9632000000001</v>
      </c>
      <c r="F424" s="33">
        <f t="shared" si="6"/>
        <v>10151187.446420008</v>
      </c>
    </row>
    <row r="425" spans="2:6" x14ac:dyDescent="0.25">
      <c r="B425"/>
      <c r="D425" t="s">
        <v>1225</v>
      </c>
      <c r="E425" s="33">
        <v>7507.4514899999995</v>
      </c>
      <c r="F425" s="33">
        <f t="shared" si="6"/>
        <v>10158694.897910008</v>
      </c>
    </row>
    <row r="426" spans="2:6" x14ac:dyDescent="0.25">
      <c r="B426"/>
      <c r="D426" t="s">
        <v>1055</v>
      </c>
      <c r="E426" s="33">
        <v>7493.1076000000012</v>
      </c>
      <c r="F426" s="33">
        <f t="shared" si="6"/>
        <v>10166188.005510008</v>
      </c>
    </row>
    <row r="427" spans="2:6" x14ac:dyDescent="0.25">
      <c r="B427"/>
      <c r="D427" t="s">
        <v>1333</v>
      </c>
      <c r="E427" s="33">
        <v>7466.3063999999986</v>
      </c>
      <c r="F427" s="33">
        <f t="shared" si="6"/>
        <v>10173654.311910007</v>
      </c>
    </row>
    <row r="428" spans="2:6" x14ac:dyDescent="0.25">
      <c r="B428"/>
      <c r="D428" t="s">
        <v>963</v>
      </c>
      <c r="E428" s="33">
        <v>7446.5209000000004</v>
      </c>
      <c r="F428" s="33">
        <f t="shared" si="6"/>
        <v>10181100.832810007</v>
      </c>
    </row>
    <row r="429" spans="2:6" x14ac:dyDescent="0.25">
      <c r="B429"/>
      <c r="D429" t="s">
        <v>1234</v>
      </c>
      <c r="E429" s="33">
        <v>7428.1108999999988</v>
      </c>
      <c r="F429" s="33">
        <f t="shared" si="6"/>
        <v>10188528.943710007</v>
      </c>
    </row>
    <row r="430" spans="2:6" x14ac:dyDescent="0.25">
      <c r="B430"/>
      <c r="D430" t="s">
        <v>1253</v>
      </c>
      <c r="E430" s="33">
        <v>7399.4832000000006</v>
      </c>
      <c r="F430" s="33">
        <f t="shared" si="6"/>
        <v>10195928.426910007</v>
      </c>
    </row>
    <row r="431" spans="2:6" x14ac:dyDescent="0.25">
      <c r="B431"/>
      <c r="D431" t="s">
        <v>1027</v>
      </c>
      <c r="E431" s="33">
        <v>7382.1450000000004</v>
      </c>
      <c r="F431" s="33">
        <f t="shared" si="6"/>
        <v>10203310.571910007</v>
      </c>
    </row>
    <row r="432" spans="2:6" x14ac:dyDescent="0.25">
      <c r="B432"/>
      <c r="D432" t="s">
        <v>1170</v>
      </c>
      <c r="E432" s="33">
        <v>7340.3891399999993</v>
      </c>
      <c r="F432" s="33">
        <f t="shared" si="6"/>
        <v>10210650.961050007</v>
      </c>
    </row>
    <row r="433" spans="2:6" x14ac:dyDescent="0.25">
      <c r="B433"/>
      <c r="D433" t="s">
        <v>1097</v>
      </c>
      <c r="E433" s="33">
        <v>7327.9533600000004</v>
      </c>
      <c r="F433" s="33">
        <f t="shared" si="6"/>
        <v>10217978.914410008</v>
      </c>
    </row>
    <row r="434" spans="2:6" x14ac:dyDescent="0.25">
      <c r="B434"/>
      <c r="D434" t="s">
        <v>1004</v>
      </c>
      <c r="E434" s="33">
        <v>7235.2134999999998</v>
      </c>
      <c r="F434" s="33">
        <f t="shared" si="6"/>
        <v>10225214.127910009</v>
      </c>
    </row>
    <row r="435" spans="2:6" x14ac:dyDescent="0.25">
      <c r="B435"/>
      <c r="D435" t="s">
        <v>890</v>
      </c>
      <c r="E435" s="33">
        <v>7203.8047000000006</v>
      </c>
      <c r="F435" s="33">
        <f t="shared" si="6"/>
        <v>10232417.932610009</v>
      </c>
    </row>
    <row r="436" spans="2:6" x14ac:dyDescent="0.25">
      <c r="B436"/>
      <c r="D436" t="s">
        <v>1312</v>
      </c>
      <c r="E436" s="33">
        <v>7173.3342799999991</v>
      </c>
      <c r="F436" s="33">
        <f t="shared" si="6"/>
        <v>10239591.266890008</v>
      </c>
    </row>
    <row r="437" spans="2:6" x14ac:dyDescent="0.25">
      <c r="B437"/>
      <c r="D437" t="s">
        <v>780</v>
      </c>
      <c r="E437" s="33">
        <v>7135.57</v>
      </c>
      <c r="F437" s="33">
        <f t="shared" si="6"/>
        <v>10246726.836890008</v>
      </c>
    </row>
    <row r="438" spans="2:6" x14ac:dyDescent="0.25">
      <c r="B438"/>
      <c r="D438" t="s">
        <v>1005</v>
      </c>
      <c r="E438" s="33">
        <v>7120.6486400000003</v>
      </c>
      <c r="F438" s="33">
        <f t="shared" si="6"/>
        <v>10253847.485530008</v>
      </c>
    </row>
    <row r="439" spans="2:6" x14ac:dyDescent="0.25">
      <c r="B439"/>
      <c r="D439" t="s">
        <v>1066</v>
      </c>
      <c r="E439" s="33">
        <v>7105.3528000000006</v>
      </c>
      <c r="F439" s="33">
        <f t="shared" si="6"/>
        <v>10260952.838330008</v>
      </c>
    </row>
    <row r="440" spans="2:6" x14ac:dyDescent="0.25">
      <c r="B440"/>
      <c r="D440" t="s">
        <v>912</v>
      </c>
      <c r="E440" s="33">
        <v>7098.5495999999994</v>
      </c>
      <c r="F440" s="33">
        <f t="shared" si="6"/>
        <v>10268051.387930008</v>
      </c>
    </row>
    <row r="441" spans="2:6" x14ac:dyDescent="0.25">
      <c r="B441"/>
      <c r="D441" t="s">
        <v>749</v>
      </c>
      <c r="E441" s="33">
        <v>7090.5672000000004</v>
      </c>
      <c r="F441" s="33">
        <f t="shared" si="6"/>
        <v>10275141.955130007</v>
      </c>
    </row>
    <row r="442" spans="2:6" x14ac:dyDescent="0.25">
      <c r="B442"/>
      <c r="D442" t="s">
        <v>1337</v>
      </c>
      <c r="E442" s="33">
        <v>7071.6331400000008</v>
      </c>
      <c r="F442" s="33">
        <f t="shared" si="6"/>
        <v>10282213.588270007</v>
      </c>
    </row>
    <row r="443" spans="2:6" x14ac:dyDescent="0.25">
      <c r="B443"/>
      <c r="D443" t="s">
        <v>946</v>
      </c>
      <c r="E443" s="33">
        <v>6984.8246399999998</v>
      </c>
      <c r="F443" s="33">
        <f t="shared" si="6"/>
        <v>10289198.412910007</v>
      </c>
    </row>
    <row r="444" spans="2:6" x14ac:dyDescent="0.25">
      <c r="B444"/>
      <c r="D444" t="s">
        <v>1002</v>
      </c>
      <c r="E444" s="33">
        <v>6946.8</v>
      </c>
      <c r="F444" s="33">
        <f t="shared" si="6"/>
        <v>10296145.212910008</v>
      </c>
    </row>
    <row r="445" spans="2:6" x14ac:dyDescent="0.25">
      <c r="B445"/>
      <c r="D445" t="s">
        <v>1144</v>
      </c>
      <c r="E445" s="33">
        <v>6899.8804600000003</v>
      </c>
      <c r="F445" s="33">
        <f t="shared" si="6"/>
        <v>10303045.093370007</v>
      </c>
    </row>
    <row r="446" spans="2:6" x14ac:dyDescent="0.25">
      <c r="B446"/>
      <c r="D446" t="s">
        <v>809</v>
      </c>
      <c r="E446" s="33">
        <v>6874.4828600000001</v>
      </c>
      <c r="F446" s="33">
        <f t="shared" si="6"/>
        <v>10309919.576230008</v>
      </c>
    </row>
    <row r="447" spans="2:6" x14ac:dyDescent="0.25">
      <c r="B447"/>
      <c r="D447" t="s">
        <v>902</v>
      </c>
      <c r="E447" s="33">
        <v>6824.2884000000004</v>
      </c>
      <c r="F447" s="33">
        <f t="shared" si="6"/>
        <v>10316743.864630008</v>
      </c>
    </row>
    <row r="448" spans="2:6" x14ac:dyDescent="0.25">
      <c r="B448"/>
      <c r="D448" t="s">
        <v>1293</v>
      </c>
      <c r="E448" s="33">
        <v>6766.9829999999993</v>
      </c>
      <c r="F448" s="33">
        <f t="shared" si="6"/>
        <v>10323510.847630007</v>
      </c>
    </row>
    <row r="449" spans="2:6" x14ac:dyDescent="0.25">
      <c r="B449"/>
      <c r="D449" t="s">
        <v>1310</v>
      </c>
      <c r="E449" s="33">
        <v>6732.4334000000008</v>
      </c>
      <c r="F449" s="33">
        <f t="shared" si="6"/>
        <v>10330243.281030007</v>
      </c>
    </row>
    <row r="450" spans="2:6" x14ac:dyDescent="0.25">
      <c r="B450"/>
      <c r="D450" t="s">
        <v>940</v>
      </c>
      <c r="E450" s="33">
        <v>6702.3501999999999</v>
      </c>
      <c r="F450" s="33">
        <f t="shared" si="6"/>
        <v>10336945.631230006</v>
      </c>
    </row>
    <row r="451" spans="2:6" x14ac:dyDescent="0.25">
      <c r="B451"/>
      <c r="D451" t="s">
        <v>972</v>
      </c>
      <c r="E451" s="33">
        <v>6684.1875</v>
      </c>
      <c r="F451" s="33">
        <f t="shared" si="6"/>
        <v>10343629.818730006</v>
      </c>
    </row>
    <row r="452" spans="2:6" x14ac:dyDescent="0.25">
      <c r="B452"/>
      <c r="D452" t="s">
        <v>1062</v>
      </c>
      <c r="E452" s="33">
        <v>6667.9199999999983</v>
      </c>
      <c r="F452" s="33">
        <f t="shared" si="6"/>
        <v>10350297.738730006</v>
      </c>
    </row>
    <row r="453" spans="2:6" x14ac:dyDescent="0.25">
      <c r="B453"/>
      <c r="D453" t="s">
        <v>1224</v>
      </c>
      <c r="E453" s="33">
        <v>6664.0999999999995</v>
      </c>
      <c r="F453" s="33">
        <f t="shared" ref="F453:F516" si="7">E453+F452</f>
        <v>10356961.838730006</v>
      </c>
    </row>
    <row r="454" spans="2:6" x14ac:dyDescent="0.25">
      <c r="B454"/>
      <c r="D454" t="s">
        <v>769</v>
      </c>
      <c r="E454" s="33">
        <v>6631.6443100000006</v>
      </c>
      <c r="F454" s="33">
        <f t="shared" si="7"/>
        <v>10363593.483040005</v>
      </c>
    </row>
    <row r="455" spans="2:6" x14ac:dyDescent="0.25">
      <c r="B455"/>
      <c r="D455" t="s">
        <v>1112</v>
      </c>
      <c r="E455" s="33">
        <v>6576.298960000001</v>
      </c>
      <c r="F455" s="33">
        <f t="shared" si="7"/>
        <v>10370169.782000005</v>
      </c>
    </row>
    <row r="456" spans="2:6" x14ac:dyDescent="0.25">
      <c r="B456"/>
      <c r="D456" t="s">
        <v>952</v>
      </c>
      <c r="E456" s="33">
        <v>6535.6324800000002</v>
      </c>
      <c r="F456" s="33">
        <f t="shared" si="7"/>
        <v>10376705.414480004</v>
      </c>
    </row>
    <row r="457" spans="2:6" x14ac:dyDescent="0.25">
      <c r="B457"/>
      <c r="D457" t="s">
        <v>988</v>
      </c>
      <c r="E457" s="33">
        <v>6468.2751599999992</v>
      </c>
      <c r="F457" s="33">
        <f t="shared" si="7"/>
        <v>10383173.689640004</v>
      </c>
    </row>
    <row r="458" spans="2:6" x14ac:dyDescent="0.25">
      <c r="B458"/>
      <c r="D458" t="s">
        <v>1257</v>
      </c>
      <c r="E458" s="33">
        <v>6435.2555999999995</v>
      </c>
      <c r="F458" s="33">
        <f t="shared" si="7"/>
        <v>10389608.945240004</v>
      </c>
    </row>
    <row r="459" spans="2:6" x14ac:dyDescent="0.25">
      <c r="B459"/>
      <c r="D459" t="s">
        <v>805</v>
      </c>
      <c r="E459" s="33">
        <v>6393.0952799999995</v>
      </c>
      <c r="F459" s="33">
        <f t="shared" si="7"/>
        <v>10396002.040520003</v>
      </c>
    </row>
    <row r="460" spans="2:6" x14ac:dyDescent="0.25">
      <c r="B460"/>
      <c r="D460" t="s">
        <v>835</v>
      </c>
      <c r="E460" s="33">
        <v>6324.5775999999996</v>
      </c>
      <c r="F460" s="33">
        <f t="shared" si="7"/>
        <v>10402326.618120003</v>
      </c>
    </row>
    <row r="461" spans="2:6" x14ac:dyDescent="0.25">
      <c r="B461"/>
      <c r="D461" t="s">
        <v>1313</v>
      </c>
      <c r="E461" s="33">
        <v>6137.8019999999988</v>
      </c>
      <c r="F461" s="33">
        <f t="shared" si="7"/>
        <v>10408464.420120003</v>
      </c>
    </row>
    <row r="462" spans="2:6" x14ac:dyDescent="0.25">
      <c r="B462"/>
      <c r="D462" t="s">
        <v>1011</v>
      </c>
      <c r="E462" s="33">
        <v>6066.54648</v>
      </c>
      <c r="F462" s="33">
        <f t="shared" si="7"/>
        <v>10414530.966600003</v>
      </c>
    </row>
    <row r="463" spans="2:6" x14ac:dyDescent="0.25">
      <c r="B463"/>
      <c r="D463" t="s">
        <v>1218</v>
      </c>
      <c r="E463" s="33">
        <v>6063.2517199999993</v>
      </c>
      <c r="F463" s="33">
        <f t="shared" si="7"/>
        <v>10420594.218320003</v>
      </c>
    </row>
    <row r="464" spans="2:6" x14ac:dyDescent="0.25">
      <c r="B464"/>
      <c r="D464" t="s">
        <v>1331</v>
      </c>
      <c r="E464" s="33">
        <v>5962.1422499999999</v>
      </c>
      <c r="F464" s="33">
        <f t="shared" si="7"/>
        <v>10426556.360570002</v>
      </c>
    </row>
    <row r="465" spans="2:6" x14ac:dyDescent="0.25">
      <c r="B465"/>
      <c r="D465" t="s">
        <v>837</v>
      </c>
      <c r="E465" s="33">
        <v>5960.3340000000007</v>
      </c>
      <c r="F465" s="33">
        <f t="shared" si="7"/>
        <v>10432516.694570003</v>
      </c>
    </row>
    <row r="466" spans="2:6" x14ac:dyDescent="0.25">
      <c r="B466"/>
      <c r="D466" t="s">
        <v>1176</v>
      </c>
      <c r="E466" s="33">
        <v>5960.04288</v>
      </c>
      <c r="F466" s="33">
        <f t="shared" si="7"/>
        <v>10438476.737450004</v>
      </c>
    </row>
    <row r="467" spans="2:6" x14ac:dyDescent="0.25">
      <c r="B467"/>
      <c r="D467" t="s">
        <v>1038</v>
      </c>
      <c r="E467" s="33">
        <v>5932.7856000000002</v>
      </c>
      <c r="F467" s="33">
        <f t="shared" si="7"/>
        <v>10444409.523050003</v>
      </c>
    </row>
    <row r="468" spans="2:6" x14ac:dyDescent="0.25">
      <c r="B468"/>
      <c r="D468" t="s">
        <v>965</v>
      </c>
      <c r="E468" s="33">
        <v>5814.6927299999998</v>
      </c>
      <c r="F468" s="33">
        <f t="shared" si="7"/>
        <v>10450224.215780003</v>
      </c>
    </row>
    <row r="469" spans="2:6" x14ac:dyDescent="0.25">
      <c r="B469"/>
      <c r="D469" t="s">
        <v>786</v>
      </c>
      <c r="E469" s="33">
        <v>5785.8</v>
      </c>
      <c r="F469" s="33">
        <f t="shared" si="7"/>
        <v>10456010.015780004</v>
      </c>
    </row>
    <row r="470" spans="2:6" x14ac:dyDescent="0.25">
      <c r="B470"/>
      <c r="D470" t="s">
        <v>852</v>
      </c>
      <c r="E470" s="33">
        <v>5769.2758000000003</v>
      </c>
      <c r="F470" s="33">
        <f t="shared" si="7"/>
        <v>10461779.291580005</v>
      </c>
    </row>
    <row r="471" spans="2:6" x14ac:dyDescent="0.25">
      <c r="B471"/>
      <c r="D471" t="s">
        <v>1325</v>
      </c>
      <c r="E471" s="33">
        <v>5725.6496000000006</v>
      </c>
      <c r="F471" s="33">
        <f t="shared" si="7"/>
        <v>10467504.941180004</v>
      </c>
    </row>
    <row r="472" spans="2:6" x14ac:dyDescent="0.25">
      <c r="B472"/>
      <c r="D472" t="s">
        <v>895</v>
      </c>
      <c r="E472" s="33">
        <v>5650.1744000000008</v>
      </c>
      <c r="F472" s="33">
        <f t="shared" si="7"/>
        <v>10473155.115580004</v>
      </c>
    </row>
    <row r="473" spans="2:6" x14ac:dyDescent="0.25">
      <c r="B473"/>
      <c r="D473" t="s">
        <v>1067</v>
      </c>
      <c r="E473" s="33">
        <v>5610.0923999999995</v>
      </c>
      <c r="F473" s="33">
        <f t="shared" si="7"/>
        <v>10478765.207980003</v>
      </c>
    </row>
    <row r="474" spans="2:6" x14ac:dyDescent="0.25">
      <c r="B474"/>
      <c r="D474" t="s">
        <v>1180</v>
      </c>
      <c r="E474" s="33">
        <v>5565.3272500000003</v>
      </c>
      <c r="F474" s="33">
        <f t="shared" si="7"/>
        <v>10484330.535230003</v>
      </c>
    </row>
    <row r="475" spans="2:6" x14ac:dyDescent="0.25">
      <c r="B475"/>
      <c r="D475" t="s">
        <v>1169</v>
      </c>
      <c r="E475" s="33">
        <v>5546.4642200000008</v>
      </c>
      <c r="F475" s="33">
        <f t="shared" si="7"/>
        <v>10489876.999450004</v>
      </c>
    </row>
    <row r="476" spans="2:6" x14ac:dyDescent="0.25">
      <c r="B476"/>
      <c r="D476" t="s">
        <v>961</v>
      </c>
      <c r="E476" s="33">
        <v>5533.6230000000005</v>
      </c>
      <c r="F476" s="33">
        <f t="shared" si="7"/>
        <v>10495410.622450003</v>
      </c>
    </row>
    <row r="477" spans="2:6" x14ac:dyDescent="0.25">
      <c r="B477"/>
      <c r="D477" t="s">
        <v>828</v>
      </c>
      <c r="E477" s="33">
        <v>5487.6023999999998</v>
      </c>
      <c r="F477" s="33">
        <f t="shared" si="7"/>
        <v>10500898.224850003</v>
      </c>
    </row>
    <row r="478" spans="2:6" x14ac:dyDescent="0.25">
      <c r="B478"/>
      <c r="D478" t="s">
        <v>1336</v>
      </c>
      <c r="E478" s="33">
        <v>5457.4317000000001</v>
      </c>
      <c r="F478" s="33">
        <f t="shared" si="7"/>
        <v>10506355.656550003</v>
      </c>
    </row>
    <row r="479" spans="2:6" x14ac:dyDescent="0.25">
      <c r="B479"/>
      <c r="D479" t="s">
        <v>1042</v>
      </c>
      <c r="E479" s="33">
        <v>5334.9141999999993</v>
      </c>
      <c r="F479" s="33">
        <f t="shared" si="7"/>
        <v>10511690.570750004</v>
      </c>
    </row>
    <row r="480" spans="2:6" x14ac:dyDescent="0.25">
      <c r="B480"/>
      <c r="D480" t="s">
        <v>816</v>
      </c>
      <c r="E480" s="33">
        <v>5331.6696000000002</v>
      </c>
      <c r="F480" s="33">
        <f t="shared" si="7"/>
        <v>10517022.240350004</v>
      </c>
    </row>
    <row r="481" spans="2:6" x14ac:dyDescent="0.25">
      <c r="B481"/>
      <c r="D481" t="s">
        <v>832</v>
      </c>
      <c r="E481" s="33">
        <v>5328.4890400000004</v>
      </c>
      <c r="F481" s="33">
        <f t="shared" si="7"/>
        <v>10522350.729390005</v>
      </c>
    </row>
    <row r="482" spans="2:6" x14ac:dyDescent="0.25">
      <c r="B482"/>
      <c r="D482" t="s">
        <v>1143</v>
      </c>
      <c r="E482" s="33">
        <v>5323.9903199999999</v>
      </c>
      <c r="F482" s="33">
        <f t="shared" si="7"/>
        <v>10527674.719710005</v>
      </c>
    </row>
    <row r="483" spans="2:6" x14ac:dyDescent="0.25">
      <c r="B483"/>
      <c r="D483" t="s">
        <v>967</v>
      </c>
      <c r="E483" s="33">
        <v>5280.8577599999999</v>
      </c>
      <c r="F483" s="33">
        <f t="shared" si="7"/>
        <v>10532955.577470005</v>
      </c>
    </row>
    <row r="484" spans="2:6" x14ac:dyDescent="0.25">
      <c r="B484"/>
      <c r="D484" t="s">
        <v>1136</v>
      </c>
      <c r="E484" s="33">
        <v>5250.4239000000007</v>
      </c>
      <c r="F484" s="33">
        <f t="shared" si="7"/>
        <v>10538206.001370005</v>
      </c>
    </row>
    <row r="485" spans="2:6" x14ac:dyDescent="0.25">
      <c r="B485"/>
      <c r="D485" t="s">
        <v>737</v>
      </c>
      <c r="E485" s="33">
        <v>5225.2710400000005</v>
      </c>
      <c r="F485" s="33">
        <f t="shared" si="7"/>
        <v>10543431.272410005</v>
      </c>
    </row>
    <row r="486" spans="2:6" x14ac:dyDescent="0.25">
      <c r="B486"/>
      <c r="D486" t="s">
        <v>1246</v>
      </c>
      <c r="E486" s="33">
        <v>5189.8836000000001</v>
      </c>
      <c r="F486" s="33">
        <f t="shared" si="7"/>
        <v>10548621.156010006</v>
      </c>
    </row>
    <row r="487" spans="2:6" x14ac:dyDescent="0.25">
      <c r="B487"/>
      <c r="D487" t="s">
        <v>1219</v>
      </c>
      <c r="E487" s="33">
        <v>5159.7893599999998</v>
      </c>
      <c r="F487" s="33">
        <f t="shared" si="7"/>
        <v>10553780.945370005</v>
      </c>
    </row>
    <row r="488" spans="2:6" x14ac:dyDescent="0.25">
      <c r="B488"/>
      <c r="D488" t="s">
        <v>1216</v>
      </c>
      <c r="E488" s="33">
        <v>5127.0390600000001</v>
      </c>
      <c r="F488" s="33">
        <f t="shared" si="7"/>
        <v>10558907.984430006</v>
      </c>
    </row>
    <row r="489" spans="2:6" x14ac:dyDescent="0.25">
      <c r="B489"/>
      <c r="D489" t="s">
        <v>1359</v>
      </c>
      <c r="E489" s="33">
        <v>5096.4790800000001</v>
      </c>
      <c r="F489" s="33">
        <f t="shared" si="7"/>
        <v>10564004.463510007</v>
      </c>
    </row>
    <row r="490" spans="2:6" x14ac:dyDescent="0.25">
      <c r="B490"/>
      <c r="D490" t="s">
        <v>1048</v>
      </c>
      <c r="E490" s="33">
        <v>5032.4433599999993</v>
      </c>
      <c r="F490" s="33">
        <f t="shared" si="7"/>
        <v>10569036.906870008</v>
      </c>
    </row>
    <row r="491" spans="2:6" x14ac:dyDescent="0.25">
      <c r="B491"/>
      <c r="D491" t="s">
        <v>746</v>
      </c>
      <c r="E491" s="33">
        <v>4968.5039999999999</v>
      </c>
      <c r="F491" s="33">
        <f t="shared" si="7"/>
        <v>10574005.410870008</v>
      </c>
    </row>
    <row r="492" spans="2:6" x14ac:dyDescent="0.25">
      <c r="B492"/>
      <c r="D492" t="s">
        <v>813</v>
      </c>
      <c r="E492" s="33">
        <v>4877.1379800000004</v>
      </c>
      <c r="F492" s="33">
        <f t="shared" si="7"/>
        <v>10578882.548850007</v>
      </c>
    </row>
    <row r="493" spans="2:6" x14ac:dyDescent="0.25">
      <c r="B493"/>
      <c r="D493" t="s">
        <v>734</v>
      </c>
      <c r="E493" s="33">
        <v>4866.3287999999993</v>
      </c>
      <c r="F493" s="33">
        <f t="shared" si="7"/>
        <v>10583748.877650008</v>
      </c>
    </row>
    <row r="494" spans="2:6" x14ac:dyDescent="0.25">
      <c r="B494"/>
      <c r="D494" t="s">
        <v>1068</v>
      </c>
      <c r="E494" s="33">
        <v>4856.35725</v>
      </c>
      <c r="F494" s="33">
        <f t="shared" si="7"/>
        <v>10588605.234900007</v>
      </c>
    </row>
    <row r="495" spans="2:6" x14ac:dyDescent="0.25">
      <c r="B495"/>
      <c r="D495" t="s">
        <v>920</v>
      </c>
      <c r="E495" s="33">
        <v>4831.9464600000001</v>
      </c>
      <c r="F495" s="33">
        <f t="shared" si="7"/>
        <v>10593437.181360006</v>
      </c>
    </row>
    <row r="496" spans="2:6" x14ac:dyDescent="0.25">
      <c r="B496"/>
      <c r="D496" t="s">
        <v>1278</v>
      </c>
      <c r="E496" s="33">
        <v>4826.5396199999996</v>
      </c>
      <c r="F496" s="33">
        <f t="shared" si="7"/>
        <v>10598263.720980007</v>
      </c>
    </row>
    <row r="497" spans="2:6" x14ac:dyDescent="0.25">
      <c r="B497"/>
      <c r="D497" t="s">
        <v>1095</v>
      </c>
      <c r="E497" s="33">
        <v>4804.4682400000002</v>
      </c>
      <c r="F497" s="33">
        <f t="shared" si="7"/>
        <v>10603068.189220008</v>
      </c>
    </row>
    <row r="498" spans="2:6" x14ac:dyDescent="0.25">
      <c r="B498"/>
      <c r="D498" t="s">
        <v>791</v>
      </c>
      <c r="E498" s="33">
        <v>4790.1068000000005</v>
      </c>
      <c r="F498" s="33">
        <f t="shared" si="7"/>
        <v>10607858.296020007</v>
      </c>
    </row>
    <row r="499" spans="2:6" x14ac:dyDescent="0.25">
      <c r="B499"/>
      <c r="D499" t="s">
        <v>1214</v>
      </c>
      <c r="E499" s="33">
        <v>4738.5261</v>
      </c>
      <c r="F499" s="33">
        <f t="shared" si="7"/>
        <v>10612596.822120007</v>
      </c>
    </row>
    <row r="500" spans="2:6" x14ac:dyDescent="0.25">
      <c r="B500"/>
      <c r="D500" t="s">
        <v>1275</v>
      </c>
      <c r="E500" s="33">
        <v>4737.2198399999997</v>
      </c>
      <c r="F500" s="33">
        <f t="shared" si="7"/>
        <v>10617334.041960007</v>
      </c>
    </row>
    <row r="501" spans="2:6" x14ac:dyDescent="0.25">
      <c r="B501"/>
      <c r="D501" t="s">
        <v>808</v>
      </c>
      <c r="E501" s="33">
        <v>4717.72</v>
      </c>
      <c r="F501" s="33">
        <f t="shared" si="7"/>
        <v>10622051.761960007</v>
      </c>
    </row>
    <row r="502" spans="2:6" x14ac:dyDescent="0.25">
      <c r="B502"/>
      <c r="D502" t="s">
        <v>1228</v>
      </c>
      <c r="E502" s="33">
        <v>4682.9519799999998</v>
      </c>
      <c r="F502" s="33">
        <f t="shared" si="7"/>
        <v>10626734.713940008</v>
      </c>
    </row>
    <row r="503" spans="2:6" x14ac:dyDescent="0.25">
      <c r="B503"/>
      <c r="D503" t="s">
        <v>1141</v>
      </c>
      <c r="E503" s="33">
        <v>4679.7141600000004</v>
      </c>
      <c r="F503" s="33">
        <f t="shared" si="7"/>
        <v>10631414.428100009</v>
      </c>
    </row>
    <row r="504" spans="2:6" x14ac:dyDescent="0.25">
      <c r="B504"/>
      <c r="D504" t="s">
        <v>935</v>
      </c>
      <c r="E504" s="33">
        <v>4637.7968000000001</v>
      </c>
      <c r="F504" s="33">
        <f t="shared" si="7"/>
        <v>10636052.224900009</v>
      </c>
    </row>
    <row r="505" spans="2:6" x14ac:dyDescent="0.25">
      <c r="B505"/>
      <c r="D505" t="s">
        <v>1303</v>
      </c>
      <c r="E505" s="33">
        <v>4577.1480000000001</v>
      </c>
      <c r="F505" s="33">
        <f t="shared" si="7"/>
        <v>10640629.372900009</v>
      </c>
    </row>
    <row r="506" spans="2:6" x14ac:dyDescent="0.25">
      <c r="B506"/>
      <c r="D506" t="s">
        <v>793</v>
      </c>
      <c r="E506" s="33">
        <v>4569.8508000000002</v>
      </c>
      <c r="F506" s="33">
        <f t="shared" si="7"/>
        <v>10645199.223700009</v>
      </c>
    </row>
    <row r="507" spans="2:6" x14ac:dyDescent="0.25">
      <c r="B507"/>
      <c r="D507" t="s">
        <v>1103</v>
      </c>
      <c r="E507" s="33">
        <v>4569.5735999999997</v>
      </c>
      <c r="F507" s="33">
        <f t="shared" si="7"/>
        <v>10649768.797300009</v>
      </c>
    </row>
    <row r="508" spans="2:6" x14ac:dyDescent="0.25">
      <c r="B508"/>
      <c r="D508" t="s">
        <v>956</v>
      </c>
      <c r="E508" s="33">
        <v>4503.4363999999996</v>
      </c>
      <c r="F508" s="33">
        <f t="shared" si="7"/>
        <v>10654272.233700009</v>
      </c>
    </row>
    <row r="509" spans="2:6" x14ac:dyDescent="0.25">
      <c r="B509"/>
      <c r="D509" t="s">
        <v>974</v>
      </c>
      <c r="E509" s="33">
        <v>4436.6291200000005</v>
      </c>
      <c r="F509" s="33">
        <f t="shared" si="7"/>
        <v>10658708.862820009</v>
      </c>
    </row>
    <row r="510" spans="2:6" x14ac:dyDescent="0.25">
      <c r="B510"/>
      <c r="D510" t="s">
        <v>913</v>
      </c>
      <c r="E510" s="33">
        <v>4420.5961799999995</v>
      </c>
      <c r="F510" s="33">
        <f t="shared" si="7"/>
        <v>10663129.459000008</v>
      </c>
    </row>
    <row r="511" spans="2:6" x14ac:dyDescent="0.25">
      <c r="B511"/>
      <c r="D511" t="s">
        <v>865</v>
      </c>
      <c r="E511" s="33">
        <v>4417.8334199999999</v>
      </c>
      <c r="F511" s="33">
        <f t="shared" si="7"/>
        <v>10667547.292420007</v>
      </c>
    </row>
    <row r="512" spans="2:6" x14ac:dyDescent="0.25">
      <c r="B512"/>
      <c r="D512" t="s">
        <v>1330</v>
      </c>
      <c r="E512" s="33">
        <v>4409.5168800000001</v>
      </c>
      <c r="F512" s="33">
        <f t="shared" si="7"/>
        <v>10671956.809300007</v>
      </c>
    </row>
    <row r="513" spans="2:6" x14ac:dyDescent="0.25">
      <c r="B513"/>
      <c r="D513" t="s">
        <v>927</v>
      </c>
      <c r="E513" s="33">
        <v>4402.1164799999997</v>
      </c>
      <c r="F513" s="33">
        <f t="shared" si="7"/>
        <v>10676358.925780008</v>
      </c>
    </row>
    <row r="514" spans="2:6" x14ac:dyDescent="0.25">
      <c r="B514"/>
      <c r="D514" t="s">
        <v>992</v>
      </c>
      <c r="E514" s="33">
        <v>4375.3620000000001</v>
      </c>
      <c r="F514" s="33">
        <f t="shared" si="7"/>
        <v>10680734.287780007</v>
      </c>
    </row>
    <row r="515" spans="2:6" x14ac:dyDescent="0.25">
      <c r="B515"/>
      <c r="D515" t="s">
        <v>871</v>
      </c>
      <c r="E515" s="33">
        <v>4336.2427499999994</v>
      </c>
      <c r="F515" s="33">
        <f t="shared" si="7"/>
        <v>10685070.530530008</v>
      </c>
    </row>
    <row r="516" spans="2:6" x14ac:dyDescent="0.25">
      <c r="B516"/>
      <c r="D516" t="s">
        <v>1311</v>
      </c>
      <c r="E516" s="33">
        <v>4280.6786400000001</v>
      </c>
      <c r="F516" s="33">
        <f t="shared" si="7"/>
        <v>10689351.209170008</v>
      </c>
    </row>
    <row r="517" spans="2:6" x14ac:dyDescent="0.25">
      <c r="B517"/>
      <c r="D517" t="s">
        <v>1030</v>
      </c>
      <c r="E517" s="33">
        <v>4241.88105</v>
      </c>
      <c r="F517" s="33">
        <f t="shared" ref="F517:F580" si="8">E517+F516</f>
        <v>10693593.090220008</v>
      </c>
    </row>
    <row r="518" spans="2:6" x14ac:dyDescent="0.25">
      <c r="B518"/>
      <c r="D518" t="s">
        <v>1297</v>
      </c>
      <c r="E518" s="33">
        <v>4229.4321199999995</v>
      </c>
      <c r="F518" s="33">
        <f t="shared" si="8"/>
        <v>10697822.522340007</v>
      </c>
    </row>
    <row r="519" spans="2:6" x14ac:dyDescent="0.25">
      <c r="B519"/>
      <c r="D519" t="s">
        <v>1210</v>
      </c>
      <c r="E519" s="33">
        <v>4212.3745999999992</v>
      </c>
      <c r="F519" s="33">
        <f t="shared" si="8"/>
        <v>10702034.896940008</v>
      </c>
    </row>
    <row r="520" spans="2:6" x14ac:dyDescent="0.25">
      <c r="B520"/>
      <c r="D520" t="s">
        <v>739</v>
      </c>
      <c r="E520" s="33">
        <v>4141.7599999999993</v>
      </c>
      <c r="F520" s="33">
        <f t="shared" si="8"/>
        <v>10706176.656940008</v>
      </c>
    </row>
    <row r="521" spans="2:6" x14ac:dyDescent="0.25">
      <c r="B521"/>
      <c r="D521" t="s">
        <v>886</v>
      </c>
      <c r="E521" s="33">
        <v>4139.8127999999997</v>
      </c>
      <c r="F521" s="33">
        <f t="shared" si="8"/>
        <v>10710316.469740007</v>
      </c>
    </row>
    <row r="522" spans="2:6" x14ac:dyDescent="0.25">
      <c r="B522"/>
      <c r="D522" t="s">
        <v>1104</v>
      </c>
      <c r="E522" s="33">
        <v>4133.25108</v>
      </c>
      <c r="F522" s="33">
        <f t="shared" si="8"/>
        <v>10714449.720820008</v>
      </c>
    </row>
    <row r="523" spans="2:6" x14ac:dyDescent="0.25">
      <c r="B523"/>
      <c r="D523" t="s">
        <v>1084</v>
      </c>
      <c r="E523" s="33">
        <v>4132.0325200000007</v>
      </c>
      <c r="F523" s="33">
        <f t="shared" si="8"/>
        <v>10718581.753340008</v>
      </c>
    </row>
    <row r="524" spans="2:6" x14ac:dyDescent="0.25">
      <c r="B524"/>
      <c r="D524" t="s">
        <v>1107</v>
      </c>
      <c r="E524" s="33">
        <v>4117.4880599999997</v>
      </c>
      <c r="F524" s="33">
        <f t="shared" si="8"/>
        <v>10722699.241400007</v>
      </c>
    </row>
    <row r="525" spans="2:6" x14ac:dyDescent="0.25">
      <c r="B525"/>
      <c r="D525" t="s">
        <v>1092</v>
      </c>
      <c r="E525" s="33">
        <v>4071.8</v>
      </c>
      <c r="F525" s="33">
        <f t="shared" si="8"/>
        <v>10726771.041400008</v>
      </c>
    </row>
    <row r="526" spans="2:6" x14ac:dyDescent="0.25">
      <c r="B526"/>
      <c r="D526" t="s">
        <v>1195</v>
      </c>
      <c r="E526" s="33">
        <v>4055.5175999999997</v>
      </c>
      <c r="F526" s="33">
        <f t="shared" si="8"/>
        <v>10730826.559000008</v>
      </c>
    </row>
    <row r="527" spans="2:6" x14ac:dyDescent="0.25">
      <c r="B527"/>
      <c r="D527" t="s">
        <v>1221</v>
      </c>
      <c r="E527" s="33">
        <v>4025.8565599999993</v>
      </c>
      <c r="F527" s="33">
        <f t="shared" si="8"/>
        <v>10734852.415560007</v>
      </c>
    </row>
    <row r="528" spans="2:6" x14ac:dyDescent="0.25">
      <c r="B528"/>
      <c r="D528" t="s">
        <v>761</v>
      </c>
      <c r="E528" s="33">
        <v>3980.7075</v>
      </c>
      <c r="F528" s="33">
        <f t="shared" si="8"/>
        <v>10738833.123060007</v>
      </c>
    </row>
    <row r="529" spans="2:6" x14ac:dyDescent="0.25">
      <c r="B529"/>
      <c r="D529" t="s">
        <v>1019</v>
      </c>
      <c r="E529" s="33">
        <v>3978.6474000000003</v>
      </c>
      <c r="F529" s="33">
        <f t="shared" si="8"/>
        <v>10742811.770460006</v>
      </c>
    </row>
    <row r="530" spans="2:6" x14ac:dyDescent="0.25">
      <c r="B530"/>
      <c r="D530" t="s">
        <v>928</v>
      </c>
      <c r="E530" s="33">
        <v>3928.3797600000003</v>
      </c>
      <c r="F530" s="33">
        <f t="shared" si="8"/>
        <v>10746740.150220007</v>
      </c>
    </row>
    <row r="531" spans="2:6" x14ac:dyDescent="0.25">
      <c r="B531"/>
      <c r="D531" t="s">
        <v>1241</v>
      </c>
      <c r="E531" s="33">
        <v>3921.1744000000008</v>
      </c>
      <c r="F531" s="33">
        <f t="shared" si="8"/>
        <v>10750661.324620007</v>
      </c>
    </row>
    <row r="532" spans="2:6" x14ac:dyDescent="0.25">
      <c r="B532"/>
      <c r="D532" t="s">
        <v>762</v>
      </c>
      <c r="E532" s="33">
        <v>3913.2000000000003</v>
      </c>
      <c r="F532" s="33">
        <f t="shared" si="8"/>
        <v>10754574.524620006</v>
      </c>
    </row>
    <row r="533" spans="2:6" x14ac:dyDescent="0.25">
      <c r="B533"/>
      <c r="D533" t="s">
        <v>1316</v>
      </c>
      <c r="E533" s="33">
        <v>3823.6151599999998</v>
      </c>
      <c r="F533" s="33">
        <f t="shared" si="8"/>
        <v>10758398.139780005</v>
      </c>
    </row>
    <row r="534" spans="2:6" x14ac:dyDescent="0.25">
      <c r="B534"/>
      <c r="D534" t="s">
        <v>973</v>
      </c>
      <c r="E534" s="33">
        <v>3823.5108</v>
      </c>
      <c r="F534" s="33">
        <f t="shared" si="8"/>
        <v>10762221.650580006</v>
      </c>
    </row>
    <row r="535" spans="2:6" x14ac:dyDescent="0.25">
      <c r="B535"/>
      <c r="D535" t="s">
        <v>1061</v>
      </c>
      <c r="E535" s="33">
        <v>3799.8031499999997</v>
      </c>
      <c r="F535" s="33">
        <f t="shared" si="8"/>
        <v>10766021.453730006</v>
      </c>
    </row>
    <row r="536" spans="2:6" x14ac:dyDescent="0.25">
      <c r="B536"/>
      <c r="D536" t="s">
        <v>1041</v>
      </c>
      <c r="E536" s="33">
        <v>3644.3212800000006</v>
      </c>
      <c r="F536" s="33">
        <f t="shared" si="8"/>
        <v>10769665.775010007</v>
      </c>
    </row>
    <row r="537" spans="2:6" x14ac:dyDescent="0.25">
      <c r="B537"/>
      <c r="D537" t="s">
        <v>982</v>
      </c>
      <c r="E537" s="33">
        <v>3592.04</v>
      </c>
      <c r="F537" s="33">
        <f t="shared" si="8"/>
        <v>10773257.815010006</v>
      </c>
    </row>
    <row r="538" spans="2:6" x14ac:dyDescent="0.25">
      <c r="B538"/>
      <c r="D538" t="s">
        <v>880</v>
      </c>
      <c r="E538" s="33">
        <v>3562.9028999999996</v>
      </c>
      <c r="F538" s="33">
        <f t="shared" si="8"/>
        <v>10776820.717910005</v>
      </c>
    </row>
    <row r="539" spans="2:6" x14ac:dyDescent="0.25">
      <c r="B539"/>
      <c r="D539" t="s">
        <v>773</v>
      </c>
      <c r="E539" s="33">
        <v>3562.1983800000003</v>
      </c>
      <c r="F539" s="33">
        <f t="shared" si="8"/>
        <v>10780382.916290006</v>
      </c>
    </row>
    <row r="540" spans="2:6" x14ac:dyDescent="0.25">
      <c r="B540"/>
      <c r="D540" t="s">
        <v>1244</v>
      </c>
      <c r="E540" s="33">
        <v>3525.5505600000001</v>
      </c>
      <c r="F540" s="33">
        <f t="shared" si="8"/>
        <v>10783908.466850005</v>
      </c>
    </row>
    <row r="541" spans="2:6" x14ac:dyDescent="0.25">
      <c r="B541"/>
      <c r="D541" t="s">
        <v>867</v>
      </c>
      <c r="E541" s="33">
        <v>3494.4040799999998</v>
      </c>
      <c r="F541" s="33">
        <f t="shared" si="8"/>
        <v>10787402.870930005</v>
      </c>
    </row>
    <row r="542" spans="2:6" x14ac:dyDescent="0.25">
      <c r="B542"/>
      <c r="D542" t="s">
        <v>1302</v>
      </c>
      <c r="E542" s="33">
        <v>3378.1478400000001</v>
      </c>
      <c r="F542" s="33">
        <f t="shared" si="8"/>
        <v>10790781.018770006</v>
      </c>
    </row>
    <row r="543" spans="2:6" x14ac:dyDescent="0.25">
      <c r="B543"/>
      <c r="D543" t="s">
        <v>1272</v>
      </c>
      <c r="E543" s="33">
        <v>3340.6370000000002</v>
      </c>
      <c r="F543" s="33">
        <f t="shared" si="8"/>
        <v>10794121.655770006</v>
      </c>
    </row>
    <row r="544" spans="2:6" x14ac:dyDescent="0.25">
      <c r="B544"/>
      <c r="D544" t="s">
        <v>1031</v>
      </c>
      <c r="E544" s="33">
        <v>3190.8713200000002</v>
      </c>
      <c r="F544" s="33">
        <f t="shared" si="8"/>
        <v>10797312.527090006</v>
      </c>
    </row>
    <row r="545" spans="2:6" x14ac:dyDescent="0.25">
      <c r="B545"/>
      <c r="D545" t="s">
        <v>1078</v>
      </c>
      <c r="E545" s="33">
        <v>3175.1547799999998</v>
      </c>
      <c r="F545" s="33">
        <f t="shared" si="8"/>
        <v>10800487.681870006</v>
      </c>
    </row>
    <row r="546" spans="2:6" x14ac:dyDescent="0.25">
      <c r="B546"/>
      <c r="D546" t="s">
        <v>1329</v>
      </c>
      <c r="E546" s="33">
        <v>3116.21</v>
      </c>
      <c r="F546" s="33">
        <f t="shared" si="8"/>
        <v>10803603.891870007</v>
      </c>
    </row>
    <row r="547" spans="2:6" x14ac:dyDescent="0.25">
      <c r="B547"/>
      <c r="D547" t="s">
        <v>1072</v>
      </c>
      <c r="E547" s="33">
        <v>3021.5016000000001</v>
      </c>
      <c r="F547" s="33">
        <f t="shared" si="8"/>
        <v>10806625.393470006</v>
      </c>
    </row>
    <row r="548" spans="2:6" x14ac:dyDescent="0.25">
      <c r="B548"/>
      <c r="D548" t="s">
        <v>1052</v>
      </c>
      <c r="E548" s="33">
        <v>2915.4540999999999</v>
      </c>
      <c r="F548" s="33">
        <f t="shared" si="8"/>
        <v>10809540.847570006</v>
      </c>
    </row>
    <row r="549" spans="2:6" x14ac:dyDescent="0.25">
      <c r="B549"/>
      <c r="D549" t="s">
        <v>979</v>
      </c>
      <c r="E549" s="33">
        <v>2909.8689199999999</v>
      </c>
      <c r="F549" s="33">
        <f t="shared" si="8"/>
        <v>10812450.716490006</v>
      </c>
    </row>
    <row r="550" spans="2:6" x14ac:dyDescent="0.25">
      <c r="B550"/>
      <c r="D550" t="s">
        <v>740</v>
      </c>
      <c r="E550" s="33">
        <v>2886.4496399999998</v>
      </c>
      <c r="F550" s="33">
        <f t="shared" si="8"/>
        <v>10815337.166130006</v>
      </c>
    </row>
    <row r="551" spans="2:6" x14ac:dyDescent="0.25">
      <c r="B551"/>
      <c r="D551" t="s">
        <v>966</v>
      </c>
      <c r="E551" s="33">
        <v>2879.9836</v>
      </c>
      <c r="F551" s="33">
        <f t="shared" si="8"/>
        <v>10818217.149730006</v>
      </c>
    </row>
    <row r="552" spans="2:6" x14ac:dyDescent="0.25">
      <c r="B552"/>
      <c r="D552" t="s">
        <v>1172</v>
      </c>
      <c r="E552" s="33">
        <v>2795.6384399999997</v>
      </c>
      <c r="F552" s="33">
        <f t="shared" si="8"/>
        <v>10821012.788170006</v>
      </c>
    </row>
    <row r="553" spans="2:6" x14ac:dyDescent="0.25">
      <c r="B553"/>
      <c r="D553" t="s">
        <v>1340</v>
      </c>
      <c r="E553" s="33">
        <v>2736.27018</v>
      </c>
      <c r="F553" s="33">
        <f t="shared" si="8"/>
        <v>10823749.058350006</v>
      </c>
    </row>
    <row r="554" spans="2:6" x14ac:dyDescent="0.25">
      <c r="B554"/>
      <c r="D554" t="s">
        <v>1199</v>
      </c>
      <c r="E554" s="33">
        <v>2719.8567000000003</v>
      </c>
      <c r="F554" s="33">
        <f t="shared" si="8"/>
        <v>10826468.915050006</v>
      </c>
    </row>
    <row r="555" spans="2:6" x14ac:dyDescent="0.25">
      <c r="B555"/>
      <c r="D555" t="s">
        <v>862</v>
      </c>
      <c r="E555" s="33">
        <v>2642.1686999999997</v>
      </c>
      <c r="F555" s="33">
        <f t="shared" si="8"/>
        <v>10829111.083750006</v>
      </c>
    </row>
    <row r="556" spans="2:6" x14ac:dyDescent="0.25">
      <c r="B556"/>
      <c r="D556" t="s">
        <v>1165</v>
      </c>
      <c r="E556" s="33">
        <v>2627.6239999999998</v>
      </c>
      <c r="F556" s="33">
        <f t="shared" si="8"/>
        <v>10831738.707750006</v>
      </c>
    </row>
    <row r="557" spans="2:6" x14ac:dyDescent="0.25">
      <c r="B557"/>
      <c r="D557" t="s">
        <v>1064</v>
      </c>
      <c r="E557" s="33">
        <v>2537.2908000000002</v>
      </c>
      <c r="F557" s="33">
        <f t="shared" si="8"/>
        <v>10834275.998550005</v>
      </c>
    </row>
    <row r="558" spans="2:6" x14ac:dyDescent="0.25">
      <c r="B558"/>
      <c r="D558" t="s">
        <v>1124</v>
      </c>
      <c r="E558" s="33">
        <v>2525.0635000000002</v>
      </c>
      <c r="F558" s="33">
        <f t="shared" si="8"/>
        <v>10836801.062050005</v>
      </c>
    </row>
    <row r="559" spans="2:6" x14ac:dyDescent="0.25">
      <c r="B559"/>
      <c r="D559" t="s">
        <v>787</v>
      </c>
      <c r="E559" s="33">
        <v>2518.8755800000004</v>
      </c>
      <c r="F559" s="33">
        <f t="shared" si="8"/>
        <v>10839319.937630005</v>
      </c>
    </row>
    <row r="560" spans="2:6" x14ac:dyDescent="0.25">
      <c r="B560"/>
      <c r="D560" t="s">
        <v>991</v>
      </c>
      <c r="E560" s="33">
        <v>2394.1605599999998</v>
      </c>
      <c r="F560" s="33">
        <f t="shared" si="8"/>
        <v>10841714.098190006</v>
      </c>
    </row>
    <row r="561" spans="2:6" x14ac:dyDescent="0.25">
      <c r="B561"/>
      <c r="D561" t="s">
        <v>1060</v>
      </c>
      <c r="E561" s="33">
        <v>2373.9623200000001</v>
      </c>
      <c r="F561" s="33">
        <f t="shared" si="8"/>
        <v>10844088.060510006</v>
      </c>
    </row>
    <row r="562" spans="2:6" x14ac:dyDescent="0.25">
      <c r="B562"/>
      <c r="D562" t="s">
        <v>1353</v>
      </c>
      <c r="E562" s="33">
        <v>2355.2113199999999</v>
      </c>
      <c r="F562" s="33">
        <f t="shared" si="8"/>
        <v>10846443.271830006</v>
      </c>
    </row>
    <row r="563" spans="2:6" x14ac:dyDescent="0.25">
      <c r="B563"/>
      <c r="D563" t="s">
        <v>903</v>
      </c>
      <c r="E563" s="33">
        <v>2316.2621999999997</v>
      </c>
      <c r="F563" s="33">
        <f t="shared" si="8"/>
        <v>10848759.534030005</v>
      </c>
    </row>
    <row r="564" spans="2:6" x14ac:dyDescent="0.25">
      <c r="B564"/>
      <c r="D564" t="s">
        <v>951</v>
      </c>
      <c r="E564" s="33">
        <v>2231.6467200000002</v>
      </c>
      <c r="F564" s="33">
        <f t="shared" si="8"/>
        <v>10850991.180750005</v>
      </c>
    </row>
    <row r="565" spans="2:6" x14ac:dyDescent="0.25">
      <c r="B565"/>
      <c r="D565" t="s">
        <v>1081</v>
      </c>
      <c r="E565" s="33">
        <v>2206.8000000000002</v>
      </c>
      <c r="F565" s="33">
        <f t="shared" si="8"/>
        <v>10853197.980750006</v>
      </c>
    </row>
    <row r="566" spans="2:6" x14ac:dyDescent="0.25">
      <c r="B566"/>
      <c r="D566" t="s">
        <v>1259</v>
      </c>
      <c r="E566" s="33">
        <v>2146.5580500000001</v>
      </c>
      <c r="F566" s="33">
        <f t="shared" si="8"/>
        <v>10855344.538800005</v>
      </c>
    </row>
    <row r="567" spans="2:6" x14ac:dyDescent="0.25">
      <c r="B567"/>
      <c r="D567" t="s">
        <v>847</v>
      </c>
      <c r="E567" s="33">
        <v>2117.4834999999998</v>
      </c>
      <c r="F567" s="33">
        <f t="shared" si="8"/>
        <v>10857462.022300005</v>
      </c>
    </row>
    <row r="568" spans="2:6" x14ac:dyDescent="0.25">
      <c r="B568"/>
      <c r="D568" t="s">
        <v>1341</v>
      </c>
      <c r="E568" s="33">
        <v>2077.46</v>
      </c>
      <c r="F568" s="33">
        <f t="shared" si="8"/>
        <v>10859539.482300006</v>
      </c>
    </row>
    <row r="569" spans="2:6" x14ac:dyDescent="0.25">
      <c r="B569"/>
      <c r="D569" t="s">
        <v>858</v>
      </c>
      <c r="E569" s="33">
        <v>2072.9258400000003</v>
      </c>
      <c r="F569" s="33">
        <f t="shared" si="8"/>
        <v>10861612.408140006</v>
      </c>
    </row>
    <row r="570" spans="2:6" x14ac:dyDescent="0.25">
      <c r="B570"/>
      <c r="D570" t="s">
        <v>1145</v>
      </c>
      <c r="E570" s="33">
        <v>2059.0056</v>
      </c>
      <c r="F570" s="33">
        <f t="shared" si="8"/>
        <v>10863671.413740005</v>
      </c>
    </row>
    <row r="571" spans="2:6" x14ac:dyDescent="0.25">
      <c r="B571"/>
      <c r="D571" t="s">
        <v>908</v>
      </c>
      <c r="E571" s="33">
        <v>1952.6356799999999</v>
      </c>
      <c r="F571" s="33">
        <f t="shared" si="8"/>
        <v>10865624.049420005</v>
      </c>
    </row>
    <row r="572" spans="2:6" x14ac:dyDescent="0.25">
      <c r="B572"/>
      <c r="D572" t="s">
        <v>1167</v>
      </c>
      <c r="E572" s="33">
        <v>1950.0031200000001</v>
      </c>
      <c r="F572" s="33">
        <f t="shared" si="8"/>
        <v>10867574.052540004</v>
      </c>
    </row>
    <row r="573" spans="2:6" x14ac:dyDescent="0.25">
      <c r="B573"/>
      <c r="D573" t="s">
        <v>1178</v>
      </c>
      <c r="E573" s="33">
        <v>1925.29872</v>
      </c>
      <c r="F573" s="33">
        <f t="shared" si="8"/>
        <v>10869499.351260005</v>
      </c>
    </row>
    <row r="574" spans="2:6" x14ac:dyDescent="0.25">
      <c r="B574"/>
      <c r="D574" t="s">
        <v>1196</v>
      </c>
      <c r="E574" s="33">
        <v>1886.9915999999998</v>
      </c>
      <c r="F574" s="33">
        <f t="shared" si="8"/>
        <v>10871386.342860004</v>
      </c>
    </row>
    <row r="575" spans="2:6" x14ac:dyDescent="0.25">
      <c r="B575"/>
      <c r="D575" t="s">
        <v>1283</v>
      </c>
      <c r="E575" s="33">
        <v>1846.8040799999999</v>
      </c>
      <c r="F575" s="33">
        <f t="shared" si="8"/>
        <v>10873233.146940004</v>
      </c>
    </row>
    <row r="576" spans="2:6" x14ac:dyDescent="0.25">
      <c r="B576"/>
      <c r="D576" t="s">
        <v>1197</v>
      </c>
      <c r="E576" s="33">
        <v>1808.04592</v>
      </c>
      <c r="F576" s="33">
        <f t="shared" si="8"/>
        <v>10875041.192860004</v>
      </c>
    </row>
    <row r="577" spans="2:6" x14ac:dyDescent="0.25">
      <c r="B577"/>
      <c r="D577" t="s">
        <v>1314</v>
      </c>
      <c r="E577" s="33">
        <v>1801.4076000000002</v>
      </c>
      <c r="F577" s="33">
        <f t="shared" si="8"/>
        <v>10876842.600460004</v>
      </c>
    </row>
    <row r="578" spans="2:6" x14ac:dyDescent="0.25">
      <c r="B578"/>
      <c r="D578" t="s">
        <v>945</v>
      </c>
      <c r="E578" s="33">
        <v>1774.8072</v>
      </c>
      <c r="F578" s="33">
        <f t="shared" si="8"/>
        <v>10878617.407660004</v>
      </c>
    </row>
    <row r="579" spans="2:6" x14ac:dyDescent="0.25">
      <c r="B579"/>
      <c r="D579" t="s">
        <v>760</v>
      </c>
      <c r="E579" s="33">
        <v>1756.6999999999998</v>
      </c>
      <c r="F579" s="33">
        <f t="shared" si="8"/>
        <v>10880374.107660003</v>
      </c>
    </row>
    <row r="580" spans="2:6" x14ac:dyDescent="0.25">
      <c r="B580"/>
      <c r="D580" t="s">
        <v>1193</v>
      </c>
      <c r="E580" s="33">
        <v>1662.6945600000001</v>
      </c>
      <c r="F580" s="33">
        <f t="shared" si="8"/>
        <v>10882036.802220004</v>
      </c>
    </row>
    <row r="581" spans="2:6" x14ac:dyDescent="0.25">
      <c r="B581"/>
      <c r="D581" t="s">
        <v>842</v>
      </c>
      <c r="E581" s="33">
        <v>1660.3999999999999</v>
      </c>
      <c r="F581" s="33">
        <f t="shared" ref="F581:F632" si="9">E581+F580</f>
        <v>10883697.202220004</v>
      </c>
    </row>
    <row r="582" spans="2:6" x14ac:dyDescent="0.25">
      <c r="B582"/>
      <c r="D582" t="s">
        <v>821</v>
      </c>
      <c r="E582" s="33">
        <v>1654.8966000000003</v>
      </c>
      <c r="F582" s="33">
        <f t="shared" si="9"/>
        <v>10885352.098820005</v>
      </c>
    </row>
    <row r="583" spans="2:6" x14ac:dyDescent="0.25">
      <c r="B583"/>
      <c r="D583" t="s">
        <v>1039</v>
      </c>
      <c r="E583" s="33">
        <v>1641.7107199999998</v>
      </c>
      <c r="F583" s="33">
        <f t="shared" si="9"/>
        <v>10886993.809540005</v>
      </c>
    </row>
    <row r="584" spans="2:6" x14ac:dyDescent="0.25">
      <c r="B584"/>
      <c r="D584" t="s">
        <v>1223</v>
      </c>
      <c r="E584" s="33">
        <v>1547.3500000000001</v>
      </c>
      <c r="F584" s="33">
        <f t="shared" si="9"/>
        <v>10888541.159540005</v>
      </c>
    </row>
    <row r="585" spans="2:6" x14ac:dyDescent="0.25">
      <c r="B585"/>
      <c r="D585" t="s">
        <v>848</v>
      </c>
      <c r="E585" s="33">
        <v>1499.22</v>
      </c>
      <c r="F585" s="33">
        <f t="shared" si="9"/>
        <v>10890040.379540006</v>
      </c>
    </row>
    <row r="586" spans="2:6" x14ac:dyDescent="0.25">
      <c r="B586"/>
      <c r="D586" t="s">
        <v>873</v>
      </c>
      <c r="E586" s="33">
        <v>1446.9507000000001</v>
      </c>
      <c r="F586" s="33">
        <f t="shared" si="9"/>
        <v>10891487.330240006</v>
      </c>
    </row>
    <row r="587" spans="2:6" x14ac:dyDescent="0.25">
      <c r="B587"/>
      <c r="D587" t="s">
        <v>1088</v>
      </c>
      <c r="E587" s="33">
        <v>1122.0896000000002</v>
      </c>
      <c r="F587" s="33">
        <f t="shared" si="9"/>
        <v>10892609.419840006</v>
      </c>
    </row>
    <row r="588" spans="2:6" x14ac:dyDescent="0.25">
      <c r="B588"/>
      <c r="D588" t="s">
        <v>1075</v>
      </c>
      <c r="E588" s="33">
        <v>1115.1975999999997</v>
      </c>
      <c r="F588" s="33">
        <f t="shared" si="9"/>
        <v>10893724.617440006</v>
      </c>
    </row>
    <row r="589" spans="2:6" x14ac:dyDescent="0.25">
      <c r="B589"/>
      <c r="D589" t="s">
        <v>1025</v>
      </c>
      <c r="E589" s="33">
        <v>1098.9470800000001</v>
      </c>
      <c r="F589" s="33">
        <f t="shared" si="9"/>
        <v>10894823.564520005</v>
      </c>
    </row>
    <row r="590" spans="2:6" x14ac:dyDescent="0.25">
      <c r="B590"/>
      <c r="D590" t="s">
        <v>1334</v>
      </c>
      <c r="E590" s="33">
        <v>1062.5902000000001</v>
      </c>
      <c r="F590" s="33">
        <f t="shared" si="9"/>
        <v>10895886.154720005</v>
      </c>
    </row>
    <row r="591" spans="2:6" x14ac:dyDescent="0.25">
      <c r="B591"/>
      <c r="D591" t="s">
        <v>1352</v>
      </c>
      <c r="E591" s="33">
        <v>1030.7574</v>
      </c>
      <c r="F591" s="33">
        <f t="shared" si="9"/>
        <v>10896916.912120005</v>
      </c>
    </row>
    <row r="592" spans="2:6" x14ac:dyDescent="0.25">
      <c r="B592"/>
      <c r="D592" t="s">
        <v>1250</v>
      </c>
      <c r="E592" s="33">
        <v>1010.3759200000001</v>
      </c>
      <c r="F592" s="33">
        <f t="shared" si="9"/>
        <v>10897927.288040005</v>
      </c>
    </row>
    <row r="593" spans="2:6" x14ac:dyDescent="0.25">
      <c r="B593"/>
      <c r="D593" t="s">
        <v>1209</v>
      </c>
      <c r="E593" s="33">
        <v>1009.2969000000002</v>
      </c>
      <c r="F593" s="33">
        <f t="shared" si="9"/>
        <v>10898936.584940005</v>
      </c>
    </row>
    <row r="594" spans="2:6" x14ac:dyDescent="0.25">
      <c r="B594"/>
      <c r="D594" t="s">
        <v>1194</v>
      </c>
      <c r="E594" s="33">
        <v>930.17574000000002</v>
      </c>
      <c r="F594" s="33">
        <f t="shared" si="9"/>
        <v>10899866.760680005</v>
      </c>
    </row>
    <row r="595" spans="2:6" x14ac:dyDescent="0.25">
      <c r="B595"/>
      <c r="D595" t="s">
        <v>955</v>
      </c>
      <c r="E595" s="33">
        <v>908.03700000000003</v>
      </c>
      <c r="F595" s="33">
        <f t="shared" si="9"/>
        <v>10900774.797680005</v>
      </c>
    </row>
    <row r="596" spans="2:6" x14ac:dyDescent="0.25">
      <c r="B596"/>
      <c r="D596" t="s">
        <v>1045</v>
      </c>
      <c r="E596" s="33">
        <v>879.05840000000001</v>
      </c>
      <c r="F596" s="33">
        <f t="shared" si="9"/>
        <v>10901653.856080005</v>
      </c>
    </row>
    <row r="597" spans="2:6" x14ac:dyDescent="0.25">
      <c r="B597"/>
      <c r="D597" t="s">
        <v>1252</v>
      </c>
      <c r="E597" s="33">
        <v>855.72881999999993</v>
      </c>
      <c r="F597" s="33">
        <f t="shared" si="9"/>
        <v>10902509.584900005</v>
      </c>
    </row>
    <row r="598" spans="2:6" x14ac:dyDescent="0.25">
      <c r="B598"/>
      <c r="D598" t="s">
        <v>861</v>
      </c>
      <c r="E598" s="33">
        <v>853.32276999999988</v>
      </c>
      <c r="F598" s="33">
        <f t="shared" si="9"/>
        <v>10903362.907670004</v>
      </c>
    </row>
    <row r="599" spans="2:6" x14ac:dyDescent="0.25">
      <c r="B599"/>
      <c r="D599" t="s">
        <v>1349</v>
      </c>
      <c r="E599" s="33">
        <v>846.34703999999988</v>
      </c>
      <c r="F599" s="33">
        <f t="shared" si="9"/>
        <v>10904209.254710004</v>
      </c>
    </row>
    <row r="600" spans="2:6" x14ac:dyDescent="0.25">
      <c r="B600"/>
      <c r="D600" t="s">
        <v>1304</v>
      </c>
      <c r="E600" s="33">
        <v>841.00536</v>
      </c>
      <c r="F600" s="33">
        <f t="shared" si="9"/>
        <v>10905050.260070004</v>
      </c>
    </row>
    <row r="601" spans="2:6" x14ac:dyDescent="0.25">
      <c r="B601"/>
      <c r="D601" t="s">
        <v>850</v>
      </c>
      <c r="E601" s="33">
        <v>765.99195000000009</v>
      </c>
      <c r="F601" s="33">
        <f t="shared" si="9"/>
        <v>10905816.252020003</v>
      </c>
    </row>
    <row r="602" spans="2:6" x14ac:dyDescent="0.25">
      <c r="B602"/>
      <c r="D602" t="s">
        <v>977</v>
      </c>
      <c r="E602" s="33">
        <v>748.22303999999997</v>
      </c>
      <c r="F602" s="33">
        <f t="shared" si="9"/>
        <v>10906564.475060003</v>
      </c>
    </row>
    <row r="603" spans="2:6" x14ac:dyDescent="0.25">
      <c r="B603"/>
      <c r="D603" t="s">
        <v>1151</v>
      </c>
      <c r="E603" s="33">
        <v>741.43835999999999</v>
      </c>
      <c r="F603" s="33">
        <f t="shared" si="9"/>
        <v>10907305.913420003</v>
      </c>
    </row>
    <row r="604" spans="2:6" x14ac:dyDescent="0.25">
      <c r="B604"/>
      <c r="D604" t="s">
        <v>1057</v>
      </c>
      <c r="E604" s="33">
        <v>703.2428000000001</v>
      </c>
      <c r="F604" s="33">
        <f t="shared" si="9"/>
        <v>10908009.156220002</v>
      </c>
    </row>
    <row r="605" spans="2:6" x14ac:dyDescent="0.25">
      <c r="B605"/>
      <c r="D605" t="s">
        <v>741</v>
      </c>
      <c r="E605" s="33">
        <v>685.06776000000002</v>
      </c>
      <c r="F605" s="33">
        <f t="shared" si="9"/>
        <v>10908694.223980002</v>
      </c>
    </row>
    <row r="606" spans="2:6" x14ac:dyDescent="0.25">
      <c r="B606"/>
      <c r="D606" t="s">
        <v>1016</v>
      </c>
      <c r="E606" s="33">
        <v>667.74</v>
      </c>
      <c r="F606" s="33">
        <f t="shared" si="9"/>
        <v>10909361.963980002</v>
      </c>
    </row>
    <row r="607" spans="2:6" x14ac:dyDescent="0.25">
      <c r="B607"/>
      <c r="D607" t="s">
        <v>964</v>
      </c>
      <c r="E607" s="33">
        <v>667.15008</v>
      </c>
      <c r="F607" s="33">
        <f t="shared" si="9"/>
        <v>10910029.114060001</v>
      </c>
    </row>
    <row r="608" spans="2:6" x14ac:dyDescent="0.25">
      <c r="B608"/>
      <c r="D608" t="s">
        <v>823</v>
      </c>
      <c r="E608" s="33">
        <v>624.43503999999996</v>
      </c>
      <c r="F608" s="33">
        <f t="shared" si="9"/>
        <v>10910653.549100002</v>
      </c>
    </row>
    <row r="609" spans="2:6" x14ac:dyDescent="0.25">
      <c r="B609"/>
      <c r="D609" t="s">
        <v>1264</v>
      </c>
      <c r="E609" s="33">
        <v>618.19979999999987</v>
      </c>
      <c r="F609" s="33">
        <f t="shared" si="9"/>
        <v>10911271.748900002</v>
      </c>
    </row>
    <row r="610" spans="2:6" x14ac:dyDescent="0.25">
      <c r="B610"/>
      <c r="D610" t="s">
        <v>981</v>
      </c>
      <c r="E610" s="33">
        <v>607.30668000000003</v>
      </c>
      <c r="F610" s="33">
        <f t="shared" si="9"/>
        <v>10911879.055580001</v>
      </c>
    </row>
    <row r="611" spans="2:6" x14ac:dyDescent="0.25">
      <c r="B611"/>
      <c r="D611" t="s">
        <v>785</v>
      </c>
      <c r="E611" s="33">
        <v>599.53200000000004</v>
      </c>
      <c r="F611" s="33">
        <f t="shared" si="9"/>
        <v>10912478.587580001</v>
      </c>
    </row>
    <row r="612" spans="2:6" x14ac:dyDescent="0.25">
      <c r="B612"/>
      <c r="D612" t="s">
        <v>853</v>
      </c>
      <c r="E612" s="33">
        <v>592.92849000000001</v>
      </c>
      <c r="F612" s="33">
        <f t="shared" si="9"/>
        <v>10913071.516070001</v>
      </c>
    </row>
    <row r="613" spans="2:6" x14ac:dyDescent="0.25">
      <c r="B613"/>
      <c r="D613" t="s">
        <v>997</v>
      </c>
      <c r="E613" s="33">
        <v>560.36831999999993</v>
      </c>
      <c r="F613" s="33">
        <f t="shared" si="9"/>
        <v>10913631.88439</v>
      </c>
    </row>
    <row r="614" spans="2:6" x14ac:dyDescent="0.25">
      <c r="B614"/>
      <c r="D614" t="s">
        <v>843</v>
      </c>
      <c r="E614" s="33">
        <v>549.80010000000004</v>
      </c>
      <c r="F614" s="33">
        <f t="shared" si="9"/>
        <v>10914181.684490001</v>
      </c>
    </row>
    <row r="615" spans="2:6" x14ac:dyDescent="0.25">
      <c r="B615"/>
      <c r="D615" t="s">
        <v>1265</v>
      </c>
      <c r="E615" s="33">
        <v>534.57695999999999</v>
      </c>
      <c r="F615" s="33">
        <f t="shared" si="9"/>
        <v>10914716.26145</v>
      </c>
    </row>
    <row r="616" spans="2:6" x14ac:dyDescent="0.25">
      <c r="B616"/>
      <c r="D616" t="s">
        <v>817</v>
      </c>
      <c r="E616" s="33">
        <v>524.81174999999996</v>
      </c>
      <c r="F616" s="33">
        <f t="shared" si="9"/>
        <v>10915241.0732</v>
      </c>
    </row>
    <row r="617" spans="2:6" x14ac:dyDescent="0.25">
      <c r="B617"/>
      <c r="D617" t="s">
        <v>840</v>
      </c>
      <c r="E617" s="33">
        <v>518.65436999999997</v>
      </c>
      <c r="F617" s="33">
        <f t="shared" si="9"/>
        <v>10915759.727570001</v>
      </c>
    </row>
    <row r="618" spans="2:6" x14ac:dyDescent="0.25">
      <c r="B618"/>
      <c r="D618" t="s">
        <v>1307</v>
      </c>
      <c r="E618" s="33">
        <v>496.98660000000001</v>
      </c>
      <c r="F618" s="33">
        <f t="shared" si="9"/>
        <v>10916256.714170001</v>
      </c>
    </row>
    <row r="619" spans="2:6" x14ac:dyDescent="0.25">
      <c r="B619"/>
      <c r="D619" t="s">
        <v>1122</v>
      </c>
      <c r="E619" s="33">
        <v>434.45248000000004</v>
      </c>
      <c r="F619" s="33">
        <f t="shared" si="9"/>
        <v>10916691.166650001</v>
      </c>
    </row>
    <row r="620" spans="2:6" x14ac:dyDescent="0.25">
      <c r="B620"/>
      <c r="D620" t="s">
        <v>1318</v>
      </c>
      <c r="E620" s="33">
        <v>370.86</v>
      </c>
      <c r="F620" s="33">
        <f t="shared" si="9"/>
        <v>10917062.02665</v>
      </c>
    </row>
    <row r="621" spans="2:6" x14ac:dyDescent="0.25">
      <c r="B621"/>
      <c r="D621" t="s">
        <v>911</v>
      </c>
      <c r="E621" s="33">
        <v>321.93290999999999</v>
      </c>
      <c r="F621" s="33">
        <f t="shared" si="9"/>
        <v>10917383.959560001</v>
      </c>
    </row>
    <row r="622" spans="2:6" x14ac:dyDescent="0.25">
      <c r="B622"/>
      <c r="D622" t="s">
        <v>736</v>
      </c>
      <c r="E622" s="33">
        <v>319.72248000000002</v>
      </c>
      <c r="F622" s="33">
        <f t="shared" si="9"/>
        <v>10917703.682040002</v>
      </c>
    </row>
    <row r="623" spans="2:6" x14ac:dyDescent="0.25">
      <c r="B623"/>
      <c r="D623" t="s">
        <v>792</v>
      </c>
      <c r="E623" s="33">
        <v>272.98599999999999</v>
      </c>
      <c r="F623" s="33">
        <f t="shared" si="9"/>
        <v>10917976.668040002</v>
      </c>
    </row>
    <row r="624" spans="2:6" x14ac:dyDescent="0.25">
      <c r="B624"/>
      <c r="D624" t="s">
        <v>1363</v>
      </c>
      <c r="E624" s="33">
        <v>266.17821999999995</v>
      </c>
      <c r="F624" s="33">
        <f t="shared" si="9"/>
        <v>10918242.846260002</v>
      </c>
    </row>
    <row r="625" spans="2:6" x14ac:dyDescent="0.25">
      <c r="B625"/>
      <c r="D625" t="s">
        <v>788</v>
      </c>
      <c r="E625" s="33">
        <v>215.19839999999996</v>
      </c>
      <c r="F625" s="33">
        <f t="shared" si="9"/>
        <v>10918458.044660002</v>
      </c>
    </row>
    <row r="626" spans="2:6" x14ac:dyDescent="0.25">
      <c r="B626"/>
      <c r="D626" t="s">
        <v>830</v>
      </c>
      <c r="E626" s="33">
        <v>147.00756000000001</v>
      </c>
      <c r="F626" s="33">
        <f t="shared" si="9"/>
        <v>10918605.052220002</v>
      </c>
    </row>
    <row r="627" spans="2:6" x14ac:dyDescent="0.25">
      <c r="B627"/>
      <c r="D627" t="s">
        <v>1226</v>
      </c>
      <c r="E627" s="33">
        <v>110.14919999999999</v>
      </c>
      <c r="F627" s="33">
        <f t="shared" si="9"/>
        <v>10918715.201420002</v>
      </c>
    </row>
    <row r="628" spans="2:6" x14ac:dyDescent="0.25">
      <c r="B628"/>
      <c r="D628" t="s">
        <v>906</v>
      </c>
      <c r="E628" s="33">
        <v>97.0154</v>
      </c>
      <c r="F628" s="33">
        <f t="shared" si="9"/>
        <v>10918812.216820002</v>
      </c>
    </row>
    <row r="629" spans="2:6" x14ac:dyDescent="0.25">
      <c r="B629"/>
      <c r="D629" t="s">
        <v>1020</v>
      </c>
      <c r="E629" s="33">
        <v>76.138720000000006</v>
      </c>
      <c r="F629" s="33">
        <f t="shared" si="9"/>
        <v>10918888.355540002</v>
      </c>
    </row>
    <row r="630" spans="2:6" x14ac:dyDescent="0.25">
      <c r="B630"/>
      <c r="D630" t="s">
        <v>1032</v>
      </c>
      <c r="E630" s="33">
        <v>66.920760000000001</v>
      </c>
      <c r="F630" s="33">
        <f t="shared" si="9"/>
        <v>10918955.276300002</v>
      </c>
    </row>
    <row r="631" spans="2:6" x14ac:dyDescent="0.25">
      <c r="B631"/>
      <c r="D631" t="s">
        <v>846</v>
      </c>
      <c r="E631" s="33">
        <v>34.689059999999998</v>
      </c>
      <c r="F631" s="33">
        <f t="shared" si="9"/>
        <v>10918989.965360003</v>
      </c>
    </row>
    <row r="632" spans="2:6" x14ac:dyDescent="0.25">
      <c r="B632"/>
      <c r="D632" t="s">
        <v>914</v>
      </c>
      <c r="E632" s="33">
        <v>18.659839999999999</v>
      </c>
      <c r="F632" s="33">
        <f t="shared" si="9"/>
        <v>10919008.625200003</v>
      </c>
    </row>
    <row r="633" spans="2:6" x14ac:dyDescent="0.25">
      <c r="B633"/>
      <c r="D633" s="10" t="s">
        <v>1388</v>
      </c>
      <c r="E633" s="49">
        <v>10919008.6252</v>
      </c>
      <c r="F633" s="33"/>
    </row>
    <row r="642" spans="1:4" x14ac:dyDescent="0.25">
      <c r="A642" t="s">
        <v>1387</v>
      </c>
      <c r="B642" s="50" t="s">
        <v>1389</v>
      </c>
    </row>
    <row r="643" spans="1:4" x14ac:dyDescent="0.25">
      <c r="A643" t="s">
        <v>971</v>
      </c>
      <c r="B643" s="52">
        <v>1.2755538080495737E-2</v>
      </c>
      <c r="C643" s="46">
        <f>B643</f>
        <v>1.2755538080495737E-2</v>
      </c>
      <c r="D643" t="str">
        <f>IF(C643&gt;=0.08%,"A",IF(C643&gt;=0.095%,"B","C"))</f>
        <v>A</v>
      </c>
    </row>
    <row r="644" spans="1:4" x14ac:dyDescent="0.25">
      <c r="A644" t="s">
        <v>781</v>
      </c>
      <c r="B644" s="52">
        <v>1.0004937604671872E-2</v>
      </c>
      <c r="C644" s="46">
        <f t="shared" ref="C644:C707" si="10">B644+C643</f>
        <v>2.2760475685167609E-2</v>
      </c>
    </row>
    <row r="645" spans="1:4" x14ac:dyDescent="0.25">
      <c r="A645" t="s">
        <v>1155</v>
      </c>
      <c r="B645" s="52">
        <v>9.3527668623972215E-3</v>
      </c>
      <c r="C645" s="46">
        <f t="shared" si="10"/>
        <v>3.2113242547564827E-2</v>
      </c>
    </row>
    <row r="646" spans="1:4" x14ac:dyDescent="0.25">
      <c r="A646" t="s">
        <v>909</v>
      </c>
      <c r="B646" s="52">
        <v>8.4911783828087017E-3</v>
      </c>
      <c r="C646" s="46">
        <f t="shared" si="10"/>
        <v>4.060442093037353E-2</v>
      </c>
    </row>
    <row r="647" spans="1:4" x14ac:dyDescent="0.25">
      <c r="A647" t="s">
        <v>874</v>
      </c>
      <c r="B647" s="52">
        <v>8.0048411829511702E-3</v>
      </c>
      <c r="C647" s="46">
        <f t="shared" si="10"/>
        <v>4.8609262113324697E-2</v>
      </c>
    </row>
    <row r="648" spans="1:4" x14ac:dyDescent="0.25">
      <c r="A648" t="s">
        <v>899</v>
      </c>
      <c r="B648" s="52">
        <v>7.8429959403417352E-3</v>
      </c>
      <c r="C648" s="46">
        <f t="shared" si="10"/>
        <v>5.6452258053666431E-2</v>
      </c>
    </row>
    <row r="649" spans="1:4" x14ac:dyDescent="0.25">
      <c r="A649" t="s">
        <v>1198</v>
      </c>
      <c r="B649" s="52">
        <v>7.7054724002893543E-3</v>
      </c>
      <c r="C649" s="46">
        <f t="shared" si="10"/>
        <v>6.4157730453955786E-2</v>
      </c>
    </row>
    <row r="650" spans="1:4" x14ac:dyDescent="0.25">
      <c r="A650" t="s">
        <v>1096</v>
      </c>
      <c r="B650" s="52">
        <v>7.556978325812853E-3</v>
      </c>
      <c r="C650" s="46">
        <f t="shared" si="10"/>
        <v>7.1714708779768641E-2</v>
      </c>
    </row>
    <row r="651" spans="1:4" x14ac:dyDescent="0.25">
      <c r="A651" t="s">
        <v>1345</v>
      </c>
      <c r="B651" s="52">
        <v>7.5227836719925145E-3</v>
      </c>
      <c r="C651" s="46">
        <f t="shared" si="10"/>
        <v>7.9237492451761149E-2</v>
      </c>
    </row>
    <row r="652" spans="1:4" x14ac:dyDescent="0.25">
      <c r="A652" t="s">
        <v>1010</v>
      </c>
      <c r="B652" s="52">
        <v>7.2853460172573976E-3</v>
      </c>
      <c r="C652" s="46">
        <f t="shared" si="10"/>
        <v>8.6522838469018551E-2</v>
      </c>
    </row>
    <row r="653" spans="1:4" x14ac:dyDescent="0.25">
      <c r="A653" t="s">
        <v>1080</v>
      </c>
      <c r="B653" s="52">
        <v>7.2426453467108126E-3</v>
      </c>
      <c r="C653" s="46">
        <f t="shared" si="10"/>
        <v>9.376548381572937E-2</v>
      </c>
    </row>
    <row r="654" spans="1:4" x14ac:dyDescent="0.25">
      <c r="A654" t="s">
        <v>797</v>
      </c>
      <c r="B654" s="52">
        <v>6.6549830615844031E-3</v>
      </c>
      <c r="C654" s="46">
        <f t="shared" si="10"/>
        <v>0.10042046687731378</v>
      </c>
    </row>
    <row r="655" spans="1:4" x14ac:dyDescent="0.25">
      <c r="A655" t="s">
        <v>1320</v>
      </c>
      <c r="B655" s="52">
        <v>6.2886271645144235E-3</v>
      </c>
      <c r="C655" s="46">
        <f t="shared" si="10"/>
        <v>0.1067090940418282</v>
      </c>
    </row>
    <row r="656" spans="1:4" x14ac:dyDescent="0.25">
      <c r="A656" t="s">
        <v>957</v>
      </c>
      <c r="B656" s="52">
        <v>6.1350598300102524E-3</v>
      </c>
      <c r="C656" s="46">
        <f t="shared" si="10"/>
        <v>0.11284415387183845</v>
      </c>
    </row>
    <row r="657" spans="1:3" x14ac:dyDescent="0.25">
      <c r="A657" t="s">
        <v>1271</v>
      </c>
      <c r="B657" s="52">
        <v>6.0683452604916614E-3</v>
      </c>
      <c r="C657" s="46">
        <f t="shared" si="10"/>
        <v>0.11891249913233011</v>
      </c>
    </row>
    <row r="658" spans="1:3" x14ac:dyDescent="0.25">
      <c r="A658" t="s">
        <v>851</v>
      </c>
      <c r="B658" s="52">
        <v>5.9638500009708741E-3</v>
      </c>
      <c r="C658" s="46">
        <f t="shared" si="10"/>
        <v>0.12487634913330098</v>
      </c>
    </row>
    <row r="659" spans="1:3" x14ac:dyDescent="0.25">
      <c r="A659" t="s">
        <v>860</v>
      </c>
      <c r="B659" s="52">
        <v>5.9631225118486784E-3</v>
      </c>
      <c r="C659" s="46">
        <f t="shared" si="10"/>
        <v>0.13083947164514967</v>
      </c>
    </row>
    <row r="660" spans="1:3" x14ac:dyDescent="0.25">
      <c r="A660" t="s">
        <v>1121</v>
      </c>
      <c r="B660" s="52">
        <v>5.959051454527832E-3</v>
      </c>
      <c r="C660" s="46">
        <f t="shared" si="10"/>
        <v>0.13679852309967749</v>
      </c>
    </row>
    <row r="661" spans="1:3" x14ac:dyDescent="0.25">
      <c r="A661" t="s">
        <v>1254</v>
      </c>
      <c r="B661" s="52">
        <v>5.8790114747092432E-3</v>
      </c>
      <c r="C661" s="46">
        <f t="shared" si="10"/>
        <v>0.14267753457438673</v>
      </c>
    </row>
    <row r="662" spans="1:3" x14ac:dyDescent="0.25">
      <c r="A662" t="s">
        <v>743</v>
      </c>
      <c r="B662" s="52">
        <v>5.5800397683891372E-3</v>
      </c>
      <c r="C662" s="46">
        <f t="shared" si="10"/>
        <v>0.14825757434277587</v>
      </c>
    </row>
    <row r="663" spans="1:3" x14ac:dyDescent="0.25">
      <c r="A663" t="s">
        <v>814</v>
      </c>
      <c r="B663" s="52">
        <v>5.5218204664524324E-3</v>
      </c>
      <c r="C663" s="46">
        <f t="shared" si="10"/>
        <v>0.15377939480922831</v>
      </c>
    </row>
    <row r="664" spans="1:3" x14ac:dyDescent="0.25">
      <c r="A664" t="s">
        <v>1261</v>
      </c>
      <c r="B664" s="52">
        <v>5.3600865453046556E-3</v>
      </c>
      <c r="C664" s="46">
        <f t="shared" si="10"/>
        <v>0.15913948135453296</v>
      </c>
    </row>
    <row r="665" spans="1:3" x14ac:dyDescent="0.25">
      <c r="A665" t="s">
        <v>1157</v>
      </c>
      <c r="B665" s="52">
        <v>5.3202297895369559E-3</v>
      </c>
      <c r="C665" s="46">
        <f t="shared" si="10"/>
        <v>0.1644597111440699</v>
      </c>
    </row>
    <row r="666" spans="1:3" x14ac:dyDescent="0.25">
      <c r="A666" t="s">
        <v>1164</v>
      </c>
      <c r="B666" s="52">
        <v>5.3171173311475041E-3</v>
      </c>
      <c r="C666" s="46">
        <f t="shared" si="10"/>
        <v>0.16977682847521741</v>
      </c>
    </row>
    <row r="667" spans="1:3" x14ac:dyDescent="0.25">
      <c r="A667" t="s">
        <v>1129</v>
      </c>
      <c r="B667" s="52">
        <v>5.1448606488275423E-3</v>
      </c>
      <c r="C667" s="46">
        <f t="shared" si="10"/>
        <v>0.17492168912404496</v>
      </c>
    </row>
    <row r="668" spans="1:3" x14ac:dyDescent="0.25">
      <c r="A668" t="s">
        <v>933</v>
      </c>
      <c r="B668" s="52">
        <v>5.1177250305520713E-3</v>
      </c>
      <c r="C668" s="46">
        <f t="shared" si="10"/>
        <v>0.18003941415459704</v>
      </c>
    </row>
    <row r="669" spans="1:3" x14ac:dyDescent="0.25">
      <c r="A669" t="s">
        <v>1053</v>
      </c>
      <c r="B669" s="52">
        <v>4.8570677027950952E-3</v>
      </c>
      <c r="C669" s="46">
        <f t="shared" si="10"/>
        <v>0.18489648185739213</v>
      </c>
    </row>
    <row r="670" spans="1:3" x14ac:dyDescent="0.25">
      <c r="A670" t="s">
        <v>834</v>
      </c>
      <c r="B670" s="52">
        <v>4.833778579328968E-3</v>
      </c>
      <c r="C670" s="46">
        <f t="shared" si="10"/>
        <v>0.18973026043672109</v>
      </c>
    </row>
    <row r="671" spans="1:3" x14ac:dyDescent="0.25">
      <c r="A671" t="s">
        <v>1125</v>
      </c>
      <c r="B671" s="52">
        <v>4.79545779267492E-3</v>
      </c>
      <c r="C671" s="46">
        <f t="shared" si="10"/>
        <v>0.19452571822939602</v>
      </c>
    </row>
    <row r="672" spans="1:3" x14ac:dyDescent="0.25">
      <c r="A672" t="s">
        <v>1324</v>
      </c>
      <c r="B672" s="52">
        <v>4.7411064224753994E-3</v>
      </c>
      <c r="C672" s="46">
        <f t="shared" si="10"/>
        <v>0.19926682465187143</v>
      </c>
    </row>
    <row r="673" spans="1:3" x14ac:dyDescent="0.25">
      <c r="A673" t="s">
        <v>1289</v>
      </c>
      <c r="B673" s="52">
        <v>4.6291124913434324E-3</v>
      </c>
      <c r="C673" s="46">
        <f t="shared" si="10"/>
        <v>0.20389593714321486</v>
      </c>
    </row>
    <row r="674" spans="1:3" x14ac:dyDescent="0.25">
      <c r="A674" t="s">
        <v>1245</v>
      </c>
      <c r="B674" s="52">
        <v>4.6063170317423149E-3</v>
      </c>
      <c r="C674" s="46">
        <f t="shared" si="10"/>
        <v>0.20850225417495716</v>
      </c>
    </row>
    <row r="675" spans="1:3" x14ac:dyDescent="0.25">
      <c r="A675" t="s">
        <v>1356</v>
      </c>
      <c r="B675" s="52">
        <v>4.5874492107640871E-3</v>
      </c>
      <c r="C675" s="46">
        <f t="shared" si="10"/>
        <v>0.21308970338572125</v>
      </c>
    </row>
    <row r="676" spans="1:3" x14ac:dyDescent="0.25">
      <c r="A676" t="s">
        <v>1091</v>
      </c>
      <c r="B676" s="52">
        <v>4.5184057539927359E-3</v>
      </c>
      <c r="C676" s="46">
        <f t="shared" si="10"/>
        <v>0.21760810913971398</v>
      </c>
    </row>
    <row r="677" spans="1:3" x14ac:dyDescent="0.25">
      <c r="A677" t="s">
        <v>937</v>
      </c>
      <c r="B677" s="52">
        <v>4.3925890368203165E-3</v>
      </c>
      <c r="C677" s="46">
        <f t="shared" si="10"/>
        <v>0.22200069817653431</v>
      </c>
    </row>
    <row r="678" spans="1:3" x14ac:dyDescent="0.25">
      <c r="A678" t="s">
        <v>1116</v>
      </c>
      <c r="B678" s="52">
        <v>4.3679215427972441E-3</v>
      </c>
      <c r="C678" s="46">
        <f t="shared" si="10"/>
        <v>0.22636861971933156</v>
      </c>
    </row>
    <row r="679" spans="1:3" x14ac:dyDescent="0.25">
      <c r="A679" t="s">
        <v>1288</v>
      </c>
      <c r="B679" s="52">
        <v>4.2540730202188289E-3</v>
      </c>
      <c r="C679" s="46">
        <f t="shared" si="10"/>
        <v>0.23062269273955038</v>
      </c>
    </row>
    <row r="680" spans="1:3" x14ac:dyDescent="0.25">
      <c r="A680" t="s">
        <v>1181</v>
      </c>
      <c r="B680" s="52">
        <v>4.1713661856518343E-3</v>
      </c>
      <c r="C680" s="46">
        <f t="shared" si="10"/>
        <v>0.23479405892520222</v>
      </c>
    </row>
    <row r="681" spans="1:3" x14ac:dyDescent="0.25">
      <c r="A681" t="s">
        <v>1299</v>
      </c>
      <c r="B681" s="52">
        <v>4.0455713037950728E-3</v>
      </c>
      <c r="C681" s="46">
        <f t="shared" si="10"/>
        <v>0.23883963022899729</v>
      </c>
    </row>
    <row r="682" spans="1:3" x14ac:dyDescent="0.25">
      <c r="A682" t="s">
        <v>1090</v>
      </c>
      <c r="B682" s="52">
        <v>4.0212386954860341E-3</v>
      </c>
      <c r="C682" s="46">
        <f t="shared" si="10"/>
        <v>0.24286086892448333</v>
      </c>
    </row>
    <row r="683" spans="1:3" x14ac:dyDescent="0.25">
      <c r="A683" t="s">
        <v>1110</v>
      </c>
      <c r="B683" s="52">
        <v>3.9887772374758287E-3</v>
      </c>
      <c r="C683" s="46">
        <f t="shared" si="10"/>
        <v>0.24684964616195915</v>
      </c>
    </row>
    <row r="684" spans="1:3" x14ac:dyDescent="0.25">
      <c r="A684" t="s">
        <v>829</v>
      </c>
      <c r="B684" s="52">
        <v>3.9572279501893463E-3</v>
      </c>
      <c r="C684" s="46">
        <f t="shared" si="10"/>
        <v>0.25080687411214847</v>
      </c>
    </row>
    <row r="685" spans="1:3" x14ac:dyDescent="0.25">
      <c r="A685" t="s">
        <v>1040</v>
      </c>
      <c r="B685" s="52">
        <v>3.9458593246793809E-3</v>
      </c>
      <c r="C685" s="46">
        <f t="shared" si="10"/>
        <v>0.25475273343682786</v>
      </c>
    </row>
    <row r="686" spans="1:3" x14ac:dyDescent="0.25">
      <c r="A686" t="s">
        <v>883</v>
      </c>
      <c r="B686" s="52">
        <v>3.8919106027559911E-3</v>
      </c>
      <c r="C686" s="46">
        <f t="shared" si="10"/>
        <v>0.25864464403958387</v>
      </c>
    </row>
    <row r="687" spans="1:3" x14ac:dyDescent="0.25">
      <c r="A687" t="s">
        <v>1267</v>
      </c>
      <c r="B687" s="52">
        <v>3.8861819654641742E-3</v>
      </c>
      <c r="C687" s="46">
        <f t="shared" si="10"/>
        <v>0.26253082600504807</v>
      </c>
    </row>
    <row r="688" spans="1:3" x14ac:dyDescent="0.25">
      <c r="A688" t="s">
        <v>1211</v>
      </c>
      <c r="B688" s="52">
        <v>3.838646646295902E-3</v>
      </c>
      <c r="C688" s="46">
        <f t="shared" si="10"/>
        <v>0.26636947265134397</v>
      </c>
    </row>
    <row r="689" spans="1:3" x14ac:dyDescent="0.25">
      <c r="A689" t="s">
        <v>1351</v>
      </c>
      <c r="B689" s="52">
        <v>3.793341105565921E-3</v>
      </c>
      <c r="C689" s="46">
        <f t="shared" si="10"/>
        <v>0.27016281375690987</v>
      </c>
    </row>
    <row r="690" spans="1:3" x14ac:dyDescent="0.25">
      <c r="A690" t="s">
        <v>915</v>
      </c>
      <c r="B690" s="52">
        <v>3.7871795525981256E-3</v>
      </c>
      <c r="C690" s="46">
        <f t="shared" si="10"/>
        <v>0.27394999330950798</v>
      </c>
    </row>
    <row r="691" spans="1:3" x14ac:dyDescent="0.25">
      <c r="A691" t="s">
        <v>1162</v>
      </c>
      <c r="B691" s="52">
        <v>3.7675821507327074E-3</v>
      </c>
      <c r="C691" s="46">
        <f t="shared" si="10"/>
        <v>0.27771757546024067</v>
      </c>
    </row>
    <row r="692" spans="1:3" x14ac:dyDescent="0.25">
      <c r="A692" t="s">
        <v>774</v>
      </c>
      <c r="B692" s="52">
        <v>3.7647008424491527E-3</v>
      </c>
      <c r="C692" s="46">
        <f t="shared" si="10"/>
        <v>0.28148227630268985</v>
      </c>
    </row>
    <row r="693" spans="1:3" x14ac:dyDescent="0.25">
      <c r="A693" t="s">
        <v>1315</v>
      </c>
      <c r="B693" s="52">
        <v>3.7149271643932796E-3</v>
      </c>
      <c r="C693" s="46">
        <f t="shared" si="10"/>
        <v>0.2851972034670831</v>
      </c>
    </row>
    <row r="694" spans="1:3" x14ac:dyDescent="0.25">
      <c r="A694" t="s">
        <v>1213</v>
      </c>
      <c r="B694" s="52">
        <v>3.7081015639602892E-3</v>
      </c>
      <c r="C694" s="46">
        <f t="shared" si="10"/>
        <v>0.28890530503104339</v>
      </c>
    </row>
    <row r="695" spans="1:3" x14ac:dyDescent="0.25">
      <c r="A695" t="s">
        <v>1361</v>
      </c>
      <c r="B695" s="52">
        <v>3.706931150011672E-3</v>
      </c>
      <c r="C695" s="46">
        <f t="shared" si="10"/>
        <v>0.29261223618105509</v>
      </c>
    </row>
    <row r="696" spans="1:3" x14ac:dyDescent="0.25">
      <c r="A696" t="s">
        <v>1047</v>
      </c>
      <c r="B696" s="52">
        <v>3.6931292376611133E-3</v>
      </c>
      <c r="C696" s="46">
        <f t="shared" si="10"/>
        <v>0.29630536541871622</v>
      </c>
    </row>
    <row r="697" spans="1:3" x14ac:dyDescent="0.25">
      <c r="A697" t="s">
        <v>998</v>
      </c>
      <c r="B697" s="52">
        <v>3.6761464339684748E-3</v>
      </c>
      <c r="C697" s="46">
        <f t="shared" si="10"/>
        <v>0.29998151185268468</v>
      </c>
    </row>
    <row r="698" spans="1:3" x14ac:dyDescent="0.25">
      <c r="A698" t="s">
        <v>1335</v>
      </c>
      <c r="B698" s="52">
        <v>3.6459654320742702E-3</v>
      </c>
      <c r="C698" s="46">
        <f t="shared" si="10"/>
        <v>0.30362747728475897</v>
      </c>
    </row>
    <row r="699" spans="1:3" x14ac:dyDescent="0.25">
      <c r="A699" t="s">
        <v>1036</v>
      </c>
      <c r="B699" s="52">
        <v>3.6346173505539363E-3</v>
      </c>
      <c r="C699" s="46">
        <f t="shared" si="10"/>
        <v>0.3072620946353129</v>
      </c>
    </row>
    <row r="700" spans="1:3" x14ac:dyDescent="0.25">
      <c r="A700" t="s">
        <v>1056</v>
      </c>
      <c r="B700" s="52">
        <v>3.6218283085453313E-3</v>
      </c>
      <c r="C700" s="46">
        <f t="shared" si="10"/>
        <v>0.31088392294385825</v>
      </c>
    </row>
    <row r="701" spans="1:3" x14ac:dyDescent="0.25">
      <c r="A701" t="s">
        <v>854</v>
      </c>
      <c r="B701" s="52">
        <v>3.6190835401301081E-3</v>
      </c>
      <c r="C701" s="46">
        <f t="shared" si="10"/>
        <v>0.31450300648398838</v>
      </c>
    </row>
    <row r="702" spans="1:3" x14ac:dyDescent="0.25">
      <c r="A702" t="s">
        <v>753</v>
      </c>
      <c r="B702" s="52">
        <v>3.5959036454448093E-3</v>
      </c>
      <c r="C702" s="46">
        <f t="shared" si="10"/>
        <v>0.3180989101294332</v>
      </c>
    </row>
    <row r="703" spans="1:3" x14ac:dyDescent="0.25">
      <c r="A703" t="s">
        <v>1000</v>
      </c>
      <c r="B703" s="52">
        <v>3.5551542720105669E-3</v>
      </c>
      <c r="C703" s="46">
        <f t="shared" si="10"/>
        <v>0.32165406440144378</v>
      </c>
    </row>
    <row r="704" spans="1:3" x14ac:dyDescent="0.25">
      <c r="A704" t="s">
        <v>1071</v>
      </c>
      <c r="B704" s="52">
        <v>3.529254021382747E-3</v>
      </c>
      <c r="C704" s="46">
        <f t="shared" si="10"/>
        <v>0.32518331842282655</v>
      </c>
    </row>
    <row r="705" spans="1:3" x14ac:dyDescent="0.25">
      <c r="A705" t="s">
        <v>1109</v>
      </c>
      <c r="B705" s="52">
        <v>3.5188196693357078E-3</v>
      </c>
      <c r="C705" s="46">
        <f t="shared" si="10"/>
        <v>0.32870213809216225</v>
      </c>
    </row>
    <row r="706" spans="1:3" x14ac:dyDescent="0.25">
      <c r="A706" t="s">
        <v>752</v>
      </c>
      <c r="B706" s="52">
        <v>3.4889782916809635E-3</v>
      </c>
      <c r="C706" s="46">
        <f t="shared" si="10"/>
        <v>0.33219111638384324</v>
      </c>
    </row>
    <row r="707" spans="1:3" x14ac:dyDescent="0.25">
      <c r="A707" t="s">
        <v>1115</v>
      </c>
      <c r="B707" s="52">
        <v>3.4400815393908512E-3</v>
      </c>
      <c r="C707" s="46">
        <f t="shared" si="10"/>
        <v>0.33563119792323409</v>
      </c>
    </row>
    <row r="708" spans="1:3" x14ac:dyDescent="0.25">
      <c r="A708" t="s">
        <v>970</v>
      </c>
      <c r="B708" s="52">
        <v>3.3921194708573261E-3</v>
      </c>
      <c r="C708" s="46">
        <f t="shared" ref="C708:C771" si="11">B708+C707</f>
        <v>0.33902331739409142</v>
      </c>
    </row>
    <row r="709" spans="1:3" x14ac:dyDescent="0.25">
      <c r="A709" t="s">
        <v>1204</v>
      </c>
      <c r="B709" s="52">
        <v>3.347321218855667E-3</v>
      </c>
      <c r="C709" s="46">
        <f t="shared" si="11"/>
        <v>0.34237063861294709</v>
      </c>
    </row>
    <row r="710" spans="1:3" x14ac:dyDescent="0.25">
      <c r="A710" t="s">
        <v>1215</v>
      </c>
      <c r="B710" s="52">
        <v>3.3117564278265831E-3</v>
      </c>
      <c r="C710" s="46">
        <f t="shared" si="11"/>
        <v>0.34568239504077369</v>
      </c>
    </row>
    <row r="711" spans="1:3" x14ac:dyDescent="0.25">
      <c r="A711" t="s">
        <v>782</v>
      </c>
      <c r="B711" s="52">
        <v>3.26232019249344E-3</v>
      </c>
      <c r="C711" s="46">
        <f t="shared" si="11"/>
        <v>0.34894471523326714</v>
      </c>
    </row>
    <row r="712" spans="1:3" x14ac:dyDescent="0.25">
      <c r="A712" t="s">
        <v>872</v>
      </c>
      <c r="B712" s="52">
        <v>3.2574145823012872E-3</v>
      </c>
      <c r="C712" s="46">
        <f t="shared" si="11"/>
        <v>0.35220212981556842</v>
      </c>
    </row>
    <row r="713" spans="1:3" x14ac:dyDescent="0.25">
      <c r="A713" t="s">
        <v>810</v>
      </c>
      <c r="B713" s="52">
        <v>3.2417116805191328E-3</v>
      </c>
      <c r="C713" s="46">
        <f t="shared" si="11"/>
        <v>0.35544384149608754</v>
      </c>
    </row>
    <row r="714" spans="1:3" x14ac:dyDescent="0.25">
      <c r="A714" t="s">
        <v>751</v>
      </c>
      <c r="B714" s="52">
        <v>3.2390496476370528E-3</v>
      </c>
      <c r="C714" s="46">
        <f t="shared" si="11"/>
        <v>0.35868289114372459</v>
      </c>
    </row>
    <row r="715" spans="1:3" x14ac:dyDescent="0.25">
      <c r="A715" t="s">
        <v>1094</v>
      </c>
      <c r="B715" s="52">
        <v>3.2207818499965556E-3</v>
      </c>
      <c r="C715" s="46">
        <f t="shared" si="11"/>
        <v>0.36190367299372117</v>
      </c>
    </row>
    <row r="716" spans="1:3" x14ac:dyDescent="0.25">
      <c r="A716" t="s">
        <v>1012</v>
      </c>
      <c r="B716" s="52">
        <v>3.1907973696066062E-3</v>
      </c>
      <c r="C716" s="46">
        <f t="shared" si="11"/>
        <v>0.36509447036332776</v>
      </c>
    </row>
    <row r="717" spans="1:3" x14ac:dyDescent="0.25">
      <c r="A717" t="s">
        <v>1087</v>
      </c>
      <c r="B717" s="52">
        <v>3.188656515908034E-3</v>
      </c>
      <c r="C717" s="46">
        <f t="shared" si="11"/>
        <v>0.36828312687923581</v>
      </c>
    </row>
    <row r="718" spans="1:3" x14ac:dyDescent="0.25">
      <c r="A718" t="s">
        <v>1239</v>
      </c>
      <c r="B718" s="52">
        <v>3.1871420377564334E-3</v>
      </c>
      <c r="C718" s="46">
        <f t="shared" si="11"/>
        <v>0.37147026891699225</v>
      </c>
    </row>
    <row r="719" spans="1:3" x14ac:dyDescent="0.25">
      <c r="A719" t="s">
        <v>1006</v>
      </c>
      <c r="B719" s="52">
        <v>3.1717262536154153E-3</v>
      </c>
      <c r="C719" s="46">
        <f t="shared" si="11"/>
        <v>0.37464199517060764</v>
      </c>
    </row>
    <row r="720" spans="1:3" x14ac:dyDescent="0.25">
      <c r="A720" t="s">
        <v>783</v>
      </c>
      <c r="B720" s="52">
        <v>3.1545411806439606E-3</v>
      </c>
      <c r="C720" s="46">
        <f t="shared" si="11"/>
        <v>0.3777965363512516</v>
      </c>
    </row>
    <row r="721" spans="1:3" x14ac:dyDescent="0.25">
      <c r="A721" t="s">
        <v>1301</v>
      </c>
      <c r="B721" s="52">
        <v>3.1419665628638154E-3</v>
      </c>
      <c r="C721" s="46">
        <f t="shared" si="11"/>
        <v>0.38093850291411541</v>
      </c>
    </row>
    <row r="722" spans="1:3" x14ac:dyDescent="0.25">
      <c r="A722" t="s">
        <v>831</v>
      </c>
      <c r="B722" s="52">
        <v>3.1265805506564184E-3</v>
      </c>
      <c r="C722" s="46">
        <f t="shared" si="11"/>
        <v>0.38406508346477181</v>
      </c>
    </row>
    <row r="723" spans="1:3" x14ac:dyDescent="0.25">
      <c r="A723" t="s">
        <v>976</v>
      </c>
      <c r="B723" s="52">
        <v>3.1214248298458238E-3</v>
      </c>
      <c r="C723" s="46">
        <f t="shared" si="11"/>
        <v>0.38718650829461765</v>
      </c>
    </row>
    <row r="724" spans="1:3" x14ac:dyDescent="0.25">
      <c r="A724" t="s">
        <v>1332</v>
      </c>
      <c r="B724" s="52">
        <v>3.1081707071532209E-3</v>
      </c>
      <c r="C724" s="46">
        <f t="shared" si="11"/>
        <v>0.39029467900177089</v>
      </c>
    </row>
    <row r="725" spans="1:3" x14ac:dyDescent="0.25">
      <c r="A725" t="s">
        <v>794</v>
      </c>
      <c r="B725" s="52">
        <v>3.0852161543542113E-3</v>
      </c>
      <c r="C725" s="46">
        <f t="shared" si="11"/>
        <v>0.39337989515612509</v>
      </c>
    </row>
    <row r="726" spans="1:3" x14ac:dyDescent="0.25">
      <c r="A726" t="s">
        <v>1287</v>
      </c>
      <c r="B726" s="52">
        <v>3.0727997981946312E-3</v>
      </c>
      <c r="C726" s="46">
        <f t="shared" si="11"/>
        <v>0.39645269495431973</v>
      </c>
    </row>
    <row r="727" spans="1:3" x14ac:dyDescent="0.25">
      <c r="A727" t="s">
        <v>1262</v>
      </c>
      <c r="B727" s="52">
        <v>3.0608181701466358E-3</v>
      </c>
      <c r="C727" s="46">
        <f t="shared" si="11"/>
        <v>0.39951351312446637</v>
      </c>
    </row>
    <row r="728" spans="1:3" x14ac:dyDescent="0.25">
      <c r="A728" t="s">
        <v>1247</v>
      </c>
      <c r="B728" s="52">
        <v>3.0505104578017403E-3</v>
      </c>
      <c r="C728" s="46">
        <f t="shared" si="11"/>
        <v>0.40256402358226812</v>
      </c>
    </row>
    <row r="729" spans="1:3" x14ac:dyDescent="0.25">
      <c r="A729" t="s">
        <v>1113</v>
      </c>
      <c r="B729" s="52">
        <v>3.04057256657693E-3</v>
      </c>
      <c r="C729" s="46">
        <f t="shared" si="11"/>
        <v>0.40560459614884503</v>
      </c>
    </row>
    <row r="730" spans="1:3" x14ac:dyDescent="0.25">
      <c r="A730" t="s">
        <v>1294</v>
      </c>
      <c r="B730" s="52">
        <v>3.0287836226884786E-3</v>
      </c>
      <c r="C730" s="46">
        <f t="shared" si="11"/>
        <v>0.40863337977153352</v>
      </c>
    </row>
    <row r="731" spans="1:3" x14ac:dyDescent="0.25">
      <c r="A731" t="s">
        <v>811</v>
      </c>
      <c r="B731" s="52">
        <v>3.0279522266971758E-3</v>
      </c>
      <c r="C731" s="46">
        <f t="shared" si="11"/>
        <v>0.41166133199823068</v>
      </c>
    </row>
    <row r="732" spans="1:3" x14ac:dyDescent="0.25">
      <c r="A732" t="s">
        <v>1360</v>
      </c>
      <c r="B732" s="52">
        <v>3.0238477808140051E-3</v>
      </c>
      <c r="C732" s="46">
        <f t="shared" si="11"/>
        <v>0.41468517977904468</v>
      </c>
    </row>
    <row r="733" spans="1:3" x14ac:dyDescent="0.25">
      <c r="A733" t="s">
        <v>1357</v>
      </c>
      <c r="B733" s="52">
        <v>2.9951790975346875E-3</v>
      </c>
      <c r="C733" s="46">
        <f t="shared" si="11"/>
        <v>0.41768035887657934</v>
      </c>
    </row>
    <row r="734" spans="1:3" x14ac:dyDescent="0.25">
      <c r="A734" t="s">
        <v>779</v>
      </c>
      <c r="B734" s="52">
        <v>2.9770614270766349E-3</v>
      </c>
      <c r="C734" s="46">
        <f t="shared" si="11"/>
        <v>0.42065742030365599</v>
      </c>
    </row>
    <row r="735" spans="1:3" x14ac:dyDescent="0.25">
      <c r="A735" t="s">
        <v>1238</v>
      </c>
      <c r="B735" s="52">
        <v>2.9613693999081098E-3</v>
      </c>
      <c r="C735" s="46">
        <f t="shared" si="11"/>
        <v>0.42361878970356409</v>
      </c>
    </row>
    <row r="736" spans="1:3" x14ac:dyDescent="0.25">
      <c r="A736" t="s">
        <v>1106</v>
      </c>
      <c r="B736" s="52">
        <v>2.9563420863593952E-3</v>
      </c>
      <c r="C736" s="46">
        <f t="shared" si="11"/>
        <v>0.42657513178992351</v>
      </c>
    </row>
    <row r="737" spans="1:3" x14ac:dyDescent="0.25">
      <c r="A737" t="s">
        <v>876</v>
      </c>
      <c r="B737" s="52">
        <v>2.9385795873398063E-3</v>
      </c>
      <c r="C737" s="46">
        <f t="shared" si="11"/>
        <v>0.4295137113772633</v>
      </c>
    </row>
    <row r="738" spans="1:3" x14ac:dyDescent="0.25">
      <c r="A738" t="s">
        <v>1280</v>
      </c>
      <c r="B738" s="52">
        <v>2.914369337208682E-3</v>
      </c>
      <c r="C738" s="46">
        <f t="shared" si="11"/>
        <v>0.43242808071447197</v>
      </c>
    </row>
    <row r="739" spans="1:3" x14ac:dyDescent="0.25">
      <c r="A739" t="s">
        <v>789</v>
      </c>
      <c r="B739" s="52">
        <v>2.901435140080743E-3</v>
      </c>
      <c r="C739" s="46">
        <f t="shared" si="11"/>
        <v>0.43532951585455271</v>
      </c>
    </row>
    <row r="740" spans="1:3" x14ac:dyDescent="0.25">
      <c r="A740" t="s">
        <v>907</v>
      </c>
      <c r="B740" s="52">
        <v>2.8900231406696953E-3</v>
      </c>
      <c r="C740" s="46">
        <f t="shared" si="11"/>
        <v>0.43821953899522242</v>
      </c>
    </row>
    <row r="741" spans="1:3" x14ac:dyDescent="0.25">
      <c r="A741" t="s">
        <v>1147</v>
      </c>
      <c r="B741" s="52">
        <v>2.8861066166089582E-3</v>
      </c>
      <c r="C741" s="46">
        <f t="shared" si="11"/>
        <v>0.44110564561183141</v>
      </c>
    </row>
    <row r="742" spans="1:3" x14ac:dyDescent="0.25">
      <c r="A742" t="s">
        <v>1175</v>
      </c>
      <c r="B742" s="52">
        <v>2.8860756586702287E-3</v>
      </c>
      <c r="C742" s="46">
        <f t="shared" si="11"/>
        <v>0.44399172127050163</v>
      </c>
    </row>
    <row r="743" spans="1:3" x14ac:dyDescent="0.25">
      <c r="A743" t="s">
        <v>776</v>
      </c>
      <c r="B743" s="52">
        <v>2.8760944402518758E-3</v>
      </c>
      <c r="C743" s="46">
        <f t="shared" si="11"/>
        <v>0.44686781571075351</v>
      </c>
    </row>
    <row r="744" spans="1:3" x14ac:dyDescent="0.25">
      <c r="A744" t="s">
        <v>929</v>
      </c>
      <c r="B744" s="52">
        <v>2.8566372855510658E-3</v>
      </c>
      <c r="C744" s="46">
        <f t="shared" si="11"/>
        <v>0.44972445299630459</v>
      </c>
    </row>
    <row r="745" spans="1:3" x14ac:dyDescent="0.25">
      <c r="A745" t="s">
        <v>1108</v>
      </c>
      <c r="B745" s="52">
        <v>2.8395661862967059E-3</v>
      </c>
      <c r="C745" s="46">
        <f t="shared" si="11"/>
        <v>0.45256401918260131</v>
      </c>
    </row>
    <row r="746" spans="1:3" x14ac:dyDescent="0.25">
      <c r="A746" t="s">
        <v>1044</v>
      </c>
      <c r="B746" s="52">
        <v>2.82070239682001E-3</v>
      </c>
      <c r="C746" s="46">
        <f t="shared" si="11"/>
        <v>0.45538472157942134</v>
      </c>
    </row>
    <row r="747" spans="1:3" x14ac:dyDescent="0.25">
      <c r="A747" t="s">
        <v>1229</v>
      </c>
      <c r="B747" s="52">
        <v>2.8109217616299684E-3</v>
      </c>
      <c r="C747" s="46">
        <f t="shared" si="11"/>
        <v>0.45819564334105128</v>
      </c>
    </row>
    <row r="748" spans="1:3" x14ac:dyDescent="0.25">
      <c r="A748" t="s">
        <v>1274</v>
      </c>
      <c r="B748" s="52">
        <v>2.807251516337963E-3</v>
      </c>
      <c r="C748" s="46">
        <f t="shared" si="11"/>
        <v>0.46100289485738927</v>
      </c>
    </row>
    <row r="749" spans="1:3" x14ac:dyDescent="0.25">
      <c r="A749" t="s">
        <v>960</v>
      </c>
      <c r="B749" s="52">
        <v>2.7914090020642072E-3</v>
      </c>
      <c r="C749" s="46">
        <f t="shared" si="11"/>
        <v>0.46379430385945347</v>
      </c>
    </row>
    <row r="750" spans="1:3" x14ac:dyDescent="0.25">
      <c r="A750" t="s">
        <v>1159</v>
      </c>
      <c r="B750" s="52">
        <v>2.7873972852954423E-3</v>
      </c>
      <c r="C750" s="46">
        <f t="shared" si="11"/>
        <v>0.46658170114474889</v>
      </c>
    </row>
    <row r="751" spans="1:3" x14ac:dyDescent="0.25">
      <c r="A751" t="s">
        <v>1354</v>
      </c>
      <c r="B751" s="52">
        <v>2.768565894364452E-3</v>
      </c>
      <c r="C751" s="46">
        <f t="shared" si="11"/>
        <v>0.46935026703911337</v>
      </c>
    </row>
    <row r="752" spans="1:3" x14ac:dyDescent="0.25">
      <c r="A752" t="s">
        <v>845</v>
      </c>
      <c r="B752" s="52">
        <v>2.7613931223035115E-3</v>
      </c>
      <c r="C752" s="46">
        <f t="shared" si="11"/>
        <v>0.47211166016141687</v>
      </c>
    </row>
    <row r="753" spans="1:3" x14ac:dyDescent="0.25">
      <c r="A753" t="s">
        <v>1282</v>
      </c>
      <c r="B753" s="52">
        <v>2.7175960307895147E-3</v>
      </c>
      <c r="C753" s="46">
        <f t="shared" si="11"/>
        <v>0.47482925619220639</v>
      </c>
    </row>
    <row r="754" spans="1:3" x14ac:dyDescent="0.25">
      <c r="A754" t="s">
        <v>790</v>
      </c>
      <c r="B754" s="52">
        <v>2.7163354264185071E-3</v>
      </c>
      <c r="C754" s="46">
        <f t="shared" si="11"/>
        <v>0.47754559161862492</v>
      </c>
    </row>
    <row r="755" spans="1:3" x14ac:dyDescent="0.25">
      <c r="A755" t="s">
        <v>887</v>
      </c>
      <c r="B755" s="52">
        <v>2.7158903429712073E-3</v>
      </c>
      <c r="C755" s="46">
        <f t="shared" si="11"/>
        <v>0.48026148196159613</v>
      </c>
    </row>
    <row r="756" spans="1:3" x14ac:dyDescent="0.25">
      <c r="A756" t="s">
        <v>1156</v>
      </c>
      <c r="B756" s="52">
        <v>2.7133709054522636E-3</v>
      </c>
      <c r="C756" s="46">
        <f t="shared" si="11"/>
        <v>0.48297485286704839</v>
      </c>
    </row>
    <row r="757" spans="1:3" x14ac:dyDescent="0.25">
      <c r="A757" t="s">
        <v>1007</v>
      </c>
      <c r="B757" s="52">
        <v>2.7050730532286751E-3</v>
      </c>
      <c r="C757" s="46">
        <f t="shared" si="11"/>
        <v>0.48567992592027709</v>
      </c>
    </row>
    <row r="758" spans="1:3" x14ac:dyDescent="0.25">
      <c r="A758" t="s">
        <v>893</v>
      </c>
      <c r="B758" s="52">
        <v>2.6800743111844534E-3</v>
      </c>
      <c r="C758" s="46">
        <f t="shared" si="11"/>
        <v>0.48836000023146153</v>
      </c>
    </row>
    <row r="759" spans="1:3" x14ac:dyDescent="0.25">
      <c r="A759" t="s">
        <v>1339</v>
      </c>
      <c r="B759" s="52">
        <v>2.6719491696953952E-3</v>
      </c>
      <c r="C759" s="46">
        <f t="shared" si="11"/>
        <v>0.49103194940115691</v>
      </c>
    </row>
    <row r="760" spans="1:3" x14ac:dyDescent="0.25">
      <c r="A760" t="s">
        <v>1220</v>
      </c>
      <c r="B760" s="52">
        <v>2.6427742655502711E-3</v>
      </c>
      <c r="C760" s="46">
        <f t="shared" si="11"/>
        <v>0.49367472366670717</v>
      </c>
    </row>
    <row r="761" spans="1:3" x14ac:dyDescent="0.25">
      <c r="A761" t="s">
        <v>941</v>
      </c>
      <c r="B761" s="52">
        <v>2.59968801329526E-3</v>
      </c>
      <c r="C761" s="46">
        <f t="shared" si="11"/>
        <v>0.49627441168000241</v>
      </c>
    </row>
    <row r="762" spans="1:3" x14ac:dyDescent="0.25">
      <c r="A762" t="s">
        <v>1070</v>
      </c>
      <c r="B762" s="52">
        <v>2.587024841688189E-3</v>
      </c>
      <c r="C762" s="46">
        <f t="shared" si="11"/>
        <v>0.49886143652169063</v>
      </c>
    </row>
    <row r="763" spans="1:3" x14ac:dyDescent="0.25">
      <c r="A763" t="s">
        <v>953</v>
      </c>
      <c r="B763" s="52">
        <v>2.5837438368616775E-3</v>
      </c>
      <c r="C763" s="46">
        <f t="shared" si="11"/>
        <v>0.50144518035855234</v>
      </c>
    </row>
    <row r="764" spans="1:3" x14ac:dyDescent="0.25">
      <c r="A764" t="s">
        <v>922</v>
      </c>
      <c r="B764" s="52">
        <v>2.5709467886317209E-3</v>
      </c>
      <c r="C764" s="46">
        <f t="shared" si="11"/>
        <v>0.50401612714718402</v>
      </c>
    </row>
    <row r="765" spans="1:3" x14ac:dyDescent="0.25">
      <c r="A765" t="s">
        <v>1063</v>
      </c>
      <c r="B765" s="52">
        <v>2.5420285808677614E-3</v>
      </c>
      <c r="C765" s="46">
        <f t="shared" si="11"/>
        <v>0.50655815572805174</v>
      </c>
    </row>
    <row r="766" spans="1:3" x14ac:dyDescent="0.25">
      <c r="A766" t="s">
        <v>795</v>
      </c>
      <c r="B766" s="52">
        <v>2.5370041686813487E-3</v>
      </c>
      <c r="C766" s="46">
        <f t="shared" si="11"/>
        <v>0.50909515989673304</v>
      </c>
    </row>
    <row r="767" spans="1:3" x14ac:dyDescent="0.25">
      <c r="A767" t="s">
        <v>844</v>
      </c>
      <c r="B767" s="52">
        <v>2.5346943985487566E-3</v>
      </c>
      <c r="C767" s="46">
        <f t="shared" si="11"/>
        <v>0.51162985429528185</v>
      </c>
    </row>
    <row r="768" spans="1:3" x14ac:dyDescent="0.25">
      <c r="A768" t="s">
        <v>1074</v>
      </c>
      <c r="B768" s="52">
        <v>2.5153975917385006E-3</v>
      </c>
      <c r="C768" s="46">
        <f t="shared" si="11"/>
        <v>0.51414525188702032</v>
      </c>
    </row>
    <row r="769" spans="1:3" x14ac:dyDescent="0.25">
      <c r="A769" t="s">
        <v>869</v>
      </c>
      <c r="B769" s="52">
        <v>2.5066873559227232E-3</v>
      </c>
      <c r="C769" s="46">
        <f t="shared" si="11"/>
        <v>0.51665193924294306</v>
      </c>
    </row>
    <row r="770" spans="1:3" x14ac:dyDescent="0.25">
      <c r="A770" t="s">
        <v>768</v>
      </c>
      <c r="B770" s="52">
        <v>2.5031420835148733E-3</v>
      </c>
      <c r="C770" s="46">
        <f t="shared" si="11"/>
        <v>0.51915508132645793</v>
      </c>
    </row>
    <row r="771" spans="1:3" x14ac:dyDescent="0.25">
      <c r="A771" t="s">
        <v>1168</v>
      </c>
      <c r="B771" s="52">
        <v>2.4955562299961908E-3</v>
      </c>
      <c r="C771" s="46">
        <f t="shared" si="11"/>
        <v>0.52165063755645413</v>
      </c>
    </row>
    <row r="772" spans="1:3" x14ac:dyDescent="0.25">
      <c r="A772" t="s">
        <v>1208</v>
      </c>
      <c r="B772" s="52">
        <v>2.4905330670074357E-3</v>
      </c>
      <c r="C772" s="46">
        <f t="shared" ref="C772:C835" si="12">B772+C771</f>
        <v>0.52414117062346155</v>
      </c>
    </row>
    <row r="773" spans="1:3" x14ac:dyDescent="0.25">
      <c r="A773" t="s">
        <v>1082</v>
      </c>
      <c r="B773" s="52">
        <v>2.4873040229421504E-3</v>
      </c>
      <c r="C773" s="46">
        <f t="shared" si="12"/>
        <v>0.52662847464640372</v>
      </c>
    </row>
    <row r="774" spans="1:3" x14ac:dyDescent="0.25">
      <c r="A774" t="s">
        <v>1022</v>
      </c>
      <c r="B774" s="52">
        <v>2.4512335468101849E-3</v>
      </c>
      <c r="C774" s="46">
        <f t="shared" si="12"/>
        <v>0.52907970819321393</v>
      </c>
    </row>
    <row r="775" spans="1:3" x14ac:dyDescent="0.25">
      <c r="A775" t="s">
        <v>1086</v>
      </c>
      <c r="B775" s="52">
        <v>2.43177781897884E-3</v>
      </c>
      <c r="C775" s="46">
        <f t="shared" si="12"/>
        <v>0.53151148601219278</v>
      </c>
    </row>
    <row r="776" spans="1:3" x14ac:dyDescent="0.25">
      <c r="A776" t="s">
        <v>918</v>
      </c>
      <c r="B776" s="52">
        <v>2.4185930533154316E-3</v>
      </c>
      <c r="C776" s="46">
        <f t="shared" si="12"/>
        <v>0.53393007906550816</v>
      </c>
    </row>
    <row r="777" spans="1:3" x14ac:dyDescent="0.25">
      <c r="A777" t="s">
        <v>798</v>
      </c>
      <c r="B777" s="52">
        <v>2.4090351883496374E-3</v>
      </c>
      <c r="C777" s="46">
        <f t="shared" si="12"/>
        <v>0.53633911425385783</v>
      </c>
    </row>
    <row r="778" spans="1:3" x14ac:dyDescent="0.25">
      <c r="A778" t="s">
        <v>765</v>
      </c>
      <c r="B778" s="52">
        <v>2.3949394324726081E-3</v>
      </c>
      <c r="C778" s="46">
        <f t="shared" si="12"/>
        <v>0.53873405368633043</v>
      </c>
    </row>
    <row r="779" spans="1:3" x14ac:dyDescent="0.25">
      <c r="A779" t="s">
        <v>939</v>
      </c>
      <c r="B779" s="52">
        <v>2.3932307645302695E-3</v>
      </c>
      <c r="C779" s="46">
        <f t="shared" si="12"/>
        <v>0.54112728445086067</v>
      </c>
    </row>
    <row r="780" spans="1:3" x14ac:dyDescent="0.25">
      <c r="A780" t="s">
        <v>1073</v>
      </c>
      <c r="B780" s="52">
        <v>2.3909326254902392E-3</v>
      </c>
      <c r="C780" s="46">
        <f t="shared" si="12"/>
        <v>0.54351821707635095</v>
      </c>
    </row>
    <row r="781" spans="1:3" x14ac:dyDescent="0.25">
      <c r="A781" t="s">
        <v>1058</v>
      </c>
      <c r="B781" s="52">
        <v>2.3825834700742787E-3</v>
      </c>
      <c r="C781" s="46">
        <f t="shared" si="12"/>
        <v>0.5459008005464252</v>
      </c>
    </row>
    <row r="782" spans="1:3" x14ac:dyDescent="0.25">
      <c r="A782" t="s">
        <v>750</v>
      </c>
      <c r="B782" s="52">
        <v>2.3764442075916675E-3</v>
      </c>
      <c r="C782" s="46">
        <f t="shared" si="12"/>
        <v>0.54827724475401685</v>
      </c>
    </row>
    <row r="783" spans="1:3" x14ac:dyDescent="0.25">
      <c r="A783" t="s">
        <v>878</v>
      </c>
      <c r="B783" s="52">
        <v>2.3511408334957488E-3</v>
      </c>
      <c r="C783" s="46">
        <f t="shared" si="12"/>
        <v>0.55062838558751259</v>
      </c>
    </row>
    <row r="784" spans="1:3" x14ac:dyDescent="0.25">
      <c r="A784" t="s">
        <v>1034</v>
      </c>
      <c r="B784" s="52">
        <v>2.3424538763501075E-3</v>
      </c>
      <c r="C784" s="46">
        <f t="shared" si="12"/>
        <v>0.55297083946386272</v>
      </c>
    </row>
    <row r="785" spans="1:3" x14ac:dyDescent="0.25">
      <c r="A785" t="s">
        <v>938</v>
      </c>
      <c r="B785" s="52">
        <v>2.3403024649164923E-3</v>
      </c>
      <c r="C785" s="46">
        <f t="shared" si="12"/>
        <v>0.55531114192877917</v>
      </c>
    </row>
    <row r="786" spans="1:3" x14ac:dyDescent="0.25">
      <c r="A786" t="s">
        <v>833</v>
      </c>
      <c r="B786" s="52">
        <v>2.335643404579953E-3</v>
      </c>
      <c r="C786" s="46">
        <f t="shared" si="12"/>
        <v>0.5576467853333591</v>
      </c>
    </row>
    <row r="787" spans="1:3" x14ac:dyDescent="0.25">
      <c r="A787" t="s">
        <v>987</v>
      </c>
      <c r="B787" s="52">
        <v>2.3339037228330079E-3</v>
      </c>
      <c r="C787" s="46">
        <f t="shared" si="12"/>
        <v>0.55998068905619214</v>
      </c>
    </row>
    <row r="788" spans="1:3" x14ac:dyDescent="0.25">
      <c r="A788" t="s">
        <v>936</v>
      </c>
      <c r="B788" s="52">
        <v>2.3169722516394303E-3</v>
      </c>
      <c r="C788" s="46">
        <f t="shared" si="12"/>
        <v>0.56229766130783154</v>
      </c>
    </row>
    <row r="789" spans="1:3" x14ac:dyDescent="0.25">
      <c r="A789" t="s">
        <v>1201</v>
      </c>
      <c r="B789" s="52">
        <v>2.3142293286298374E-3</v>
      </c>
      <c r="C789" s="46">
        <f t="shared" si="12"/>
        <v>0.56461189063646133</v>
      </c>
    </row>
    <row r="790" spans="1:3" x14ac:dyDescent="0.25">
      <c r="A790" t="s">
        <v>1230</v>
      </c>
      <c r="B790" s="52">
        <v>2.3124455787795948E-3</v>
      </c>
      <c r="C790" s="46">
        <f t="shared" si="12"/>
        <v>0.56692433621524096</v>
      </c>
    </row>
    <row r="791" spans="1:3" x14ac:dyDescent="0.25">
      <c r="A791" t="s">
        <v>1350</v>
      </c>
      <c r="B791" s="52">
        <v>2.305523307482404E-3</v>
      </c>
      <c r="C791" s="46">
        <f t="shared" si="12"/>
        <v>0.56922985952272331</v>
      </c>
    </row>
    <row r="792" spans="1:3" s="43" customFormat="1" x14ac:dyDescent="0.25">
      <c r="A792" t="s">
        <v>1319</v>
      </c>
      <c r="B792" s="52">
        <v>2.3015968631071287E-3</v>
      </c>
      <c r="C792" s="46">
        <f t="shared" si="12"/>
        <v>0.57153145638583047</v>
      </c>
    </row>
    <row r="793" spans="1:3" x14ac:dyDescent="0.25">
      <c r="A793" t="s">
        <v>1300</v>
      </c>
      <c r="B793" s="52">
        <v>2.296864262211408E-3</v>
      </c>
      <c r="C793" s="46">
        <f t="shared" si="12"/>
        <v>0.5738283206480419</v>
      </c>
    </row>
    <row r="794" spans="1:3" x14ac:dyDescent="0.25">
      <c r="A794" t="s">
        <v>758</v>
      </c>
      <c r="B794" s="52">
        <v>2.2799167410259293E-3</v>
      </c>
      <c r="C794" s="46">
        <f t="shared" si="12"/>
        <v>0.5761082373890678</v>
      </c>
    </row>
    <row r="795" spans="1:3" x14ac:dyDescent="0.25">
      <c r="A795" t="s">
        <v>849</v>
      </c>
      <c r="B795" s="52">
        <v>2.2459004806904639E-3</v>
      </c>
      <c r="C795" s="46">
        <f t="shared" si="12"/>
        <v>0.57835413786975831</v>
      </c>
    </row>
    <row r="796" spans="1:3" x14ac:dyDescent="0.25">
      <c r="A796" t="s">
        <v>926</v>
      </c>
      <c r="B796" s="52">
        <v>2.2323084188930697E-3</v>
      </c>
      <c r="C796" s="46">
        <f t="shared" si="12"/>
        <v>0.58058644628865141</v>
      </c>
    </row>
    <row r="797" spans="1:3" x14ac:dyDescent="0.25">
      <c r="A797" t="s">
        <v>1192</v>
      </c>
      <c r="B797" s="52">
        <v>2.2274522197801186E-3</v>
      </c>
      <c r="C797" s="46">
        <f t="shared" si="12"/>
        <v>0.58281389850843157</v>
      </c>
    </row>
    <row r="798" spans="1:3" x14ac:dyDescent="0.25">
      <c r="A798" t="s">
        <v>1171</v>
      </c>
      <c r="B798" s="52">
        <v>2.2235397107358999E-3</v>
      </c>
      <c r="C798" s="46">
        <f t="shared" si="12"/>
        <v>0.58503743821916743</v>
      </c>
    </row>
    <row r="799" spans="1:3" x14ac:dyDescent="0.25">
      <c r="A799" t="s">
        <v>947</v>
      </c>
      <c r="B799" s="52">
        <v>2.218429422621352E-3</v>
      </c>
      <c r="C799" s="46">
        <f t="shared" si="12"/>
        <v>0.58725586764178883</v>
      </c>
    </row>
    <row r="800" spans="1:3" x14ac:dyDescent="0.25">
      <c r="A800" t="s">
        <v>989</v>
      </c>
      <c r="B800" s="52">
        <v>2.2127655018275481E-3</v>
      </c>
      <c r="C800" s="46">
        <f t="shared" si="12"/>
        <v>0.58946863314361642</v>
      </c>
    </row>
    <row r="801" spans="1:3" x14ac:dyDescent="0.25">
      <c r="A801" t="s">
        <v>891</v>
      </c>
      <c r="B801" s="52">
        <v>2.2115489902873571E-3</v>
      </c>
      <c r="C801" s="46">
        <f t="shared" si="12"/>
        <v>0.59168018213390372</v>
      </c>
    </row>
    <row r="802" spans="1:3" x14ac:dyDescent="0.25">
      <c r="A802" t="s">
        <v>754</v>
      </c>
      <c r="B802" s="52">
        <v>2.1780650182025465E-3</v>
      </c>
      <c r="C802" s="46">
        <f t="shared" si="12"/>
        <v>0.59385824715210622</v>
      </c>
    </row>
    <row r="803" spans="1:3" x14ac:dyDescent="0.25">
      <c r="A803" t="s">
        <v>1185</v>
      </c>
      <c r="B803" s="52">
        <v>2.1700143239483886E-3</v>
      </c>
      <c r="C803" s="46">
        <f t="shared" si="12"/>
        <v>0.59602826147605459</v>
      </c>
    </row>
    <row r="804" spans="1:3" x14ac:dyDescent="0.25">
      <c r="A804" t="s">
        <v>841</v>
      </c>
      <c r="B804" s="52">
        <v>2.1693841678384171E-3</v>
      </c>
      <c r="C804" s="46">
        <f t="shared" si="12"/>
        <v>0.59819764564389299</v>
      </c>
    </row>
    <row r="805" spans="1:3" x14ac:dyDescent="0.25">
      <c r="A805" t="s">
        <v>1142</v>
      </c>
      <c r="B805" s="52">
        <v>2.1676473398304025E-3</v>
      </c>
      <c r="C805" s="46">
        <f t="shared" si="12"/>
        <v>0.60036529298372343</v>
      </c>
    </row>
    <row r="806" spans="1:3" x14ac:dyDescent="0.25">
      <c r="A806" t="s">
        <v>1026</v>
      </c>
      <c r="B806" s="52">
        <v>2.1408165212042627E-3</v>
      </c>
      <c r="C806" s="46">
        <f t="shared" si="12"/>
        <v>0.60250610950492767</v>
      </c>
    </row>
    <row r="807" spans="1:3" x14ac:dyDescent="0.25">
      <c r="A807" t="s">
        <v>1089</v>
      </c>
      <c r="B807" s="52">
        <v>2.1242787762314041E-3</v>
      </c>
      <c r="C807" s="46">
        <f t="shared" si="12"/>
        <v>0.60463038828115911</v>
      </c>
    </row>
    <row r="808" spans="1:3" x14ac:dyDescent="0.25">
      <c r="A808" t="s">
        <v>1187</v>
      </c>
      <c r="B808" s="52">
        <v>2.1185438297587466E-3</v>
      </c>
      <c r="C808" s="46">
        <f t="shared" si="12"/>
        <v>0.60674893211091785</v>
      </c>
    </row>
    <row r="809" spans="1:3" x14ac:dyDescent="0.25">
      <c r="A809" t="s">
        <v>855</v>
      </c>
      <c r="B809" s="52">
        <v>2.1048930739881178E-3</v>
      </c>
      <c r="C809" s="46">
        <f t="shared" si="12"/>
        <v>0.60885382518490594</v>
      </c>
    </row>
    <row r="810" spans="1:3" x14ac:dyDescent="0.25">
      <c r="A810" t="s">
        <v>994</v>
      </c>
      <c r="B810" s="52">
        <v>2.0956733551056122E-3</v>
      </c>
      <c r="C810" s="46">
        <f t="shared" si="12"/>
        <v>0.61094949854001157</v>
      </c>
    </row>
    <row r="811" spans="1:3" x14ac:dyDescent="0.25">
      <c r="A811" t="s">
        <v>1317</v>
      </c>
      <c r="B811" s="52">
        <v>2.0767739442631539E-3</v>
      </c>
      <c r="C811" s="46">
        <f t="shared" si="12"/>
        <v>0.61302627248427477</v>
      </c>
    </row>
    <row r="812" spans="1:3" x14ac:dyDescent="0.25">
      <c r="A812" t="s">
        <v>1212</v>
      </c>
      <c r="B812" s="52">
        <v>2.0716953870512822E-3</v>
      </c>
      <c r="C812" s="46">
        <f t="shared" si="12"/>
        <v>0.61509796787132609</v>
      </c>
    </row>
    <row r="813" spans="1:3" x14ac:dyDescent="0.25">
      <c r="A813" t="s">
        <v>1255</v>
      </c>
      <c r="B813" s="52">
        <v>2.0630682485231013E-3</v>
      </c>
      <c r="C813" s="46">
        <f t="shared" si="12"/>
        <v>0.61716103611984918</v>
      </c>
    </row>
    <row r="814" spans="1:3" x14ac:dyDescent="0.25">
      <c r="A814" t="s">
        <v>1139</v>
      </c>
      <c r="B814" s="52">
        <v>2.056701718155174E-3</v>
      </c>
      <c r="C814" s="46">
        <f t="shared" si="12"/>
        <v>0.61921773783800438</v>
      </c>
    </row>
    <row r="815" spans="1:3" x14ac:dyDescent="0.25">
      <c r="A815" t="s">
        <v>1054</v>
      </c>
      <c r="B815" s="52">
        <v>2.0496553092144913E-3</v>
      </c>
      <c r="C815" s="46">
        <f t="shared" si="12"/>
        <v>0.6212673931472189</v>
      </c>
    </row>
    <row r="816" spans="1:3" x14ac:dyDescent="0.25">
      <c r="A816" t="s">
        <v>1249</v>
      </c>
      <c r="B816" s="52">
        <v>2.0333130041458626E-3</v>
      </c>
      <c r="C816" s="46">
        <f t="shared" si="12"/>
        <v>0.62330070615136479</v>
      </c>
    </row>
    <row r="817" spans="1:3" x14ac:dyDescent="0.25">
      <c r="A817" t="s">
        <v>1118</v>
      </c>
      <c r="B817" s="52">
        <v>2.0207796382792809E-3</v>
      </c>
      <c r="C817" s="46">
        <f t="shared" si="12"/>
        <v>0.62532148578964408</v>
      </c>
    </row>
    <row r="818" spans="1:3" x14ac:dyDescent="0.25">
      <c r="A818" t="s">
        <v>894</v>
      </c>
      <c r="B818" s="52">
        <v>2.0189444167231993E-3</v>
      </c>
      <c r="C818" s="46">
        <f t="shared" si="12"/>
        <v>0.62734043020636732</v>
      </c>
    </row>
    <row r="819" spans="1:3" x14ac:dyDescent="0.25">
      <c r="A819" t="s">
        <v>1217</v>
      </c>
      <c r="B819" s="52">
        <v>2.0064762655683595E-3</v>
      </c>
      <c r="C819" s="46">
        <f t="shared" si="12"/>
        <v>0.6293469064719357</v>
      </c>
    </row>
    <row r="820" spans="1:3" x14ac:dyDescent="0.25">
      <c r="A820" t="s">
        <v>812</v>
      </c>
      <c r="B820" s="52">
        <v>1.9954134068284899E-3</v>
      </c>
      <c r="C820" s="46">
        <f t="shared" si="12"/>
        <v>0.63134231987876421</v>
      </c>
    </row>
    <row r="821" spans="1:3" x14ac:dyDescent="0.25">
      <c r="A821" t="s">
        <v>930</v>
      </c>
      <c r="B821" s="52">
        <v>1.9855053278339998E-3</v>
      </c>
      <c r="C821" s="46">
        <f t="shared" si="12"/>
        <v>0.63332782520659825</v>
      </c>
    </row>
    <row r="822" spans="1:3" x14ac:dyDescent="0.25">
      <c r="A822" t="s">
        <v>1177</v>
      </c>
      <c r="B822" s="52">
        <v>1.9841032042048766E-3</v>
      </c>
      <c r="C822" s="46">
        <f t="shared" si="12"/>
        <v>0.63531192841080308</v>
      </c>
    </row>
    <row r="823" spans="1:3" x14ac:dyDescent="0.25">
      <c r="A823" t="s">
        <v>747</v>
      </c>
      <c r="B823" s="52">
        <v>1.9768415559434211E-3</v>
      </c>
      <c r="C823" s="46">
        <f t="shared" si="12"/>
        <v>0.63728876996674655</v>
      </c>
    </row>
    <row r="824" spans="1:3" x14ac:dyDescent="0.25">
      <c r="A824" t="s">
        <v>1099</v>
      </c>
      <c r="B824" s="52">
        <v>1.9767997499502516E-3</v>
      </c>
      <c r="C824" s="46">
        <f t="shared" si="12"/>
        <v>0.63926556971669679</v>
      </c>
    </row>
    <row r="825" spans="1:3" x14ac:dyDescent="0.25">
      <c r="A825" t="s">
        <v>959</v>
      </c>
      <c r="B825" s="52">
        <v>1.9757883009827591E-3</v>
      </c>
      <c r="C825" s="46">
        <f t="shared" si="12"/>
        <v>0.64124135801767956</v>
      </c>
    </row>
    <row r="826" spans="1:3" x14ac:dyDescent="0.25">
      <c r="A826" t="s">
        <v>885</v>
      </c>
      <c r="B826" s="52">
        <v>1.9756913141558093E-3</v>
      </c>
      <c r="C826" s="46">
        <f t="shared" si="12"/>
        <v>0.64321704933183532</v>
      </c>
    </row>
    <row r="827" spans="1:3" x14ac:dyDescent="0.25">
      <c r="A827" t="s">
        <v>1140</v>
      </c>
      <c r="B827" s="52">
        <v>1.9727997934066506E-3</v>
      </c>
      <c r="C827" s="46">
        <f t="shared" si="12"/>
        <v>0.64518984912524202</v>
      </c>
    </row>
    <row r="828" spans="1:3" x14ac:dyDescent="0.25">
      <c r="A828" t="s">
        <v>818</v>
      </c>
      <c r="B828" s="52">
        <v>1.9289857901009034E-3</v>
      </c>
      <c r="C828" s="46">
        <f t="shared" si="12"/>
        <v>0.64711883491534294</v>
      </c>
    </row>
    <row r="829" spans="1:3" x14ac:dyDescent="0.25">
      <c r="A829" t="s">
        <v>1189</v>
      </c>
      <c r="B829" s="52">
        <v>1.9047498462452263E-3</v>
      </c>
      <c r="C829" s="46">
        <f t="shared" si="12"/>
        <v>0.64902358476158817</v>
      </c>
    </row>
    <row r="830" spans="1:3" x14ac:dyDescent="0.25">
      <c r="A830" t="s">
        <v>1173</v>
      </c>
      <c r="B830" s="52">
        <v>1.8932386363621316E-3</v>
      </c>
      <c r="C830" s="46">
        <f t="shared" si="12"/>
        <v>0.65091682339795032</v>
      </c>
    </row>
    <row r="831" spans="1:3" x14ac:dyDescent="0.25">
      <c r="A831" t="s">
        <v>1029</v>
      </c>
      <c r="B831" s="52">
        <v>1.8734287912173268E-3</v>
      </c>
      <c r="C831" s="46">
        <f t="shared" si="12"/>
        <v>0.65279025218916764</v>
      </c>
    </row>
    <row r="832" spans="1:3" x14ac:dyDescent="0.25">
      <c r="A832" t="s">
        <v>1270</v>
      </c>
      <c r="B832" s="52">
        <v>1.8711196502627337E-3</v>
      </c>
      <c r="C832" s="46">
        <f t="shared" si="12"/>
        <v>0.65466137183943041</v>
      </c>
    </row>
    <row r="833" spans="1:3" x14ac:dyDescent="0.25">
      <c r="A833" t="s">
        <v>1233</v>
      </c>
      <c r="B833" s="52">
        <v>1.8621448373137054E-3</v>
      </c>
      <c r="C833" s="46">
        <f t="shared" si="12"/>
        <v>0.65652351667674413</v>
      </c>
    </row>
    <row r="834" spans="1:3" x14ac:dyDescent="0.25">
      <c r="A834" t="s">
        <v>757</v>
      </c>
      <c r="B834" s="52">
        <v>1.852294974227071E-3</v>
      </c>
      <c r="C834" s="46">
        <f t="shared" si="12"/>
        <v>0.65837581165097125</v>
      </c>
    </row>
    <row r="835" spans="1:3" x14ac:dyDescent="0.25">
      <c r="A835" t="s">
        <v>806</v>
      </c>
      <c r="B835" s="52">
        <v>1.8473868592287629E-3</v>
      </c>
      <c r="C835" s="46">
        <f t="shared" si="12"/>
        <v>0.66022319851020006</v>
      </c>
    </row>
    <row r="836" spans="1:3" x14ac:dyDescent="0.25">
      <c r="A836" t="s">
        <v>1285</v>
      </c>
      <c r="B836" s="52">
        <v>1.8466336910353594E-3</v>
      </c>
      <c r="C836" s="46">
        <f t="shared" ref="C836:C899" si="13">B836+C835</f>
        <v>0.66206983220123539</v>
      </c>
    </row>
    <row r="837" spans="1:3" x14ac:dyDescent="0.25">
      <c r="A837" t="s">
        <v>763</v>
      </c>
      <c r="B837" s="52">
        <v>1.8393733725649592E-3</v>
      </c>
      <c r="C837" s="46">
        <f t="shared" si="13"/>
        <v>0.6639092055738004</v>
      </c>
    </row>
    <row r="838" spans="1:3" x14ac:dyDescent="0.25">
      <c r="A838" t="s">
        <v>827</v>
      </c>
      <c r="B838" s="52">
        <v>1.838934678891896E-3</v>
      </c>
      <c r="C838" s="46">
        <f t="shared" si="13"/>
        <v>0.66574814025269224</v>
      </c>
    </row>
    <row r="839" spans="1:3" x14ac:dyDescent="0.25">
      <c r="A839" t="s">
        <v>1076</v>
      </c>
      <c r="B839" s="52">
        <v>1.8365623371446587E-3</v>
      </c>
      <c r="C839" s="46">
        <f t="shared" si="13"/>
        <v>0.66758470258983693</v>
      </c>
    </row>
    <row r="840" spans="1:3" x14ac:dyDescent="0.25">
      <c r="A840" t="s">
        <v>1160</v>
      </c>
      <c r="B840" s="52">
        <v>1.8351973780616883E-3</v>
      </c>
      <c r="C840" s="46">
        <f t="shared" si="13"/>
        <v>0.66941989996789864</v>
      </c>
    </row>
    <row r="841" spans="1:3" x14ac:dyDescent="0.25">
      <c r="A841" t="s">
        <v>1021</v>
      </c>
      <c r="B841" s="52">
        <v>1.8343045662383237E-3</v>
      </c>
      <c r="C841" s="46">
        <f t="shared" si="13"/>
        <v>0.67125420453413698</v>
      </c>
    </row>
    <row r="842" spans="1:3" x14ac:dyDescent="0.25">
      <c r="A842" t="s">
        <v>755</v>
      </c>
      <c r="B842" s="52">
        <v>1.8228381095024033E-3</v>
      </c>
      <c r="C842" s="46">
        <f t="shared" si="13"/>
        <v>0.67307704264363943</v>
      </c>
    </row>
    <row r="843" spans="1:3" x14ac:dyDescent="0.25">
      <c r="A843" t="s">
        <v>1127</v>
      </c>
      <c r="B843" s="52">
        <v>1.8134328527135231E-3</v>
      </c>
      <c r="C843" s="46">
        <f t="shared" si="13"/>
        <v>0.67489047549635295</v>
      </c>
    </row>
    <row r="844" spans="1:3" x14ac:dyDescent="0.25">
      <c r="A844" t="s">
        <v>1120</v>
      </c>
      <c r="B844" s="52">
        <v>1.8109119040683802E-3</v>
      </c>
      <c r="C844" s="46">
        <f t="shared" si="13"/>
        <v>0.67670138740042129</v>
      </c>
    </row>
    <row r="845" spans="1:3" x14ac:dyDescent="0.25">
      <c r="A845" t="s">
        <v>1184</v>
      </c>
      <c r="B845" s="52">
        <v>1.7976427781822061E-3</v>
      </c>
      <c r="C845" s="46">
        <f t="shared" si="13"/>
        <v>0.67849903017860347</v>
      </c>
    </row>
    <row r="846" spans="1:3" x14ac:dyDescent="0.25">
      <c r="A846" t="s">
        <v>1273</v>
      </c>
      <c r="B846" s="52">
        <v>1.7933743503789315E-3</v>
      </c>
      <c r="C846" s="46">
        <f t="shared" si="13"/>
        <v>0.68029240452898243</v>
      </c>
    </row>
    <row r="847" spans="1:3" x14ac:dyDescent="0.25">
      <c r="A847" t="s">
        <v>1100</v>
      </c>
      <c r="B847" s="52">
        <v>1.7902110522091434E-3</v>
      </c>
      <c r="C847" s="46">
        <f t="shared" si="13"/>
        <v>0.68208261558119154</v>
      </c>
    </row>
    <row r="848" spans="1:3" x14ac:dyDescent="0.25">
      <c r="A848" t="s">
        <v>924</v>
      </c>
      <c r="B848" s="52">
        <v>1.7898122458568932E-3</v>
      </c>
      <c r="C848" s="46">
        <f t="shared" si="13"/>
        <v>0.68387242782704849</v>
      </c>
    </row>
    <row r="849" spans="1:3" x14ac:dyDescent="0.25">
      <c r="A849" t="s">
        <v>825</v>
      </c>
      <c r="B849" s="52">
        <v>1.7868662503820146E-3</v>
      </c>
      <c r="C849" s="46">
        <f t="shared" si="13"/>
        <v>0.68565929407743054</v>
      </c>
    </row>
    <row r="850" spans="1:3" x14ac:dyDescent="0.25">
      <c r="A850" t="s">
        <v>1207</v>
      </c>
      <c r="B850" s="52">
        <v>1.7614562054297954E-3</v>
      </c>
      <c r="C850" s="46">
        <f t="shared" si="13"/>
        <v>0.68742075028286032</v>
      </c>
    </row>
    <row r="851" spans="1:3" x14ac:dyDescent="0.25">
      <c r="A851" t="s">
        <v>1305</v>
      </c>
      <c r="B851" s="52">
        <v>1.7528692298884806E-3</v>
      </c>
      <c r="C851" s="46">
        <f t="shared" si="13"/>
        <v>0.6891736195127488</v>
      </c>
    </row>
    <row r="852" spans="1:3" x14ac:dyDescent="0.25">
      <c r="A852" t="s">
        <v>990</v>
      </c>
      <c r="B852" s="52">
        <v>1.7467757655197057E-3</v>
      </c>
      <c r="C852" s="46">
        <f t="shared" si="13"/>
        <v>0.69092039527826854</v>
      </c>
    </row>
    <row r="853" spans="1:3" x14ac:dyDescent="0.25">
      <c r="A853" t="s">
        <v>1024</v>
      </c>
      <c r="B853" s="52">
        <v>1.7461333692875228E-3</v>
      </c>
      <c r="C853" s="46">
        <f t="shared" si="13"/>
        <v>0.69266652864755607</v>
      </c>
    </row>
    <row r="854" spans="1:3" x14ac:dyDescent="0.25">
      <c r="A854" t="s">
        <v>770</v>
      </c>
      <c r="B854" s="52">
        <v>1.7361811443438405E-3</v>
      </c>
      <c r="C854" s="46">
        <f t="shared" si="13"/>
        <v>0.69440270979189989</v>
      </c>
    </row>
    <row r="855" spans="1:3" x14ac:dyDescent="0.25">
      <c r="A855" t="s">
        <v>1284</v>
      </c>
      <c r="B855" s="52">
        <v>1.7245269571948062E-3</v>
      </c>
      <c r="C855" s="46">
        <f t="shared" si="13"/>
        <v>0.69612723674909471</v>
      </c>
    </row>
    <row r="856" spans="1:3" x14ac:dyDescent="0.25">
      <c r="A856" t="s">
        <v>1130</v>
      </c>
      <c r="B856" s="52">
        <v>1.7072266173485651E-3</v>
      </c>
      <c r="C856" s="46">
        <f t="shared" si="13"/>
        <v>0.69783446336644328</v>
      </c>
    </row>
    <row r="857" spans="1:3" x14ac:dyDescent="0.25">
      <c r="A857" t="s">
        <v>1101</v>
      </c>
      <c r="B857" s="52">
        <v>1.6992724281926414E-3</v>
      </c>
      <c r="C857" s="46">
        <f t="shared" si="13"/>
        <v>0.69953373579463596</v>
      </c>
    </row>
    <row r="858" spans="1:3" x14ac:dyDescent="0.25">
      <c r="A858" t="s">
        <v>1346</v>
      </c>
      <c r="B858" s="52">
        <v>1.6943565258573216E-3</v>
      </c>
      <c r="C858" s="46">
        <f t="shared" si="13"/>
        <v>0.70122809232049332</v>
      </c>
    </row>
    <row r="859" spans="1:3" x14ac:dyDescent="0.25">
      <c r="A859" t="s">
        <v>1148</v>
      </c>
      <c r="B859" s="52">
        <v>1.6861794904629234E-3</v>
      </c>
      <c r="C859" s="46">
        <f t="shared" si="13"/>
        <v>0.70291427181095623</v>
      </c>
    </row>
    <row r="860" spans="1:3" x14ac:dyDescent="0.25">
      <c r="A860" t="s">
        <v>815</v>
      </c>
      <c r="B860" s="52">
        <v>1.6722093503855585E-3</v>
      </c>
      <c r="C860" s="46">
        <f t="shared" si="13"/>
        <v>0.70458648116134182</v>
      </c>
    </row>
    <row r="861" spans="1:3" x14ac:dyDescent="0.25">
      <c r="A861" t="s">
        <v>944</v>
      </c>
      <c r="B861" s="52">
        <v>1.6541066080226843E-3</v>
      </c>
      <c r="C861" s="46">
        <f t="shared" si="13"/>
        <v>0.70624058776936449</v>
      </c>
    </row>
    <row r="862" spans="1:3" x14ac:dyDescent="0.25">
      <c r="A862" t="s">
        <v>1343</v>
      </c>
      <c r="B862" s="52">
        <v>1.6488536915749738E-3</v>
      </c>
      <c r="C862" s="46">
        <f t="shared" si="13"/>
        <v>0.70788944146093946</v>
      </c>
    </row>
    <row r="863" spans="1:3" x14ac:dyDescent="0.25">
      <c r="A863" t="s">
        <v>995</v>
      </c>
      <c r="B863" s="52">
        <v>1.6452412866988602E-3</v>
      </c>
      <c r="C863" s="46">
        <f t="shared" si="13"/>
        <v>0.70953468274763831</v>
      </c>
    </row>
    <row r="864" spans="1:3" x14ac:dyDescent="0.25">
      <c r="A864" t="s">
        <v>735</v>
      </c>
      <c r="B864" s="52">
        <v>1.6448775806027925E-3</v>
      </c>
      <c r="C864" s="46">
        <f t="shared" si="13"/>
        <v>0.71117956032824114</v>
      </c>
    </row>
    <row r="865" spans="1:3" x14ac:dyDescent="0.25">
      <c r="A865" t="s">
        <v>778</v>
      </c>
      <c r="B865" s="52">
        <v>1.6421357630049106E-3</v>
      </c>
      <c r="C865" s="46">
        <f t="shared" si="13"/>
        <v>0.71282169609124602</v>
      </c>
    </row>
    <row r="866" spans="1:3" x14ac:dyDescent="0.25">
      <c r="A866" t="s">
        <v>943</v>
      </c>
      <c r="B866" s="52">
        <v>1.6345721312838585E-3</v>
      </c>
      <c r="C866" s="46">
        <f t="shared" si="13"/>
        <v>0.71445626822252983</v>
      </c>
    </row>
    <row r="867" spans="1:3" x14ac:dyDescent="0.25">
      <c r="A867" t="s">
        <v>1133</v>
      </c>
      <c r="B867" s="52">
        <v>1.6239224281842908E-3</v>
      </c>
      <c r="C867" s="46">
        <f t="shared" si="13"/>
        <v>0.71608019065071415</v>
      </c>
    </row>
    <row r="868" spans="1:3" x14ac:dyDescent="0.25">
      <c r="A868" t="s">
        <v>986</v>
      </c>
      <c r="B868" s="52">
        <v>1.6200759251324417E-3</v>
      </c>
      <c r="C868" s="46">
        <f t="shared" si="13"/>
        <v>0.71770026657584662</v>
      </c>
    </row>
    <row r="869" spans="1:3" x14ac:dyDescent="0.25">
      <c r="A869" t="s">
        <v>1001</v>
      </c>
      <c r="B869" s="52">
        <v>1.6113210900296122E-3</v>
      </c>
      <c r="C869" s="46">
        <f t="shared" si="13"/>
        <v>0.71931158766587622</v>
      </c>
    </row>
    <row r="870" spans="1:3" x14ac:dyDescent="0.25">
      <c r="A870" t="s">
        <v>1298</v>
      </c>
      <c r="B870" s="52">
        <v>1.606391360431655E-3</v>
      </c>
      <c r="C870" s="46">
        <f t="shared" si="13"/>
        <v>0.72091797902630783</v>
      </c>
    </row>
    <row r="871" spans="1:3" x14ac:dyDescent="0.25">
      <c r="A871" t="s">
        <v>985</v>
      </c>
      <c r="B871" s="52">
        <v>1.5984366529136534E-3</v>
      </c>
      <c r="C871" s="46">
        <f t="shared" si="13"/>
        <v>0.72251641567922154</v>
      </c>
    </row>
    <row r="872" spans="1:3" x14ac:dyDescent="0.25">
      <c r="A872" t="s">
        <v>1014</v>
      </c>
      <c r="B872" s="52">
        <v>1.5973081548582933E-3</v>
      </c>
      <c r="C872" s="46">
        <f t="shared" si="13"/>
        <v>0.72411372383407979</v>
      </c>
    </row>
    <row r="873" spans="1:3" x14ac:dyDescent="0.25">
      <c r="A873" t="s">
        <v>1134</v>
      </c>
      <c r="B873" s="52">
        <v>1.5960391092447548E-3</v>
      </c>
      <c r="C873" s="46">
        <f t="shared" si="13"/>
        <v>0.72570976294332457</v>
      </c>
    </row>
    <row r="874" spans="1:3" x14ac:dyDescent="0.25">
      <c r="A874" t="s">
        <v>969</v>
      </c>
      <c r="B874" s="52">
        <v>1.5898700510168361E-3</v>
      </c>
      <c r="C874" s="46">
        <f t="shared" si="13"/>
        <v>0.72729963299434142</v>
      </c>
    </row>
    <row r="875" spans="1:3" x14ac:dyDescent="0.25">
      <c r="A875" t="s">
        <v>1135</v>
      </c>
      <c r="B875" s="52">
        <v>1.5519808090351797E-3</v>
      </c>
      <c r="C875" s="46">
        <f t="shared" si="13"/>
        <v>0.7288516138033766</v>
      </c>
    </row>
    <row r="876" spans="1:3" x14ac:dyDescent="0.25">
      <c r="A876" t="s">
        <v>1105</v>
      </c>
      <c r="B876" s="52">
        <v>1.5453280219101333E-3</v>
      </c>
      <c r="C876" s="46">
        <f t="shared" si="13"/>
        <v>0.73039694182528669</v>
      </c>
    </row>
    <row r="877" spans="1:3" x14ac:dyDescent="0.25">
      <c r="A877" t="s">
        <v>962</v>
      </c>
      <c r="B877" s="52">
        <v>1.521117106883481E-3</v>
      </c>
      <c r="C877" s="46">
        <f t="shared" si="13"/>
        <v>0.73191805893217021</v>
      </c>
    </row>
    <row r="878" spans="1:3" x14ac:dyDescent="0.25">
      <c r="A878" t="s">
        <v>1232</v>
      </c>
      <c r="B878" s="52">
        <v>1.5179532601290908E-3</v>
      </c>
      <c r="C878" s="46">
        <f t="shared" si="13"/>
        <v>0.73343601219229926</v>
      </c>
    </row>
    <row r="879" spans="1:3" x14ac:dyDescent="0.25">
      <c r="A879" t="s">
        <v>1085</v>
      </c>
      <c r="B879" s="52">
        <v>1.5099564782785405E-3</v>
      </c>
      <c r="C879" s="46">
        <f t="shared" si="13"/>
        <v>0.73494596867057782</v>
      </c>
    </row>
    <row r="880" spans="1:3" x14ac:dyDescent="0.25">
      <c r="A880" t="s">
        <v>1051</v>
      </c>
      <c r="B880" s="52">
        <v>1.4934133958247806E-3</v>
      </c>
      <c r="C880" s="46">
        <f t="shared" si="13"/>
        <v>0.73643938206640258</v>
      </c>
    </row>
    <row r="881" spans="1:3" x14ac:dyDescent="0.25">
      <c r="A881" t="s">
        <v>1202</v>
      </c>
      <c r="B881" s="52">
        <v>1.488433660771315E-3</v>
      </c>
      <c r="C881" s="46">
        <f t="shared" si="13"/>
        <v>0.73792781572717392</v>
      </c>
    </row>
    <row r="882" spans="1:3" x14ac:dyDescent="0.25">
      <c r="A882" t="s">
        <v>1069</v>
      </c>
      <c r="B882" s="52">
        <v>1.4854228544675151E-3</v>
      </c>
      <c r="C882" s="46">
        <f t="shared" si="13"/>
        <v>0.73941323858164143</v>
      </c>
    </row>
    <row r="883" spans="1:3" x14ac:dyDescent="0.25">
      <c r="A883" t="s">
        <v>1123</v>
      </c>
      <c r="B883" s="52">
        <v>1.4783876800632458E-3</v>
      </c>
      <c r="C883" s="46">
        <f t="shared" si="13"/>
        <v>0.74089162626170468</v>
      </c>
    </row>
    <row r="884" spans="1:3" x14ac:dyDescent="0.25">
      <c r="A884" t="s">
        <v>1146</v>
      </c>
      <c r="B884" s="52">
        <v>1.4776268838879569E-3</v>
      </c>
      <c r="C884" s="46">
        <f t="shared" si="13"/>
        <v>0.74236925314559266</v>
      </c>
    </row>
    <row r="885" spans="1:3" x14ac:dyDescent="0.25">
      <c r="A885" t="s">
        <v>1256</v>
      </c>
      <c r="B885" s="52">
        <v>1.4764411269713338E-3</v>
      </c>
      <c r="C885" s="46">
        <f t="shared" si="13"/>
        <v>0.74384569427256397</v>
      </c>
    </row>
    <row r="886" spans="1:3" x14ac:dyDescent="0.25">
      <c r="A886" t="s">
        <v>863</v>
      </c>
      <c r="B886" s="52">
        <v>1.4718780094109161E-3</v>
      </c>
      <c r="C886" s="46">
        <f t="shared" si="13"/>
        <v>0.74531757228197493</v>
      </c>
    </row>
    <row r="887" spans="1:3" x14ac:dyDescent="0.25">
      <c r="A887" t="s">
        <v>856</v>
      </c>
      <c r="B887" s="52">
        <v>1.4710101833723753E-3</v>
      </c>
      <c r="C887" s="46">
        <f t="shared" si="13"/>
        <v>0.74678858246534729</v>
      </c>
    </row>
    <row r="888" spans="1:3" x14ac:dyDescent="0.25">
      <c r="A888" t="s">
        <v>800</v>
      </c>
      <c r="B888" s="52">
        <v>1.466587503470049E-3</v>
      </c>
      <c r="C888" s="46">
        <f t="shared" si="13"/>
        <v>0.74825516996881736</v>
      </c>
    </row>
    <row r="889" spans="1:3" x14ac:dyDescent="0.25">
      <c r="A889" t="s">
        <v>744</v>
      </c>
      <c r="B889" s="52">
        <v>1.4658971331023031E-3</v>
      </c>
      <c r="C889" s="46">
        <f t="shared" si="13"/>
        <v>0.74972106710191966</v>
      </c>
    </row>
    <row r="890" spans="1:3" x14ac:dyDescent="0.25">
      <c r="A890" t="s">
        <v>1286</v>
      </c>
      <c r="B890" s="52">
        <v>1.4525844446532329E-3</v>
      </c>
      <c r="C890" s="46">
        <f t="shared" si="13"/>
        <v>0.7511736515465729</v>
      </c>
    </row>
    <row r="891" spans="1:3" x14ac:dyDescent="0.25">
      <c r="A891" t="s">
        <v>942</v>
      </c>
      <c r="B891" s="52">
        <v>1.4493439755580493E-3</v>
      </c>
      <c r="C891" s="46">
        <f t="shared" si="13"/>
        <v>0.75262299552213097</v>
      </c>
    </row>
    <row r="892" spans="1:3" x14ac:dyDescent="0.25">
      <c r="A892" t="s">
        <v>910</v>
      </c>
      <c r="B892" s="52">
        <v>1.4338728997673289E-3</v>
      </c>
      <c r="C892" s="46">
        <f t="shared" si="13"/>
        <v>0.75405686842189834</v>
      </c>
    </row>
    <row r="893" spans="1:3" x14ac:dyDescent="0.25">
      <c r="A893" t="s">
        <v>1279</v>
      </c>
      <c r="B893" s="52">
        <v>1.4223754603651597E-3</v>
      </c>
      <c r="C893" s="46">
        <f t="shared" si="13"/>
        <v>0.75547924388226351</v>
      </c>
    </row>
    <row r="894" spans="1:3" x14ac:dyDescent="0.25">
      <c r="A894" t="s">
        <v>1018</v>
      </c>
      <c r="B894" s="52">
        <v>1.4200446333758612E-3</v>
      </c>
      <c r="C894" s="46">
        <f t="shared" si="13"/>
        <v>0.75689928851563937</v>
      </c>
    </row>
    <row r="895" spans="1:3" x14ac:dyDescent="0.25">
      <c r="A895" t="s">
        <v>958</v>
      </c>
      <c r="B895" s="52">
        <v>1.4186752233393593E-3</v>
      </c>
      <c r="C895" s="46">
        <f t="shared" si="13"/>
        <v>0.75831796373897875</v>
      </c>
    </row>
    <row r="896" spans="1:3" x14ac:dyDescent="0.25">
      <c r="A896" t="s">
        <v>1205</v>
      </c>
      <c r="B896" s="52">
        <v>1.4080548635630726E-3</v>
      </c>
      <c r="C896" s="46">
        <f t="shared" si="13"/>
        <v>0.75972601860254185</v>
      </c>
    </row>
    <row r="897" spans="1:3" x14ac:dyDescent="0.25">
      <c r="A897" t="s">
        <v>1158</v>
      </c>
      <c r="B897" s="52">
        <v>1.4073606613456198E-3</v>
      </c>
      <c r="C897" s="46">
        <f t="shared" si="13"/>
        <v>0.76113337926388747</v>
      </c>
    </row>
    <row r="898" spans="1:3" x14ac:dyDescent="0.25">
      <c r="A898" t="s">
        <v>1111</v>
      </c>
      <c r="B898" s="52">
        <v>1.4056864617339618E-3</v>
      </c>
      <c r="C898" s="46">
        <f t="shared" si="13"/>
        <v>0.76253906572562147</v>
      </c>
    </row>
    <row r="899" spans="1:3" x14ac:dyDescent="0.25">
      <c r="A899" t="s">
        <v>1240</v>
      </c>
      <c r="B899" s="52">
        <v>1.4034174095836761E-3</v>
      </c>
      <c r="C899" s="46">
        <f t="shared" si="13"/>
        <v>0.76394248313520519</v>
      </c>
    </row>
    <row r="900" spans="1:3" x14ac:dyDescent="0.25">
      <c r="A900" t="s">
        <v>1117</v>
      </c>
      <c r="B900" s="52">
        <v>1.3973354178681706E-3</v>
      </c>
      <c r="C900" s="46">
        <f t="shared" ref="C900:C963" si="14">B900+C899</f>
        <v>0.76533981855307331</v>
      </c>
    </row>
    <row r="901" spans="1:3" x14ac:dyDescent="0.25">
      <c r="A901" t="s">
        <v>949</v>
      </c>
      <c r="B901" s="52">
        <v>1.3969280841849884E-3</v>
      </c>
      <c r="C901" s="46">
        <f t="shared" si="14"/>
        <v>0.76673674663725833</v>
      </c>
    </row>
    <row r="902" spans="1:3" x14ac:dyDescent="0.25">
      <c r="A902" t="s">
        <v>1268</v>
      </c>
      <c r="B902" s="52">
        <v>1.3879764473326813E-3</v>
      </c>
      <c r="C902" s="46">
        <f t="shared" si="14"/>
        <v>0.76812472308459101</v>
      </c>
    </row>
    <row r="903" spans="1:3" x14ac:dyDescent="0.25">
      <c r="A903" t="s">
        <v>772</v>
      </c>
      <c r="B903" s="52">
        <v>1.3708423093883059E-3</v>
      </c>
      <c r="C903" s="46">
        <f t="shared" si="14"/>
        <v>0.76949556539397934</v>
      </c>
    </row>
    <row r="904" spans="1:3" x14ac:dyDescent="0.25">
      <c r="A904" t="s">
        <v>934</v>
      </c>
      <c r="B904" s="52">
        <v>1.3704329480485151E-3</v>
      </c>
      <c r="C904" s="46">
        <f t="shared" si="14"/>
        <v>0.77086599834202785</v>
      </c>
    </row>
    <row r="905" spans="1:3" x14ac:dyDescent="0.25">
      <c r="A905" t="s">
        <v>1327</v>
      </c>
      <c r="B905" s="52">
        <v>1.3655644126507767E-3</v>
      </c>
      <c r="C905" s="46">
        <f t="shared" si="14"/>
        <v>0.77223156275467864</v>
      </c>
    </row>
    <row r="906" spans="1:3" x14ac:dyDescent="0.25">
      <c r="A906" t="s">
        <v>784</v>
      </c>
      <c r="B906" s="52">
        <v>1.3641260403095591E-3</v>
      </c>
      <c r="C906" s="46">
        <f t="shared" si="14"/>
        <v>0.77359568879498819</v>
      </c>
    </row>
    <row r="907" spans="1:3" x14ac:dyDescent="0.25">
      <c r="A907" t="s">
        <v>882</v>
      </c>
      <c r="B907" s="52">
        <v>1.3625288257089821E-3</v>
      </c>
      <c r="C907" s="46">
        <f t="shared" si="14"/>
        <v>0.77495821762069717</v>
      </c>
    </row>
    <row r="908" spans="1:3" x14ac:dyDescent="0.25">
      <c r="A908" t="s">
        <v>1093</v>
      </c>
      <c r="B908" s="52">
        <v>1.3566920247513464E-3</v>
      </c>
      <c r="C908" s="46">
        <f t="shared" si="14"/>
        <v>0.77631490964544847</v>
      </c>
    </row>
    <row r="909" spans="1:3" x14ac:dyDescent="0.25">
      <c r="A909" t="s">
        <v>1188</v>
      </c>
      <c r="B909" s="52">
        <v>1.3511030704703544E-3</v>
      </c>
      <c r="C909" s="46">
        <f t="shared" si="14"/>
        <v>0.77766601271591884</v>
      </c>
    </row>
    <row r="910" spans="1:3" x14ac:dyDescent="0.25">
      <c r="A910" t="s">
        <v>742</v>
      </c>
      <c r="B910" s="52">
        <v>1.3475700812289161E-3</v>
      </c>
      <c r="C910" s="46">
        <f t="shared" si="14"/>
        <v>0.77901358279714772</v>
      </c>
    </row>
    <row r="911" spans="1:3" x14ac:dyDescent="0.25">
      <c r="A911" t="s">
        <v>904</v>
      </c>
      <c r="B911" s="52">
        <v>1.3324496407505597E-3</v>
      </c>
      <c r="C911" s="46">
        <f t="shared" si="14"/>
        <v>0.78034603243789824</v>
      </c>
    </row>
    <row r="912" spans="1:3" x14ac:dyDescent="0.25">
      <c r="A912" t="s">
        <v>1153</v>
      </c>
      <c r="B912" s="52">
        <v>1.3305006799309038E-3</v>
      </c>
      <c r="C912" s="46">
        <f t="shared" si="14"/>
        <v>0.78167653311782914</v>
      </c>
    </row>
    <row r="913" spans="1:3" x14ac:dyDescent="0.25">
      <c r="A913" t="s">
        <v>1306</v>
      </c>
      <c r="B913" s="52">
        <v>1.3249326506265136E-3</v>
      </c>
      <c r="C913" s="46">
        <f t="shared" si="14"/>
        <v>0.78300146576845564</v>
      </c>
    </row>
    <row r="914" spans="1:3" x14ac:dyDescent="0.25">
      <c r="A914" t="s">
        <v>900</v>
      </c>
      <c r="B914" s="52">
        <v>1.3232244057995103E-3</v>
      </c>
      <c r="C914" s="46">
        <f t="shared" si="14"/>
        <v>0.7843246901742551</v>
      </c>
    </row>
    <row r="915" spans="1:3" x14ac:dyDescent="0.25">
      <c r="A915" t="s">
        <v>1128</v>
      </c>
      <c r="B915" s="52">
        <v>1.3217077589528564E-3</v>
      </c>
      <c r="C915" s="46">
        <f t="shared" si="14"/>
        <v>0.78564639793320801</v>
      </c>
    </row>
    <row r="916" spans="1:3" x14ac:dyDescent="0.25">
      <c r="A916" t="s">
        <v>801</v>
      </c>
      <c r="B916" s="52">
        <v>1.3085342122566822E-3</v>
      </c>
      <c r="C916" s="46">
        <f t="shared" si="14"/>
        <v>0.78695493214546464</v>
      </c>
    </row>
    <row r="917" spans="1:3" x14ac:dyDescent="0.25">
      <c r="A917" t="s">
        <v>968</v>
      </c>
      <c r="B917" s="52">
        <v>1.3068813378411103E-3</v>
      </c>
      <c r="C917" s="46">
        <f t="shared" si="14"/>
        <v>0.78826181348330571</v>
      </c>
    </row>
    <row r="918" spans="1:3" x14ac:dyDescent="0.25">
      <c r="A918" t="s">
        <v>1200</v>
      </c>
      <c r="B918" s="52">
        <v>1.3061556116994797E-3</v>
      </c>
      <c r="C918" s="46">
        <f t="shared" si="14"/>
        <v>0.78956796909500515</v>
      </c>
    </row>
    <row r="919" spans="1:3" x14ac:dyDescent="0.25">
      <c r="A919" t="s">
        <v>820</v>
      </c>
      <c r="B919" s="52">
        <v>1.3002155129023865E-3</v>
      </c>
      <c r="C919" s="46">
        <f t="shared" si="14"/>
        <v>0.79086818460790753</v>
      </c>
    </row>
    <row r="920" spans="1:3" x14ac:dyDescent="0.25">
      <c r="A920" t="s">
        <v>1276</v>
      </c>
      <c r="B920" s="52">
        <v>1.2926144656966491E-3</v>
      </c>
      <c r="C920" s="46">
        <f t="shared" si="14"/>
        <v>0.79216079907360415</v>
      </c>
    </row>
    <row r="921" spans="1:3" x14ac:dyDescent="0.25">
      <c r="A921" t="s">
        <v>1358</v>
      </c>
      <c r="B921" s="52">
        <v>1.280679703625004E-3</v>
      </c>
      <c r="C921" s="46">
        <f t="shared" si="14"/>
        <v>0.79344147877722915</v>
      </c>
    </row>
    <row r="922" spans="1:3" x14ac:dyDescent="0.25">
      <c r="A922" t="s">
        <v>1309</v>
      </c>
      <c r="B922" s="52">
        <v>1.2714159386192185E-3</v>
      </c>
      <c r="C922" s="46">
        <f t="shared" si="14"/>
        <v>0.79471289471584838</v>
      </c>
    </row>
    <row r="923" spans="1:3" x14ac:dyDescent="0.25">
      <c r="A923" t="s">
        <v>1338</v>
      </c>
      <c r="B923" s="52">
        <v>1.2690276732651813E-3</v>
      </c>
      <c r="C923" s="46">
        <f t="shared" si="14"/>
        <v>0.79598192238911358</v>
      </c>
    </row>
    <row r="924" spans="1:3" x14ac:dyDescent="0.25">
      <c r="A924" t="s">
        <v>1102</v>
      </c>
      <c r="B924" s="52">
        <v>1.2624393361304368E-3</v>
      </c>
      <c r="C924" s="46">
        <f t="shared" si="14"/>
        <v>0.79724436172524404</v>
      </c>
    </row>
    <row r="925" spans="1:3" x14ac:dyDescent="0.25">
      <c r="A925" t="s">
        <v>836</v>
      </c>
      <c r="B925" s="52">
        <v>1.2519277591237926E-3</v>
      </c>
      <c r="C925" s="46">
        <f t="shared" si="14"/>
        <v>0.79849628948436779</v>
      </c>
    </row>
    <row r="926" spans="1:3" x14ac:dyDescent="0.25">
      <c r="A926" t="s">
        <v>1079</v>
      </c>
      <c r="B926" s="52">
        <v>1.2489492835939774E-3</v>
      </c>
      <c r="C926" s="46">
        <f t="shared" si="14"/>
        <v>0.79974523876796177</v>
      </c>
    </row>
    <row r="927" spans="1:3" x14ac:dyDescent="0.25">
      <c r="A927" t="s">
        <v>954</v>
      </c>
      <c r="B927" s="52">
        <v>1.2381645224455865E-3</v>
      </c>
      <c r="C927" s="47">
        <f t="shared" si="14"/>
        <v>0.8009834032904074</v>
      </c>
    </row>
    <row r="928" spans="1:3" x14ac:dyDescent="0.25">
      <c r="A928" t="s">
        <v>1161</v>
      </c>
      <c r="B928" s="52">
        <v>1.231864582372159E-3</v>
      </c>
      <c r="C928" s="47">
        <f t="shared" si="14"/>
        <v>0.80221526787277952</v>
      </c>
    </row>
    <row r="929" spans="1:3" x14ac:dyDescent="0.25">
      <c r="A929" t="s">
        <v>1138</v>
      </c>
      <c r="B929" s="52">
        <v>1.2306337233755846E-3</v>
      </c>
      <c r="C929" s="47">
        <f t="shared" si="14"/>
        <v>0.80344590159615514</v>
      </c>
    </row>
    <row r="930" spans="1:3" x14ac:dyDescent="0.25">
      <c r="A930" t="s">
        <v>1015</v>
      </c>
      <c r="B930" s="52">
        <v>1.2235944176438712E-3</v>
      </c>
      <c r="C930" s="47">
        <f t="shared" si="14"/>
        <v>0.804669496013799</v>
      </c>
    </row>
    <row r="931" spans="1:3" x14ac:dyDescent="0.25">
      <c r="A931" t="s">
        <v>881</v>
      </c>
      <c r="B931" s="52">
        <v>1.2199953729550243E-3</v>
      </c>
      <c r="C931" s="47">
        <f t="shared" si="14"/>
        <v>0.80588949138675403</v>
      </c>
    </row>
    <row r="932" spans="1:3" x14ac:dyDescent="0.25">
      <c r="A932" t="s">
        <v>1292</v>
      </c>
      <c r="B932" s="52">
        <v>1.2136156728933143E-3</v>
      </c>
      <c r="C932" s="47">
        <f t="shared" si="14"/>
        <v>0.80710310705964738</v>
      </c>
    </row>
    <row r="933" spans="1:3" x14ac:dyDescent="0.25">
      <c r="A933" t="s">
        <v>767</v>
      </c>
      <c r="B933" s="52">
        <v>1.2105952521635527E-3</v>
      </c>
      <c r="C933" s="47">
        <f t="shared" si="14"/>
        <v>0.80831370231181099</v>
      </c>
    </row>
    <row r="934" spans="1:3" x14ac:dyDescent="0.25">
      <c r="A934" t="s">
        <v>1131</v>
      </c>
      <c r="B934" s="52">
        <v>1.207576937852129E-3</v>
      </c>
      <c r="C934" s="47">
        <f t="shared" si="14"/>
        <v>0.80952127924966311</v>
      </c>
    </row>
    <row r="935" spans="1:3" x14ac:dyDescent="0.25">
      <c r="A935" t="s">
        <v>819</v>
      </c>
      <c r="B935" s="52">
        <v>1.2039985635380153E-3</v>
      </c>
      <c r="C935" s="47">
        <f t="shared" si="14"/>
        <v>0.81072527781320114</v>
      </c>
    </row>
    <row r="936" spans="1:3" x14ac:dyDescent="0.25">
      <c r="A936" t="s">
        <v>1291</v>
      </c>
      <c r="B936" s="52">
        <v>1.2005472557047175E-3</v>
      </c>
      <c r="C936" s="47">
        <f t="shared" si="14"/>
        <v>0.81192582506890587</v>
      </c>
    </row>
    <row r="937" spans="1:3" x14ac:dyDescent="0.25">
      <c r="A937" t="s">
        <v>1132</v>
      </c>
      <c r="B937" s="52">
        <v>1.1880201459005988E-3</v>
      </c>
      <c r="C937" s="47">
        <f t="shared" si="14"/>
        <v>0.81311384521480645</v>
      </c>
    </row>
    <row r="938" spans="1:3" x14ac:dyDescent="0.25">
      <c r="A938" t="s">
        <v>1166</v>
      </c>
      <c r="B938" s="52">
        <v>1.1876498210717798E-3</v>
      </c>
      <c r="C938" s="47">
        <f t="shared" si="14"/>
        <v>0.81430149503587823</v>
      </c>
    </row>
    <row r="939" spans="1:3" x14ac:dyDescent="0.25">
      <c r="A939" t="s">
        <v>1163</v>
      </c>
      <c r="B939" s="52">
        <v>1.1865385580975937E-3</v>
      </c>
      <c r="C939" s="47">
        <f t="shared" si="14"/>
        <v>0.81548803359397581</v>
      </c>
    </row>
    <row r="940" spans="1:3" x14ac:dyDescent="0.25">
      <c r="A940" t="s">
        <v>879</v>
      </c>
      <c r="B940" s="52">
        <v>1.1864042354635214E-3</v>
      </c>
      <c r="C940" s="47">
        <f t="shared" si="14"/>
        <v>0.81667443782943938</v>
      </c>
    </row>
    <row r="941" spans="1:3" x14ac:dyDescent="0.25">
      <c r="A941" t="s">
        <v>1114</v>
      </c>
      <c r="B941" s="52">
        <v>1.1796947911801893E-3</v>
      </c>
      <c r="C941" s="47">
        <f t="shared" si="14"/>
        <v>0.81785413262061957</v>
      </c>
    </row>
    <row r="942" spans="1:3" x14ac:dyDescent="0.25">
      <c r="A942" t="s">
        <v>1362</v>
      </c>
      <c r="B942" s="52">
        <v>1.1694640162230028E-3</v>
      </c>
      <c r="C942" s="47">
        <f t="shared" si="14"/>
        <v>0.81902359663684254</v>
      </c>
    </row>
    <row r="943" spans="1:3" x14ac:dyDescent="0.25">
      <c r="A943" t="s">
        <v>1098</v>
      </c>
      <c r="B943" s="52">
        <v>1.164694660158954E-3</v>
      </c>
      <c r="C943" s="47">
        <f t="shared" si="14"/>
        <v>0.82018829129700155</v>
      </c>
    </row>
    <row r="944" spans="1:3" x14ac:dyDescent="0.25">
      <c r="A944" t="s">
        <v>1033</v>
      </c>
      <c r="B944" s="52">
        <v>1.1630433161020964E-3</v>
      </c>
      <c r="C944" s="47">
        <f t="shared" si="14"/>
        <v>0.82135133461310361</v>
      </c>
    </row>
    <row r="945" spans="1:3" x14ac:dyDescent="0.25">
      <c r="A945" t="s">
        <v>1174</v>
      </c>
      <c r="B945" s="52">
        <v>1.1602250455927225E-3</v>
      </c>
      <c r="C945" s="47">
        <f t="shared" si="14"/>
        <v>0.82251155965869638</v>
      </c>
    </row>
    <row r="946" spans="1:3" x14ac:dyDescent="0.25">
      <c r="A946" t="s">
        <v>999</v>
      </c>
      <c r="B946" s="52">
        <v>1.1537239938547311E-3</v>
      </c>
      <c r="C946" s="47">
        <f t="shared" si="14"/>
        <v>0.82366528365255109</v>
      </c>
    </row>
    <row r="947" spans="1:3" x14ac:dyDescent="0.25">
      <c r="A947" t="s">
        <v>1183</v>
      </c>
      <c r="B947" s="52">
        <v>1.141371985112039E-3</v>
      </c>
      <c r="C947" s="47">
        <f t="shared" si="14"/>
        <v>0.82480665563766309</v>
      </c>
    </row>
    <row r="948" spans="1:3" x14ac:dyDescent="0.25">
      <c r="A948" t="s">
        <v>901</v>
      </c>
      <c r="B948" s="52">
        <v>1.13691498982332E-3</v>
      </c>
      <c r="C948" s="47">
        <f t="shared" si="14"/>
        <v>0.82594357062748636</v>
      </c>
    </row>
    <row r="949" spans="1:3" x14ac:dyDescent="0.25">
      <c r="A949" t="s">
        <v>838</v>
      </c>
      <c r="B949" s="52">
        <v>1.1297412863591407E-3</v>
      </c>
      <c r="C949" s="47">
        <f t="shared" si="14"/>
        <v>0.82707331191384548</v>
      </c>
    </row>
    <row r="950" spans="1:3" x14ac:dyDescent="0.25">
      <c r="A950" t="s">
        <v>1182</v>
      </c>
      <c r="B950" s="52">
        <v>1.1254867929710885E-3</v>
      </c>
      <c r="C950" s="47">
        <f t="shared" si="14"/>
        <v>0.82819879870681656</v>
      </c>
    </row>
    <row r="951" spans="1:3" x14ac:dyDescent="0.25">
      <c r="A951" t="s">
        <v>978</v>
      </c>
      <c r="B951" s="52">
        <v>1.1217754670264897E-3</v>
      </c>
      <c r="C951" s="47">
        <f t="shared" si="14"/>
        <v>0.82932057417384308</v>
      </c>
    </row>
    <row r="952" spans="1:3" x14ac:dyDescent="0.25">
      <c r="A952" t="s">
        <v>1083</v>
      </c>
      <c r="B952" s="52">
        <v>1.1206946546189638E-3</v>
      </c>
      <c r="C952" s="47">
        <f t="shared" si="14"/>
        <v>0.83044126882846203</v>
      </c>
    </row>
    <row r="953" spans="1:3" x14ac:dyDescent="0.25">
      <c r="A953" t="s">
        <v>897</v>
      </c>
      <c r="B953" s="52">
        <v>1.1168334432721115E-3</v>
      </c>
      <c r="C953" s="47">
        <f t="shared" si="14"/>
        <v>0.8315581022717341</v>
      </c>
    </row>
    <row r="954" spans="1:3" x14ac:dyDescent="0.25">
      <c r="A954" t="s">
        <v>984</v>
      </c>
      <c r="B954" s="52">
        <v>1.1160691431157093E-3</v>
      </c>
      <c r="C954" s="47">
        <f t="shared" si="14"/>
        <v>0.83267417141484978</v>
      </c>
    </row>
    <row r="955" spans="1:3" x14ac:dyDescent="0.25">
      <c r="A955" t="s">
        <v>799</v>
      </c>
      <c r="B955" s="52">
        <v>1.1130376188138045E-3</v>
      </c>
      <c r="C955" s="47">
        <f t="shared" si="14"/>
        <v>0.83378720903366355</v>
      </c>
    </row>
    <row r="956" spans="1:3" x14ac:dyDescent="0.25">
      <c r="A956" t="s">
        <v>1308</v>
      </c>
      <c r="B956" s="52">
        <v>1.1073523993831015E-3</v>
      </c>
      <c r="C956" s="47">
        <f t="shared" si="14"/>
        <v>0.83489456143304663</v>
      </c>
    </row>
    <row r="957" spans="1:3" x14ac:dyDescent="0.25">
      <c r="A957" t="s">
        <v>839</v>
      </c>
      <c r="B957" s="52">
        <v>1.1063472531856096E-3</v>
      </c>
      <c r="C957" s="47">
        <f t="shared" si="14"/>
        <v>0.83600090868623222</v>
      </c>
    </row>
    <row r="958" spans="1:3" x14ac:dyDescent="0.25">
      <c r="A958" t="s">
        <v>1321</v>
      </c>
      <c r="B958" s="52">
        <v>1.1027231439502097E-3</v>
      </c>
      <c r="C958" s="47">
        <f t="shared" si="14"/>
        <v>0.83710363183018244</v>
      </c>
    </row>
    <row r="959" spans="1:3" x14ac:dyDescent="0.25">
      <c r="A959" t="s">
        <v>868</v>
      </c>
      <c r="B959" s="52">
        <v>1.1018849872718756E-3</v>
      </c>
      <c r="C959" s="47">
        <f t="shared" si="14"/>
        <v>0.83820551681745437</v>
      </c>
    </row>
    <row r="960" spans="1:3" x14ac:dyDescent="0.25">
      <c r="A960" t="s">
        <v>771</v>
      </c>
      <c r="B960" s="52">
        <v>1.0985570514447955E-3</v>
      </c>
      <c r="C960" s="47">
        <f t="shared" si="14"/>
        <v>0.83930407386889916</v>
      </c>
    </row>
    <row r="961" spans="1:3" x14ac:dyDescent="0.25">
      <c r="A961" t="s">
        <v>1186</v>
      </c>
      <c r="B961" s="52">
        <v>1.0976171611715782E-3</v>
      </c>
      <c r="C961" s="47">
        <f t="shared" si="14"/>
        <v>0.84040169103007079</v>
      </c>
    </row>
    <row r="962" spans="1:3" x14ac:dyDescent="0.25">
      <c r="A962" t="s">
        <v>1266</v>
      </c>
      <c r="B962" s="52">
        <v>1.0920494899583056E-3</v>
      </c>
      <c r="C962" s="47">
        <f t="shared" si="14"/>
        <v>0.84149374052002912</v>
      </c>
    </row>
    <row r="963" spans="1:3" x14ac:dyDescent="0.25">
      <c r="A963" t="s">
        <v>1227</v>
      </c>
      <c r="B963" s="52">
        <v>1.0861512731686087E-3</v>
      </c>
      <c r="C963" s="47">
        <f t="shared" si="14"/>
        <v>0.8425798917931977</v>
      </c>
    </row>
    <row r="964" spans="1:3" x14ac:dyDescent="0.25">
      <c r="A964" t="s">
        <v>898</v>
      </c>
      <c r="B964" s="52">
        <v>1.0854287973220567E-3</v>
      </c>
      <c r="C964" s="47">
        <f t="shared" ref="C964:C1027" si="15">B964+C963</f>
        <v>0.8436653205905198</v>
      </c>
    </row>
    <row r="965" spans="1:3" x14ac:dyDescent="0.25">
      <c r="A965" t="s">
        <v>822</v>
      </c>
      <c r="B965" s="52">
        <v>1.084608210004329E-3</v>
      </c>
      <c r="C965" s="47">
        <f t="shared" si="15"/>
        <v>0.84474992880052413</v>
      </c>
    </row>
    <row r="966" spans="1:3" x14ac:dyDescent="0.25">
      <c r="A966" t="s">
        <v>983</v>
      </c>
      <c r="B966" s="52">
        <v>1.0819301060661646E-3</v>
      </c>
      <c r="C966" s="47">
        <f t="shared" si="15"/>
        <v>0.84583185890659029</v>
      </c>
    </row>
    <row r="967" spans="1:3" x14ac:dyDescent="0.25">
      <c r="A967" t="s">
        <v>1323</v>
      </c>
      <c r="B967" s="52">
        <v>1.0754520582480912E-3</v>
      </c>
      <c r="C967" s="47">
        <f t="shared" si="15"/>
        <v>0.8469073109648384</v>
      </c>
    </row>
    <row r="968" spans="1:3" x14ac:dyDescent="0.25">
      <c r="A968" t="s">
        <v>1017</v>
      </c>
      <c r="B968" s="52">
        <v>1.0711738841387502E-3</v>
      </c>
      <c r="C968" s="47">
        <f t="shared" si="15"/>
        <v>0.8479784848489772</v>
      </c>
    </row>
    <row r="969" spans="1:3" x14ac:dyDescent="0.25">
      <c r="A969" t="s">
        <v>1008</v>
      </c>
      <c r="B969" s="52">
        <v>1.0456470447005321E-3</v>
      </c>
      <c r="C969" s="47">
        <f t="shared" si="15"/>
        <v>0.84902413189367776</v>
      </c>
    </row>
    <row r="970" spans="1:3" x14ac:dyDescent="0.25">
      <c r="A970" t="s">
        <v>1260</v>
      </c>
      <c r="B970" s="52">
        <v>1.044688248864815E-3</v>
      </c>
      <c r="C970" s="47">
        <f t="shared" si="15"/>
        <v>0.85006882014254259</v>
      </c>
    </row>
    <row r="971" spans="1:3" x14ac:dyDescent="0.25">
      <c r="A971" t="s">
        <v>931</v>
      </c>
      <c r="B971" s="52">
        <v>1.0373511761735173E-3</v>
      </c>
      <c r="C971" s="47">
        <f t="shared" si="15"/>
        <v>0.85110617131871613</v>
      </c>
    </row>
    <row r="972" spans="1:3" x14ac:dyDescent="0.25">
      <c r="A972" t="s">
        <v>1126</v>
      </c>
      <c r="B972" s="52">
        <v>1.0335887082233424E-3</v>
      </c>
      <c r="C972" s="47">
        <f t="shared" si="15"/>
        <v>0.85213976002693947</v>
      </c>
    </row>
    <row r="973" spans="1:3" x14ac:dyDescent="0.25">
      <c r="A973" t="s">
        <v>1046</v>
      </c>
      <c r="B973" s="52">
        <v>1.0333722764866234E-3</v>
      </c>
      <c r="C973" s="47">
        <f t="shared" si="15"/>
        <v>0.85317313230342606</v>
      </c>
    </row>
    <row r="974" spans="1:3" x14ac:dyDescent="0.25">
      <c r="A974" t="s">
        <v>888</v>
      </c>
      <c r="B974" s="52">
        <v>1.0088379612208829E-3</v>
      </c>
      <c r="C974" s="47">
        <f t="shared" si="15"/>
        <v>0.85418197026464693</v>
      </c>
    </row>
    <row r="975" spans="1:3" x14ac:dyDescent="0.25">
      <c r="A975" t="s">
        <v>738</v>
      </c>
      <c r="B975" s="52">
        <v>1.003569103765525E-3</v>
      </c>
      <c r="C975" s="47">
        <f t="shared" si="15"/>
        <v>0.85518553936841246</v>
      </c>
    </row>
    <row r="976" spans="1:3" x14ac:dyDescent="0.25">
      <c r="A976" t="s">
        <v>796</v>
      </c>
      <c r="B976" s="52">
        <v>1.0026463368417269E-3</v>
      </c>
      <c r="C976" s="47">
        <f t="shared" si="15"/>
        <v>0.85618818570525423</v>
      </c>
    </row>
    <row r="977" spans="1:3" x14ac:dyDescent="0.25">
      <c r="A977" t="s">
        <v>1281</v>
      </c>
      <c r="B977" s="52">
        <v>1.00169533475386E-3</v>
      </c>
      <c r="C977" s="47">
        <f t="shared" si="15"/>
        <v>0.85718988104000804</v>
      </c>
    </row>
    <row r="978" spans="1:3" x14ac:dyDescent="0.25">
      <c r="A978" t="s">
        <v>756</v>
      </c>
      <c r="B978" s="52">
        <v>1.001646978715494E-3</v>
      </c>
      <c r="C978" s="47">
        <f t="shared" si="15"/>
        <v>0.85819152801872356</v>
      </c>
    </row>
    <row r="979" spans="1:3" x14ac:dyDescent="0.25">
      <c r="A979" t="s">
        <v>1149</v>
      </c>
      <c r="B979" s="52">
        <v>9.9767511629751692E-4</v>
      </c>
      <c r="C979" s="47">
        <f t="shared" si="15"/>
        <v>0.85918920313502112</v>
      </c>
    </row>
    <row r="980" spans="1:3" x14ac:dyDescent="0.25">
      <c r="A980" t="s">
        <v>1235</v>
      </c>
      <c r="B980" s="52">
        <v>9.954367940432792E-4</v>
      </c>
      <c r="C980" s="47">
        <f t="shared" si="15"/>
        <v>0.86018463992906435</v>
      </c>
    </row>
    <row r="981" spans="1:3" x14ac:dyDescent="0.25">
      <c r="A981" t="s">
        <v>1248</v>
      </c>
      <c r="B981" s="52">
        <v>9.945628190948597E-4</v>
      </c>
      <c r="C981" s="47">
        <f t="shared" si="15"/>
        <v>0.86117920274815918</v>
      </c>
    </row>
    <row r="982" spans="1:3" x14ac:dyDescent="0.25">
      <c r="A982" t="s">
        <v>857</v>
      </c>
      <c r="B982" s="52">
        <v>9.9068898755466108E-4</v>
      </c>
      <c r="C982" s="47">
        <f t="shared" si="15"/>
        <v>0.86216989173571379</v>
      </c>
    </row>
    <row r="983" spans="1:3" x14ac:dyDescent="0.25">
      <c r="A983" t="s">
        <v>1277</v>
      </c>
      <c r="B983" s="52">
        <v>9.8842646713289089E-4</v>
      </c>
      <c r="C983" s="47">
        <f t="shared" si="15"/>
        <v>0.86315831820284672</v>
      </c>
    </row>
    <row r="984" spans="1:3" x14ac:dyDescent="0.25">
      <c r="A984" t="s">
        <v>1348</v>
      </c>
      <c r="B984" s="52">
        <v>9.8784805564730745E-4</v>
      </c>
      <c r="C984" s="47">
        <f t="shared" si="15"/>
        <v>0.86414616625849405</v>
      </c>
    </row>
    <row r="985" spans="1:3" x14ac:dyDescent="0.25">
      <c r="A985" t="s">
        <v>1355</v>
      </c>
      <c r="B985" s="52">
        <v>9.7938240064391583E-4</v>
      </c>
      <c r="C985" s="47">
        <f t="shared" si="15"/>
        <v>0.86512554865913793</v>
      </c>
    </row>
    <row r="986" spans="1:3" x14ac:dyDescent="0.25">
      <c r="A986" t="s">
        <v>777</v>
      </c>
      <c r="B986" s="52">
        <v>9.7684961942271853E-4</v>
      </c>
      <c r="C986" s="47">
        <f t="shared" si="15"/>
        <v>0.86610239827856061</v>
      </c>
    </row>
    <row r="987" spans="1:3" x14ac:dyDescent="0.25">
      <c r="A987" t="s">
        <v>804</v>
      </c>
      <c r="B987" s="52">
        <v>9.7515512309662351E-4</v>
      </c>
      <c r="C987" s="47">
        <f t="shared" si="15"/>
        <v>0.86707755340165726</v>
      </c>
    </row>
    <row r="988" spans="1:3" x14ac:dyDescent="0.25">
      <c r="A988" t="s">
        <v>775</v>
      </c>
      <c r="B988" s="52">
        <v>9.6700537223053974E-4</v>
      </c>
      <c r="C988" s="47">
        <f t="shared" si="15"/>
        <v>0.86804455877388775</v>
      </c>
    </row>
    <row r="989" spans="1:3" x14ac:dyDescent="0.25">
      <c r="A989" t="s">
        <v>1290</v>
      </c>
      <c r="B989" s="52">
        <v>9.634369576118284E-4</v>
      </c>
      <c r="C989" s="47">
        <f t="shared" si="15"/>
        <v>0.86900799573149956</v>
      </c>
    </row>
    <row r="990" spans="1:3" x14ac:dyDescent="0.25">
      <c r="A990" t="s">
        <v>1347</v>
      </c>
      <c r="B990" s="52">
        <v>9.5834143182649354E-4</v>
      </c>
      <c r="C990" s="47">
        <f t="shared" si="15"/>
        <v>0.86996633716332605</v>
      </c>
    </row>
    <row r="991" spans="1:3" x14ac:dyDescent="0.25">
      <c r="A991" t="s">
        <v>1023</v>
      </c>
      <c r="B991" s="52">
        <v>9.5763427238876038E-4</v>
      </c>
      <c r="C991" s="47">
        <f t="shared" si="15"/>
        <v>0.87092397143571476</v>
      </c>
    </row>
    <row r="992" spans="1:3" x14ac:dyDescent="0.25">
      <c r="A992" t="s">
        <v>1203</v>
      </c>
      <c r="B992" s="52">
        <v>9.5503701095473706E-4</v>
      </c>
      <c r="C992" s="47">
        <f t="shared" si="15"/>
        <v>0.87187900844666955</v>
      </c>
    </row>
    <row r="993" spans="1:3" x14ac:dyDescent="0.25">
      <c r="A993" t="s">
        <v>919</v>
      </c>
      <c r="B993" s="52">
        <v>9.5140780235529097E-4</v>
      </c>
      <c r="C993" s="47">
        <f t="shared" si="15"/>
        <v>0.8728304162490248</v>
      </c>
    </row>
    <row r="994" spans="1:3" x14ac:dyDescent="0.25">
      <c r="A994" t="s">
        <v>892</v>
      </c>
      <c r="B994" s="52">
        <v>9.508792598659409E-4</v>
      </c>
      <c r="C994" s="47">
        <f t="shared" si="15"/>
        <v>0.87378129550889072</v>
      </c>
    </row>
    <row r="995" spans="1:3" x14ac:dyDescent="0.25">
      <c r="A995" t="s">
        <v>745</v>
      </c>
      <c r="B995" s="52">
        <v>9.4977029105607525E-4</v>
      </c>
      <c r="C995" s="47">
        <f t="shared" si="15"/>
        <v>0.87473106579994675</v>
      </c>
    </row>
    <row r="996" spans="1:3" x14ac:dyDescent="0.25">
      <c r="A996" t="s">
        <v>1342</v>
      </c>
      <c r="B996" s="52">
        <v>9.3965125518087676E-4</v>
      </c>
      <c r="C996" s="47">
        <f t="shared" si="15"/>
        <v>0.87567071705512767</v>
      </c>
    </row>
    <row r="997" spans="1:3" x14ac:dyDescent="0.25">
      <c r="A997" t="s">
        <v>1237</v>
      </c>
      <c r="B997" s="52">
        <v>9.3322475050369833E-4</v>
      </c>
      <c r="C997" s="47">
        <f t="shared" si="15"/>
        <v>0.87660394180563139</v>
      </c>
    </row>
    <row r="998" spans="1:3" x14ac:dyDescent="0.25">
      <c r="A998" t="s">
        <v>1296</v>
      </c>
      <c r="B998" s="52">
        <v>9.3108595743176127E-4</v>
      </c>
      <c r="C998" s="47">
        <f t="shared" si="15"/>
        <v>0.87753502776306314</v>
      </c>
    </row>
    <row r="999" spans="1:3" x14ac:dyDescent="0.25">
      <c r="A999" t="s">
        <v>826</v>
      </c>
      <c r="B999" s="52">
        <v>9.3062168817673919E-4</v>
      </c>
      <c r="C999" s="47">
        <f t="shared" si="15"/>
        <v>0.87846564945123984</v>
      </c>
    </row>
    <row r="1000" spans="1:3" x14ac:dyDescent="0.25">
      <c r="A1000" t="s">
        <v>1154</v>
      </c>
      <c r="B1000" s="52">
        <v>9.1443430834519659E-4</v>
      </c>
      <c r="C1000" s="47">
        <f t="shared" si="15"/>
        <v>0.87938008375958499</v>
      </c>
    </row>
    <row r="1001" spans="1:3" x14ac:dyDescent="0.25">
      <c r="A1001" t="s">
        <v>877</v>
      </c>
      <c r="B1001" s="52">
        <v>9.1303345314624606E-4</v>
      </c>
      <c r="C1001" s="47">
        <f t="shared" si="15"/>
        <v>0.88029311721273118</v>
      </c>
    </row>
    <row r="1002" spans="1:3" x14ac:dyDescent="0.25">
      <c r="A1002" t="s">
        <v>1035</v>
      </c>
      <c r="B1002" s="52">
        <v>9.0359031837647992E-4</v>
      </c>
      <c r="C1002" s="47">
        <f t="shared" si="15"/>
        <v>0.88119670753110768</v>
      </c>
    </row>
    <row r="1003" spans="1:3" x14ac:dyDescent="0.25">
      <c r="A1003" t="s">
        <v>1043</v>
      </c>
      <c r="B1003" s="52">
        <v>9.0184339970879291E-4</v>
      </c>
      <c r="C1003" s="47">
        <f t="shared" si="15"/>
        <v>0.88209855093081646</v>
      </c>
    </row>
    <row r="1004" spans="1:3" x14ac:dyDescent="0.25">
      <c r="A1004" t="s">
        <v>1059</v>
      </c>
      <c r="B1004" s="52">
        <v>9.0017772284889689E-4</v>
      </c>
      <c r="C1004" s="47">
        <f t="shared" si="15"/>
        <v>0.88299872865366535</v>
      </c>
    </row>
    <row r="1005" spans="1:3" x14ac:dyDescent="0.25">
      <c r="A1005" t="s">
        <v>1251</v>
      </c>
      <c r="B1005" s="52">
        <v>8.9823028964045298E-4</v>
      </c>
      <c r="C1005" s="47">
        <f t="shared" si="15"/>
        <v>0.88389695894330578</v>
      </c>
    </row>
    <row r="1006" spans="1:3" x14ac:dyDescent="0.25">
      <c r="A1006" t="s">
        <v>764</v>
      </c>
      <c r="B1006" s="52">
        <v>8.9805381757543867E-4</v>
      </c>
      <c r="C1006" s="47">
        <f t="shared" si="15"/>
        <v>0.88479501276088124</v>
      </c>
    </row>
    <row r="1007" spans="1:3" x14ac:dyDescent="0.25">
      <c r="A1007" t="s">
        <v>980</v>
      </c>
      <c r="B1007" s="52">
        <v>8.9517181783716805E-4</v>
      </c>
      <c r="C1007" s="47">
        <f t="shared" si="15"/>
        <v>0.8856901845787184</v>
      </c>
    </row>
    <row r="1008" spans="1:3" x14ac:dyDescent="0.25">
      <c r="A1008" t="s">
        <v>1179</v>
      </c>
      <c r="B1008" s="52">
        <v>8.9490251866350358E-4</v>
      </c>
      <c r="C1008" s="47">
        <f t="shared" si="15"/>
        <v>0.88658508709738193</v>
      </c>
    </row>
    <row r="1009" spans="1:3" x14ac:dyDescent="0.25">
      <c r="A1009" t="s">
        <v>870</v>
      </c>
      <c r="B1009" s="52">
        <v>8.881908763784278E-4</v>
      </c>
      <c r="C1009" s="47">
        <f t="shared" si="15"/>
        <v>0.88747327797376041</v>
      </c>
    </row>
    <row r="1010" spans="1:3" x14ac:dyDescent="0.25">
      <c r="A1010" t="s">
        <v>975</v>
      </c>
      <c r="B1010" s="52">
        <v>8.8697389409953019E-4</v>
      </c>
      <c r="C1010" s="47">
        <f t="shared" si="15"/>
        <v>0.88836025186785994</v>
      </c>
    </row>
    <row r="1011" spans="1:3" x14ac:dyDescent="0.25">
      <c r="A1011" t="s">
        <v>766</v>
      </c>
      <c r="B1011" s="52">
        <v>8.835404029020348E-4</v>
      </c>
      <c r="C1011" s="47">
        <f t="shared" si="15"/>
        <v>0.889243792270762</v>
      </c>
    </row>
    <row r="1012" spans="1:3" x14ac:dyDescent="0.25">
      <c r="A1012" t="s">
        <v>1222</v>
      </c>
      <c r="B1012" s="52">
        <v>8.8052319858149166E-4</v>
      </c>
      <c r="C1012" s="47">
        <f t="shared" si="15"/>
        <v>0.89012431546934345</v>
      </c>
    </row>
    <row r="1013" spans="1:3" x14ac:dyDescent="0.25">
      <c r="A1013" t="s">
        <v>1119</v>
      </c>
      <c r="B1013" s="52">
        <v>8.7799232412680696E-4</v>
      </c>
      <c r="C1013" s="47">
        <f t="shared" si="15"/>
        <v>0.89100230779347023</v>
      </c>
    </row>
    <row r="1014" spans="1:3" x14ac:dyDescent="0.25">
      <c r="A1014" t="s">
        <v>1152</v>
      </c>
      <c r="B1014" s="52">
        <v>8.7089285542402627E-4</v>
      </c>
      <c r="C1014" s="47">
        <f t="shared" si="15"/>
        <v>0.8918732006488943</v>
      </c>
    </row>
    <row r="1015" spans="1:3" x14ac:dyDescent="0.25">
      <c r="A1015" t="s">
        <v>807</v>
      </c>
      <c r="B1015" s="52">
        <v>8.584534129194635E-4</v>
      </c>
      <c r="C1015" s="47">
        <f t="shared" si="15"/>
        <v>0.89273165406181376</v>
      </c>
    </row>
    <row r="1016" spans="1:3" x14ac:dyDescent="0.25">
      <c r="A1016" t="s">
        <v>1263</v>
      </c>
      <c r="B1016" s="52">
        <v>8.4825179445541016E-4</v>
      </c>
      <c r="C1016" s="47">
        <f t="shared" si="15"/>
        <v>0.89357990585626912</v>
      </c>
    </row>
    <row r="1017" spans="1:3" x14ac:dyDescent="0.25">
      <c r="A1017" t="s">
        <v>1344</v>
      </c>
      <c r="B1017" s="52">
        <v>8.4770882757961537E-4</v>
      </c>
      <c r="C1017" s="47">
        <f t="shared" si="15"/>
        <v>0.89442761468384868</v>
      </c>
    </row>
    <row r="1018" spans="1:3" x14ac:dyDescent="0.25">
      <c r="A1018" t="s">
        <v>1243</v>
      </c>
      <c r="B1018" s="52">
        <v>8.4552392775776334E-4</v>
      </c>
      <c r="C1018" s="47">
        <f t="shared" si="15"/>
        <v>0.8952731386116064</v>
      </c>
    </row>
    <row r="1019" spans="1:3" x14ac:dyDescent="0.25">
      <c r="A1019" t="s">
        <v>1050</v>
      </c>
      <c r="B1019" s="52">
        <v>8.2996059725468053E-4</v>
      </c>
      <c r="C1019" s="47">
        <f t="shared" si="15"/>
        <v>0.89610309920886111</v>
      </c>
    </row>
    <row r="1020" spans="1:3" x14ac:dyDescent="0.25">
      <c r="A1020" t="s">
        <v>1322</v>
      </c>
      <c r="B1020" s="52">
        <v>8.2629754309171465E-4</v>
      </c>
      <c r="C1020" s="47">
        <f t="shared" si="15"/>
        <v>0.89692939675195282</v>
      </c>
    </row>
    <row r="1021" spans="1:3" x14ac:dyDescent="0.25">
      <c r="A1021" t="s">
        <v>1077</v>
      </c>
      <c r="B1021" s="52">
        <v>8.1865487672295621E-4</v>
      </c>
      <c r="C1021" s="47">
        <f t="shared" si="15"/>
        <v>0.89774805162867577</v>
      </c>
    </row>
    <row r="1022" spans="1:3" x14ac:dyDescent="0.25">
      <c r="A1022" t="s">
        <v>803</v>
      </c>
      <c r="B1022" s="52">
        <v>8.1790506872471847E-4</v>
      </c>
      <c r="C1022" s="47">
        <f t="shared" si="15"/>
        <v>0.89856595669740047</v>
      </c>
    </row>
    <row r="1023" spans="1:3" x14ac:dyDescent="0.25">
      <c r="A1023" t="s">
        <v>905</v>
      </c>
      <c r="B1023" s="52">
        <v>8.1774636384046725E-4</v>
      </c>
      <c r="C1023" s="47">
        <f t="shared" si="15"/>
        <v>0.89938370306124094</v>
      </c>
    </row>
    <row r="1024" spans="1:3" x14ac:dyDescent="0.25">
      <c r="A1024" t="s">
        <v>859</v>
      </c>
      <c r="B1024" s="52">
        <v>8.1599520852441868E-4</v>
      </c>
      <c r="C1024" s="47">
        <f t="shared" si="15"/>
        <v>0.90019969826976531</v>
      </c>
    </row>
    <row r="1025" spans="1:3" x14ac:dyDescent="0.25">
      <c r="A1025" t="s">
        <v>889</v>
      </c>
      <c r="B1025" s="52">
        <v>8.1597743768031935E-4</v>
      </c>
      <c r="C1025" s="47">
        <f t="shared" si="15"/>
        <v>0.90101567570744567</v>
      </c>
    </row>
    <row r="1026" spans="1:3" x14ac:dyDescent="0.25">
      <c r="A1026" t="s">
        <v>1013</v>
      </c>
      <c r="B1026" s="52">
        <v>8.157968187186811E-4</v>
      </c>
      <c r="C1026" s="47">
        <f t="shared" si="15"/>
        <v>0.90183147252616436</v>
      </c>
    </row>
    <row r="1027" spans="1:3" x14ac:dyDescent="0.25">
      <c r="A1027" t="s">
        <v>1028</v>
      </c>
      <c r="B1027" s="52">
        <v>8.1541138995454515E-4</v>
      </c>
      <c r="C1027" s="47">
        <f t="shared" si="15"/>
        <v>0.90264688391611891</v>
      </c>
    </row>
    <row r="1028" spans="1:3" x14ac:dyDescent="0.25">
      <c r="A1028" t="s">
        <v>1049</v>
      </c>
      <c r="B1028" s="52">
        <v>8.0415550544902788E-4</v>
      </c>
      <c r="C1028" s="47">
        <f t="shared" ref="C1028:C1091" si="16">B1028+C1027</f>
        <v>0.9034510394215679</v>
      </c>
    </row>
    <row r="1029" spans="1:3" x14ac:dyDescent="0.25">
      <c r="A1029" t="s">
        <v>1065</v>
      </c>
      <c r="B1029" s="52">
        <v>8.0267420430208379E-4</v>
      </c>
      <c r="C1029" s="47">
        <f t="shared" si="16"/>
        <v>0.90425371362587004</v>
      </c>
    </row>
    <row r="1030" spans="1:3" x14ac:dyDescent="0.25">
      <c r="A1030" t="s">
        <v>925</v>
      </c>
      <c r="B1030" s="52">
        <v>8.0257148801725451E-4</v>
      </c>
      <c r="C1030" s="47">
        <f t="shared" si="16"/>
        <v>0.90505628511388725</v>
      </c>
    </row>
    <row r="1031" spans="1:3" x14ac:dyDescent="0.25">
      <c r="A1031" t="s">
        <v>917</v>
      </c>
      <c r="B1031" s="52">
        <v>7.9667276843465879E-4</v>
      </c>
      <c r="C1031" s="47">
        <f t="shared" si="16"/>
        <v>0.9058529578823219</v>
      </c>
    </row>
    <row r="1032" spans="1:3" x14ac:dyDescent="0.25">
      <c r="A1032" t="s">
        <v>802</v>
      </c>
      <c r="B1032" s="52">
        <v>7.9418706749498174E-4</v>
      </c>
      <c r="C1032" s="47">
        <f t="shared" si="16"/>
        <v>0.90664714494981691</v>
      </c>
    </row>
    <row r="1033" spans="1:3" x14ac:dyDescent="0.25">
      <c r="A1033" t="s">
        <v>1231</v>
      </c>
      <c r="B1033" s="52">
        <v>7.91708285681628E-4</v>
      </c>
      <c r="C1033" s="47">
        <f t="shared" si="16"/>
        <v>0.90743885323549855</v>
      </c>
    </row>
    <row r="1034" spans="1:3" x14ac:dyDescent="0.25">
      <c r="A1034" t="s">
        <v>1236</v>
      </c>
      <c r="B1034" s="52">
        <v>7.9102304490045181E-4</v>
      </c>
      <c r="C1034" s="47">
        <f t="shared" si="16"/>
        <v>0.90822987628039897</v>
      </c>
    </row>
    <row r="1035" spans="1:3" x14ac:dyDescent="0.25">
      <c r="A1035" t="s">
        <v>759</v>
      </c>
      <c r="B1035" s="52">
        <v>7.872775684195912E-4</v>
      </c>
      <c r="C1035" s="47">
        <f t="shared" si="16"/>
        <v>0.90901715384881854</v>
      </c>
    </row>
    <row r="1036" spans="1:3" x14ac:dyDescent="0.25">
      <c r="A1036" t="s">
        <v>923</v>
      </c>
      <c r="B1036" s="52">
        <v>7.8676642677738052E-4</v>
      </c>
      <c r="C1036" s="47">
        <f t="shared" si="16"/>
        <v>0.90980392027559587</v>
      </c>
    </row>
    <row r="1037" spans="1:3" x14ac:dyDescent="0.25">
      <c r="A1037" t="s">
        <v>1009</v>
      </c>
      <c r="B1037" s="52">
        <v>7.8463098565810269E-4</v>
      </c>
      <c r="C1037" s="47">
        <f t="shared" si="16"/>
        <v>0.91058855126125393</v>
      </c>
    </row>
    <row r="1038" spans="1:3" x14ac:dyDescent="0.25">
      <c r="A1038" t="s">
        <v>1295</v>
      </c>
      <c r="B1038" s="52">
        <v>7.8031767649088533E-4</v>
      </c>
      <c r="C1038" s="47">
        <f t="shared" si="16"/>
        <v>0.91136886893774482</v>
      </c>
    </row>
    <row r="1039" spans="1:3" x14ac:dyDescent="0.25">
      <c r="A1039" t="s">
        <v>1326</v>
      </c>
      <c r="B1039" s="52">
        <v>7.6618860623409049E-4</v>
      </c>
      <c r="C1039" s="47">
        <f t="shared" si="16"/>
        <v>0.91213505754397894</v>
      </c>
    </row>
    <row r="1040" spans="1:3" x14ac:dyDescent="0.25">
      <c r="A1040" t="s">
        <v>932</v>
      </c>
      <c r="B1040" s="52">
        <v>7.6465022664519325E-4</v>
      </c>
      <c r="C1040" s="47">
        <f t="shared" si="16"/>
        <v>0.91289970777062412</v>
      </c>
    </row>
    <row r="1041" spans="1:3" x14ac:dyDescent="0.25">
      <c r="A1041" t="s">
        <v>866</v>
      </c>
      <c r="B1041" s="52">
        <v>7.635207449840527E-4</v>
      </c>
      <c r="C1041" s="47">
        <f t="shared" si="16"/>
        <v>0.91366322851560822</v>
      </c>
    </row>
    <row r="1042" spans="1:3" x14ac:dyDescent="0.25">
      <c r="A1042" t="s">
        <v>1206</v>
      </c>
      <c r="B1042" s="52">
        <v>7.6291278869169467E-4</v>
      </c>
      <c r="C1042" s="47">
        <f t="shared" si="16"/>
        <v>0.91442614130429989</v>
      </c>
    </row>
    <row r="1043" spans="1:3" x14ac:dyDescent="0.25">
      <c r="A1043" t="s">
        <v>1258</v>
      </c>
      <c r="B1043" s="52">
        <v>7.6258619585507315E-4</v>
      </c>
      <c r="C1043" s="47">
        <f t="shared" si="16"/>
        <v>0.91518872750015501</v>
      </c>
    </row>
    <row r="1044" spans="1:3" x14ac:dyDescent="0.25">
      <c r="A1044" t="s">
        <v>824</v>
      </c>
      <c r="B1044" s="52">
        <v>7.62416523857954E-4</v>
      </c>
      <c r="C1044" s="47">
        <f t="shared" si="16"/>
        <v>0.91595114402401301</v>
      </c>
    </row>
    <row r="1045" spans="1:3" x14ac:dyDescent="0.25">
      <c r="A1045" t="s">
        <v>1242</v>
      </c>
      <c r="B1045" s="52">
        <v>7.5990677220002839E-4</v>
      </c>
      <c r="C1045" s="47">
        <f t="shared" si="16"/>
        <v>0.91671105079621307</v>
      </c>
    </row>
    <row r="1046" spans="1:3" x14ac:dyDescent="0.25">
      <c r="A1046" t="s">
        <v>875</v>
      </c>
      <c r="B1046" s="52">
        <v>7.5204942883260991E-4</v>
      </c>
      <c r="C1046" s="47">
        <f t="shared" si="16"/>
        <v>0.91746310022504562</v>
      </c>
    </row>
    <row r="1047" spans="1:3" x14ac:dyDescent="0.25">
      <c r="A1047" t="s">
        <v>996</v>
      </c>
      <c r="B1047" s="52">
        <v>7.4970703669080215E-4</v>
      </c>
      <c r="C1047" s="47">
        <f t="shared" si="16"/>
        <v>0.91821280726173637</v>
      </c>
    </row>
    <row r="1048" spans="1:3" x14ac:dyDescent="0.25">
      <c r="A1048" t="s">
        <v>896</v>
      </c>
      <c r="B1048" s="52">
        <v>7.468215696047806E-4</v>
      </c>
      <c r="C1048" s="47">
        <f t="shared" si="16"/>
        <v>0.91895962883134119</v>
      </c>
    </row>
    <row r="1049" spans="1:3" x14ac:dyDescent="0.25">
      <c r="A1049" t="s">
        <v>1328</v>
      </c>
      <c r="B1049" s="52">
        <v>7.4443743283068538E-4</v>
      </c>
      <c r="C1049" s="47">
        <f t="shared" si="16"/>
        <v>0.91970406626417189</v>
      </c>
    </row>
    <row r="1050" spans="1:3" x14ac:dyDescent="0.25">
      <c r="A1050" t="s">
        <v>1037</v>
      </c>
      <c r="B1050" s="52">
        <v>7.4122831823037914E-4</v>
      </c>
      <c r="C1050" s="47">
        <f t="shared" si="16"/>
        <v>0.92044529458240232</v>
      </c>
    </row>
    <row r="1051" spans="1:3" x14ac:dyDescent="0.25">
      <c r="A1051" t="s">
        <v>1150</v>
      </c>
      <c r="B1051" s="52">
        <v>7.2987042812726289E-4</v>
      </c>
      <c r="C1051" s="47">
        <f t="shared" si="16"/>
        <v>0.92117516501052954</v>
      </c>
    </row>
    <row r="1052" spans="1:3" x14ac:dyDescent="0.25">
      <c r="A1052" t="s">
        <v>884</v>
      </c>
      <c r="B1052" s="52">
        <v>7.2364666346760669E-4</v>
      </c>
      <c r="C1052" s="47">
        <f t="shared" si="16"/>
        <v>0.92189881167399712</v>
      </c>
    </row>
    <row r="1053" spans="1:3" x14ac:dyDescent="0.25">
      <c r="A1053" t="s">
        <v>1190</v>
      </c>
      <c r="B1053" s="52">
        <v>7.1935954898617253E-4</v>
      </c>
      <c r="C1053" s="47">
        <f t="shared" si="16"/>
        <v>0.92261817122298329</v>
      </c>
    </row>
    <row r="1054" spans="1:3" x14ac:dyDescent="0.25">
      <c r="A1054" t="s">
        <v>948</v>
      </c>
      <c r="B1054" s="52">
        <v>7.1935737296444612E-4</v>
      </c>
      <c r="C1054" s="47">
        <f t="shared" si="16"/>
        <v>0.92333752859594775</v>
      </c>
    </row>
    <row r="1055" spans="1:3" x14ac:dyDescent="0.25">
      <c r="A1055" t="s">
        <v>1137</v>
      </c>
      <c r="B1055" s="52">
        <v>7.1728133650563386E-4</v>
      </c>
      <c r="C1055" s="47">
        <f t="shared" si="16"/>
        <v>0.92405480993245337</v>
      </c>
    </row>
    <row r="1056" spans="1:3" x14ac:dyDescent="0.25">
      <c r="A1056" t="s">
        <v>1269</v>
      </c>
      <c r="B1056" s="52">
        <v>7.1649794487241736E-4</v>
      </c>
      <c r="C1056" s="47">
        <f t="shared" si="16"/>
        <v>0.92477130787732575</v>
      </c>
    </row>
    <row r="1057" spans="1:3" x14ac:dyDescent="0.25">
      <c r="A1057" t="s">
        <v>950</v>
      </c>
      <c r="B1057" s="52">
        <v>7.0876028727912552E-4</v>
      </c>
      <c r="C1057" s="47">
        <f t="shared" si="16"/>
        <v>0.92548006816460493</v>
      </c>
    </row>
    <row r="1058" spans="1:3" x14ac:dyDescent="0.25">
      <c r="A1058" t="s">
        <v>864</v>
      </c>
      <c r="B1058" s="52">
        <v>7.0554611177980377E-4</v>
      </c>
      <c r="C1058" s="47">
        <f t="shared" si="16"/>
        <v>0.92618561427638468</v>
      </c>
    </row>
    <row r="1059" spans="1:3" x14ac:dyDescent="0.25">
      <c r="A1059" t="s">
        <v>916</v>
      </c>
      <c r="B1059" s="52">
        <v>7.0422657073953502E-4</v>
      </c>
      <c r="C1059" s="47">
        <f t="shared" si="16"/>
        <v>0.92688984084712422</v>
      </c>
    </row>
    <row r="1060" spans="1:3" x14ac:dyDescent="0.25">
      <c r="A1060" t="s">
        <v>1003</v>
      </c>
      <c r="B1060" s="52">
        <v>7.031967519724677E-4</v>
      </c>
      <c r="C1060" s="47">
        <f t="shared" si="16"/>
        <v>0.92759303759909673</v>
      </c>
    </row>
    <row r="1061" spans="1:3" x14ac:dyDescent="0.25">
      <c r="A1061" t="s">
        <v>1191</v>
      </c>
      <c r="B1061" s="52">
        <v>6.9999624163315471E-4</v>
      </c>
      <c r="C1061" s="47">
        <f t="shared" si="16"/>
        <v>0.92829303384072992</v>
      </c>
    </row>
    <row r="1062" spans="1:3" x14ac:dyDescent="0.25">
      <c r="A1062" t="s">
        <v>748</v>
      </c>
      <c r="B1062" s="52">
        <v>6.9409598070183608E-4</v>
      </c>
      <c r="C1062" s="47">
        <f t="shared" si="16"/>
        <v>0.92898712982143172</v>
      </c>
    </row>
    <row r="1063" spans="1:3" x14ac:dyDescent="0.25">
      <c r="A1063" t="s">
        <v>993</v>
      </c>
      <c r="B1063" s="52">
        <v>6.9319142971749066E-4</v>
      </c>
      <c r="C1063" s="47">
        <f t="shared" si="16"/>
        <v>0.92968032125114919</v>
      </c>
    </row>
    <row r="1064" spans="1:3" x14ac:dyDescent="0.25">
      <c r="A1064" t="s">
        <v>1225</v>
      </c>
      <c r="B1064" s="52">
        <v>6.8755797780702718E-4</v>
      </c>
      <c r="C1064" s="47">
        <f t="shared" si="16"/>
        <v>0.93036787922895625</v>
      </c>
    </row>
    <row r="1065" spans="1:3" x14ac:dyDescent="0.25">
      <c r="A1065" t="s">
        <v>1055</v>
      </c>
      <c r="B1065" s="52">
        <v>6.8624431550558945E-4</v>
      </c>
      <c r="C1065" s="47">
        <f t="shared" si="16"/>
        <v>0.93105412354446182</v>
      </c>
    </row>
    <row r="1066" spans="1:3" x14ac:dyDescent="0.25">
      <c r="A1066" t="s">
        <v>1333</v>
      </c>
      <c r="B1066" s="52">
        <v>6.8378977032479827E-4</v>
      </c>
      <c r="C1066" s="47">
        <f t="shared" si="16"/>
        <v>0.93173791331478661</v>
      </c>
    </row>
    <row r="1067" spans="1:3" x14ac:dyDescent="0.25">
      <c r="A1067" t="s">
        <v>963</v>
      </c>
      <c r="B1067" s="52">
        <v>6.8197774684545642E-4</v>
      </c>
      <c r="C1067" s="47">
        <f t="shared" si="16"/>
        <v>0.93241989106163203</v>
      </c>
    </row>
    <row r="1068" spans="1:3" x14ac:dyDescent="0.25">
      <c r="A1068" t="s">
        <v>1234</v>
      </c>
      <c r="B1068" s="52">
        <v>6.8029169634106236E-4</v>
      </c>
      <c r="C1068" s="47">
        <f t="shared" si="16"/>
        <v>0.93310018275797313</v>
      </c>
    </row>
    <row r="1069" spans="1:3" x14ac:dyDescent="0.25">
      <c r="A1069" t="s">
        <v>1253</v>
      </c>
      <c r="B1069" s="52">
        <v>6.7766987406921901E-4</v>
      </c>
      <c r="C1069" s="47">
        <f t="shared" si="16"/>
        <v>0.93377785263204238</v>
      </c>
    </row>
    <row r="1070" spans="1:3" x14ac:dyDescent="0.25">
      <c r="A1070" t="s">
        <v>1027</v>
      </c>
      <c r="B1070" s="52">
        <v>6.7608198265937209E-4</v>
      </c>
      <c r="C1070" s="47">
        <f t="shared" si="16"/>
        <v>0.93445393461470172</v>
      </c>
    </row>
    <row r="1071" spans="1:3" x14ac:dyDescent="0.25">
      <c r="A1071" t="s">
        <v>1170</v>
      </c>
      <c r="B1071" s="52">
        <v>6.7225783878026269E-4</v>
      </c>
      <c r="C1071" s="47">
        <f t="shared" si="16"/>
        <v>0.93512619245348194</v>
      </c>
    </row>
    <row r="1072" spans="1:3" x14ac:dyDescent="0.25">
      <c r="A1072" t="s">
        <v>1097</v>
      </c>
      <c r="B1072" s="52">
        <v>6.711189276916408E-4</v>
      </c>
      <c r="C1072" s="47">
        <f t="shared" si="16"/>
        <v>0.93579731138117361</v>
      </c>
    </row>
    <row r="1073" spans="1:3" x14ac:dyDescent="0.25">
      <c r="A1073" t="s">
        <v>1004</v>
      </c>
      <c r="B1073" s="52">
        <v>6.6262549544121043E-4</v>
      </c>
      <c r="C1073" s="47">
        <f t="shared" si="16"/>
        <v>0.93645993687661477</v>
      </c>
    </row>
    <row r="1074" spans="1:3" x14ac:dyDescent="0.25">
      <c r="A1074" t="s">
        <v>890</v>
      </c>
      <c r="B1074" s="52">
        <v>6.5974897055895041E-4</v>
      </c>
      <c r="C1074" s="47">
        <f t="shared" si="16"/>
        <v>0.93711968584717376</v>
      </c>
    </row>
    <row r="1075" spans="1:3" x14ac:dyDescent="0.25">
      <c r="A1075" t="s">
        <v>1312</v>
      </c>
      <c r="B1075" s="52">
        <v>6.5695838571320911E-4</v>
      </c>
      <c r="C1075" s="47">
        <f t="shared" si="16"/>
        <v>0.93777664423288698</v>
      </c>
    </row>
    <row r="1076" spans="1:3" x14ac:dyDescent="0.25">
      <c r="A1076" t="s">
        <v>780</v>
      </c>
      <c r="B1076" s="52">
        <v>6.5349980432580711E-4</v>
      </c>
      <c r="C1076" s="47">
        <f t="shared" si="16"/>
        <v>0.93843014403721281</v>
      </c>
    </row>
    <row r="1077" spans="1:3" x14ac:dyDescent="0.25">
      <c r="A1077" t="s">
        <v>1005</v>
      </c>
      <c r="B1077" s="52">
        <v>6.521332553549086E-4</v>
      </c>
      <c r="C1077" s="47">
        <f t="shared" si="16"/>
        <v>0.93908227729256777</v>
      </c>
    </row>
    <row r="1078" spans="1:3" x14ac:dyDescent="0.25">
      <c r="A1078" t="s">
        <v>1066</v>
      </c>
      <c r="B1078" s="52">
        <v>6.5073241023013242E-4</v>
      </c>
      <c r="C1078" s="47">
        <f t="shared" si="16"/>
        <v>0.93973300970279794</v>
      </c>
    </row>
    <row r="1079" spans="1:3" x14ac:dyDescent="0.25">
      <c r="A1079" t="s">
        <v>912</v>
      </c>
      <c r="B1079" s="52">
        <v>6.5010935000245752E-4</v>
      </c>
      <c r="C1079" s="47">
        <f t="shared" si="16"/>
        <v>0.94038311905280036</v>
      </c>
    </row>
    <row r="1080" spans="1:3" x14ac:dyDescent="0.25">
      <c r="A1080" t="s">
        <v>749</v>
      </c>
      <c r="B1080" s="52">
        <v>6.4937829462243185E-4</v>
      </c>
      <c r="C1080" s="47">
        <f t="shared" si="16"/>
        <v>0.94103249734742278</v>
      </c>
    </row>
    <row r="1081" spans="1:3" x14ac:dyDescent="0.25">
      <c r="A1081" t="s">
        <v>1337</v>
      </c>
      <c r="B1081" s="52">
        <v>6.4764424891829153E-4</v>
      </c>
      <c r="C1081" s="47">
        <f t="shared" si="16"/>
        <v>0.94168014159634106</v>
      </c>
    </row>
    <row r="1082" spans="1:3" x14ac:dyDescent="0.25">
      <c r="A1082" t="s">
        <v>946</v>
      </c>
      <c r="B1082" s="52">
        <v>6.3969403081885203E-4</v>
      </c>
      <c r="C1082" s="47">
        <f t="shared" si="16"/>
        <v>0.94231983562715993</v>
      </c>
    </row>
    <row r="1083" spans="1:3" x14ac:dyDescent="0.25">
      <c r="A1083" t="s">
        <v>1002</v>
      </c>
      <c r="B1083" s="52">
        <v>6.3621160477586472E-4</v>
      </c>
      <c r="C1083" s="47">
        <f t="shared" si="16"/>
        <v>0.94295604723193582</v>
      </c>
    </row>
    <row r="1084" spans="1:3" x14ac:dyDescent="0.25">
      <c r="A1084" t="s">
        <v>1144</v>
      </c>
      <c r="B1084" s="52">
        <v>6.3191455349487994E-4</v>
      </c>
      <c r="C1084" s="47">
        <f t="shared" si="16"/>
        <v>0.9435879617854307</v>
      </c>
    </row>
    <row r="1085" spans="1:3" x14ac:dyDescent="0.25">
      <c r="A1085" t="s">
        <v>809</v>
      </c>
      <c r="B1085" s="52">
        <v>6.295885547827455E-4</v>
      </c>
      <c r="C1085" s="47">
        <f t="shared" si="16"/>
        <v>0.94421755034021349</v>
      </c>
    </row>
    <row r="1086" spans="1:3" x14ac:dyDescent="0.25">
      <c r="A1086" t="s">
        <v>902</v>
      </c>
      <c r="B1086" s="52">
        <v>6.2499157517379486E-4</v>
      </c>
      <c r="C1086" s="47">
        <f t="shared" si="16"/>
        <v>0.9448425419153873</v>
      </c>
    </row>
    <row r="1087" spans="1:3" x14ac:dyDescent="0.25">
      <c r="A1087" s="43" t="s">
        <v>1293</v>
      </c>
      <c r="B1087" s="52">
        <v>6.1974335145980805E-4</v>
      </c>
      <c r="C1087" s="47">
        <f t="shared" si="16"/>
        <v>0.94546228526684706</v>
      </c>
    </row>
    <row r="1088" spans="1:3" x14ac:dyDescent="0.25">
      <c r="A1088" t="s">
        <v>1310</v>
      </c>
      <c r="B1088" s="52">
        <v>6.1657918141599466E-4</v>
      </c>
      <c r="C1088" s="47">
        <f t="shared" si="16"/>
        <v>0.94607886444826306</v>
      </c>
    </row>
    <row r="1089" spans="1:3" x14ac:dyDescent="0.25">
      <c r="A1089" t="s">
        <v>940</v>
      </c>
      <c r="B1089" s="52">
        <v>6.1382405949672331E-4</v>
      </c>
      <c r="C1089" s="47">
        <f t="shared" si="16"/>
        <v>0.94669268850775978</v>
      </c>
    </row>
    <row r="1090" spans="1:3" x14ac:dyDescent="0.25">
      <c r="A1090" t="s">
        <v>972</v>
      </c>
      <c r="B1090" s="52">
        <v>6.121606575686323E-4</v>
      </c>
      <c r="C1090" s="47">
        <f t="shared" si="16"/>
        <v>0.94730484916532842</v>
      </c>
    </row>
    <row r="1091" spans="1:3" x14ac:dyDescent="0.25">
      <c r="A1091" t="s">
        <v>1062</v>
      </c>
      <c r="B1091" s="52">
        <v>6.1067082451158553E-4</v>
      </c>
      <c r="C1091" s="47">
        <f t="shared" si="16"/>
        <v>0.94791551998984003</v>
      </c>
    </row>
    <row r="1092" spans="1:3" x14ac:dyDescent="0.25">
      <c r="A1092" t="s">
        <v>1224</v>
      </c>
      <c r="B1092" s="52">
        <v>6.1032097590067941E-4</v>
      </c>
      <c r="C1092" s="47">
        <f t="shared" ref="C1092:C1155" si="17">B1092+C1091</f>
        <v>0.94852584096574066</v>
      </c>
    </row>
    <row r="1093" spans="1:3" x14ac:dyDescent="0.25">
      <c r="A1093" t="s">
        <v>769</v>
      </c>
      <c r="B1093" s="52">
        <v>6.0734857326651581E-4</v>
      </c>
      <c r="C1093" s="47">
        <f t="shared" si="17"/>
        <v>0.94913318953900716</v>
      </c>
    </row>
    <row r="1094" spans="1:3" x14ac:dyDescent="0.25">
      <c r="A1094" t="s">
        <v>1112</v>
      </c>
      <c r="B1094" s="52">
        <v>6.0227985760745245E-4</v>
      </c>
      <c r="C1094" s="47">
        <f t="shared" si="17"/>
        <v>0.94973546939661457</v>
      </c>
    </row>
    <row r="1095" spans="1:3" x14ac:dyDescent="0.25">
      <c r="A1095" t="s">
        <v>952</v>
      </c>
      <c r="B1095" s="52">
        <v>5.9855548285916744E-4</v>
      </c>
      <c r="C1095" s="48">
        <f t="shared" si="17"/>
        <v>0.95033402487947372</v>
      </c>
    </row>
    <row r="1096" spans="1:3" x14ac:dyDescent="0.25">
      <c r="A1096" t="s">
        <v>988</v>
      </c>
      <c r="B1096" s="52">
        <v>5.9238667007477722E-4</v>
      </c>
      <c r="C1096" s="48">
        <f t="shared" si="17"/>
        <v>0.95092641154954849</v>
      </c>
    </row>
    <row r="1097" spans="1:3" x14ac:dyDescent="0.25">
      <c r="A1097" t="s">
        <v>1257</v>
      </c>
      <c r="B1097" s="52">
        <v>5.8936262630547446E-4</v>
      </c>
      <c r="C1097" s="48">
        <f t="shared" si="17"/>
        <v>0.95151577417585398</v>
      </c>
    </row>
    <row r="1098" spans="1:3" x14ac:dyDescent="0.25">
      <c r="A1098" t="s">
        <v>805</v>
      </c>
      <c r="B1098" s="52">
        <v>5.8550144060197579E-4</v>
      </c>
      <c r="C1098" s="48">
        <f t="shared" si="17"/>
        <v>0.95210127561645597</v>
      </c>
    </row>
    <row r="1099" spans="1:3" x14ac:dyDescent="0.25">
      <c r="A1099" t="s">
        <v>835</v>
      </c>
      <c r="B1099" s="52">
        <v>5.7922635809660376E-4</v>
      </c>
      <c r="C1099" s="48">
        <f t="shared" si="17"/>
        <v>0.95268050197455256</v>
      </c>
    </row>
    <row r="1100" spans="1:3" x14ac:dyDescent="0.25">
      <c r="A1100" t="s">
        <v>1313</v>
      </c>
      <c r="B1100" s="52">
        <v>5.6212081249158046E-4</v>
      </c>
      <c r="C1100" s="48">
        <f t="shared" si="17"/>
        <v>0.95324262278704419</v>
      </c>
    </row>
    <row r="1101" spans="1:3" x14ac:dyDescent="0.25">
      <c r="A1101" t="s">
        <v>1011</v>
      </c>
      <c r="B1101" s="52">
        <v>5.555949892739352E-4</v>
      </c>
      <c r="C1101" s="48">
        <f t="shared" si="17"/>
        <v>0.95379821777631812</v>
      </c>
    </row>
    <row r="1102" spans="1:3" x14ac:dyDescent="0.25">
      <c r="A1102" t="s">
        <v>1218</v>
      </c>
      <c r="B1102" s="52">
        <v>5.5529324393119447E-4</v>
      </c>
      <c r="C1102" s="48">
        <f t="shared" si="17"/>
        <v>0.95435351102024935</v>
      </c>
    </row>
    <row r="1103" spans="1:3" x14ac:dyDescent="0.25">
      <c r="A1103" t="s">
        <v>1331</v>
      </c>
      <c r="B1103" s="52">
        <v>5.4603329429010262E-4</v>
      </c>
      <c r="C1103" s="48">
        <f t="shared" si="17"/>
        <v>0.95489954431453949</v>
      </c>
    </row>
    <row r="1104" spans="1:3" x14ac:dyDescent="0.25">
      <c r="A1104" t="s">
        <v>837</v>
      </c>
      <c r="B1104" s="52">
        <v>5.4586768859620969E-4</v>
      </c>
      <c r="C1104" s="48">
        <f t="shared" si="17"/>
        <v>0.95544541200313571</v>
      </c>
    </row>
    <row r="1105" spans="1:3" x14ac:dyDescent="0.25">
      <c r="A1105" t="s">
        <v>1176</v>
      </c>
      <c r="B1105" s="52">
        <v>5.4584102683505591E-4</v>
      </c>
      <c r="C1105" s="48">
        <f t="shared" si="17"/>
        <v>0.95599125302997079</v>
      </c>
    </row>
    <row r="1106" spans="1:3" x14ac:dyDescent="0.25">
      <c r="A1106" t="s">
        <v>1038</v>
      </c>
      <c r="B1106" s="52">
        <v>5.4334471229445808E-4</v>
      </c>
      <c r="C1106" s="48">
        <f t="shared" si="17"/>
        <v>0.95653459774226524</v>
      </c>
    </row>
    <row r="1107" spans="1:3" x14ac:dyDescent="0.25">
      <c r="A1107" t="s">
        <v>965</v>
      </c>
      <c r="B1107" s="52">
        <v>5.3252936503596674E-4</v>
      </c>
      <c r="C1107" s="48">
        <f t="shared" si="17"/>
        <v>0.95706712710730124</v>
      </c>
    </row>
    <row r="1108" spans="1:3" x14ac:dyDescent="0.25">
      <c r="A1108" t="s">
        <v>786</v>
      </c>
      <c r="B1108" s="52">
        <v>5.2988327041403208E-4</v>
      </c>
      <c r="C1108" s="48">
        <f t="shared" si="17"/>
        <v>0.95759701037771527</v>
      </c>
    </row>
    <row r="1109" spans="1:3" x14ac:dyDescent="0.25">
      <c r="A1109" t="s">
        <v>852</v>
      </c>
      <c r="B1109" s="52">
        <v>5.2836992789666618E-4</v>
      </c>
      <c r="C1109" s="48">
        <f t="shared" si="17"/>
        <v>0.9581253803056119</v>
      </c>
    </row>
    <row r="1110" spans="1:3" x14ac:dyDescent="0.25">
      <c r="A1110" t="s">
        <v>1325</v>
      </c>
      <c r="B1110" s="52">
        <v>5.243744919099856E-4</v>
      </c>
      <c r="C1110" s="48">
        <f t="shared" si="17"/>
        <v>0.9586497547975219</v>
      </c>
    </row>
    <row r="1111" spans="1:3" x14ac:dyDescent="0.25">
      <c r="A1111" t="s">
        <v>895</v>
      </c>
      <c r="B1111" s="52">
        <v>5.1746221602572541E-4</v>
      </c>
      <c r="C1111" s="48">
        <f t="shared" si="17"/>
        <v>0.95916721701354768</v>
      </c>
    </row>
    <row r="1112" spans="1:3" x14ac:dyDescent="0.25">
      <c r="A1112" t="s">
        <v>1067</v>
      </c>
      <c r="B1112" s="52">
        <v>5.1379136994657716E-4</v>
      </c>
      <c r="C1112" s="48">
        <f t="shared" si="17"/>
        <v>0.95968100838349424</v>
      </c>
    </row>
    <row r="1113" spans="1:3" x14ac:dyDescent="0.25">
      <c r="A1113" t="s">
        <v>1180</v>
      </c>
      <c r="B1113" s="52">
        <v>5.0969162503963696E-4</v>
      </c>
      <c r="C1113" s="48">
        <f t="shared" si="17"/>
        <v>0.9601907000085339</v>
      </c>
    </row>
    <row r="1114" spans="1:3" x14ac:dyDescent="0.25">
      <c r="A1114" t="s">
        <v>1169</v>
      </c>
      <c r="B1114" s="52">
        <v>5.0796408450482454E-4</v>
      </c>
      <c r="C1114" s="48">
        <f t="shared" si="17"/>
        <v>0.96069866409303872</v>
      </c>
    </row>
    <row r="1115" spans="1:3" x14ac:dyDescent="0.25">
      <c r="A1115" t="s">
        <v>961</v>
      </c>
      <c r="B1115" s="52">
        <v>5.0678804184007534E-4</v>
      </c>
      <c r="C1115" s="48">
        <f t="shared" si="17"/>
        <v>0.96120545213487885</v>
      </c>
    </row>
    <row r="1116" spans="1:3" x14ac:dyDescent="0.25">
      <c r="A1116" t="s">
        <v>828</v>
      </c>
      <c r="B1116" s="52">
        <v>5.0257331854607686E-4</v>
      </c>
      <c r="C1116" s="48">
        <f t="shared" si="17"/>
        <v>0.96170802545342493</v>
      </c>
    </row>
    <row r="1117" spans="1:3" x14ac:dyDescent="0.25">
      <c r="A1117" t="s">
        <v>1336</v>
      </c>
      <c r="B1117" s="52">
        <v>4.9981018307878092E-4</v>
      </c>
      <c r="C1117" s="48">
        <f t="shared" si="17"/>
        <v>0.96220783563650369</v>
      </c>
    </row>
    <row r="1118" spans="1:3" x14ac:dyDescent="0.25">
      <c r="A1118" t="s">
        <v>1042</v>
      </c>
      <c r="B1118" s="52">
        <v>4.8858961313461566E-4</v>
      </c>
      <c r="C1118" s="48">
        <f t="shared" si="17"/>
        <v>0.96269642524963828</v>
      </c>
    </row>
    <row r="1119" spans="1:3" x14ac:dyDescent="0.25">
      <c r="A1119" t="s">
        <v>816</v>
      </c>
      <c r="B1119" s="52">
        <v>4.8829246161551977E-4</v>
      </c>
      <c r="C1119" s="48">
        <f t="shared" si="17"/>
        <v>0.9631847177112538</v>
      </c>
    </row>
    <row r="1120" spans="1:3" x14ac:dyDescent="0.25">
      <c r="A1120" t="s">
        <v>832</v>
      </c>
      <c r="B1120" s="52">
        <v>4.8800117509774387E-4</v>
      </c>
      <c r="C1120" s="48">
        <f t="shared" si="17"/>
        <v>0.96367271888635153</v>
      </c>
    </row>
    <row r="1121" spans="1:3" x14ac:dyDescent="0.25">
      <c r="A1121" t="s">
        <v>1143</v>
      </c>
      <c r="B1121" s="52">
        <v>4.8758916699751962E-4</v>
      </c>
      <c r="C1121" s="48">
        <f t="shared" si="17"/>
        <v>0.96416030805334907</v>
      </c>
    </row>
    <row r="1122" spans="1:3" x14ac:dyDescent="0.25">
      <c r="A1122" t="s">
        <v>967</v>
      </c>
      <c r="B1122" s="52">
        <v>4.8363894024337507E-4</v>
      </c>
      <c r="C1122" s="48">
        <f t="shared" si="17"/>
        <v>0.96464394699359246</v>
      </c>
    </row>
    <row r="1123" spans="1:3" x14ac:dyDescent="0.25">
      <c r="A1123" t="s">
        <v>1136</v>
      </c>
      <c r="B1123" s="52">
        <v>4.8085170368695725E-4</v>
      </c>
      <c r="C1123" s="48">
        <f t="shared" si="17"/>
        <v>0.96512479869727941</v>
      </c>
    </row>
    <row r="1124" spans="1:3" x14ac:dyDescent="0.25">
      <c r="A1124" t="s">
        <v>737</v>
      </c>
      <c r="B1124" s="52">
        <v>4.7854811909760637E-4</v>
      </c>
      <c r="C1124" s="48">
        <f t="shared" si="17"/>
        <v>0.96560334681637705</v>
      </c>
    </row>
    <row r="1125" spans="1:3" x14ac:dyDescent="0.25">
      <c r="A1125" t="s">
        <v>1246</v>
      </c>
      <c r="B1125" s="52">
        <v>4.7530721681291268E-4</v>
      </c>
      <c r="C1125" s="48">
        <f t="shared" si="17"/>
        <v>0.96607865403318993</v>
      </c>
    </row>
    <row r="1126" spans="1:3" x14ac:dyDescent="0.25">
      <c r="A1126" t="s">
        <v>1219</v>
      </c>
      <c r="B1126" s="52">
        <v>4.7255108381283925E-4</v>
      </c>
      <c r="C1126" s="48">
        <f t="shared" si="17"/>
        <v>0.96655120511700277</v>
      </c>
    </row>
    <row r="1127" spans="1:3" x14ac:dyDescent="0.25">
      <c r="A1127" t="s">
        <v>1216</v>
      </c>
      <c r="B1127" s="52">
        <v>4.6955169979143505E-4</v>
      </c>
      <c r="C1127" s="48">
        <f t="shared" si="17"/>
        <v>0.96702075681679422</v>
      </c>
    </row>
    <row r="1128" spans="1:3" x14ac:dyDescent="0.25">
      <c r="A1128" t="s">
        <v>1359</v>
      </c>
      <c r="B1128" s="52">
        <v>4.6675291273585285E-4</v>
      </c>
      <c r="C1128" s="48">
        <f t="shared" si="17"/>
        <v>0.96748750972953013</v>
      </c>
    </row>
    <row r="1129" spans="1:3" x14ac:dyDescent="0.25">
      <c r="A1129" t="s">
        <v>1048</v>
      </c>
      <c r="B1129" s="52">
        <v>4.6088830339282032E-4</v>
      </c>
      <c r="C1129" s="48">
        <f t="shared" si="17"/>
        <v>0.96794839803292299</v>
      </c>
    </row>
    <row r="1130" spans="1:3" x14ac:dyDescent="0.25">
      <c r="A1130" t="s">
        <v>746</v>
      </c>
      <c r="B1130" s="52">
        <v>4.5503251902678972E-4</v>
      </c>
      <c r="C1130" s="48">
        <f t="shared" si="17"/>
        <v>0.96840343055194977</v>
      </c>
    </row>
    <row r="1131" spans="1:3" x14ac:dyDescent="0.25">
      <c r="A1131" t="s">
        <v>813</v>
      </c>
      <c r="B1131" s="52">
        <v>4.4666490772285358E-4</v>
      </c>
      <c r="C1131" s="48">
        <f t="shared" si="17"/>
        <v>0.9688500954596726</v>
      </c>
    </row>
    <row r="1132" spans="1:3" x14ac:dyDescent="0.25">
      <c r="A1132" t="s">
        <v>734</v>
      </c>
      <c r="B1132" s="52">
        <v>4.4567496620242521E-4</v>
      </c>
      <c r="C1132" s="48">
        <f t="shared" si="17"/>
        <v>0.969295770425875</v>
      </c>
    </row>
    <row r="1133" spans="1:3" x14ac:dyDescent="0.25">
      <c r="A1133" t="s">
        <v>1068</v>
      </c>
      <c r="B1133" s="52">
        <v>4.4476173769036176E-4</v>
      </c>
      <c r="C1133" s="48">
        <f t="shared" si="17"/>
        <v>0.96974053216356537</v>
      </c>
    </row>
    <row r="1134" spans="1:3" x14ac:dyDescent="0.25">
      <c r="A1134" t="s">
        <v>920</v>
      </c>
      <c r="B1134" s="52">
        <v>4.4252611439909864E-4</v>
      </c>
      <c r="C1134" s="48">
        <f t="shared" si="17"/>
        <v>0.97018305827796447</v>
      </c>
    </row>
    <row r="1135" spans="1:3" x14ac:dyDescent="0.25">
      <c r="A1135" t="s">
        <v>1278</v>
      </c>
      <c r="B1135" s="52">
        <v>4.4203093757622097E-4</v>
      </c>
      <c r="C1135" s="48">
        <f t="shared" si="17"/>
        <v>0.97062508921554069</v>
      </c>
    </row>
    <row r="1136" spans="1:3" x14ac:dyDescent="0.25">
      <c r="A1136" t="s">
        <v>1095</v>
      </c>
      <c r="B1136" s="52">
        <v>4.4000956542077996E-4</v>
      </c>
      <c r="C1136" s="48">
        <f t="shared" si="17"/>
        <v>0.97106509878096148</v>
      </c>
    </row>
    <row r="1137" spans="1:3" x14ac:dyDescent="0.25">
      <c r="A1137" t="s">
        <v>791</v>
      </c>
      <c r="B1137" s="52">
        <v>4.3869429583056691E-4</v>
      </c>
      <c r="C1137" s="48">
        <f t="shared" si="17"/>
        <v>0.97150379307679202</v>
      </c>
    </row>
    <row r="1138" spans="1:3" x14ac:dyDescent="0.25">
      <c r="A1138" t="s">
        <v>1214</v>
      </c>
      <c r="B1138" s="52">
        <v>4.3397035964088781E-4</v>
      </c>
      <c r="C1138" s="48">
        <f t="shared" si="17"/>
        <v>0.9719377634364329</v>
      </c>
    </row>
    <row r="1139" spans="1:3" x14ac:dyDescent="0.25">
      <c r="A1139" t="s">
        <v>1275</v>
      </c>
      <c r="B1139" s="52">
        <v>4.3385072790097095E-4</v>
      </c>
      <c r="C1139" s="48">
        <f t="shared" si="17"/>
        <v>0.97237161416433382</v>
      </c>
    </row>
    <row r="1140" spans="1:3" x14ac:dyDescent="0.25">
      <c r="A1140" t="s">
        <v>808</v>
      </c>
      <c r="B1140" s="52">
        <v>4.3206486613738595E-4</v>
      </c>
      <c r="C1140" s="48">
        <f t="shared" si="17"/>
        <v>0.97280367903047116</v>
      </c>
    </row>
    <row r="1141" spans="1:3" x14ac:dyDescent="0.25">
      <c r="A1141" t="s">
        <v>1228</v>
      </c>
      <c r="B1141" s="52">
        <v>4.2888069244603457E-4</v>
      </c>
      <c r="C1141" s="48">
        <f t="shared" si="17"/>
        <v>0.97323255972291722</v>
      </c>
    </row>
    <row r="1142" spans="1:3" x14ac:dyDescent="0.25">
      <c r="A1142" t="s">
        <v>1141</v>
      </c>
      <c r="B1142" s="52">
        <v>4.2858416186243131E-4</v>
      </c>
      <c r="C1142" s="48">
        <f t="shared" si="17"/>
        <v>0.97366114388477965</v>
      </c>
    </row>
    <row r="1143" spans="1:3" x14ac:dyDescent="0.25">
      <c r="A1143" t="s">
        <v>935</v>
      </c>
      <c r="B1143" s="52">
        <v>4.247452272632536E-4</v>
      </c>
      <c r="C1143" s="48">
        <f t="shared" si="17"/>
        <v>0.97408588911204286</v>
      </c>
    </row>
    <row r="1144" spans="1:3" x14ac:dyDescent="0.25">
      <c r="A1144" t="s">
        <v>1303</v>
      </c>
      <c r="B1144" s="52">
        <v>4.1919080358965852E-4</v>
      </c>
      <c r="C1144" s="48">
        <f t="shared" si="17"/>
        <v>0.97450507991563251</v>
      </c>
    </row>
    <row r="1145" spans="1:3" x14ac:dyDescent="0.25">
      <c r="A1145" t="s">
        <v>793</v>
      </c>
      <c r="B1145" s="52">
        <v>4.1852250115942147E-4</v>
      </c>
      <c r="C1145" s="48">
        <f t="shared" si="17"/>
        <v>0.97492360241679188</v>
      </c>
    </row>
    <row r="1146" spans="1:3" x14ac:dyDescent="0.25">
      <c r="A1146" t="s">
        <v>1103</v>
      </c>
      <c r="B1146" s="52">
        <v>4.1849711423927927E-4</v>
      </c>
      <c r="C1146" s="48">
        <f t="shared" si="17"/>
        <v>0.97534209953103113</v>
      </c>
    </row>
    <row r="1147" spans="1:3" x14ac:dyDescent="0.25">
      <c r="A1147" t="s">
        <v>956</v>
      </c>
      <c r="B1147" s="52">
        <v>4.1244004420021345E-4</v>
      </c>
      <c r="C1147" s="48">
        <f t="shared" si="17"/>
        <v>0.97575453957523139</v>
      </c>
    </row>
    <row r="1148" spans="1:3" x14ac:dyDescent="0.25">
      <c r="A1148" t="s">
        <v>974</v>
      </c>
      <c r="B1148" s="52">
        <v>4.0632160595245766E-4</v>
      </c>
      <c r="C1148" s="48">
        <f t="shared" si="17"/>
        <v>0.97616086118118384</v>
      </c>
    </row>
    <row r="1149" spans="1:3" x14ac:dyDescent="0.25">
      <c r="A1149" t="s">
        <v>913</v>
      </c>
      <c r="B1149" s="52">
        <v>4.0485325469912149E-4</v>
      </c>
      <c r="C1149" s="48">
        <f t="shared" si="17"/>
        <v>0.97656571443588291</v>
      </c>
    </row>
    <row r="1150" spans="1:3" x14ac:dyDescent="0.25">
      <c r="A1150" t="s">
        <v>865</v>
      </c>
      <c r="B1150" s="52">
        <v>4.0460023172837084E-4</v>
      </c>
      <c r="C1150" s="48">
        <f t="shared" si="17"/>
        <v>0.97697031466761131</v>
      </c>
    </row>
    <row r="1151" spans="1:3" x14ac:dyDescent="0.25">
      <c r="A1151" t="s">
        <v>1330</v>
      </c>
      <c r="B1151" s="52">
        <v>4.0383857466906549E-4</v>
      </c>
      <c r="C1151" s="48">
        <f t="shared" si="17"/>
        <v>0.97737415324228039</v>
      </c>
    </row>
    <row r="1152" spans="1:3" x14ac:dyDescent="0.25">
      <c r="A1152" t="s">
        <v>927</v>
      </c>
      <c r="B1152" s="52">
        <v>4.0316082083132962E-4</v>
      </c>
      <c r="C1152" s="48">
        <f t="shared" si="17"/>
        <v>0.97777731406311175</v>
      </c>
    </row>
    <row r="1153" spans="1:3" x14ac:dyDescent="0.25">
      <c r="A1153" t="s">
        <v>992</v>
      </c>
      <c r="B1153" s="52">
        <v>4.0071055442726682E-4</v>
      </c>
      <c r="C1153" s="48">
        <f t="shared" si="17"/>
        <v>0.978178024617539</v>
      </c>
    </row>
    <row r="1154" spans="1:3" x14ac:dyDescent="0.25">
      <c r="A1154" t="s">
        <v>871</v>
      </c>
      <c r="B1154" s="52">
        <v>3.9712788027224165E-4</v>
      </c>
      <c r="C1154" s="48">
        <f t="shared" si="17"/>
        <v>0.97857515249781124</v>
      </c>
    </row>
    <row r="1155" spans="1:3" x14ac:dyDescent="0.25">
      <c r="A1155" t="s">
        <v>1311</v>
      </c>
      <c r="B1155" s="52">
        <v>3.920391298272825E-4</v>
      </c>
      <c r="C1155" s="48">
        <f t="shared" si="17"/>
        <v>0.97896719162763857</v>
      </c>
    </row>
    <row r="1156" spans="1:3" x14ac:dyDescent="0.25">
      <c r="A1156" t="s">
        <v>1030</v>
      </c>
      <c r="B1156" s="52">
        <v>3.8848591439063021E-4</v>
      </c>
      <c r="C1156" s="48">
        <f t="shared" ref="C1156:C1219" si="18">B1156+C1155</f>
        <v>0.97935567754202923</v>
      </c>
    </row>
    <row r="1157" spans="1:3" x14ac:dyDescent="0.25">
      <c r="A1157" t="s">
        <v>1297</v>
      </c>
      <c r="B1157" s="52">
        <v>3.8734579898021926E-4</v>
      </c>
      <c r="C1157" s="48">
        <f t="shared" si="18"/>
        <v>0.97974302334100949</v>
      </c>
    </row>
    <row r="1158" spans="1:3" x14ac:dyDescent="0.25">
      <c r="A1158" t="s">
        <v>1210</v>
      </c>
      <c r="B1158" s="52">
        <v>3.8578361320076735E-4</v>
      </c>
      <c r="C1158" s="48">
        <f t="shared" si="18"/>
        <v>0.98012880695421023</v>
      </c>
    </row>
    <row r="1159" spans="1:3" x14ac:dyDescent="0.25">
      <c r="A1159" t="s">
        <v>739</v>
      </c>
      <c r="B1159" s="52">
        <v>3.7931648761969325E-4</v>
      </c>
      <c r="C1159" s="48">
        <f t="shared" si="18"/>
        <v>0.98050812344182992</v>
      </c>
    </row>
    <row r="1160" spans="1:3" x14ac:dyDescent="0.25">
      <c r="A1160" t="s">
        <v>886</v>
      </c>
      <c r="B1160" s="52">
        <v>3.7913815641153704E-4</v>
      </c>
      <c r="C1160" s="48">
        <f t="shared" si="18"/>
        <v>0.98088726159824147</v>
      </c>
    </row>
    <row r="1161" spans="1:3" x14ac:dyDescent="0.25">
      <c r="A1161" t="s">
        <v>1104</v>
      </c>
      <c r="B1161" s="52">
        <v>3.7853721174474232E-4</v>
      </c>
      <c r="C1161" s="48">
        <f t="shared" si="18"/>
        <v>0.98126579880998621</v>
      </c>
    </row>
    <row r="1162" spans="1:3" x14ac:dyDescent="0.25">
      <c r="A1162" t="s">
        <v>1084</v>
      </c>
      <c r="B1162" s="52">
        <v>3.7842561186953138E-4</v>
      </c>
      <c r="C1162" s="48">
        <f t="shared" si="18"/>
        <v>0.98164422442185573</v>
      </c>
    </row>
    <row r="1163" spans="1:3" x14ac:dyDescent="0.25">
      <c r="A1163" t="s">
        <v>1107</v>
      </c>
      <c r="B1163" s="52">
        <v>3.7709358068435276E-4</v>
      </c>
      <c r="C1163" s="48">
        <f t="shared" si="18"/>
        <v>0.98202131800254011</v>
      </c>
    </row>
    <row r="1164" spans="1:3" x14ac:dyDescent="0.25">
      <c r="A1164" t="s">
        <v>1092</v>
      </c>
      <c r="B1164" s="52">
        <v>3.7290931253618442E-4</v>
      </c>
      <c r="C1164" s="48">
        <f t="shared" si="18"/>
        <v>0.98239422731507631</v>
      </c>
    </row>
    <row r="1165" spans="1:3" x14ac:dyDescent="0.25">
      <c r="A1165" t="s">
        <v>1195</v>
      </c>
      <c r="B1165" s="52">
        <v>3.7141811488638842E-4</v>
      </c>
      <c r="C1165" s="48">
        <f t="shared" si="18"/>
        <v>0.9827656454299627</v>
      </c>
    </row>
    <row r="1166" spans="1:3" x14ac:dyDescent="0.25">
      <c r="A1166" t="s">
        <v>1221</v>
      </c>
      <c r="B1166" s="52">
        <v>3.6870165581779263E-4</v>
      </c>
      <c r="C1166" s="48">
        <f t="shared" si="18"/>
        <v>0.98313434708578051</v>
      </c>
    </row>
    <row r="1167" spans="1:3" x14ac:dyDescent="0.25">
      <c r="A1167" t="s">
        <v>761</v>
      </c>
      <c r="B1167" s="52">
        <v>3.6456675112545641E-4</v>
      </c>
      <c r="C1167" s="48">
        <f t="shared" si="18"/>
        <v>0.98349891383690602</v>
      </c>
    </row>
    <row r="1168" spans="1:3" x14ac:dyDescent="0.25">
      <c r="A1168" t="s">
        <v>1019</v>
      </c>
      <c r="B1168" s="52">
        <v>3.643780801507632E-4</v>
      </c>
      <c r="C1168" s="48">
        <f t="shared" si="18"/>
        <v>0.98386329191705679</v>
      </c>
    </row>
    <row r="1169" spans="1:3" x14ac:dyDescent="0.25">
      <c r="A1169" t="s">
        <v>928</v>
      </c>
      <c r="B1169" s="52">
        <v>3.5977439846816183E-4</v>
      </c>
      <c r="C1169" s="48">
        <f t="shared" si="18"/>
        <v>0.98422306631552492</v>
      </c>
    </row>
    <row r="1170" spans="1:3" x14ac:dyDescent="0.25">
      <c r="A1170" t="s">
        <v>1241</v>
      </c>
      <c r="B1170" s="52">
        <v>3.5911450705793156E-4</v>
      </c>
      <c r="C1170" s="48">
        <f t="shared" si="18"/>
        <v>0.98458218082258286</v>
      </c>
    </row>
    <row r="1171" spans="1:3" x14ac:dyDescent="0.25">
      <c r="A1171" t="s">
        <v>762</v>
      </c>
      <c r="B1171" s="52">
        <v>3.5838418434515373E-4</v>
      </c>
      <c r="C1171" s="48">
        <f t="shared" si="18"/>
        <v>0.98494056500692806</v>
      </c>
    </row>
    <row r="1172" spans="1:3" x14ac:dyDescent="0.25">
      <c r="A1172" t="s">
        <v>1316</v>
      </c>
      <c r="B1172" s="52">
        <v>3.5017969957231023E-4</v>
      </c>
      <c r="C1172" s="48">
        <f t="shared" si="18"/>
        <v>0.98529074470650035</v>
      </c>
    </row>
    <row r="1173" spans="1:3" x14ac:dyDescent="0.25">
      <c r="A1173" t="s">
        <v>973</v>
      </c>
      <c r="B1173" s="52">
        <v>3.5017014192806047E-4</v>
      </c>
      <c r="C1173" s="48">
        <f t="shared" si="18"/>
        <v>0.98564091484842842</v>
      </c>
    </row>
    <row r="1174" spans="1:3" x14ac:dyDescent="0.25">
      <c r="A1174" t="s">
        <v>1061</v>
      </c>
      <c r="B1174" s="52">
        <v>3.4799891459288962E-4</v>
      </c>
      <c r="C1174" s="48">
        <f t="shared" si="18"/>
        <v>0.98598891376302134</v>
      </c>
    </row>
    <row r="1175" spans="1:3" x14ac:dyDescent="0.25">
      <c r="A1175" t="s">
        <v>1041</v>
      </c>
      <c r="B1175" s="52">
        <v>3.3375935536759856E-4</v>
      </c>
      <c r="C1175" s="48">
        <f t="shared" si="18"/>
        <v>0.98632267311838895</v>
      </c>
    </row>
    <row r="1176" spans="1:3" x14ac:dyDescent="0.25">
      <c r="A1176" t="s">
        <v>982</v>
      </c>
      <c r="B1176" s="52">
        <v>3.2897125767534651E-4</v>
      </c>
      <c r="C1176" s="48">
        <f t="shared" si="18"/>
        <v>0.98665164437606434</v>
      </c>
    </row>
    <row r="1177" spans="1:3" x14ac:dyDescent="0.25">
      <c r="A1177" t="s">
        <v>880</v>
      </c>
      <c r="B1177" s="52">
        <v>3.2630278281648844E-4</v>
      </c>
      <c r="C1177" s="48">
        <f t="shared" si="18"/>
        <v>0.98697794715888088</v>
      </c>
    </row>
    <row r="1178" spans="1:3" x14ac:dyDescent="0.25">
      <c r="A1178" t="s">
        <v>773</v>
      </c>
      <c r="B1178" s="52">
        <v>3.2623826047529592E-4</v>
      </c>
      <c r="C1178" s="48">
        <f t="shared" si="18"/>
        <v>0.98730418541935616</v>
      </c>
    </row>
    <row r="1179" spans="1:3" x14ac:dyDescent="0.25">
      <c r="A1179" t="s">
        <v>1244</v>
      </c>
      <c r="B1179" s="52">
        <v>3.2288192829735252E-4</v>
      </c>
      <c r="C1179" s="48">
        <f t="shared" si="18"/>
        <v>0.98762706734765349</v>
      </c>
    </row>
    <row r="1180" spans="1:3" x14ac:dyDescent="0.25">
      <c r="A1180" t="s">
        <v>867</v>
      </c>
      <c r="B1180" s="52">
        <v>3.2002942757415343E-4</v>
      </c>
      <c r="C1180" s="48">
        <f t="shared" si="18"/>
        <v>0.98794709677522763</v>
      </c>
    </row>
    <row r="1181" spans="1:3" x14ac:dyDescent="0.25">
      <c r="A1181" t="s">
        <v>1302</v>
      </c>
      <c r="B1181" s="52">
        <v>3.0938228514661728E-4</v>
      </c>
      <c r="C1181" s="48">
        <f t="shared" si="18"/>
        <v>0.98825647906037428</v>
      </c>
    </row>
    <row r="1182" spans="1:3" x14ac:dyDescent="0.25">
      <c r="A1182" t="s">
        <v>1272</v>
      </c>
      <c r="B1182" s="52">
        <v>3.0594691465763091E-4</v>
      </c>
      <c r="C1182" s="48">
        <f t="shared" si="18"/>
        <v>0.98856242597503197</v>
      </c>
    </row>
    <row r="1183" spans="1:3" x14ac:dyDescent="0.25">
      <c r="A1183" t="s">
        <v>1031</v>
      </c>
      <c r="B1183" s="52">
        <v>2.9223086358186242E-4</v>
      </c>
      <c r="C1183" s="48">
        <f t="shared" si="18"/>
        <v>0.98885465683861384</v>
      </c>
    </row>
    <row r="1184" spans="1:3" x14ac:dyDescent="0.25">
      <c r="A1184" t="s">
        <v>1078</v>
      </c>
      <c r="B1184" s="52">
        <v>2.9079148931818356E-4</v>
      </c>
      <c r="C1184" s="48">
        <f t="shared" si="18"/>
        <v>0.98914544832793205</v>
      </c>
    </row>
    <row r="1185" spans="1:3" x14ac:dyDescent="0.25">
      <c r="A1185" t="s">
        <v>1329</v>
      </c>
      <c r="B1185" s="52">
        <v>2.853931256000745E-4</v>
      </c>
      <c r="C1185" s="48">
        <f t="shared" si="18"/>
        <v>0.98943084145353211</v>
      </c>
    </row>
    <row r="1186" spans="1:3" x14ac:dyDescent="0.25">
      <c r="A1186" t="s">
        <v>1072</v>
      </c>
      <c r="B1186" s="52">
        <v>2.7671940775160405E-4</v>
      </c>
      <c r="C1186" s="48">
        <f t="shared" si="18"/>
        <v>0.98970756086128375</v>
      </c>
    </row>
    <row r="1187" spans="1:3" x14ac:dyDescent="0.25">
      <c r="A1187" t="s">
        <v>1052</v>
      </c>
      <c r="B1187" s="52">
        <v>2.6700721650419965E-4</v>
      </c>
      <c r="C1187" s="48">
        <f t="shared" si="18"/>
        <v>0.98997456807778794</v>
      </c>
    </row>
    <row r="1188" spans="1:3" x14ac:dyDescent="0.25">
      <c r="A1188" t="s">
        <v>979</v>
      </c>
      <c r="B1188" s="52">
        <v>2.6649570669669666E-4</v>
      </c>
      <c r="C1188" s="48">
        <f t="shared" si="18"/>
        <v>0.99024106378448462</v>
      </c>
    </row>
    <row r="1189" spans="1:3" x14ac:dyDescent="0.25">
      <c r="A1189" t="s">
        <v>740</v>
      </c>
      <c r="B1189" s="52">
        <v>2.6435088926831301E-4</v>
      </c>
      <c r="C1189" s="48">
        <f t="shared" si="18"/>
        <v>0.99050541467375297</v>
      </c>
    </row>
    <row r="1190" spans="1:3" x14ac:dyDescent="0.25">
      <c r="A1190" t="s">
        <v>966</v>
      </c>
      <c r="B1190" s="52">
        <v>2.6375870730180399E-4</v>
      </c>
      <c r="C1190" s="48">
        <f t="shared" si="18"/>
        <v>0.99076917338105475</v>
      </c>
    </row>
    <row r="1191" spans="1:3" x14ac:dyDescent="0.25">
      <c r="A1191" t="s">
        <v>1172</v>
      </c>
      <c r="B1191" s="52">
        <v>2.5603409026969177E-4</v>
      </c>
      <c r="C1191" s="48">
        <f t="shared" si="18"/>
        <v>0.99102520747132439</v>
      </c>
    </row>
    <row r="1192" spans="1:3" x14ac:dyDescent="0.25">
      <c r="A1192" t="s">
        <v>1340</v>
      </c>
      <c r="B1192" s="52">
        <v>2.5059694281081131E-4</v>
      </c>
      <c r="C1192" s="48">
        <f t="shared" si="18"/>
        <v>0.99127580441413521</v>
      </c>
    </row>
    <row r="1193" spans="1:3" x14ac:dyDescent="0.25">
      <c r="A1193" t="s">
        <v>1199</v>
      </c>
      <c r="B1193" s="52">
        <v>2.490937404081574E-4</v>
      </c>
      <c r="C1193" s="48">
        <f t="shared" si="18"/>
        <v>0.99152489815454337</v>
      </c>
    </row>
    <row r="1194" spans="1:3" x14ac:dyDescent="0.25">
      <c r="A1194" t="s">
        <v>862</v>
      </c>
      <c r="B1194" s="52">
        <v>2.4197880876310819E-4</v>
      </c>
      <c r="C1194" s="48">
        <f t="shared" si="18"/>
        <v>0.99176687696330645</v>
      </c>
    </row>
    <row r="1195" spans="1:3" x14ac:dyDescent="0.25">
      <c r="A1195" t="s">
        <v>1165</v>
      </c>
      <c r="B1195" s="52">
        <v>2.4064675559791221E-4</v>
      </c>
      <c r="C1195" s="48">
        <f t="shared" si="18"/>
        <v>0.99200752371890433</v>
      </c>
    </row>
    <row r="1196" spans="1:3" x14ac:dyDescent="0.25">
      <c r="A1196" t="s">
        <v>1064</v>
      </c>
      <c r="B1196" s="52">
        <v>2.3237373346735729E-4</v>
      </c>
      <c r="C1196" s="48">
        <f t="shared" si="18"/>
        <v>0.99223989745237173</v>
      </c>
    </row>
    <row r="1197" spans="1:3" x14ac:dyDescent="0.25">
      <c r="A1197" t="s">
        <v>1124</v>
      </c>
      <c r="B1197" s="52">
        <v>2.3125391568721738E-4</v>
      </c>
      <c r="C1197" s="48">
        <f t="shared" si="18"/>
        <v>0.99247115136805897</v>
      </c>
    </row>
    <row r="1198" spans="1:3" x14ac:dyDescent="0.25">
      <c r="A1198" t="s">
        <v>787</v>
      </c>
      <c r="B1198" s="52">
        <v>2.306872048975841E-4</v>
      </c>
      <c r="C1198" s="48">
        <f t="shared" si="18"/>
        <v>0.99270183857295657</v>
      </c>
    </row>
    <row r="1199" spans="1:3" x14ac:dyDescent="0.25">
      <c r="A1199" t="s">
        <v>991</v>
      </c>
      <c r="B1199" s="52">
        <v>2.1926537858707359E-4</v>
      </c>
      <c r="C1199" s="48">
        <f t="shared" si="18"/>
        <v>0.99292110395154365</v>
      </c>
    </row>
    <row r="1200" spans="1:3" x14ac:dyDescent="0.25">
      <c r="A1200" t="s">
        <v>1060</v>
      </c>
      <c r="B1200" s="52">
        <v>2.1741555497274069E-4</v>
      </c>
      <c r="C1200" s="48">
        <f t="shared" si="18"/>
        <v>0.99313851950651644</v>
      </c>
    </row>
    <row r="1201" spans="1:3" x14ac:dyDescent="0.25">
      <c r="A1201" t="s">
        <v>1353</v>
      </c>
      <c r="B1201" s="52">
        <v>2.1569827452690195E-4</v>
      </c>
      <c r="C1201" s="48">
        <f t="shared" si="18"/>
        <v>0.99335421778104338</v>
      </c>
    </row>
    <row r="1202" spans="1:3" x14ac:dyDescent="0.25">
      <c r="A1202" t="s">
        <v>903</v>
      </c>
      <c r="B1202" s="52">
        <v>2.1213118145673902E-4</v>
      </c>
      <c r="C1202" s="48">
        <f t="shared" si="18"/>
        <v>0.99356634896250007</v>
      </c>
    </row>
    <row r="1203" spans="1:3" x14ac:dyDescent="0.25">
      <c r="A1203" t="s">
        <v>951</v>
      </c>
      <c r="B1203" s="52">
        <v>2.0438180759831793E-4</v>
      </c>
      <c r="C1203" s="48">
        <f t="shared" si="18"/>
        <v>0.99377073077009836</v>
      </c>
    </row>
    <row r="1204" spans="1:3" x14ac:dyDescent="0.25">
      <c r="A1204" t="s">
        <v>1081</v>
      </c>
      <c r="B1204" s="52">
        <v>2.0210626035287879E-4</v>
      </c>
      <c r="C1204" s="48">
        <f t="shared" si="18"/>
        <v>0.99397283703045125</v>
      </c>
    </row>
    <row r="1205" spans="1:3" x14ac:dyDescent="0.25">
      <c r="A1205" t="s">
        <v>1259</v>
      </c>
      <c r="B1205" s="52">
        <v>1.9658909738801331E-4</v>
      </c>
      <c r="C1205" s="48">
        <f t="shared" si="18"/>
        <v>0.99416942612783932</v>
      </c>
    </row>
    <row r="1206" spans="1:3" x14ac:dyDescent="0.25">
      <c r="A1206" t="s">
        <v>847</v>
      </c>
      <c r="B1206" s="52">
        <v>1.9392635107120035E-4</v>
      </c>
      <c r="C1206" s="48">
        <f t="shared" si="18"/>
        <v>0.9943633524789105</v>
      </c>
    </row>
    <row r="1207" spans="1:3" x14ac:dyDescent="0.25">
      <c r="A1207" t="s">
        <v>1341</v>
      </c>
      <c r="B1207" s="52">
        <v>1.9026086262130304E-4</v>
      </c>
      <c r="C1207" s="48">
        <f t="shared" si="18"/>
        <v>0.99455361334153181</v>
      </c>
    </row>
    <row r="1208" spans="1:3" x14ac:dyDescent="0.25">
      <c r="A1208" t="s">
        <v>858</v>
      </c>
      <c r="B1208" s="52">
        <v>1.8984560880517038E-4</v>
      </c>
      <c r="C1208" s="48">
        <f t="shared" si="18"/>
        <v>0.994743458950337</v>
      </c>
    </row>
    <row r="1209" spans="1:3" x14ac:dyDescent="0.25">
      <c r="A1209" t="s">
        <v>1145</v>
      </c>
      <c r="B1209" s="52">
        <v>1.8857074581368286E-4</v>
      </c>
      <c r="C1209" s="48">
        <f t="shared" si="18"/>
        <v>0.99493202969615069</v>
      </c>
    </row>
    <row r="1210" spans="1:3" x14ac:dyDescent="0.25">
      <c r="A1210" t="s">
        <v>908</v>
      </c>
      <c r="B1210" s="52">
        <v>1.7882902624451714E-4</v>
      </c>
      <c r="C1210" s="48">
        <f t="shared" si="18"/>
        <v>0.99511085872239524</v>
      </c>
    </row>
    <row r="1211" spans="1:3" x14ac:dyDescent="0.25">
      <c r="A1211" t="s">
        <v>1167</v>
      </c>
      <c r="B1211" s="52">
        <v>1.7858792743322726E-4</v>
      </c>
      <c r="C1211" s="48">
        <f t="shared" si="18"/>
        <v>0.99528944664982844</v>
      </c>
    </row>
    <row r="1212" spans="1:3" x14ac:dyDescent="0.25">
      <c r="A1212" t="s">
        <v>1178</v>
      </c>
      <c r="B1212" s="52">
        <v>1.7632541433812952E-4</v>
      </c>
      <c r="C1212" s="48">
        <f t="shared" si="18"/>
        <v>0.99546577206416653</v>
      </c>
    </row>
    <row r="1213" spans="1:3" x14ac:dyDescent="0.25">
      <c r="A1213" t="s">
        <v>1196</v>
      </c>
      <c r="B1213" s="52">
        <v>1.7281711781461629E-4</v>
      </c>
      <c r="C1213" s="48">
        <f t="shared" si="18"/>
        <v>0.99563858918198112</v>
      </c>
    </row>
    <row r="1214" spans="1:3" x14ac:dyDescent="0.25">
      <c r="A1214" t="s">
        <v>1283</v>
      </c>
      <c r="B1214" s="52">
        <v>1.6913660785446743E-4</v>
      </c>
      <c r="C1214" s="48">
        <f t="shared" si="18"/>
        <v>0.99580772578983556</v>
      </c>
    </row>
    <row r="1215" spans="1:3" x14ac:dyDescent="0.25">
      <c r="A1215" t="s">
        <v>1197</v>
      </c>
      <c r="B1215" s="52">
        <v>1.655870035515136E-4</v>
      </c>
      <c r="C1215" s="48">
        <f t="shared" si="18"/>
        <v>0.99597331279338708</v>
      </c>
    </row>
    <row r="1216" spans="1:3" x14ac:dyDescent="0.25">
      <c r="A1216" t="s">
        <v>1314</v>
      </c>
      <c r="B1216" s="52">
        <v>1.6497904359581952E-4</v>
      </c>
      <c r="C1216" s="48">
        <f t="shared" si="18"/>
        <v>0.99613829183698288</v>
      </c>
    </row>
    <row r="1217" spans="1:3" x14ac:dyDescent="0.25">
      <c r="A1217" t="s">
        <v>945</v>
      </c>
      <c r="B1217" s="52">
        <v>1.6254288836295259E-4</v>
      </c>
      <c r="C1217" s="48">
        <f t="shared" si="18"/>
        <v>0.99630083472534581</v>
      </c>
    </row>
    <row r="1218" spans="1:3" x14ac:dyDescent="0.25">
      <c r="A1218" t="s">
        <v>760</v>
      </c>
      <c r="B1218" s="52">
        <v>1.6088456931389437E-4</v>
      </c>
      <c r="C1218" s="48">
        <f t="shared" si="18"/>
        <v>0.99646171929465965</v>
      </c>
    </row>
    <row r="1219" spans="1:3" x14ac:dyDescent="0.25">
      <c r="A1219" t="s">
        <v>1193</v>
      </c>
      <c r="B1219" s="52">
        <v>1.5227523093650318E-4</v>
      </c>
      <c r="C1219" s="48">
        <f t="shared" si="18"/>
        <v>0.99661399452559618</v>
      </c>
    </row>
    <row r="1220" spans="1:3" x14ac:dyDescent="0.25">
      <c r="A1220" t="s">
        <v>842</v>
      </c>
      <c r="B1220" s="52">
        <v>1.5206508731644005E-4</v>
      </c>
      <c r="C1220" s="48">
        <f t="shared" ref="C1220:C1271" si="19">B1220+C1219</f>
        <v>0.99676605961291265</v>
      </c>
    </row>
    <row r="1221" spans="1:3" x14ac:dyDescent="0.25">
      <c r="A1221" t="s">
        <v>821</v>
      </c>
      <c r="B1221" s="52">
        <v>1.5156106719987943E-4</v>
      </c>
      <c r="C1221" s="48">
        <f t="shared" si="19"/>
        <v>0.99691762068011258</v>
      </c>
    </row>
    <row r="1222" spans="1:3" x14ac:dyDescent="0.25">
      <c r="A1222" t="s">
        <v>1039</v>
      </c>
      <c r="B1222" s="52">
        <v>1.5035345939841944E-4</v>
      </c>
      <c r="C1222" s="48">
        <f t="shared" si="19"/>
        <v>0.99706797413951098</v>
      </c>
    </row>
    <row r="1223" spans="1:3" x14ac:dyDescent="0.25">
      <c r="A1223" t="s">
        <v>1223</v>
      </c>
      <c r="B1223" s="52">
        <v>1.4171158326854586E-4</v>
      </c>
      <c r="C1223" s="48">
        <f t="shared" si="19"/>
        <v>0.99720968572277957</v>
      </c>
    </row>
    <row r="1224" spans="1:3" x14ac:dyDescent="0.25">
      <c r="A1224" t="s">
        <v>848</v>
      </c>
      <c r="B1224" s="52">
        <v>1.373036739379386E-4</v>
      </c>
      <c r="C1224" s="48">
        <f t="shared" si="19"/>
        <v>0.99734698939671751</v>
      </c>
    </row>
    <row r="1225" spans="1:3" x14ac:dyDescent="0.25">
      <c r="A1225" t="s">
        <v>873</v>
      </c>
      <c r="B1225" s="52">
        <v>1.3251667341489042E-4</v>
      </c>
      <c r="C1225" s="48">
        <f t="shared" si="19"/>
        <v>0.99747950607013236</v>
      </c>
    </row>
    <row r="1226" spans="1:3" x14ac:dyDescent="0.25">
      <c r="A1226" t="s">
        <v>1088</v>
      </c>
      <c r="B1226" s="52">
        <v>1.0276478740114992E-4</v>
      </c>
      <c r="C1226" s="48">
        <f t="shared" si="19"/>
        <v>0.99758227085753348</v>
      </c>
    </row>
    <row r="1227" spans="1:3" x14ac:dyDescent="0.25">
      <c r="A1227" t="s">
        <v>1075</v>
      </c>
      <c r="B1227" s="52">
        <v>1.0213359456702262E-4</v>
      </c>
      <c r="C1227" s="48">
        <f t="shared" si="19"/>
        <v>0.99768440445210049</v>
      </c>
    </row>
    <row r="1228" spans="1:3" x14ac:dyDescent="0.25">
      <c r="A1228" t="s">
        <v>1025</v>
      </c>
      <c r="B1228" s="52">
        <v>1.0064531659620986E-4</v>
      </c>
      <c r="C1228" s="48">
        <f t="shared" si="19"/>
        <v>0.99778504976869675</v>
      </c>
    </row>
    <row r="1229" spans="1:3" x14ac:dyDescent="0.25">
      <c r="A1229" t="s">
        <v>1334</v>
      </c>
      <c r="B1229" s="52">
        <v>9.7315629694407076E-5</v>
      </c>
      <c r="C1229" s="48">
        <f t="shared" si="19"/>
        <v>0.99788236539839115</v>
      </c>
    </row>
    <row r="1230" spans="1:3" x14ac:dyDescent="0.25">
      <c r="A1230" t="s">
        <v>1352</v>
      </c>
      <c r="B1230" s="52">
        <v>9.4400273448004532E-5</v>
      </c>
      <c r="C1230" s="48">
        <f t="shared" si="19"/>
        <v>0.99797676567183913</v>
      </c>
    </row>
    <row r="1231" spans="1:3" x14ac:dyDescent="0.25">
      <c r="A1231" t="s">
        <v>1250</v>
      </c>
      <c r="B1231" s="52">
        <v>9.2533668090356817E-5</v>
      </c>
      <c r="C1231" s="48">
        <f t="shared" si="19"/>
        <v>0.99806929933992949</v>
      </c>
    </row>
    <row r="1232" spans="1:3" x14ac:dyDescent="0.25">
      <c r="A1232" t="s">
        <v>1209</v>
      </c>
      <c r="B1232" s="52">
        <v>9.2434847763618572E-5</v>
      </c>
      <c r="C1232" s="48">
        <f t="shared" si="19"/>
        <v>0.99816173418769316</v>
      </c>
    </row>
    <row r="1233" spans="1:3" x14ac:dyDescent="0.25">
      <c r="A1233" t="s">
        <v>1194</v>
      </c>
      <c r="B1233" s="52">
        <v>8.518866244443161E-5</v>
      </c>
      <c r="C1233" s="48">
        <f t="shared" si="19"/>
        <v>0.99824692285013761</v>
      </c>
    </row>
    <row r="1234" spans="1:3" x14ac:dyDescent="0.25">
      <c r="A1234" t="s">
        <v>955</v>
      </c>
      <c r="B1234" s="52">
        <v>8.3161121230762637E-5</v>
      </c>
      <c r="C1234" s="48">
        <f t="shared" si="19"/>
        <v>0.99833008397136835</v>
      </c>
    </row>
    <row r="1235" spans="1:3" x14ac:dyDescent="0.25">
      <c r="A1235" t="s">
        <v>1045</v>
      </c>
      <c r="B1235" s="52">
        <v>8.050716234175505E-5</v>
      </c>
      <c r="C1235" s="48">
        <f t="shared" si="19"/>
        <v>0.99841059113371011</v>
      </c>
    </row>
    <row r="1236" spans="1:3" x14ac:dyDescent="0.25">
      <c r="A1236" t="s">
        <v>1252</v>
      </c>
      <c r="B1236" s="52">
        <v>7.8370559944889308E-5</v>
      </c>
      <c r="C1236" s="48">
        <f t="shared" si="19"/>
        <v>0.99848896169365497</v>
      </c>
    </row>
    <row r="1237" spans="1:3" x14ac:dyDescent="0.25">
      <c r="A1237" t="s">
        <v>861</v>
      </c>
      <c r="B1237" s="52">
        <v>7.8150205690891635E-5</v>
      </c>
      <c r="C1237" s="48">
        <f t="shared" si="19"/>
        <v>0.99856711189934588</v>
      </c>
    </row>
    <row r="1238" spans="1:3" x14ac:dyDescent="0.25">
      <c r="A1238" t="s">
        <v>1349</v>
      </c>
      <c r="B1238" s="52">
        <v>7.751134457818029E-5</v>
      </c>
      <c r="C1238" s="48">
        <f t="shared" si="19"/>
        <v>0.99864462324392411</v>
      </c>
    </row>
    <row r="1239" spans="1:3" x14ac:dyDescent="0.25">
      <c r="A1239" t="s">
        <v>1304</v>
      </c>
      <c r="B1239" s="52">
        <v>7.7022135330037401E-5</v>
      </c>
      <c r="C1239" s="48">
        <f t="shared" si="19"/>
        <v>0.99872164537925412</v>
      </c>
    </row>
    <row r="1240" spans="1:3" x14ac:dyDescent="0.25">
      <c r="A1240" t="s">
        <v>850</v>
      </c>
      <c r="B1240" s="52">
        <v>7.0152151746832211E-5</v>
      </c>
      <c r="C1240" s="48">
        <f t="shared" si="19"/>
        <v>0.998791797531001</v>
      </c>
    </row>
    <row r="1241" spans="1:3" x14ac:dyDescent="0.25">
      <c r="A1241" t="s">
        <v>977</v>
      </c>
      <c r="B1241" s="52">
        <v>6.8524814448188521E-5</v>
      </c>
      <c r="C1241" s="48">
        <f t="shared" si="19"/>
        <v>0.99886032234544919</v>
      </c>
    </row>
    <row r="1242" spans="1:3" x14ac:dyDescent="0.25">
      <c r="A1242" t="s">
        <v>1151</v>
      </c>
      <c r="B1242" s="52">
        <v>6.7903450345192795E-5</v>
      </c>
      <c r="C1242" s="48">
        <f t="shared" si="19"/>
        <v>0.99892822579579443</v>
      </c>
    </row>
    <row r="1243" spans="1:3" x14ac:dyDescent="0.25">
      <c r="A1243" t="s">
        <v>1057</v>
      </c>
      <c r="B1243" s="52">
        <v>6.4405370866452543E-5</v>
      </c>
      <c r="C1243" s="48">
        <f t="shared" si="19"/>
        <v>0.99899263116666093</v>
      </c>
    </row>
    <row r="1244" spans="1:3" x14ac:dyDescent="0.25">
      <c r="A1244" t="s">
        <v>741</v>
      </c>
      <c r="B1244" s="52">
        <v>6.2740838799131538E-5</v>
      </c>
      <c r="C1244" s="48">
        <f t="shared" si="19"/>
        <v>0.99905537200546002</v>
      </c>
    </row>
    <row r="1245" spans="1:3" x14ac:dyDescent="0.25">
      <c r="A1245" t="s">
        <v>1016</v>
      </c>
      <c r="B1245" s="52">
        <v>6.1153903520043168E-5</v>
      </c>
      <c r="C1245" s="48">
        <f t="shared" si="19"/>
        <v>0.99911652590898004</v>
      </c>
    </row>
    <row r="1246" spans="1:3" x14ac:dyDescent="0.25">
      <c r="A1246" t="s">
        <v>964</v>
      </c>
      <c r="B1246" s="52">
        <v>6.1099876637177772E-5</v>
      </c>
      <c r="C1246" s="48">
        <f t="shared" si="19"/>
        <v>0.9991776257856172</v>
      </c>
    </row>
    <row r="1247" spans="1:3" x14ac:dyDescent="0.25">
      <c r="A1247" t="s">
        <v>823</v>
      </c>
      <c r="B1247" s="52">
        <v>5.7187887786704848E-5</v>
      </c>
      <c r="C1247" s="48">
        <f t="shared" si="19"/>
        <v>0.99923481367340394</v>
      </c>
    </row>
    <row r="1248" spans="1:3" x14ac:dyDescent="0.25">
      <c r="A1248" t="s">
        <v>1264</v>
      </c>
      <c r="B1248" s="52">
        <v>5.6616843270299781E-5</v>
      </c>
      <c r="C1248" s="48">
        <f t="shared" si="19"/>
        <v>0.99929143051667424</v>
      </c>
    </row>
    <row r="1249" spans="1:3" x14ac:dyDescent="0.25">
      <c r="A1249" t="s">
        <v>981</v>
      </c>
      <c r="B1249" s="52">
        <v>5.5619214238772173E-5</v>
      </c>
      <c r="C1249" s="48">
        <f t="shared" si="19"/>
        <v>0.99934704973091304</v>
      </c>
    </row>
    <row r="1250" spans="1:3" x14ac:dyDescent="0.25">
      <c r="A1250" t="s">
        <v>785</v>
      </c>
      <c r="B1250" s="52">
        <v>5.4907182563840003E-5</v>
      </c>
      <c r="C1250" s="48">
        <f t="shared" si="19"/>
        <v>0.99940195691347689</v>
      </c>
    </row>
    <row r="1251" spans="1:3" x14ac:dyDescent="0.25">
      <c r="A1251" t="s">
        <v>853</v>
      </c>
      <c r="B1251" s="52">
        <v>5.4302410626508642E-5</v>
      </c>
      <c r="C1251" s="48">
        <f t="shared" si="19"/>
        <v>0.99945625932410342</v>
      </c>
    </row>
    <row r="1252" spans="1:3" x14ac:dyDescent="0.25">
      <c r="A1252" t="s">
        <v>997</v>
      </c>
      <c r="B1252" s="52">
        <v>5.1320439358086489E-5</v>
      </c>
      <c r="C1252" s="48">
        <f t="shared" si="19"/>
        <v>0.9995075797634615</v>
      </c>
    </row>
    <row r="1253" spans="1:3" x14ac:dyDescent="0.25">
      <c r="A1253" t="s">
        <v>843</v>
      </c>
      <c r="B1253" s="52">
        <v>5.0352565775167115E-5</v>
      </c>
      <c r="C1253" s="48">
        <f t="shared" si="19"/>
        <v>0.99955793232923662</v>
      </c>
    </row>
    <row r="1254" spans="1:3" x14ac:dyDescent="0.25">
      <c r="A1254" t="s">
        <v>1265</v>
      </c>
      <c r="B1254" s="52">
        <v>4.8958378764006915E-5</v>
      </c>
      <c r="C1254" s="48">
        <f t="shared" si="19"/>
        <v>0.99960689070800057</v>
      </c>
    </row>
    <row r="1255" spans="1:3" x14ac:dyDescent="0.25">
      <c r="A1255" t="s">
        <v>817</v>
      </c>
      <c r="B1255" s="52">
        <v>4.8064047571936705E-5</v>
      </c>
      <c r="C1255" s="48">
        <f t="shared" si="19"/>
        <v>0.99965495475557253</v>
      </c>
    </row>
    <row r="1256" spans="1:3" x14ac:dyDescent="0.25">
      <c r="A1256" t="s">
        <v>840</v>
      </c>
      <c r="B1256" s="52">
        <v>4.7500133739522524E-5</v>
      </c>
      <c r="C1256" s="48">
        <f t="shared" si="19"/>
        <v>0.99970245488931209</v>
      </c>
    </row>
    <row r="1257" spans="1:3" x14ac:dyDescent="0.25">
      <c r="A1257" t="s">
        <v>1307</v>
      </c>
      <c r="B1257" s="52">
        <v>4.5515725562575686E-5</v>
      </c>
      <c r="C1257" s="48">
        <f t="shared" si="19"/>
        <v>0.99974797061487464</v>
      </c>
    </row>
    <row r="1258" spans="1:3" x14ac:dyDescent="0.25">
      <c r="A1258" t="s">
        <v>1122</v>
      </c>
      <c r="B1258" s="52">
        <v>3.9788637861987431E-5</v>
      </c>
      <c r="C1258" s="48">
        <f t="shared" si="19"/>
        <v>0.99978775925273666</v>
      </c>
    </row>
    <row r="1259" spans="1:3" x14ac:dyDescent="0.25">
      <c r="A1259" t="s">
        <v>1318</v>
      </c>
      <c r="B1259" s="52">
        <v>3.3964621947828812E-5</v>
      </c>
      <c r="C1259" s="48">
        <f t="shared" si="19"/>
        <v>0.99982172387468449</v>
      </c>
    </row>
    <row r="1260" spans="1:3" x14ac:dyDescent="0.25">
      <c r="A1260" t="s">
        <v>911</v>
      </c>
      <c r="B1260" s="52">
        <v>2.9483712400135891E-5</v>
      </c>
      <c r="C1260" s="48">
        <f t="shared" si="19"/>
        <v>0.99985120758708468</v>
      </c>
    </row>
    <row r="1261" spans="1:3" x14ac:dyDescent="0.25">
      <c r="A1261" t="s">
        <v>736</v>
      </c>
      <c r="B1261" s="52">
        <v>2.928127369201925E-5</v>
      </c>
      <c r="C1261" s="48">
        <f t="shared" si="19"/>
        <v>0.99988048886077674</v>
      </c>
    </row>
    <row r="1262" spans="1:3" x14ac:dyDescent="0.25">
      <c r="A1262" t="s">
        <v>792</v>
      </c>
      <c r="B1262" s="52">
        <v>2.5000987669336126E-5</v>
      </c>
      <c r="C1262" s="48">
        <f t="shared" si="19"/>
        <v>0.99990548984844607</v>
      </c>
    </row>
    <row r="1263" spans="1:3" x14ac:dyDescent="0.25">
      <c r="A1263" t="s">
        <v>1363</v>
      </c>
      <c r="B1263" s="52">
        <v>2.4377507989661878E-5</v>
      </c>
      <c r="C1263" s="48">
        <f t="shared" si="19"/>
        <v>0.99992986735643574</v>
      </c>
    </row>
    <row r="1264" spans="1:3" x14ac:dyDescent="0.25">
      <c r="A1264" t="s">
        <v>788</v>
      </c>
      <c r="B1264" s="52">
        <v>1.970860243697795E-5</v>
      </c>
      <c r="C1264" s="48">
        <f t="shared" si="19"/>
        <v>0.99994957595887268</v>
      </c>
    </row>
    <row r="1265" spans="1:3" x14ac:dyDescent="0.25">
      <c r="A1265" t="s">
        <v>830</v>
      </c>
      <c r="B1265" s="52">
        <v>1.3463453052021683E-5</v>
      </c>
      <c r="C1265" s="48">
        <f t="shared" si="19"/>
        <v>0.99996303941192466</v>
      </c>
    </row>
    <row r="1266" spans="1:3" x14ac:dyDescent="0.25">
      <c r="A1266" t="s">
        <v>1226</v>
      </c>
      <c r="B1266" s="52">
        <v>1.0087838903779822E-5</v>
      </c>
      <c r="C1266" s="48">
        <f t="shared" si="19"/>
        <v>0.99997312725082843</v>
      </c>
    </row>
    <row r="1267" spans="1:3" x14ac:dyDescent="0.25">
      <c r="A1267" t="s">
        <v>906</v>
      </c>
      <c r="B1267" s="52">
        <v>8.8850007661041673E-6</v>
      </c>
      <c r="C1267" s="48">
        <f t="shared" si="19"/>
        <v>0.99998201225159455</v>
      </c>
    </row>
    <row r="1268" spans="1:3" x14ac:dyDescent="0.25">
      <c r="A1268" t="s">
        <v>1020</v>
      </c>
      <c r="B1268" s="52">
        <v>6.9730433058070232E-6</v>
      </c>
      <c r="C1268" s="48">
        <f t="shared" si="19"/>
        <v>0.99998898529490032</v>
      </c>
    </row>
    <row r="1269" spans="1:3" x14ac:dyDescent="0.25">
      <c r="A1269" t="s">
        <v>1032</v>
      </c>
      <c r="B1269" s="52">
        <v>6.12883113266835E-6</v>
      </c>
      <c r="C1269" s="48">
        <f t="shared" si="19"/>
        <v>0.99999511412603304</v>
      </c>
    </row>
    <row r="1270" spans="1:3" x14ac:dyDescent="0.25">
      <c r="A1270" t="s">
        <v>846</v>
      </c>
      <c r="B1270" s="52">
        <v>3.1769422656138447E-6</v>
      </c>
      <c r="C1270" s="48">
        <f t="shared" si="19"/>
        <v>0.99999829106829863</v>
      </c>
    </row>
    <row r="1271" spans="1:3" x14ac:dyDescent="0.25">
      <c r="A1271" t="s">
        <v>914</v>
      </c>
      <c r="B1271" s="52">
        <v>1.7089317025480611E-6</v>
      </c>
      <c r="C1271" s="48">
        <f t="shared" si="19"/>
        <v>1.0000000000000011</v>
      </c>
    </row>
    <row r="1272" spans="1:3" x14ac:dyDescent="0.25">
      <c r="B1272" s="53"/>
    </row>
    <row r="1273" spans="1:3" x14ac:dyDescent="0.25">
      <c r="B1273" s="53"/>
    </row>
    <row r="1274" spans="1:3" x14ac:dyDescent="0.25">
      <c r="B1274" s="53"/>
    </row>
    <row r="1275" spans="1:3" x14ac:dyDescent="0.25">
      <c r="B1275" s="53"/>
    </row>
    <row r="1276" spans="1:3" x14ac:dyDescent="0.25">
      <c r="B1276" s="53"/>
    </row>
    <row r="1277" spans="1:3" x14ac:dyDescent="0.25">
      <c r="B1277" s="53"/>
    </row>
    <row r="1278" spans="1:3" x14ac:dyDescent="0.25">
      <c r="B1278" s="53"/>
    </row>
  </sheetData>
  <autoFilter ref="D3:F3" xr:uid="{831B59AC-B863-4A06-81D5-84F6D6E39DA4}"/>
  <conditionalFormatting pivot="1" sqref="B4:B13">
    <cfRule type="top10" dxfId="86" priority="2" percent="1" rank="80"/>
  </conditionalFormatting>
  <conditionalFormatting sqref="A4">
    <cfRule type="top10" dxfId="85" priority="1" rank="10"/>
  </conditionalFormatting>
  <pageMargins left="0.7" right="0.7" top="0.75" bottom="0.75" header="0.3" footer="0.3"/>
  <pageSetup orientation="portrait" r:id="rId2"/>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F0428-218E-4BE0-9139-8E60E55F7885}">
  <dimension ref="A3:A65"/>
  <sheetViews>
    <sheetView workbookViewId="0">
      <selection activeCell="E19" sqref="E19"/>
    </sheetView>
  </sheetViews>
  <sheetFormatPr defaultRowHeight="15" x14ac:dyDescent="0.25"/>
  <cols>
    <col min="1" max="1" width="19.28515625" bestFit="1" customWidth="1"/>
    <col min="2" max="2" width="16.28515625" bestFit="1" customWidth="1"/>
    <col min="3" max="3" width="9.140625" bestFit="1" customWidth="1"/>
    <col min="4" max="4" width="4.7109375" bestFit="1" customWidth="1"/>
    <col min="5" max="5" width="7.28515625" bestFit="1" customWidth="1"/>
    <col min="6" max="6" width="11.28515625" bestFit="1" customWidth="1"/>
    <col min="7" max="7" width="7.42578125" bestFit="1" customWidth="1"/>
    <col min="8" max="8" width="4.7109375" bestFit="1" customWidth="1"/>
    <col min="9" max="9" width="14.140625" bestFit="1" customWidth="1"/>
    <col min="10" max="10" width="6.5703125" bestFit="1" customWidth="1"/>
    <col min="11" max="11" width="5.42578125" bestFit="1" customWidth="1"/>
    <col min="12" max="12" width="6" bestFit="1" customWidth="1"/>
    <col min="13" max="13" width="9.5703125" bestFit="1" customWidth="1"/>
    <col min="14" max="15" width="9.140625" bestFit="1" customWidth="1"/>
    <col min="16" max="16" width="15.5703125" bestFit="1" customWidth="1"/>
    <col min="17" max="17" width="12.140625" bestFit="1" customWidth="1"/>
    <col min="18" max="18" width="11.28515625" bestFit="1" customWidth="1"/>
    <col min="19" max="19" width="13.5703125" bestFit="1" customWidth="1"/>
    <col min="20" max="20" width="12.7109375" bestFit="1" customWidth="1"/>
    <col min="21" max="21" width="9.5703125" bestFit="1" customWidth="1"/>
    <col min="22" max="22" width="8" bestFit="1" customWidth="1"/>
    <col min="23" max="23" width="9.5703125" bestFit="1" customWidth="1"/>
    <col min="24" max="24" width="10.42578125" bestFit="1" customWidth="1"/>
    <col min="25" max="25" width="14.140625" bestFit="1" customWidth="1"/>
    <col min="26" max="26" width="7.140625" bestFit="1" customWidth="1"/>
    <col min="27" max="27" width="10" bestFit="1" customWidth="1"/>
    <col min="28" max="28" width="5.7109375" bestFit="1" customWidth="1"/>
    <col min="29" max="29" width="10.5703125" bestFit="1" customWidth="1"/>
    <col min="30" max="30" width="8.42578125" bestFit="1" customWidth="1"/>
    <col min="31" max="31" width="7.5703125" bestFit="1" customWidth="1"/>
    <col min="32" max="32" width="6.28515625" bestFit="1" customWidth="1"/>
    <col min="33" max="33" width="9" bestFit="1" customWidth="1"/>
    <col min="34" max="34" width="9.7109375" bestFit="1" customWidth="1"/>
    <col min="35" max="35" width="6.28515625" bestFit="1" customWidth="1"/>
    <col min="36" max="37" width="9.5703125" bestFit="1" customWidth="1"/>
    <col min="38" max="38" width="9.140625" bestFit="1" customWidth="1"/>
    <col min="39" max="39" width="11.7109375" bestFit="1" customWidth="1"/>
    <col min="40" max="40" width="9.140625" bestFit="1" customWidth="1"/>
    <col min="41" max="41" width="7.5703125" bestFit="1" customWidth="1"/>
    <col min="42" max="42" width="5.140625" bestFit="1" customWidth="1"/>
    <col min="43" max="43" width="11.5703125" bestFit="1" customWidth="1"/>
    <col min="44" max="44" width="9.42578125" bestFit="1" customWidth="1"/>
    <col min="45" max="45" width="7.7109375" bestFit="1" customWidth="1"/>
    <col min="46" max="46" width="5.28515625" bestFit="1" customWidth="1"/>
    <col min="47" max="47" width="9.5703125" bestFit="1" customWidth="1"/>
    <col min="48" max="48" width="12.140625" bestFit="1" customWidth="1"/>
    <col min="49" max="49" width="11.28515625" bestFit="1" customWidth="1"/>
    <col min="50" max="50" width="7.5703125" bestFit="1" customWidth="1"/>
    <col min="51" max="51" width="11.5703125" bestFit="1" customWidth="1"/>
    <col min="52" max="52" width="9.5703125" bestFit="1" customWidth="1"/>
    <col min="53" max="53" width="20.5703125" bestFit="1" customWidth="1"/>
    <col min="54" max="54" width="6.7109375" bestFit="1" customWidth="1"/>
    <col min="55" max="55" width="7.85546875" bestFit="1" customWidth="1"/>
    <col min="56" max="56" width="9.5703125" bestFit="1" customWidth="1"/>
    <col min="57" max="57" width="12.7109375" bestFit="1" customWidth="1"/>
    <col min="58" max="58" width="9.5703125" bestFit="1" customWidth="1"/>
    <col min="59" max="59" width="11.28515625" bestFit="1" customWidth="1"/>
    <col min="60" max="60" width="20.5703125" bestFit="1" customWidth="1"/>
    <col min="61" max="61" width="12.140625" bestFit="1" customWidth="1"/>
    <col min="62" max="62" width="11.28515625" bestFit="1" customWidth="1"/>
    <col min="63" max="63" width="14" bestFit="1" customWidth="1"/>
    <col min="64" max="64" width="11.5703125" bestFit="1" customWidth="1"/>
    <col min="65" max="65" width="14.7109375" bestFit="1" customWidth="1"/>
    <col min="66" max="66" width="8.140625" bestFit="1" customWidth="1"/>
    <col min="67" max="67" width="11.140625" bestFit="1" customWidth="1"/>
    <col min="68" max="69" width="11.42578125" bestFit="1" customWidth="1"/>
    <col min="70" max="70" width="14.5703125" bestFit="1" customWidth="1"/>
    <col min="71" max="71" width="9.5703125" bestFit="1" customWidth="1"/>
    <col min="72" max="72" width="9.140625" bestFit="1" customWidth="1"/>
    <col min="73" max="73" width="11.140625" bestFit="1" customWidth="1"/>
    <col min="74" max="74" width="15.5703125" bestFit="1" customWidth="1"/>
    <col min="75" max="75" width="16.7109375" bestFit="1" customWidth="1"/>
    <col min="76" max="76" width="11" bestFit="1" customWidth="1"/>
    <col min="77" max="77" width="14.140625" bestFit="1" customWidth="1"/>
    <col min="78" max="78" width="15.5703125" bestFit="1" customWidth="1"/>
    <col min="79" max="79" width="12.42578125" bestFit="1" customWidth="1"/>
    <col min="80" max="80" width="7" bestFit="1" customWidth="1"/>
    <col min="81" max="81" width="10" bestFit="1" customWidth="1"/>
    <col min="82" max="82" width="15.5703125" bestFit="1" customWidth="1"/>
    <col min="83" max="83" width="16.5703125" bestFit="1" customWidth="1"/>
    <col min="84" max="84" width="11.28515625" bestFit="1" customWidth="1"/>
    <col min="85" max="85" width="14.42578125" bestFit="1" customWidth="1"/>
    <col min="86" max="86" width="9.5703125" bestFit="1" customWidth="1"/>
    <col min="87" max="87" width="12.5703125" bestFit="1" customWidth="1"/>
    <col min="88" max="88" width="7.140625" bestFit="1" customWidth="1"/>
    <col min="89" max="89" width="10.140625" bestFit="1" customWidth="1"/>
    <col min="90" max="90" width="15.5703125" bestFit="1" customWidth="1"/>
    <col min="91" max="91" width="14.5703125" bestFit="1" customWidth="1"/>
    <col min="92" max="92" width="12.140625" bestFit="1" customWidth="1"/>
    <col min="93" max="93" width="11.28515625" bestFit="1" customWidth="1"/>
  </cols>
  <sheetData>
    <row r="3" spans="1:1" x14ac:dyDescent="0.25">
      <c r="A3" s="17" t="s">
        <v>1387</v>
      </c>
    </row>
    <row r="4" spans="1:1" x14ac:dyDescent="0.25">
      <c r="A4" s="18" t="s">
        <v>646</v>
      </c>
    </row>
    <row r="5" spans="1:1" x14ac:dyDescent="0.25">
      <c r="A5" s="19" t="s">
        <v>650</v>
      </c>
    </row>
    <row r="6" spans="1:1" x14ac:dyDescent="0.25">
      <c r="A6" s="44" t="s">
        <v>662</v>
      </c>
    </row>
    <row r="7" spans="1:1" x14ac:dyDescent="0.25">
      <c r="A7" s="44" t="s">
        <v>675</v>
      </c>
    </row>
    <row r="8" spans="1:1" x14ac:dyDescent="0.25">
      <c r="A8" s="44" t="s">
        <v>664</v>
      </c>
    </row>
    <row r="9" spans="1:1" x14ac:dyDescent="0.25">
      <c r="A9" s="44" t="s">
        <v>678</v>
      </c>
    </row>
    <row r="10" spans="1:1" x14ac:dyDescent="0.25">
      <c r="A10" s="19" t="s">
        <v>651</v>
      </c>
    </row>
    <row r="11" spans="1:1" x14ac:dyDescent="0.25">
      <c r="A11" s="44" t="s">
        <v>669</v>
      </c>
    </row>
    <row r="12" spans="1:1" x14ac:dyDescent="0.25">
      <c r="A12" s="44" t="s">
        <v>665</v>
      </c>
    </row>
    <row r="13" spans="1:1" x14ac:dyDescent="0.25">
      <c r="A13" s="44" t="s">
        <v>663</v>
      </c>
    </row>
    <row r="14" spans="1:1" x14ac:dyDescent="0.25">
      <c r="A14" s="44" t="s">
        <v>1367</v>
      </c>
    </row>
    <row r="15" spans="1:1" x14ac:dyDescent="0.25">
      <c r="A15" s="19" t="s">
        <v>661</v>
      </c>
    </row>
    <row r="16" spans="1:1" x14ac:dyDescent="0.25">
      <c r="A16" s="44" t="s">
        <v>695</v>
      </c>
    </row>
    <row r="17" spans="1:1" x14ac:dyDescent="0.25">
      <c r="A17" s="44" t="s">
        <v>687</v>
      </c>
    </row>
    <row r="18" spans="1:1" x14ac:dyDescent="0.25">
      <c r="A18" s="44" t="s">
        <v>682</v>
      </c>
    </row>
    <row r="19" spans="1:1" x14ac:dyDescent="0.25">
      <c r="A19" s="18" t="s">
        <v>648</v>
      </c>
    </row>
    <row r="20" spans="1:1" x14ac:dyDescent="0.25">
      <c r="A20" s="19" t="s">
        <v>655</v>
      </c>
    </row>
    <row r="21" spans="1:1" x14ac:dyDescent="0.25">
      <c r="A21" s="44" t="s">
        <v>672</v>
      </c>
    </row>
    <row r="22" spans="1:1" x14ac:dyDescent="0.25">
      <c r="A22" s="44" t="s">
        <v>692</v>
      </c>
    </row>
    <row r="23" spans="1:1" x14ac:dyDescent="0.25">
      <c r="A23" s="44" t="s">
        <v>670</v>
      </c>
    </row>
    <row r="24" spans="1:1" x14ac:dyDescent="0.25">
      <c r="A24" s="44" t="s">
        <v>1367</v>
      </c>
    </row>
    <row r="25" spans="1:1" x14ac:dyDescent="0.25">
      <c r="A25" s="19" t="s">
        <v>653</v>
      </c>
    </row>
    <row r="26" spans="1:1" x14ac:dyDescent="0.25">
      <c r="A26" s="44" t="s">
        <v>681</v>
      </c>
    </row>
    <row r="27" spans="1:1" x14ac:dyDescent="0.25">
      <c r="A27" s="44" t="s">
        <v>667</v>
      </c>
    </row>
    <row r="28" spans="1:1" x14ac:dyDescent="0.25">
      <c r="A28" s="44" t="s">
        <v>1367</v>
      </c>
    </row>
    <row r="29" spans="1:1" x14ac:dyDescent="0.25">
      <c r="A29" s="44" t="s">
        <v>688</v>
      </c>
    </row>
    <row r="30" spans="1:1" x14ac:dyDescent="0.25">
      <c r="A30" s="19" t="s">
        <v>660</v>
      </c>
    </row>
    <row r="31" spans="1:1" x14ac:dyDescent="0.25">
      <c r="A31" s="44" t="s">
        <v>697</v>
      </c>
    </row>
    <row r="32" spans="1:1" x14ac:dyDescent="0.25">
      <c r="A32" s="44" t="s">
        <v>677</v>
      </c>
    </row>
    <row r="33" spans="1:1" x14ac:dyDescent="0.25">
      <c r="A33" s="44" t="s">
        <v>700</v>
      </c>
    </row>
    <row r="34" spans="1:1" x14ac:dyDescent="0.25">
      <c r="A34" s="44" t="s">
        <v>686</v>
      </c>
    </row>
    <row r="35" spans="1:1" x14ac:dyDescent="0.25">
      <c r="A35" s="18" t="s">
        <v>647</v>
      </c>
    </row>
    <row r="36" spans="1:1" x14ac:dyDescent="0.25">
      <c r="A36" s="19" t="s">
        <v>659</v>
      </c>
    </row>
    <row r="37" spans="1:1" x14ac:dyDescent="0.25">
      <c r="A37" s="44" t="s">
        <v>699</v>
      </c>
    </row>
    <row r="38" spans="1:1" x14ac:dyDescent="0.25">
      <c r="A38" s="44" t="s">
        <v>685</v>
      </c>
    </row>
    <row r="39" spans="1:1" x14ac:dyDescent="0.25">
      <c r="A39" s="44" t="s">
        <v>676</v>
      </c>
    </row>
    <row r="40" spans="1:1" x14ac:dyDescent="0.25">
      <c r="A40" s="44" t="s">
        <v>1367</v>
      </c>
    </row>
    <row r="41" spans="1:1" x14ac:dyDescent="0.25">
      <c r="A41" s="19" t="s">
        <v>654</v>
      </c>
    </row>
    <row r="42" spans="1:1" x14ac:dyDescent="0.25">
      <c r="A42" s="44" t="s">
        <v>668</v>
      </c>
    </row>
    <row r="43" spans="1:1" x14ac:dyDescent="0.25">
      <c r="A43" s="44" t="s">
        <v>680</v>
      </c>
    </row>
    <row r="44" spans="1:1" x14ac:dyDescent="0.25">
      <c r="A44" s="44" t="s">
        <v>696</v>
      </c>
    </row>
    <row r="45" spans="1:1" x14ac:dyDescent="0.25">
      <c r="A45" s="44" t="s">
        <v>691</v>
      </c>
    </row>
    <row r="46" spans="1:1" x14ac:dyDescent="0.25">
      <c r="A46" s="44" t="s">
        <v>1367</v>
      </c>
    </row>
    <row r="47" spans="1:1" x14ac:dyDescent="0.25">
      <c r="A47" s="19" t="s">
        <v>652</v>
      </c>
    </row>
    <row r="48" spans="1:1" x14ac:dyDescent="0.25">
      <c r="A48" s="44" t="s">
        <v>694</v>
      </c>
    </row>
    <row r="49" spans="1:1" x14ac:dyDescent="0.25">
      <c r="A49" s="44" t="s">
        <v>666</v>
      </c>
    </row>
    <row r="50" spans="1:1" x14ac:dyDescent="0.25">
      <c r="A50" s="44" t="s">
        <v>689</v>
      </c>
    </row>
    <row r="51" spans="1:1" x14ac:dyDescent="0.25">
      <c r="A51" s="18" t="s">
        <v>649</v>
      </c>
    </row>
    <row r="52" spans="1:1" x14ac:dyDescent="0.25">
      <c r="A52" s="19" t="s">
        <v>657</v>
      </c>
    </row>
    <row r="53" spans="1:1" x14ac:dyDescent="0.25">
      <c r="A53" s="44" t="s">
        <v>679</v>
      </c>
    </row>
    <row r="54" spans="1:1" x14ac:dyDescent="0.25">
      <c r="A54" s="44" t="s">
        <v>673</v>
      </c>
    </row>
    <row r="55" spans="1:1" x14ac:dyDescent="0.25">
      <c r="A55" s="44" t="s">
        <v>690</v>
      </c>
    </row>
    <row r="56" spans="1:1" x14ac:dyDescent="0.25">
      <c r="A56" s="19" t="s">
        <v>656</v>
      </c>
    </row>
    <row r="57" spans="1:1" x14ac:dyDescent="0.25">
      <c r="A57" s="44" t="s">
        <v>671</v>
      </c>
    </row>
    <row r="58" spans="1:1" x14ac:dyDescent="0.25">
      <c r="A58" s="44" t="s">
        <v>698</v>
      </c>
    </row>
    <row r="59" spans="1:1" x14ac:dyDescent="0.25">
      <c r="A59" s="44" t="s">
        <v>684</v>
      </c>
    </row>
    <row r="60" spans="1:1" x14ac:dyDescent="0.25">
      <c r="A60" s="19" t="s">
        <v>658</v>
      </c>
    </row>
    <row r="61" spans="1:1" x14ac:dyDescent="0.25">
      <c r="A61" s="44" t="s">
        <v>674</v>
      </c>
    </row>
    <row r="62" spans="1:1" x14ac:dyDescent="0.25">
      <c r="A62" s="44" t="s">
        <v>683</v>
      </c>
    </row>
    <row r="63" spans="1:1" x14ac:dyDescent="0.25">
      <c r="A63" s="44" t="s">
        <v>693</v>
      </c>
    </row>
    <row r="64" spans="1:1" x14ac:dyDescent="0.25">
      <c r="A64" s="44" t="s">
        <v>1367</v>
      </c>
    </row>
    <row r="65" spans="1:1" x14ac:dyDescent="0.25">
      <c r="A65" s="18" t="s">
        <v>1388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D57CD-6E7B-4FA7-B866-0A3268D08C83}">
  <dimension ref="A3:J16"/>
  <sheetViews>
    <sheetView workbookViewId="0">
      <selection activeCell="C9" sqref="C9"/>
    </sheetView>
  </sheetViews>
  <sheetFormatPr defaultRowHeight="15" x14ac:dyDescent="0.25"/>
  <cols>
    <col min="1" max="1" width="15.42578125" bestFit="1" customWidth="1"/>
    <col min="2" max="2" width="21.85546875" bestFit="1" customWidth="1"/>
    <col min="3" max="3" width="18.28515625" bestFit="1" customWidth="1"/>
    <col min="4" max="4" width="18" bestFit="1" customWidth="1"/>
    <col min="5" max="5" width="16.140625" bestFit="1" customWidth="1"/>
    <col min="7" max="7" width="15.42578125" bestFit="1" customWidth="1"/>
    <col min="8" max="8" width="21.85546875" bestFit="1" customWidth="1"/>
    <col min="9" max="9" width="18.140625" bestFit="1" customWidth="1"/>
    <col min="10" max="10" width="18" bestFit="1" customWidth="1"/>
  </cols>
  <sheetData>
    <row r="3" spans="1:10" x14ac:dyDescent="0.25">
      <c r="A3" s="17" t="s">
        <v>1387</v>
      </c>
      <c r="B3" t="s">
        <v>1424</v>
      </c>
      <c r="C3" t="s">
        <v>1425</v>
      </c>
      <c r="D3" t="s">
        <v>1426</v>
      </c>
      <c r="E3" t="s">
        <v>1392</v>
      </c>
      <c r="G3" s="25" t="s">
        <v>4</v>
      </c>
      <c r="H3" s="25" t="s">
        <v>1424</v>
      </c>
      <c r="I3" s="25" t="s">
        <v>1425</v>
      </c>
      <c r="J3" s="25" t="s">
        <v>1426</v>
      </c>
    </row>
    <row r="4" spans="1:10" x14ac:dyDescent="0.25">
      <c r="A4" s="18" t="s">
        <v>655</v>
      </c>
      <c r="B4" s="20">
        <v>0.12148387096774195</v>
      </c>
      <c r="C4" s="20">
        <v>0.34599999999999997</v>
      </c>
      <c r="D4" s="20">
        <v>0</v>
      </c>
      <c r="E4" s="20">
        <v>62</v>
      </c>
      <c r="G4" t="str">
        <f>A4</f>
        <v>Brazil</v>
      </c>
      <c r="H4" s="8">
        <f>GETPIVOTDATA("Average of DiscountPct",$A$3,"Country","Brazil")</f>
        <v>0.12148387096774195</v>
      </c>
      <c r="I4" s="8">
        <f>GETPIVOTDATA("Max of DiscountPct",$A$3,"Country","Brazil")</f>
        <v>0.34599999999999997</v>
      </c>
      <c r="J4" s="8">
        <f>GETPIVOTDATA("Min of DiscountPct",$A$3,"Country","Brazil")</f>
        <v>0</v>
      </c>
    </row>
    <row r="5" spans="1:10" x14ac:dyDescent="0.25">
      <c r="A5" s="18" t="s">
        <v>653</v>
      </c>
      <c r="B5" s="20">
        <v>0.12322727272727278</v>
      </c>
      <c r="C5" s="20">
        <v>0.29199999999999998</v>
      </c>
      <c r="D5" s="20">
        <v>0</v>
      </c>
      <c r="E5" s="20">
        <v>44</v>
      </c>
      <c r="G5" t="str">
        <f t="shared" ref="G5:G15" si="0">A5</f>
        <v>Canada</v>
      </c>
      <c r="H5" s="8">
        <f>GETPIVOTDATA("Average of DiscountPct",$A$3,"Country","Canada")</f>
        <v>0.12322727272727278</v>
      </c>
      <c r="I5" s="8">
        <f>GETPIVOTDATA("Max of DiscountPct",$A$3,"Country","Canada")</f>
        <v>0.29199999999999998</v>
      </c>
      <c r="J5" s="8">
        <f>GETPIVOTDATA("Min of DiscountPct",$A$3,"Country","Canada")</f>
        <v>0</v>
      </c>
    </row>
    <row r="6" spans="1:10" x14ac:dyDescent="0.25">
      <c r="A6" s="18" t="s">
        <v>659</v>
      </c>
      <c r="B6" s="20">
        <v>0.11176470588235293</v>
      </c>
      <c r="C6" s="20">
        <v>0.35699999999999998</v>
      </c>
      <c r="D6" s="20">
        <v>0</v>
      </c>
      <c r="E6" s="20">
        <v>51</v>
      </c>
      <c r="G6" t="str">
        <f t="shared" si="0"/>
        <v>China</v>
      </c>
      <c r="H6" s="8">
        <f>GETPIVOTDATA("Average of DiscountPct",$A$3,"Country","China")</f>
        <v>0.11176470588235293</v>
      </c>
      <c r="I6" s="8">
        <f>GETPIVOTDATA("Max of DiscountPct",$A$3,"Country","China")</f>
        <v>0.35699999999999998</v>
      </c>
      <c r="J6" s="8">
        <f>GETPIVOTDATA("Min of DiscountPct",$A$3,"Country","China")</f>
        <v>0</v>
      </c>
    </row>
    <row r="7" spans="1:10" x14ac:dyDescent="0.25">
      <c r="A7" s="18" t="s">
        <v>657</v>
      </c>
      <c r="B7" s="20">
        <v>0.1113703703703704</v>
      </c>
      <c r="C7" s="20">
        <v>0.254</v>
      </c>
      <c r="D7" s="20">
        <v>0</v>
      </c>
      <c r="E7" s="20">
        <v>54</v>
      </c>
      <c r="G7" t="str">
        <f t="shared" si="0"/>
        <v>France</v>
      </c>
      <c r="H7" s="8">
        <f>GETPIVOTDATA("Average of DiscountPct",$A$3,"Country","France")</f>
        <v>0.1113703703703704</v>
      </c>
      <c r="I7" s="8">
        <f>GETPIVOTDATA("Max of DiscountPct",$A$3,"Country","France")</f>
        <v>0.254</v>
      </c>
      <c r="J7" s="8">
        <f>GETPIVOTDATA("Min of DiscountPct",$A$3,"Country","France")</f>
        <v>0</v>
      </c>
    </row>
    <row r="8" spans="1:10" x14ac:dyDescent="0.25">
      <c r="A8" s="18" t="s">
        <v>656</v>
      </c>
      <c r="B8" s="20">
        <v>0.11566666666666665</v>
      </c>
      <c r="C8" s="20">
        <v>0.29199999999999998</v>
      </c>
      <c r="D8" s="20">
        <v>0</v>
      </c>
      <c r="E8" s="20">
        <v>51</v>
      </c>
      <c r="G8" t="str">
        <f t="shared" si="0"/>
        <v>Germany</v>
      </c>
      <c r="H8" s="8">
        <f>GETPIVOTDATA("Average of DiscountPct",$A$3,"Country","Germany")</f>
        <v>0.11566666666666665</v>
      </c>
      <c r="I8" s="8">
        <f>GETPIVOTDATA("Max of DiscountPct",$A$3,"Country","Germany")</f>
        <v>0.29199999999999998</v>
      </c>
      <c r="J8" s="8">
        <f>GETPIVOTDATA("Min of DiscountPct",$A$3,"Country","Germany")</f>
        <v>0</v>
      </c>
    </row>
    <row r="9" spans="1:10" x14ac:dyDescent="0.25">
      <c r="A9" s="18" t="s">
        <v>654</v>
      </c>
      <c r="B9" s="20">
        <v>0.13293333333333332</v>
      </c>
      <c r="C9" s="20">
        <v>0.314</v>
      </c>
      <c r="D9" s="20">
        <v>0</v>
      </c>
      <c r="E9" s="20">
        <v>60</v>
      </c>
      <c r="G9" t="str">
        <f t="shared" si="0"/>
        <v>India</v>
      </c>
      <c r="H9" s="8">
        <f>GETPIVOTDATA("Average of DiscountPct",$A$3,"Country","India")</f>
        <v>0.13293333333333332</v>
      </c>
      <c r="I9" s="8">
        <f>GETPIVOTDATA("Max of DiscountPct",$A$3,"Country","India")</f>
        <v>0.314</v>
      </c>
      <c r="J9" s="8">
        <f>GETPIVOTDATA("Min of DiscountPct",$A$3,"Country","India")</f>
        <v>0</v>
      </c>
    </row>
    <row r="10" spans="1:10" x14ac:dyDescent="0.25">
      <c r="A10" s="18" t="s">
        <v>652</v>
      </c>
      <c r="B10" s="20">
        <v>0.13186440677966099</v>
      </c>
      <c r="C10" s="20">
        <v>0.317</v>
      </c>
      <c r="D10" s="20">
        <v>0</v>
      </c>
      <c r="E10" s="20">
        <v>59</v>
      </c>
      <c r="G10" t="str">
        <f t="shared" si="0"/>
        <v>Japan</v>
      </c>
      <c r="H10" s="8">
        <f>GETPIVOTDATA("Average of DiscountPct",$A$3,"Country","Japan")</f>
        <v>0.13186440677966099</v>
      </c>
      <c r="I10" s="8">
        <f>GETPIVOTDATA("Max of DiscountPct",$A$3,"Country","Japan")</f>
        <v>0.317</v>
      </c>
      <c r="J10" s="8">
        <f>GETPIVOTDATA("Min of DiscountPct",$A$3,"Country","Japan")</f>
        <v>0</v>
      </c>
    </row>
    <row r="11" spans="1:10" x14ac:dyDescent="0.25">
      <c r="A11" s="18" t="s">
        <v>650</v>
      </c>
      <c r="B11" s="20">
        <v>0.12455357142857146</v>
      </c>
      <c r="C11" s="20">
        <v>0.56499999999999995</v>
      </c>
      <c r="D11" s="20">
        <v>0</v>
      </c>
      <c r="E11" s="20">
        <v>56</v>
      </c>
      <c r="G11" t="str">
        <f t="shared" si="0"/>
        <v>Kenya</v>
      </c>
      <c r="H11" s="8">
        <f>GETPIVOTDATA("Average of DiscountPct",$A$3,"Country","Kenya")</f>
        <v>0.12455357142857146</v>
      </c>
      <c r="I11" s="8">
        <f>GETPIVOTDATA("Max of DiscountPct",$A$3,"Country","Kenya")</f>
        <v>0.56499999999999995</v>
      </c>
      <c r="J11" s="8">
        <f>GETPIVOTDATA("Min of DiscountPct",$A$3,"Country","Kenya")</f>
        <v>0</v>
      </c>
    </row>
    <row r="12" spans="1:10" x14ac:dyDescent="0.25">
      <c r="A12" s="18" t="s">
        <v>651</v>
      </c>
      <c r="B12" s="20">
        <v>0.11254545454545456</v>
      </c>
      <c r="C12" s="20">
        <v>0.25</v>
      </c>
      <c r="D12" s="20">
        <v>0</v>
      </c>
      <c r="E12" s="20">
        <v>44</v>
      </c>
      <c r="G12" t="str">
        <f t="shared" si="0"/>
        <v>Nigeria</v>
      </c>
      <c r="H12" s="8">
        <f>GETPIVOTDATA("Average of DiscountPct",$A$3,"Country","Nigeria")</f>
        <v>0.11254545454545456</v>
      </c>
      <c r="I12" s="8">
        <f>GETPIVOTDATA("Max of DiscountPct",$A$3,"Country","Nigeria")</f>
        <v>0.25</v>
      </c>
      <c r="J12" s="8">
        <f>GETPIVOTDATA("Min of DiscountPct",$A$3,"Country","Nigeria")</f>
        <v>0</v>
      </c>
    </row>
    <row r="13" spans="1:10" x14ac:dyDescent="0.25">
      <c r="A13" s="18" t="s">
        <v>661</v>
      </c>
      <c r="B13" s="20">
        <v>0.12015555555555552</v>
      </c>
      <c r="C13" s="20">
        <v>0.34300000000000003</v>
      </c>
      <c r="D13" s="20">
        <v>0</v>
      </c>
      <c r="E13" s="20">
        <v>45</v>
      </c>
      <c r="G13" t="str">
        <f t="shared" si="0"/>
        <v>South Africa</v>
      </c>
      <c r="H13" s="8">
        <f>GETPIVOTDATA("Average of DiscountPct",$A$3,"Country","South Africa")</f>
        <v>0.12015555555555552</v>
      </c>
      <c r="I13" s="8">
        <f>GETPIVOTDATA("Max of DiscountPct",$A$3,"Country","South Africa")</f>
        <v>0.34300000000000003</v>
      </c>
      <c r="J13" s="8">
        <f>GETPIVOTDATA("Min of DiscountPct",$A$3,"Country","South Africa")</f>
        <v>0</v>
      </c>
    </row>
    <row r="14" spans="1:10" x14ac:dyDescent="0.25">
      <c r="A14" s="18" t="s">
        <v>658</v>
      </c>
      <c r="B14" s="20">
        <v>0.11749999999999999</v>
      </c>
      <c r="C14" s="20">
        <v>0.25700000000000001</v>
      </c>
      <c r="D14" s="20">
        <v>0</v>
      </c>
      <c r="E14" s="20">
        <v>54</v>
      </c>
      <c r="G14" t="str">
        <f t="shared" si="0"/>
        <v>United Kingdom</v>
      </c>
      <c r="H14" s="8">
        <f>GETPIVOTDATA("Average of DiscountPct",$A$3,"Country","United Kingdom")</f>
        <v>0.11749999999999999</v>
      </c>
      <c r="I14" s="8">
        <f>GETPIVOTDATA("Max of DiscountPct",$A$3,"Country","United Kingdom")</f>
        <v>0.25700000000000001</v>
      </c>
      <c r="J14" s="8">
        <f>GETPIVOTDATA("Min of DiscountPct",$A$3,"Country","United Kingdom")</f>
        <v>0</v>
      </c>
    </row>
    <row r="15" spans="1:10" x14ac:dyDescent="0.25">
      <c r="A15" s="18" t="s">
        <v>660</v>
      </c>
      <c r="B15" s="20">
        <v>0.12664705882352942</v>
      </c>
      <c r="C15" s="20">
        <v>0.28199999999999997</v>
      </c>
      <c r="D15" s="20">
        <v>0</v>
      </c>
      <c r="E15" s="20">
        <v>51</v>
      </c>
      <c r="G15" t="str">
        <f t="shared" si="0"/>
        <v>USA</v>
      </c>
      <c r="H15" s="8">
        <f>GETPIVOTDATA("Average of DiscountPct",$A$3,"Country","USA")</f>
        <v>0.12664705882352942</v>
      </c>
      <c r="I15" s="8">
        <f>GETPIVOTDATA("Max of DiscountPct",$A$3,"Country","USA")</f>
        <v>0.28199999999999997</v>
      </c>
      <c r="J15" s="8">
        <f>GETPIVOTDATA("Min of DiscountPct",$A$3,"Country","USA")</f>
        <v>0</v>
      </c>
    </row>
    <row r="16" spans="1:10" x14ac:dyDescent="0.25">
      <c r="A16" s="18" t="s">
        <v>1388</v>
      </c>
      <c r="B16" s="20">
        <v>0.12117432646592705</v>
      </c>
      <c r="C16" s="20">
        <v>0.56499999999999995</v>
      </c>
      <c r="D16" s="20">
        <v>0</v>
      </c>
      <c r="E16" s="20">
        <v>631</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30302-47E1-48AA-A858-FA84D29990A6}">
  <dimension ref="A2:B4"/>
  <sheetViews>
    <sheetView workbookViewId="0">
      <selection activeCell="C9" sqref="C9"/>
    </sheetView>
  </sheetViews>
  <sheetFormatPr defaultRowHeight="15" x14ac:dyDescent="0.25"/>
  <cols>
    <col min="1" max="1" width="18.85546875" bestFit="1" customWidth="1"/>
  </cols>
  <sheetData>
    <row r="2" spans="1:2" x14ac:dyDescent="0.25">
      <c r="A2" t="s">
        <v>1428</v>
      </c>
      <c r="B2" s="8">
        <v>0.2</v>
      </c>
    </row>
    <row r="3" spans="1:2" x14ac:dyDescent="0.25">
      <c r="A3" t="s">
        <v>1429</v>
      </c>
      <c r="B3" s="8">
        <v>0.15</v>
      </c>
    </row>
    <row r="4" spans="1:2" x14ac:dyDescent="0.25">
      <c r="A4" t="s">
        <v>1430</v>
      </c>
      <c r="B4" s="8">
        <v>0.2</v>
      </c>
    </row>
  </sheetData>
  <dataValidations count="3">
    <dataValidation type="decimal" allowBlank="1" showInputMessage="1" showErrorMessage="1" sqref="B2" xr:uid="{F2CE0662-FC33-4EE9-AFB7-96D59839AF24}">
      <formula1>0</formula1>
      <formula2>0.25</formula2>
    </dataValidation>
    <dataValidation type="decimal" allowBlank="1" showInputMessage="1" showErrorMessage="1" sqref="B3" xr:uid="{12CE061E-BCB6-4294-A010-4F2C3D6E4582}">
      <formula1>0</formula1>
      <formula2>0.15</formula2>
    </dataValidation>
    <dataValidation type="decimal" allowBlank="1" showInputMessage="1" showErrorMessage="1" sqref="B4" xr:uid="{066BB27B-5D65-458E-B252-09545116C4E3}">
      <formula1>0</formula1>
      <formula2>0.2</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280E4-9547-47F7-80A1-031E6CC05166}">
  <dimension ref="A3:G4"/>
  <sheetViews>
    <sheetView workbookViewId="0">
      <selection activeCell="D12" sqref="D12"/>
    </sheetView>
  </sheetViews>
  <sheetFormatPr defaultRowHeight="15" x14ac:dyDescent="0.25"/>
  <cols>
    <col min="1" max="1" width="20.7109375" bestFit="1" customWidth="1"/>
    <col min="2" max="2" width="17.85546875" bestFit="1" customWidth="1"/>
    <col min="3" max="3" width="23.42578125" bestFit="1" customWidth="1"/>
    <col min="4" max="4" width="25.7109375" bestFit="1" customWidth="1"/>
    <col min="6" max="6" width="18.140625" bestFit="1" customWidth="1"/>
    <col min="7" max="7" width="15.140625" bestFit="1" customWidth="1"/>
  </cols>
  <sheetData>
    <row r="3" spans="1:7" x14ac:dyDescent="0.25">
      <c r="A3" t="s">
        <v>1389</v>
      </c>
      <c r="B3" t="s">
        <v>1410</v>
      </c>
      <c r="C3" t="s">
        <v>1437</v>
      </c>
      <c r="D3" t="s">
        <v>1438</v>
      </c>
      <c r="F3" s="25" t="s">
        <v>1439</v>
      </c>
      <c r="G3" s="25" t="s">
        <v>1440</v>
      </c>
    </row>
    <row r="4" spans="1:7" x14ac:dyDescent="0.25">
      <c r="A4" s="33">
        <v>10922251.011479998</v>
      </c>
      <c r="B4" s="33">
        <v>3426055.801479998</v>
      </c>
      <c r="C4" s="33">
        <v>12105550.576999005</v>
      </c>
      <c r="D4" s="33">
        <v>3035154.3728990005</v>
      </c>
      <c r="F4" s="8">
        <f>(GETPIVOTDATA("Sum of ScenarioRevenue",$A$3)-GETPIVOTDATA("Sum of GrossRevenue",$A$3))/GETPIVOTDATA("Sum of GrossRevenue",$A$3)</f>
        <v>0.10833843355873088</v>
      </c>
      <c r="G4" s="8">
        <f>(GETPIVOTDATA("Sum of ScenarioGrossProfit",$A$3)-GETPIVOTDATA("Sum of GrossProfit",$A$3))/GETPIVOTDATA("Sum of GrossProfit",$A$3)</f>
        <v>-0.1140966321716461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ED056-CB2E-49DA-8079-4ECE5540072A}">
  <dimension ref="A3:C58"/>
  <sheetViews>
    <sheetView workbookViewId="0">
      <selection activeCell="I24" sqref="I24"/>
    </sheetView>
  </sheetViews>
  <sheetFormatPr defaultRowHeight="15" x14ac:dyDescent="0.25"/>
  <cols>
    <col min="1" max="1" width="24.85546875" bestFit="1" customWidth="1"/>
    <col min="2" max="2" width="16.28515625" bestFit="1" customWidth="1"/>
    <col min="3" max="4" width="11.28515625" bestFit="1" customWidth="1"/>
  </cols>
  <sheetData>
    <row r="3" spans="1:3" x14ac:dyDescent="0.25">
      <c r="A3" s="17" t="s">
        <v>1441</v>
      </c>
      <c r="B3" s="17" t="s">
        <v>1393</v>
      </c>
    </row>
    <row r="4" spans="1:3" x14ac:dyDescent="0.25">
      <c r="A4" s="17" t="s">
        <v>1387</v>
      </c>
      <c r="B4" t="s">
        <v>1416</v>
      </c>
      <c r="C4" t="s">
        <v>1388</v>
      </c>
    </row>
    <row r="5" spans="1:3" x14ac:dyDescent="0.25">
      <c r="A5" s="18" t="s">
        <v>646</v>
      </c>
      <c r="B5" s="54">
        <v>0.3</v>
      </c>
      <c r="C5" s="54">
        <v>0.3</v>
      </c>
    </row>
    <row r="6" spans="1:3" x14ac:dyDescent="0.25">
      <c r="A6" s="19" t="s">
        <v>650</v>
      </c>
      <c r="B6" s="54">
        <v>0.3</v>
      </c>
      <c r="C6" s="54">
        <v>0.3</v>
      </c>
    </row>
    <row r="7" spans="1:3" x14ac:dyDescent="0.25">
      <c r="A7" s="44" t="s">
        <v>662</v>
      </c>
      <c r="B7" s="54">
        <v>0.24299999999999999</v>
      </c>
      <c r="C7" s="54">
        <v>0.24299999999999999</v>
      </c>
    </row>
    <row r="8" spans="1:3" x14ac:dyDescent="0.25">
      <c r="A8" s="44" t="s">
        <v>675</v>
      </c>
      <c r="B8" s="54">
        <v>0.3</v>
      </c>
      <c r="C8" s="54">
        <v>0.3</v>
      </c>
    </row>
    <row r="9" spans="1:3" x14ac:dyDescent="0.25">
      <c r="A9" s="44" t="s">
        <v>664</v>
      </c>
      <c r="B9" s="54">
        <v>0.3</v>
      </c>
      <c r="C9" s="54">
        <v>0.3</v>
      </c>
    </row>
    <row r="10" spans="1:3" x14ac:dyDescent="0.25">
      <c r="A10" s="44" t="s">
        <v>678</v>
      </c>
      <c r="B10" s="54">
        <v>0.22500000000000001</v>
      </c>
      <c r="C10" s="54">
        <v>0.22500000000000001</v>
      </c>
    </row>
    <row r="11" spans="1:3" x14ac:dyDescent="0.25">
      <c r="A11" s="19" t="s">
        <v>651</v>
      </c>
      <c r="B11" s="54">
        <v>0.25</v>
      </c>
      <c r="C11" s="54">
        <v>0.25</v>
      </c>
    </row>
    <row r="12" spans="1:3" x14ac:dyDescent="0.25">
      <c r="A12" s="44" t="s">
        <v>663</v>
      </c>
      <c r="B12" s="54">
        <v>0.25</v>
      </c>
      <c r="C12" s="54">
        <v>0.25</v>
      </c>
    </row>
    <row r="13" spans="1:3" x14ac:dyDescent="0.25">
      <c r="A13" s="19" t="s">
        <v>661</v>
      </c>
      <c r="B13" s="54">
        <v>0.3</v>
      </c>
      <c r="C13" s="54">
        <v>0.3</v>
      </c>
    </row>
    <row r="14" spans="1:3" x14ac:dyDescent="0.25">
      <c r="A14" s="44" t="s">
        <v>687</v>
      </c>
      <c r="B14" s="54">
        <v>0.3</v>
      </c>
      <c r="C14" s="54">
        <v>0.3</v>
      </c>
    </row>
    <row r="15" spans="1:3" x14ac:dyDescent="0.25">
      <c r="A15" s="44" t="s">
        <v>682</v>
      </c>
      <c r="B15" s="54">
        <v>0.27800000000000002</v>
      </c>
      <c r="C15" s="54">
        <v>0.27800000000000002</v>
      </c>
    </row>
    <row r="16" spans="1:3" x14ac:dyDescent="0.25">
      <c r="A16" s="18" t="s">
        <v>648</v>
      </c>
      <c r="B16" s="54">
        <v>0.3</v>
      </c>
      <c r="C16" s="54">
        <v>0.3</v>
      </c>
    </row>
    <row r="17" spans="1:3" x14ac:dyDescent="0.25">
      <c r="A17" s="19" t="s">
        <v>655</v>
      </c>
      <c r="B17" s="54">
        <v>0.3</v>
      </c>
      <c r="C17" s="54">
        <v>0.3</v>
      </c>
    </row>
    <row r="18" spans="1:3" x14ac:dyDescent="0.25">
      <c r="A18" s="44" t="s">
        <v>672</v>
      </c>
      <c r="B18" s="54">
        <v>0.22600000000000001</v>
      </c>
      <c r="C18" s="54">
        <v>0.22600000000000001</v>
      </c>
    </row>
    <row r="19" spans="1:3" x14ac:dyDescent="0.25">
      <c r="A19" s="44" t="s">
        <v>692</v>
      </c>
      <c r="B19" s="54">
        <v>0.26600000000000001</v>
      </c>
      <c r="C19" s="54">
        <v>0.26600000000000001</v>
      </c>
    </row>
    <row r="20" spans="1:3" x14ac:dyDescent="0.25">
      <c r="A20" s="44" t="s">
        <v>670</v>
      </c>
      <c r="B20" s="54">
        <v>0.3</v>
      </c>
      <c r="C20" s="54">
        <v>0.3</v>
      </c>
    </row>
    <row r="21" spans="1:3" x14ac:dyDescent="0.25">
      <c r="A21" s="44" t="s">
        <v>1367</v>
      </c>
      <c r="B21" s="54">
        <v>0.21</v>
      </c>
      <c r="C21" s="54">
        <v>0.21</v>
      </c>
    </row>
    <row r="22" spans="1:3" x14ac:dyDescent="0.25">
      <c r="A22" s="19" t="s">
        <v>653</v>
      </c>
      <c r="B22" s="54">
        <v>0.29199999999999998</v>
      </c>
      <c r="C22" s="54">
        <v>0.29199999999999998</v>
      </c>
    </row>
    <row r="23" spans="1:3" x14ac:dyDescent="0.25">
      <c r="A23" s="44" t="s">
        <v>681</v>
      </c>
      <c r="B23" s="54">
        <v>0.26300000000000001</v>
      </c>
      <c r="C23" s="54">
        <v>0.26300000000000001</v>
      </c>
    </row>
    <row r="24" spans="1:3" x14ac:dyDescent="0.25">
      <c r="A24" s="44" t="s">
        <v>667</v>
      </c>
      <c r="B24" s="54">
        <v>0.29199999999999998</v>
      </c>
      <c r="C24" s="54">
        <v>0.29199999999999998</v>
      </c>
    </row>
    <row r="25" spans="1:3" x14ac:dyDescent="0.25">
      <c r="A25" s="44" t="s">
        <v>688</v>
      </c>
      <c r="B25" s="54">
        <v>0.24099999999999999</v>
      </c>
      <c r="C25" s="54">
        <v>0.24099999999999999</v>
      </c>
    </row>
    <row r="26" spans="1:3" x14ac:dyDescent="0.25">
      <c r="A26" s="19" t="s">
        <v>660</v>
      </c>
      <c r="B26" s="54">
        <v>0.28199999999999997</v>
      </c>
      <c r="C26" s="54">
        <v>0.28199999999999997</v>
      </c>
    </row>
    <row r="27" spans="1:3" x14ac:dyDescent="0.25">
      <c r="A27" s="44" t="s">
        <v>697</v>
      </c>
      <c r="B27" s="54">
        <v>0.25600000000000001</v>
      </c>
      <c r="C27" s="54">
        <v>0.25600000000000001</v>
      </c>
    </row>
    <row r="28" spans="1:3" x14ac:dyDescent="0.25">
      <c r="A28" s="44" t="s">
        <v>677</v>
      </c>
      <c r="B28" s="54">
        <v>0.25800000000000001</v>
      </c>
      <c r="C28" s="54">
        <v>0.25800000000000001</v>
      </c>
    </row>
    <row r="29" spans="1:3" x14ac:dyDescent="0.25">
      <c r="A29" s="44" t="s">
        <v>700</v>
      </c>
      <c r="B29" s="54">
        <v>0.21199999999999999</v>
      </c>
      <c r="C29" s="54">
        <v>0.21199999999999999</v>
      </c>
    </row>
    <row r="30" spans="1:3" x14ac:dyDescent="0.25">
      <c r="A30" s="44" t="s">
        <v>686</v>
      </c>
      <c r="B30" s="54">
        <v>0.28199999999999997</v>
      </c>
      <c r="C30" s="54">
        <v>0.28199999999999997</v>
      </c>
    </row>
    <row r="31" spans="1:3" x14ac:dyDescent="0.25">
      <c r="A31" s="18" t="s">
        <v>647</v>
      </c>
      <c r="B31" s="54">
        <v>0.3</v>
      </c>
      <c r="C31" s="54">
        <v>0.3</v>
      </c>
    </row>
    <row r="32" spans="1:3" x14ac:dyDescent="0.25">
      <c r="A32" s="19" t="s">
        <v>659</v>
      </c>
      <c r="B32" s="54">
        <v>0.3</v>
      </c>
      <c r="C32" s="54">
        <v>0.3</v>
      </c>
    </row>
    <row r="33" spans="1:3" x14ac:dyDescent="0.25">
      <c r="A33" s="44" t="s">
        <v>699</v>
      </c>
      <c r="B33" s="54">
        <v>0.25900000000000001</v>
      </c>
      <c r="C33" s="54">
        <v>0.25900000000000001</v>
      </c>
    </row>
    <row r="34" spans="1:3" x14ac:dyDescent="0.25">
      <c r="A34" s="44" t="s">
        <v>685</v>
      </c>
      <c r="B34" s="54">
        <v>0.3</v>
      </c>
      <c r="C34" s="54">
        <v>0.3</v>
      </c>
    </row>
    <row r="35" spans="1:3" x14ac:dyDescent="0.25">
      <c r="A35" s="44" t="s">
        <v>676</v>
      </c>
      <c r="B35" s="54">
        <v>0.27200000000000002</v>
      </c>
      <c r="C35" s="54">
        <v>0.27200000000000002</v>
      </c>
    </row>
    <row r="36" spans="1:3" x14ac:dyDescent="0.25">
      <c r="A36" s="44" t="s">
        <v>1367</v>
      </c>
      <c r="B36" s="54">
        <v>0.217</v>
      </c>
      <c r="C36" s="54">
        <v>0.217</v>
      </c>
    </row>
    <row r="37" spans="1:3" x14ac:dyDescent="0.25">
      <c r="A37" s="19" t="s">
        <v>654</v>
      </c>
      <c r="B37" s="54">
        <v>0.3</v>
      </c>
      <c r="C37" s="54">
        <v>0.3</v>
      </c>
    </row>
    <row r="38" spans="1:3" x14ac:dyDescent="0.25">
      <c r="A38" s="44" t="s">
        <v>668</v>
      </c>
      <c r="B38" s="54">
        <v>0.29499999999999998</v>
      </c>
      <c r="C38" s="54">
        <v>0.29499999999999998</v>
      </c>
    </row>
    <row r="39" spans="1:3" x14ac:dyDescent="0.25">
      <c r="A39" s="44" t="s">
        <v>680</v>
      </c>
      <c r="B39" s="54">
        <v>0.27</v>
      </c>
      <c r="C39" s="54">
        <v>0.27</v>
      </c>
    </row>
    <row r="40" spans="1:3" x14ac:dyDescent="0.25">
      <c r="A40" s="44" t="s">
        <v>696</v>
      </c>
      <c r="B40" s="54">
        <v>0.245</v>
      </c>
      <c r="C40" s="54">
        <v>0.245</v>
      </c>
    </row>
    <row r="41" spans="1:3" x14ac:dyDescent="0.25">
      <c r="A41" s="44" t="s">
        <v>691</v>
      </c>
      <c r="B41" s="54">
        <v>0.3</v>
      </c>
      <c r="C41" s="54">
        <v>0.3</v>
      </c>
    </row>
    <row r="42" spans="1:3" x14ac:dyDescent="0.25">
      <c r="A42" s="19" t="s">
        <v>652</v>
      </c>
      <c r="B42" s="54">
        <v>0.3</v>
      </c>
      <c r="C42" s="54">
        <v>0.3</v>
      </c>
    </row>
    <row r="43" spans="1:3" x14ac:dyDescent="0.25">
      <c r="A43" s="44" t="s">
        <v>694</v>
      </c>
      <c r="B43" s="54">
        <v>0.24099999999999999</v>
      </c>
      <c r="C43" s="54">
        <v>0.24099999999999999</v>
      </c>
    </row>
    <row r="44" spans="1:3" x14ac:dyDescent="0.25">
      <c r="A44" s="44" t="s">
        <v>666</v>
      </c>
      <c r="B44" s="54">
        <v>0.25</v>
      </c>
      <c r="C44" s="54">
        <v>0.25</v>
      </c>
    </row>
    <row r="45" spans="1:3" x14ac:dyDescent="0.25">
      <c r="A45" s="44" t="s">
        <v>689</v>
      </c>
      <c r="B45" s="54">
        <v>0.3</v>
      </c>
      <c r="C45" s="54">
        <v>0.3</v>
      </c>
    </row>
    <row r="46" spans="1:3" x14ac:dyDescent="0.25">
      <c r="A46" s="18" t="s">
        <v>649</v>
      </c>
      <c r="B46" s="54">
        <v>0.29199999999999998</v>
      </c>
      <c r="C46" s="54">
        <v>0.29199999999999998</v>
      </c>
    </row>
    <row r="47" spans="1:3" x14ac:dyDescent="0.25">
      <c r="A47" s="19" t="s">
        <v>657</v>
      </c>
      <c r="B47" s="54">
        <v>0.254</v>
      </c>
      <c r="C47" s="54">
        <v>0.254</v>
      </c>
    </row>
    <row r="48" spans="1:3" x14ac:dyDescent="0.25">
      <c r="A48" s="44" t="s">
        <v>673</v>
      </c>
      <c r="B48" s="54">
        <v>0.254</v>
      </c>
      <c r="C48" s="54">
        <v>0.254</v>
      </c>
    </row>
    <row r="49" spans="1:3" x14ac:dyDescent="0.25">
      <c r="A49" s="44" t="s">
        <v>690</v>
      </c>
      <c r="B49" s="54">
        <v>0.222</v>
      </c>
      <c r="C49" s="54">
        <v>0.222</v>
      </c>
    </row>
    <row r="50" spans="1:3" x14ac:dyDescent="0.25">
      <c r="A50" s="19" t="s">
        <v>656</v>
      </c>
      <c r="B50" s="54">
        <v>0.29199999999999998</v>
      </c>
      <c r="C50" s="54">
        <v>0.29199999999999998</v>
      </c>
    </row>
    <row r="51" spans="1:3" x14ac:dyDescent="0.25">
      <c r="A51" s="44" t="s">
        <v>671</v>
      </c>
      <c r="B51" s="54">
        <v>0.29199999999999998</v>
      </c>
      <c r="C51" s="54">
        <v>0.29199999999999998</v>
      </c>
    </row>
    <row r="52" spans="1:3" x14ac:dyDescent="0.25">
      <c r="A52" s="44" t="s">
        <v>698</v>
      </c>
      <c r="B52" s="54">
        <v>0.23799999999999999</v>
      </c>
      <c r="C52" s="54">
        <v>0.23799999999999999</v>
      </c>
    </row>
    <row r="53" spans="1:3" x14ac:dyDescent="0.25">
      <c r="A53" s="44" t="s">
        <v>684</v>
      </c>
      <c r="B53" s="54">
        <v>0.24299999999999999</v>
      </c>
      <c r="C53" s="54">
        <v>0.24299999999999999</v>
      </c>
    </row>
    <row r="54" spans="1:3" x14ac:dyDescent="0.25">
      <c r="A54" s="19" t="s">
        <v>658</v>
      </c>
      <c r="B54" s="54">
        <v>0.25700000000000001</v>
      </c>
      <c r="C54" s="54">
        <v>0.25700000000000001</v>
      </c>
    </row>
    <row r="55" spans="1:3" x14ac:dyDescent="0.25">
      <c r="A55" s="44" t="s">
        <v>674</v>
      </c>
      <c r="B55" s="54">
        <v>0.255</v>
      </c>
      <c r="C55" s="54">
        <v>0.255</v>
      </c>
    </row>
    <row r="56" spans="1:3" x14ac:dyDescent="0.25">
      <c r="A56" s="44" t="s">
        <v>683</v>
      </c>
      <c r="B56" s="54">
        <v>0.23899999999999999</v>
      </c>
      <c r="C56" s="54">
        <v>0.23899999999999999</v>
      </c>
    </row>
    <row r="57" spans="1:3" x14ac:dyDescent="0.25">
      <c r="A57" s="44" t="s">
        <v>693</v>
      </c>
      <c r="B57" s="54">
        <v>0.25700000000000001</v>
      </c>
      <c r="C57" s="54">
        <v>0.25700000000000001</v>
      </c>
    </row>
    <row r="58" spans="1:3" x14ac:dyDescent="0.25">
      <c r="A58" s="18" t="s">
        <v>1388</v>
      </c>
      <c r="B58" s="54">
        <v>0.3</v>
      </c>
      <c r="C58" s="54">
        <v>0.3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43FD9-2368-4753-A75F-868AEAF50ED0}">
  <dimension ref="A3:B8"/>
  <sheetViews>
    <sheetView tabSelected="1" workbookViewId="0">
      <selection activeCell="D12" sqref="D12"/>
    </sheetView>
  </sheetViews>
  <sheetFormatPr defaultRowHeight="15" x14ac:dyDescent="0.25"/>
  <cols>
    <col min="1" max="1" width="13.140625" bestFit="1" customWidth="1"/>
    <col min="2" max="2" width="28.42578125" bestFit="1" customWidth="1"/>
  </cols>
  <sheetData>
    <row r="3" spans="1:2" x14ac:dyDescent="0.25">
      <c r="A3" s="17" t="s">
        <v>1387</v>
      </c>
      <c r="B3" t="s">
        <v>1442</v>
      </c>
    </row>
    <row r="4" spans="1:2" x14ac:dyDescent="0.25">
      <c r="A4" s="18" t="s">
        <v>646</v>
      </c>
      <c r="B4" s="54">
        <v>0.11729655172413797</v>
      </c>
    </row>
    <row r="5" spans="1:2" x14ac:dyDescent="0.25">
      <c r="A5" s="18" t="s">
        <v>648</v>
      </c>
      <c r="B5" s="54">
        <v>0.12335668789808921</v>
      </c>
    </row>
    <row r="6" spans="1:2" x14ac:dyDescent="0.25">
      <c r="A6" s="18" t="s">
        <v>647</v>
      </c>
      <c r="B6" s="54">
        <v>0.12569411764705882</v>
      </c>
    </row>
    <row r="7" spans="1:2" x14ac:dyDescent="0.25">
      <c r="A7" s="18" t="s">
        <v>649</v>
      </c>
      <c r="B7" s="54">
        <v>0.11467721518987339</v>
      </c>
    </row>
    <row r="8" spans="1:2" x14ac:dyDescent="0.25">
      <c r="A8" s="18" t="s">
        <v>1388</v>
      </c>
      <c r="B8" s="54">
        <v>0.12041587301587311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tabColor rgb="FFFFC000"/>
  </sheetPr>
  <dimension ref="A1:AJ633"/>
  <sheetViews>
    <sheetView topLeftCell="A491" workbookViewId="0">
      <pane xSplit="1" topLeftCell="T1" activePane="topRight" state="frozen"/>
      <selection activeCell="T594" sqref="T594"/>
      <selection pane="topRight" activeCell="L132" sqref="L132"/>
    </sheetView>
  </sheetViews>
  <sheetFormatPr defaultRowHeight="15" x14ac:dyDescent="0.25"/>
  <cols>
    <col min="1" max="1" width="16.42578125" style="12" bestFit="1" customWidth="1"/>
    <col min="2" max="2" width="10.7109375" style="27" bestFit="1" customWidth="1"/>
    <col min="3" max="3" width="13.5703125" style="4" bestFit="1" customWidth="1"/>
    <col min="4" max="4" width="9.140625" style="12"/>
    <col min="5" max="5" width="15.42578125" style="12" bestFit="1" customWidth="1"/>
    <col min="6" max="6" width="13.5703125" style="12" bestFit="1" customWidth="1"/>
    <col min="7" max="7" width="17.7109375" style="12" bestFit="1" customWidth="1"/>
    <col min="8" max="8" width="12" style="12" bestFit="1" customWidth="1"/>
    <col min="9" max="9" width="11.7109375" style="12" bestFit="1" customWidth="1"/>
    <col min="10" max="10" width="15.85546875" style="12" bestFit="1" customWidth="1"/>
    <col min="11" max="11" width="10.28515625" style="12" bestFit="1" customWidth="1"/>
    <col min="12" max="12" width="8.7109375" style="6" bestFit="1" customWidth="1"/>
    <col min="13" max="13" width="13.85546875" style="6" bestFit="1" customWidth="1"/>
    <col min="14" max="15" width="12.7109375" style="6" customWidth="1"/>
    <col min="16" max="16" width="16" style="6" bestFit="1" customWidth="1"/>
    <col min="17" max="17" width="14.5703125" style="6" customWidth="1"/>
    <col min="18" max="18" width="13.28515625" style="6" bestFit="1" customWidth="1"/>
    <col min="19" max="19" width="14.140625" style="6" customWidth="1"/>
    <col min="20" max="20" width="11.85546875" customWidth="1"/>
    <col min="21" max="21" width="13.85546875" bestFit="1" customWidth="1"/>
    <col min="22" max="22" width="14" bestFit="1" customWidth="1"/>
    <col min="23" max="23" width="12.7109375" bestFit="1" customWidth="1"/>
    <col min="24" max="24" width="11" bestFit="1" customWidth="1"/>
    <col min="25" max="25" width="10" bestFit="1" customWidth="1"/>
    <col min="26" max="26" width="9.140625" style="4"/>
    <col min="27" max="28" width="12.28515625" bestFit="1" customWidth="1"/>
    <col min="29" max="29" width="16.42578125" bestFit="1" customWidth="1"/>
    <col min="30" max="30" width="16.7109375" bestFit="1" customWidth="1"/>
    <col min="31" max="31" width="16.42578125" bestFit="1" customWidth="1"/>
    <col min="32" max="32" width="16.28515625" bestFit="1" customWidth="1"/>
    <col min="33" max="33" width="16.42578125" bestFit="1" customWidth="1"/>
    <col min="34" max="34" width="16.7109375" bestFit="1" customWidth="1"/>
    <col min="35" max="35" width="13.85546875" bestFit="1" customWidth="1"/>
    <col min="36" max="36" width="18.85546875" bestFit="1" customWidth="1"/>
  </cols>
  <sheetData>
    <row r="1" spans="1:36" x14ac:dyDescent="0.25">
      <c r="A1" s="13" t="s">
        <v>0</v>
      </c>
      <c r="B1" s="26" t="s">
        <v>1</v>
      </c>
      <c r="C1" s="3" t="s">
        <v>2</v>
      </c>
      <c r="D1" s="13" t="s">
        <v>3</v>
      </c>
      <c r="E1" s="13" t="s">
        <v>4</v>
      </c>
      <c r="F1" s="13" t="s">
        <v>5</v>
      </c>
      <c r="G1" s="13" t="s">
        <v>6</v>
      </c>
      <c r="H1" s="13" t="s">
        <v>7</v>
      </c>
      <c r="I1" s="13" t="s">
        <v>8</v>
      </c>
      <c r="J1" s="13" t="s">
        <v>9</v>
      </c>
      <c r="K1" s="13" t="s">
        <v>10</v>
      </c>
      <c r="L1" s="5" t="s">
        <v>11</v>
      </c>
      <c r="M1" s="5" t="s">
        <v>12</v>
      </c>
      <c r="N1" s="22" t="s">
        <v>1380</v>
      </c>
      <c r="O1" s="22" t="s">
        <v>1414</v>
      </c>
      <c r="P1" s="5" t="s">
        <v>13</v>
      </c>
      <c r="Q1" s="22" t="s">
        <v>1381</v>
      </c>
      <c r="R1" s="5" t="s">
        <v>14</v>
      </c>
      <c r="S1" s="5" t="s">
        <v>1383</v>
      </c>
      <c r="T1" s="22" t="s">
        <v>1382</v>
      </c>
      <c r="U1" s="5" t="s">
        <v>1372</v>
      </c>
      <c r="V1" s="23" t="s">
        <v>1374</v>
      </c>
      <c r="W1" s="23" t="s">
        <v>1375</v>
      </c>
      <c r="X1" s="23" t="s">
        <v>1376</v>
      </c>
      <c r="Y1" s="23" t="s">
        <v>1377</v>
      </c>
      <c r="Z1" s="3" t="s">
        <v>1378</v>
      </c>
      <c r="AA1" s="1" t="s">
        <v>1384</v>
      </c>
      <c r="AB1" s="1" t="s">
        <v>1385</v>
      </c>
      <c r="AC1" s="24" t="s">
        <v>1390</v>
      </c>
      <c r="AD1" s="24" t="s">
        <v>1391</v>
      </c>
      <c r="AE1" s="1" t="s">
        <v>1431</v>
      </c>
      <c r="AF1" s="1" t="s">
        <v>1432</v>
      </c>
      <c r="AG1" s="1" t="s">
        <v>1433</v>
      </c>
      <c r="AH1" s="1" t="s">
        <v>1434</v>
      </c>
      <c r="AI1" s="1" t="s">
        <v>1435</v>
      </c>
      <c r="AJ1" s="1" t="s">
        <v>1436</v>
      </c>
    </row>
    <row r="2" spans="1:36" hidden="1" x14ac:dyDescent="0.25">
      <c r="A2" s="12" t="s">
        <v>195</v>
      </c>
      <c r="B2" s="27">
        <v>45915</v>
      </c>
      <c r="C2" s="4">
        <v>45918</v>
      </c>
      <c r="D2" s="12" t="s">
        <v>648</v>
      </c>
      <c r="E2" s="12" t="s">
        <v>655</v>
      </c>
      <c r="F2" s="12" t="s">
        <v>692</v>
      </c>
      <c r="G2" s="12" t="s">
        <v>703</v>
      </c>
      <c r="H2" s="12" t="s">
        <v>711</v>
      </c>
      <c r="I2" s="12" t="s">
        <v>716</v>
      </c>
      <c r="J2" s="12" t="s">
        <v>733</v>
      </c>
      <c r="K2" s="12" t="s">
        <v>914</v>
      </c>
      <c r="L2" s="6">
        <v>5.5</v>
      </c>
      <c r="M2" s="6">
        <v>5.92</v>
      </c>
      <c r="N2" s="6">
        <f t="shared" ref="N2:N65" si="0">ABS(M2)</f>
        <v>5.92</v>
      </c>
      <c r="O2" s="6" t="str">
        <f>IF(N2&lt;=QUARTILE(N2:N632,1), "Low", IF(N2&lt;=QUARTILE(N2:N632,2),"Middle", "High"))</f>
        <v>Low</v>
      </c>
      <c r="P2" s="6">
        <v>0.21199999999999999</v>
      </c>
      <c r="Q2" s="6">
        <f t="shared" ref="Q2:Q65" si="1">IF(P2&gt;0.3, 0.3, P2)</f>
        <v>0.21199999999999999</v>
      </c>
      <c r="R2" s="6">
        <v>4</v>
      </c>
      <c r="S2" s="6" t="str">
        <f t="shared" ref="S2:S65" si="2">IFERROR(IF(C2&lt;B2,"Correct", "OK"), "Error")</f>
        <v>OK</v>
      </c>
      <c r="T2" s="4">
        <f>IF(C2&lt;B2,B2+7,C2)</f>
        <v>45918</v>
      </c>
      <c r="U2" s="11">
        <f t="shared" ref="U2:U65" si="3">T2-B2</f>
        <v>3</v>
      </c>
      <c r="V2" s="6">
        <f>N2*R2*(1-Q2)</f>
        <v>18.659839999999999</v>
      </c>
      <c r="W2" s="6">
        <f t="shared" ref="W2:W65" si="4">L2*R2</f>
        <v>22</v>
      </c>
      <c r="X2" s="6">
        <f t="shared" ref="X2:X65" si="5">V2-W2</f>
        <v>-3.3401600000000009</v>
      </c>
      <c r="Y2" s="6">
        <f t="shared" ref="Y2:Y65" si="6">IF(V2=0, 0, X2/V2)</f>
        <v>-0.17900260666758133</v>
      </c>
      <c r="Z2" s="4" t="str">
        <f t="shared" ref="Z2:Z65" si="7">"Q"&amp;ROUNDUP(MONTH(B2)/3,0)&amp;"-"&amp;YEAR(B2)</f>
        <v>Q3-2025</v>
      </c>
      <c r="AA2" t="str">
        <f t="shared" ref="AA2:AA65" si="8">PROPER(J2)</f>
        <v>Accessories</v>
      </c>
      <c r="AB2" t="str">
        <f t="shared" ref="AB2:AB65" si="9">TRIM(J2)</f>
        <v>Accessories</v>
      </c>
      <c r="AC2" t="str">
        <f t="shared" ref="AC2:AC65" si="10">IF(Q2&gt;20%, "Non-compliant","Compliant")</f>
        <v>Non-compliant</v>
      </c>
      <c r="AD2" t="str">
        <f t="shared" ref="AD2:AD65" si="11">IF(U2&lt;=7,"On-time","Late")</f>
        <v>On-time</v>
      </c>
      <c r="AE2" s="8">
        <f>MIN(Q2,Scenario!$B$2)</f>
        <v>0.2</v>
      </c>
      <c r="AF2" s="33">
        <f>L2*(1+Scenario!$B$3)</f>
        <v>6.3249999999999993</v>
      </c>
      <c r="AG2" s="6">
        <f>R2*(1+Scenario!$B$4)</f>
        <v>4.8</v>
      </c>
      <c r="AH2" s="33">
        <f>N2*AG2*(1-AE2)</f>
        <v>22.732800000000001</v>
      </c>
      <c r="AI2" s="33">
        <f>AF2*AG2</f>
        <v>30.359999999999996</v>
      </c>
      <c r="AJ2" s="33">
        <f>AH2-AI2</f>
        <v>-7.6271999999999949</v>
      </c>
    </row>
    <row r="3" spans="1:36" hidden="1" x14ac:dyDescent="0.25">
      <c r="A3" s="12" t="s">
        <v>29</v>
      </c>
      <c r="B3" s="27">
        <v>45901</v>
      </c>
      <c r="C3" s="4">
        <v>45930</v>
      </c>
      <c r="D3" s="12" t="s">
        <v>648</v>
      </c>
      <c r="E3" s="12" t="s">
        <v>655</v>
      </c>
      <c r="F3" s="12" t="s">
        <v>672</v>
      </c>
      <c r="G3" s="12" t="s">
        <v>702</v>
      </c>
      <c r="H3" s="12" t="s">
        <v>707</v>
      </c>
      <c r="I3" s="12" t="s">
        <v>723</v>
      </c>
      <c r="J3" s="12" t="s">
        <v>733</v>
      </c>
      <c r="K3" s="12" t="s">
        <v>748</v>
      </c>
      <c r="L3" s="6">
        <v>780.59</v>
      </c>
      <c r="M3" s="6">
        <v>631.57000000000005</v>
      </c>
      <c r="N3" s="6">
        <f t="shared" si="0"/>
        <v>631.57000000000005</v>
      </c>
      <c r="O3" s="6" t="str">
        <f t="shared" ref="O3:O66" si="12">IF(N3&lt;=QUARTILE(N3:N633,1), "Low", IF(N3&lt;=QUARTILE(N3:N633,2),"Middle", "High"))</f>
        <v>Middle</v>
      </c>
      <c r="P3" s="6">
        <v>0</v>
      </c>
      <c r="Q3" s="6">
        <f t="shared" si="1"/>
        <v>0</v>
      </c>
      <c r="R3" s="6">
        <v>12</v>
      </c>
      <c r="S3" s="6" t="str">
        <f t="shared" si="2"/>
        <v>OK</v>
      </c>
      <c r="T3" s="4">
        <f t="shared" ref="T2:T65" si="13">IF(C3&lt;B3,B3+7,C3)</f>
        <v>45930</v>
      </c>
      <c r="U3" s="11">
        <f t="shared" si="3"/>
        <v>29</v>
      </c>
      <c r="V3" s="6">
        <f t="shared" ref="V3:V65" si="14">N3*R3*(1-Q3)</f>
        <v>7578.84</v>
      </c>
      <c r="W3" s="6">
        <f t="shared" si="4"/>
        <v>9367.08</v>
      </c>
      <c r="X3" s="6">
        <f t="shared" si="5"/>
        <v>-1788.2399999999998</v>
      </c>
      <c r="Y3" s="6">
        <f t="shared" si="6"/>
        <v>-0.23595167598207639</v>
      </c>
      <c r="Z3" s="4" t="str">
        <f t="shared" si="7"/>
        <v>Q3-2025</v>
      </c>
      <c r="AA3" t="str">
        <f t="shared" si="8"/>
        <v>Accessories</v>
      </c>
      <c r="AB3" t="str">
        <f t="shared" si="9"/>
        <v>Accessories</v>
      </c>
      <c r="AC3" t="str">
        <f t="shared" si="10"/>
        <v>Compliant</v>
      </c>
      <c r="AD3" t="str">
        <f t="shared" si="11"/>
        <v>Late</v>
      </c>
      <c r="AE3" s="8">
        <f>MIN(Q3,Scenario!$B$2)</f>
        <v>0</v>
      </c>
      <c r="AF3" s="33">
        <f>L3*(1+Scenario!$B$3)</f>
        <v>897.67849999999999</v>
      </c>
      <c r="AG3" s="6">
        <f>R3*(1+Scenario!$B$4)</f>
        <v>14.399999999999999</v>
      </c>
      <c r="AH3" s="33">
        <f t="shared" ref="AH3:AH66" si="15">N3*AG3*(1-AE3)</f>
        <v>9094.6080000000002</v>
      </c>
      <c r="AI3" s="33">
        <f t="shared" ref="AI3:AI66" si="16">AF3*AG3</f>
        <v>12926.570399999999</v>
      </c>
      <c r="AJ3" s="33">
        <f t="shared" ref="AJ3:AJ66" si="17">AH3-AI3</f>
        <v>-3831.9623999999985</v>
      </c>
    </row>
    <row r="4" spans="1:36" hidden="1" x14ac:dyDescent="0.25">
      <c r="A4" s="12" t="s">
        <v>161</v>
      </c>
      <c r="B4" s="27">
        <v>45911</v>
      </c>
      <c r="C4" s="4">
        <v>45928</v>
      </c>
      <c r="D4" s="12" t="s">
        <v>646</v>
      </c>
      <c r="E4" s="12" t="s">
        <v>650</v>
      </c>
      <c r="F4" s="12" t="s">
        <v>664</v>
      </c>
      <c r="G4" s="12" t="s">
        <v>703</v>
      </c>
      <c r="H4" s="12" t="s">
        <v>710</v>
      </c>
      <c r="I4" s="12" t="s">
        <v>713</v>
      </c>
      <c r="J4" s="12" t="s">
        <v>731</v>
      </c>
      <c r="K4" s="12" t="s">
        <v>880</v>
      </c>
      <c r="L4" s="6">
        <v>891.46</v>
      </c>
      <c r="M4" s="6">
        <v>728.61</v>
      </c>
      <c r="N4" s="6">
        <f t="shared" si="0"/>
        <v>728.61</v>
      </c>
      <c r="O4" s="6" t="str">
        <f t="shared" si="12"/>
        <v>Middle</v>
      </c>
      <c r="P4" s="6">
        <v>0.185</v>
      </c>
      <c r="Q4" s="6">
        <f>IF(P4&gt;0.3, 0.3, P4)</f>
        <v>0.185</v>
      </c>
      <c r="R4" s="6">
        <v>6</v>
      </c>
      <c r="S4" s="6" t="str">
        <f t="shared" si="2"/>
        <v>OK</v>
      </c>
      <c r="T4" s="4">
        <f t="shared" si="13"/>
        <v>45928</v>
      </c>
      <c r="U4" s="11">
        <f t="shared" si="3"/>
        <v>17</v>
      </c>
      <c r="V4" s="6">
        <f t="shared" si="14"/>
        <v>3562.9028999999996</v>
      </c>
      <c r="W4" s="6">
        <f t="shared" si="4"/>
        <v>5348.76</v>
      </c>
      <c r="X4" s="6">
        <f t="shared" si="5"/>
        <v>-1785.8571000000006</v>
      </c>
      <c r="Y4" s="6">
        <f t="shared" si="6"/>
        <v>-0.50123653383874167</v>
      </c>
      <c r="Z4" s="4" t="str">
        <f t="shared" si="7"/>
        <v>Q3-2025</v>
      </c>
      <c r="AA4" t="str">
        <f t="shared" si="8"/>
        <v>Laptops</v>
      </c>
      <c r="AB4" t="str">
        <f t="shared" si="9"/>
        <v>Laptops</v>
      </c>
      <c r="AC4" t="str">
        <f t="shared" si="10"/>
        <v>Compliant</v>
      </c>
      <c r="AD4" t="str">
        <f t="shared" si="11"/>
        <v>Late</v>
      </c>
      <c r="AE4" s="8">
        <f>MIN(Q4,Scenario!$B$2)</f>
        <v>0.185</v>
      </c>
      <c r="AF4" s="33">
        <f>L4*(1+Scenario!$B$3)</f>
        <v>1025.1789999999999</v>
      </c>
      <c r="AG4" s="6">
        <f>R4*(1+Scenario!$B$4)</f>
        <v>7.1999999999999993</v>
      </c>
      <c r="AH4" s="33">
        <f t="shared" si="15"/>
        <v>4275.483479999999</v>
      </c>
      <c r="AI4" s="33">
        <f t="shared" si="16"/>
        <v>7381.2887999999984</v>
      </c>
      <c r="AJ4" s="33">
        <f t="shared" si="17"/>
        <v>-3105.8053199999995</v>
      </c>
    </row>
    <row r="5" spans="1:36" x14ac:dyDescent="0.25">
      <c r="A5" s="12" t="s">
        <v>345</v>
      </c>
      <c r="B5" s="27">
        <v>45914</v>
      </c>
      <c r="C5" s="4">
        <v>45926</v>
      </c>
      <c r="D5" s="12" t="s">
        <v>649</v>
      </c>
      <c r="E5" s="12" t="s">
        <v>658</v>
      </c>
      <c r="F5" s="12" t="s">
        <v>683</v>
      </c>
      <c r="G5" s="12" t="s">
        <v>705</v>
      </c>
      <c r="H5" s="12" t="s">
        <v>711</v>
      </c>
      <c r="I5" s="12" t="s">
        <v>725</v>
      </c>
      <c r="J5" s="12" t="s">
        <v>729</v>
      </c>
      <c r="K5" s="12" t="s">
        <v>1065</v>
      </c>
      <c r="L5" s="6">
        <v>425.15</v>
      </c>
      <c r="M5" s="6">
        <v>885.92</v>
      </c>
      <c r="N5" s="6">
        <f t="shared" si="0"/>
        <v>885.92</v>
      </c>
      <c r="O5" s="6" t="str">
        <f t="shared" si="12"/>
        <v>Middle</v>
      </c>
      <c r="P5" s="6">
        <v>0.23899999999999999</v>
      </c>
      <c r="Q5" s="6">
        <f t="shared" si="1"/>
        <v>0.23899999999999999</v>
      </c>
      <c r="R5" s="6">
        <v>13</v>
      </c>
      <c r="S5" s="6" t="str">
        <f t="shared" si="2"/>
        <v>OK</v>
      </c>
      <c r="T5" s="4">
        <f t="shared" si="13"/>
        <v>45926</v>
      </c>
      <c r="U5" s="11">
        <f t="shared" si="3"/>
        <v>12</v>
      </c>
      <c r="V5" s="6">
        <f t="shared" si="14"/>
        <v>8764.4065599999994</v>
      </c>
      <c r="W5" s="6">
        <f t="shared" si="4"/>
        <v>5526.95</v>
      </c>
      <c r="X5" s="6">
        <f t="shared" si="5"/>
        <v>3237.4565599999996</v>
      </c>
      <c r="Y5" s="6">
        <f t="shared" si="6"/>
        <v>0.3693868532725848</v>
      </c>
      <c r="Z5" s="4" t="str">
        <f t="shared" si="7"/>
        <v>Q3-2025</v>
      </c>
      <c r="AA5" t="str">
        <f t="shared" si="8"/>
        <v>Networking</v>
      </c>
      <c r="AB5" t="str">
        <f t="shared" si="9"/>
        <v>Networking</v>
      </c>
      <c r="AC5" t="str">
        <f t="shared" si="10"/>
        <v>Non-compliant</v>
      </c>
      <c r="AD5" t="str">
        <f t="shared" si="11"/>
        <v>Late</v>
      </c>
      <c r="AE5" s="8">
        <f>MIN(Q5,Scenario!$B$2)</f>
        <v>0.2</v>
      </c>
      <c r="AF5" s="33">
        <f>L5*(1+Scenario!$B$3)</f>
        <v>488.92249999999996</v>
      </c>
      <c r="AG5" s="6">
        <f>R5*(1+Scenario!$B$4)</f>
        <v>15.6</v>
      </c>
      <c r="AH5" s="33">
        <f t="shared" si="15"/>
        <v>11056.2816</v>
      </c>
      <c r="AI5" s="33">
        <f t="shared" si="16"/>
        <v>7627.1909999999989</v>
      </c>
      <c r="AJ5" s="33">
        <f t="shared" si="17"/>
        <v>3429.0906000000014</v>
      </c>
    </row>
    <row r="6" spans="1:36" hidden="1" x14ac:dyDescent="0.25">
      <c r="A6" s="12" t="s">
        <v>279</v>
      </c>
      <c r="B6" s="27">
        <v>45902</v>
      </c>
      <c r="C6" s="4">
        <v>45911</v>
      </c>
      <c r="D6" s="12" t="s">
        <v>648</v>
      </c>
      <c r="E6" s="12" t="s">
        <v>653</v>
      </c>
      <c r="F6" s="12" t="s">
        <v>667</v>
      </c>
      <c r="G6" s="12" t="s">
        <v>701</v>
      </c>
      <c r="H6" s="12" t="s">
        <v>710</v>
      </c>
      <c r="I6" s="12" t="s">
        <v>724</v>
      </c>
      <c r="J6" s="12" t="s">
        <v>728</v>
      </c>
      <c r="K6" s="12" t="s">
        <v>999</v>
      </c>
      <c r="L6" s="6">
        <v>1207.6300000000001</v>
      </c>
      <c r="M6" s="6">
        <v>921.68</v>
      </c>
      <c r="N6" s="6">
        <f t="shared" si="0"/>
        <v>921.68</v>
      </c>
      <c r="O6" s="6" t="str">
        <f t="shared" si="12"/>
        <v>Middle</v>
      </c>
      <c r="P6" s="6">
        <v>0.19600000000000001</v>
      </c>
      <c r="Q6" s="6">
        <f t="shared" si="1"/>
        <v>0.19600000000000001</v>
      </c>
      <c r="R6" s="6">
        <v>17</v>
      </c>
      <c r="S6" s="6" t="str">
        <f t="shared" si="2"/>
        <v>OK</v>
      </c>
      <c r="T6" s="4">
        <f t="shared" si="13"/>
        <v>45911</v>
      </c>
      <c r="U6" s="11">
        <f t="shared" si="3"/>
        <v>9</v>
      </c>
      <c r="V6" s="6">
        <f t="shared" si="14"/>
        <v>12597.52224</v>
      </c>
      <c r="W6" s="6">
        <f t="shared" si="4"/>
        <v>20529.710000000003</v>
      </c>
      <c r="X6" s="6">
        <f t="shared" si="5"/>
        <v>-7932.1877600000025</v>
      </c>
      <c r="Y6" s="6">
        <f t="shared" si="6"/>
        <v>-0.62966253274897988</v>
      </c>
      <c r="Z6" s="4" t="str">
        <f t="shared" si="7"/>
        <v>Q3-2025</v>
      </c>
      <c r="AA6" t="str">
        <f t="shared" si="8"/>
        <v>Printers</v>
      </c>
      <c r="AB6" t="str">
        <f t="shared" si="9"/>
        <v>Printers</v>
      </c>
      <c r="AC6" t="str">
        <f t="shared" si="10"/>
        <v>Compliant</v>
      </c>
      <c r="AD6" t="str">
        <f t="shared" si="11"/>
        <v>Late</v>
      </c>
      <c r="AE6" s="8">
        <f>MIN(Q6,Scenario!$B$2)</f>
        <v>0.19600000000000001</v>
      </c>
      <c r="AF6" s="33">
        <f>L6*(1+Scenario!$B$3)</f>
        <v>1388.7745</v>
      </c>
      <c r="AG6" s="6">
        <f>R6*(1+Scenario!$B$4)</f>
        <v>20.399999999999999</v>
      </c>
      <c r="AH6" s="33">
        <f t="shared" si="15"/>
        <v>15117.026687999998</v>
      </c>
      <c r="AI6" s="33">
        <f t="shared" si="16"/>
        <v>28330.999799999998</v>
      </c>
      <c r="AJ6" s="33">
        <f t="shared" si="17"/>
        <v>-13213.973112</v>
      </c>
    </row>
    <row r="7" spans="1:36" hidden="1" x14ac:dyDescent="0.25">
      <c r="A7" s="12" t="s">
        <v>109</v>
      </c>
      <c r="B7" s="27">
        <v>45910</v>
      </c>
      <c r="C7" s="4">
        <v>45930</v>
      </c>
      <c r="D7" s="12" t="s">
        <v>646</v>
      </c>
      <c r="E7" s="12" t="s">
        <v>650</v>
      </c>
      <c r="F7" s="12" t="s">
        <v>675</v>
      </c>
      <c r="G7" s="12" t="s">
        <v>701</v>
      </c>
      <c r="H7" s="12" t="s">
        <v>711</v>
      </c>
      <c r="I7" s="12" t="s">
        <v>716</v>
      </c>
      <c r="J7" s="12" t="s">
        <v>730</v>
      </c>
      <c r="K7" s="12" t="s">
        <v>828</v>
      </c>
      <c r="L7" s="6">
        <v>1009.48</v>
      </c>
      <c r="M7" s="6">
        <v>1088.81</v>
      </c>
      <c r="N7" s="6">
        <f t="shared" si="0"/>
        <v>1088.81</v>
      </c>
      <c r="O7" s="6" t="str">
        <f t="shared" si="12"/>
        <v>Middle</v>
      </c>
      <c r="P7" s="6">
        <v>0.16</v>
      </c>
      <c r="Q7" s="6">
        <f t="shared" si="1"/>
        <v>0.16</v>
      </c>
      <c r="R7" s="6">
        <v>6</v>
      </c>
      <c r="S7" s="6" t="str">
        <f t="shared" si="2"/>
        <v>OK</v>
      </c>
      <c r="T7" s="4">
        <f t="shared" si="13"/>
        <v>45930</v>
      </c>
      <c r="U7" s="11">
        <f t="shared" si="3"/>
        <v>20</v>
      </c>
      <c r="V7" s="6">
        <f t="shared" si="14"/>
        <v>5487.6023999999998</v>
      </c>
      <c r="W7" s="6">
        <f t="shared" si="4"/>
        <v>6056.88</v>
      </c>
      <c r="X7" s="6">
        <f t="shared" si="5"/>
        <v>-569.27760000000035</v>
      </c>
      <c r="Y7" s="6">
        <f t="shared" si="6"/>
        <v>-0.10373885688219693</v>
      </c>
      <c r="Z7" s="4" t="str">
        <f t="shared" si="7"/>
        <v>Q3-2025</v>
      </c>
      <c r="AA7" t="str">
        <f t="shared" si="8"/>
        <v>Phones</v>
      </c>
      <c r="AB7" t="str">
        <f t="shared" si="9"/>
        <v>Phones</v>
      </c>
      <c r="AC7" t="str">
        <f t="shared" si="10"/>
        <v>Compliant</v>
      </c>
      <c r="AD7" t="str">
        <f t="shared" si="11"/>
        <v>Late</v>
      </c>
      <c r="AE7" s="8">
        <f>MIN(Q7,Scenario!$B$2)</f>
        <v>0.16</v>
      </c>
      <c r="AF7" s="33">
        <f>L7*(1+Scenario!$B$3)</f>
        <v>1160.902</v>
      </c>
      <c r="AG7" s="6">
        <f>R7*(1+Scenario!$B$4)</f>
        <v>7.1999999999999993</v>
      </c>
      <c r="AH7" s="33">
        <f t="shared" si="15"/>
        <v>6585.122879999999</v>
      </c>
      <c r="AI7" s="33">
        <f t="shared" si="16"/>
        <v>8358.4943999999996</v>
      </c>
      <c r="AJ7" s="33">
        <f t="shared" si="17"/>
        <v>-1773.3715200000006</v>
      </c>
    </row>
    <row r="8" spans="1:36" hidden="1" x14ac:dyDescent="0.25">
      <c r="A8" s="12" t="s">
        <v>437</v>
      </c>
      <c r="B8" s="27">
        <v>45915</v>
      </c>
      <c r="C8" s="4">
        <v>45925</v>
      </c>
      <c r="D8" s="12" t="s">
        <v>647</v>
      </c>
      <c r="E8" s="12" t="s">
        <v>654</v>
      </c>
      <c r="F8" s="12" t="s">
        <v>680</v>
      </c>
      <c r="G8" s="12" t="s">
        <v>704</v>
      </c>
      <c r="H8" s="12" t="s">
        <v>707</v>
      </c>
      <c r="I8" s="12" t="s">
        <v>720</v>
      </c>
      <c r="J8" s="12" t="s">
        <v>730</v>
      </c>
      <c r="K8" s="12" t="s">
        <v>1156</v>
      </c>
      <c r="L8" s="6">
        <v>1488.91</v>
      </c>
      <c r="M8" s="6">
        <v>1483.74</v>
      </c>
      <c r="N8" s="6">
        <f t="shared" si="0"/>
        <v>1483.74</v>
      </c>
      <c r="O8" s="6" t="str">
        <f t="shared" si="12"/>
        <v>High</v>
      </c>
      <c r="P8" s="6">
        <v>0.16800000000000001</v>
      </c>
      <c r="Q8" s="6">
        <f t="shared" si="1"/>
        <v>0.16800000000000001</v>
      </c>
      <c r="R8" s="6">
        <v>24</v>
      </c>
      <c r="S8" s="6" t="str">
        <f t="shared" si="2"/>
        <v>OK</v>
      </c>
      <c r="T8" s="4">
        <f t="shared" si="13"/>
        <v>45925</v>
      </c>
      <c r="U8" s="11">
        <f t="shared" si="3"/>
        <v>10</v>
      </c>
      <c r="V8" s="6">
        <f t="shared" si="14"/>
        <v>29627.320319999999</v>
      </c>
      <c r="W8" s="6">
        <f t="shared" si="4"/>
        <v>35733.840000000004</v>
      </c>
      <c r="X8" s="6">
        <f t="shared" si="5"/>
        <v>-6106.5196800000049</v>
      </c>
      <c r="Y8" s="6">
        <f t="shared" si="6"/>
        <v>-0.20611110333450519</v>
      </c>
      <c r="Z8" s="4" t="str">
        <f t="shared" si="7"/>
        <v>Q3-2025</v>
      </c>
      <c r="AA8" t="str">
        <f t="shared" si="8"/>
        <v>Phones</v>
      </c>
      <c r="AB8" t="str">
        <f t="shared" si="9"/>
        <v>Phones</v>
      </c>
      <c r="AC8" t="str">
        <f t="shared" si="10"/>
        <v>Compliant</v>
      </c>
      <c r="AD8" t="str">
        <f t="shared" si="11"/>
        <v>Late</v>
      </c>
      <c r="AE8" s="8">
        <f>MIN(Q8,Scenario!$B$2)</f>
        <v>0.16800000000000001</v>
      </c>
      <c r="AF8" s="33">
        <f>L8*(1+Scenario!$B$3)</f>
        <v>1712.2465</v>
      </c>
      <c r="AG8" s="6">
        <f>R8*(1+Scenario!$B$4)</f>
        <v>28.799999999999997</v>
      </c>
      <c r="AH8" s="33">
        <f t="shared" si="15"/>
        <v>35552.784383999999</v>
      </c>
      <c r="AI8" s="33">
        <f t="shared" si="16"/>
        <v>49312.699199999995</v>
      </c>
      <c r="AJ8" s="33">
        <f t="shared" si="17"/>
        <v>-13759.914815999997</v>
      </c>
    </row>
    <row r="9" spans="1:36" hidden="1" x14ac:dyDescent="0.25">
      <c r="A9" s="12" t="s">
        <v>513</v>
      </c>
      <c r="B9" s="27">
        <v>45908</v>
      </c>
      <c r="C9" s="4">
        <v>45935</v>
      </c>
      <c r="D9" s="12" t="s">
        <v>648</v>
      </c>
      <c r="E9" s="12" t="s">
        <v>655</v>
      </c>
      <c r="F9" s="12" t="s">
        <v>692</v>
      </c>
      <c r="G9" s="12" t="s">
        <v>702</v>
      </c>
      <c r="H9" s="12" t="s">
        <v>708</v>
      </c>
      <c r="I9" s="12" t="s">
        <v>712</v>
      </c>
      <c r="J9" s="12" t="s">
        <v>732</v>
      </c>
      <c r="K9" s="12" t="s">
        <v>1232</v>
      </c>
      <c r="L9" s="6">
        <v>660.78</v>
      </c>
      <c r="M9" s="6">
        <v>1630.39</v>
      </c>
      <c r="N9" s="6">
        <f t="shared" si="0"/>
        <v>1630.39</v>
      </c>
      <c r="O9" s="6" t="str">
        <f t="shared" si="12"/>
        <v>High</v>
      </c>
      <c r="P9" s="6">
        <v>0.218</v>
      </c>
      <c r="Q9" s="6">
        <f t="shared" si="1"/>
        <v>0.218</v>
      </c>
      <c r="R9" s="6">
        <v>13</v>
      </c>
      <c r="S9" s="6" t="str">
        <f t="shared" si="2"/>
        <v>OK</v>
      </c>
      <c r="T9" s="4">
        <f t="shared" si="13"/>
        <v>45935</v>
      </c>
      <c r="U9" s="11">
        <f t="shared" si="3"/>
        <v>27</v>
      </c>
      <c r="V9" s="6">
        <f t="shared" si="14"/>
        <v>16574.544740000001</v>
      </c>
      <c r="W9" s="6">
        <f t="shared" si="4"/>
        <v>8590.14</v>
      </c>
      <c r="X9" s="6">
        <f t="shared" si="5"/>
        <v>7984.4047400000018</v>
      </c>
      <c r="Y9" s="6">
        <f t="shared" si="6"/>
        <v>0.48172694123724097</v>
      </c>
      <c r="Z9" s="4" t="str">
        <f t="shared" si="7"/>
        <v>Q3-2025</v>
      </c>
      <c r="AA9" t="str">
        <f t="shared" si="8"/>
        <v>Monitors</v>
      </c>
      <c r="AB9" t="str">
        <f t="shared" si="9"/>
        <v>Monitors</v>
      </c>
      <c r="AC9" t="str">
        <f t="shared" si="10"/>
        <v>Non-compliant</v>
      </c>
      <c r="AD9" t="str">
        <f t="shared" si="11"/>
        <v>Late</v>
      </c>
      <c r="AE9" s="8">
        <f>MIN(Q9,Scenario!$B$2)</f>
        <v>0.2</v>
      </c>
      <c r="AF9" s="33">
        <f>L9*(1+Scenario!$B$3)</f>
        <v>759.89699999999993</v>
      </c>
      <c r="AG9" s="6">
        <f>R9*(1+Scenario!$B$4)</f>
        <v>15.6</v>
      </c>
      <c r="AH9" s="33">
        <f t="shared" si="15"/>
        <v>20347.267200000002</v>
      </c>
      <c r="AI9" s="33">
        <f t="shared" si="16"/>
        <v>11854.393199999999</v>
      </c>
      <c r="AJ9" s="33">
        <f t="shared" si="17"/>
        <v>8492.8740000000034</v>
      </c>
    </row>
    <row r="10" spans="1:36" hidden="1" x14ac:dyDescent="0.25">
      <c r="A10" s="12" t="s">
        <v>263</v>
      </c>
      <c r="B10" s="27">
        <v>45912</v>
      </c>
      <c r="C10" s="4">
        <v>45930</v>
      </c>
      <c r="D10" s="12" t="s">
        <v>647</v>
      </c>
      <c r="E10" s="12" t="s">
        <v>652</v>
      </c>
      <c r="F10" s="12" t="s">
        <v>694</v>
      </c>
      <c r="G10" s="12" t="s">
        <v>703</v>
      </c>
      <c r="H10" s="12" t="s">
        <v>709</v>
      </c>
      <c r="I10" s="12" t="s">
        <v>721</v>
      </c>
      <c r="J10" s="12" t="s">
        <v>732</v>
      </c>
      <c r="K10" s="12" t="s">
        <v>983</v>
      </c>
      <c r="L10" s="6">
        <v>1212.99</v>
      </c>
      <c r="M10" s="6">
        <v>1653.64</v>
      </c>
      <c r="N10" s="6">
        <f t="shared" si="0"/>
        <v>1653.64</v>
      </c>
      <c r="O10" s="6" t="str">
        <f t="shared" si="12"/>
        <v>High</v>
      </c>
      <c r="P10" s="6">
        <v>0.107</v>
      </c>
      <c r="Q10" s="6">
        <f t="shared" si="1"/>
        <v>0.107</v>
      </c>
      <c r="R10" s="6">
        <v>8</v>
      </c>
      <c r="S10" s="6" t="str">
        <f t="shared" si="2"/>
        <v>OK</v>
      </c>
      <c r="T10" s="4">
        <f t="shared" si="13"/>
        <v>45930</v>
      </c>
      <c r="U10" s="11">
        <f t="shared" si="3"/>
        <v>18</v>
      </c>
      <c r="V10" s="6">
        <f t="shared" si="14"/>
        <v>11813.604160000001</v>
      </c>
      <c r="W10" s="6">
        <f t="shared" si="4"/>
        <v>9703.92</v>
      </c>
      <c r="X10" s="6">
        <f t="shared" si="5"/>
        <v>2109.6841600000007</v>
      </c>
      <c r="Y10" s="6">
        <f t="shared" si="6"/>
        <v>0.17858090819931455</v>
      </c>
      <c r="Z10" s="4" t="str">
        <f t="shared" si="7"/>
        <v>Q3-2025</v>
      </c>
      <c r="AA10" t="str">
        <f t="shared" si="8"/>
        <v>Monitors</v>
      </c>
      <c r="AB10" t="str">
        <f t="shared" si="9"/>
        <v>Monitors</v>
      </c>
      <c r="AC10" t="str">
        <f t="shared" si="10"/>
        <v>Compliant</v>
      </c>
      <c r="AD10" t="str">
        <f t="shared" si="11"/>
        <v>Late</v>
      </c>
      <c r="AE10" s="8">
        <f>MIN(Q10,Scenario!$B$2)</f>
        <v>0.107</v>
      </c>
      <c r="AF10" s="33">
        <f>L10*(1+Scenario!$B$3)</f>
        <v>1394.9385</v>
      </c>
      <c r="AG10" s="6">
        <f>R10*(1+Scenario!$B$4)</f>
        <v>9.6</v>
      </c>
      <c r="AH10" s="33">
        <f t="shared" si="15"/>
        <v>14176.324992</v>
      </c>
      <c r="AI10" s="33">
        <f t="shared" si="16"/>
        <v>13391.409599999999</v>
      </c>
      <c r="AJ10" s="33">
        <f t="shared" si="17"/>
        <v>784.91539200000079</v>
      </c>
    </row>
    <row r="11" spans="1:36" hidden="1" x14ac:dyDescent="0.25">
      <c r="A11" s="12" t="s">
        <v>76</v>
      </c>
      <c r="B11" s="27">
        <v>45910</v>
      </c>
      <c r="C11" s="4">
        <v>45912</v>
      </c>
      <c r="D11" s="12" t="s">
        <v>647</v>
      </c>
      <c r="E11" s="12" t="s">
        <v>652</v>
      </c>
      <c r="F11" s="12" t="s">
        <v>689</v>
      </c>
      <c r="G11" s="12" t="s">
        <v>704</v>
      </c>
      <c r="H11" s="12" t="s">
        <v>708</v>
      </c>
      <c r="I11" s="12" t="s">
        <v>719</v>
      </c>
      <c r="J11" s="12" t="s">
        <v>727</v>
      </c>
      <c r="K11" s="12" t="s">
        <v>795</v>
      </c>
      <c r="L11" s="6">
        <v>1470.15</v>
      </c>
      <c r="M11" s="6">
        <v>2593.7800000000002</v>
      </c>
      <c r="N11" s="6">
        <f t="shared" si="0"/>
        <v>2593.7800000000002</v>
      </c>
      <c r="O11" s="6" t="str">
        <f t="shared" si="12"/>
        <v>High</v>
      </c>
      <c r="P11" s="6">
        <v>0.11</v>
      </c>
      <c r="Q11" s="6">
        <f t="shared" si="1"/>
        <v>0.11</v>
      </c>
      <c r="R11" s="6">
        <v>12</v>
      </c>
      <c r="S11" s="6" t="str">
        <f t="shared" si="2"/>
        <v>OK</v>
      </c>
      <c r="T11" s="4">
        <f t="shared" si="13"/>
        <v>45912</v>
      </c>
      <c r="U11" s="11">
        <f t="shared" si="3"/>
        <v>2</v>
      </c>
      <c r="V11" s="6">
        <f t="shared" si="14"/>
        <v>27701.570400000001</v>
      </c>
      <c r="W11" s="6">
        <f t="shared" si="4"/>
        <v>17641.800000000003</v>
      </c>
      <c r="X11" s="6">
        <f t="shared" si="5"/>
        <v>10059.770399999998</v>
      </c>
      <c r="Y11" s="6">
        <f t="shared" si="6"/>
        <v>0.36314801849645306</v>
      </c>
      <c r="Z11" s="4" t="str">
        <f t="shared" si="7"/>
        <v>Q3-2025</v>
      </c>
      <c r="AA11" t="str">
        <f t="shared" si="8"/>
        <v>Components</v>
      </c>
      <c r="AB11" t="str">
        <f t="shared" si="9"/>
        <v>Components</v>
      </c>
      <c r="AC11" t="str">
        <f t="shared" si="10"/>
        <v>Compliant</v>
      </c>
      <c r="AD11" t="str">
        <f t="shared" si="11"/>
        <v>On-time</v>
      </c>
      <c r="AE11" s="8">
        <f>MIN(Q11,Scenario!$B$2)</f>
        <v>0.11</v>
      </c>
      <c r="AF11" s="33">
        <f>L11*(1+Scenario!$B$3)</f>
        <v>1690.6724999999999</v>
      </c>
      <c r="AG11" s="6">
        <f>R11*(1+Scenario!$B$4)</f>
        <v>14.399999999999999</v>
      </c>
      <c r="AH11" s="33">
        <f t="shared" si="15"/>
        <v>33241.884480000001</v>
      </c>
      <c r="AI11" s="33">
        <f t="shared" si="16"/>
        <v>24345.683999999997</v>
      </c>
      <c r="AJ11" s="33">
        <f t="shared" si="17"/>
        <v>8896.2004800000032</v>
      </c>
    </row>
    <row r="12" spans="1:36" hidden="1" x14ac:dyDescent="0.25">
      <c r="A12" s="12" t="s">
        <v>32</v>
      </c>
      <c r="B12" s="27">
        <v>45908</v>
      </c>
      <c r="C12" s="4">
        <v>45916</v>
      </c>
      <c r="D12" s="12" t="s">
        <v>647</v>
      </c>
      <c r="E12" s="12" t="s">
        <v>652</v>
      </c>
      <c r="F12" s="12" t="s">
        <v>666</v>
      </c>
      <c r="G12" s="12" t="s">
        <v>701</v>
      </c>
      <c r="H12" s="12" t="s">
        <v>710</v>
      </c>
      <c r="I12" s="12" t="s">
        <v>712</v>
      </c>
      <c r="J12" s="12" t="s">
        <v>730</v>
      </c>
      <c r="K12" s="12" t="s">
        <v>751</v>
      </c>
      <c r="L12" s="6">
        <v>1225.57</v>
      </c>
      <c r="M12" s="6">
        <v>2705.57</v>
      </c>
      <c r="N12" s="6">
        <f t="shared" si="0"/>
        <v>2705.57</v>
      </c>
      <c r="O12" s="6" t="str">
        <f t="shared" si="12"/>
        <v>High</v>
      </c>
      <c r="P12" s="6">
        <v>0.183</v>
      </c>
      <c r="Q12" s="6">
        <f t="shared" si="1"/>
        <v>0.183</v>
      </c>
      <c r="R12" s="6">
        <v>16</v>
      </c>
      <c r="S12" s="6" t="str">
        <f t="shared" si="2"/>
        <v>OK</v>
      </c>
      <c r="T12" s="4">
        <f t="shared" si="13"/>
        <v>45916</v>
      </c>
      <c r="U12" s="11">
        <f t="shared" si="3"/>
        <v>8</v>
      </c>
      <c r="V12" s="6">
        <f t="shared" si="14"/>
        <v>35367.211040000002</v>
      </c>
      <c r="W12" s="6">
        <f t="shared" si="4"/>
        <v>19609.12</v>
      </c>
      <c r="X12" s="6">
        <f t="shared" si="5"/>
        <v>15758.091040000003</v>
      </c>
      <c r="Y12" s="6">
        <f t="shared" si="6"/>
        <v>0.44555650775453404</v>
      </c>
      <c r="Z12" s="4" t="str">
        <f t="shared" si="7"/>
        <v>Q3-2025</v>
      </c>
      <c r="AA12" t="str">
        <f t="shared" si="8"/>
        <v>Phones</v>
      </c>
      <c r="AB12" t="str">
        <f t="shared" si="9"/>
        <v>Phones</v>
      </c>
      <c r="AC12" t="str">
        <f t="shared" si="10"/>
        <v>Compliant</v>
      </c>
      <c r="AD12" t="str">
        <f t="shared" si="11"/>
        <v>Late</v>
      </c>
      <c r="AE12" s="8">
        <f>MIN(Q12,Scenario!$B$2)</f>
        <v>0.183</v>
      </c>
      <c r="AF12" s="33">
        <f>L12*(1+Scenario!$B$3)</f>
        <v>1409.4054999999998</v>
      </c>
      <c r="AG12" s="6">
        <f>R12*(1+Scenario!$B$4)</f>
        <v>19.2</v>
      </c>
      <c r="AH12" s="33">
        <f t="shared" si="15"/>
        <v>42440.653248000002</v>
      </c>
      <c r="AI12" s="33">
        <f t="shared" si="16"/>
        <v>27060.585599999995</v>
      </c>
      <c r="AJ12" s="33">
        <f t="shared" si="17"/>
        <v>15380.067648000007</v>
      </c>
    </row>
    <row r="13" spans="1:36" hidden="1" x14ac:dyDescent="0.25">
      <c r="A13" s="12" t="s">
        <v>412</v>
      </c>
      <c r="B13" s="27">
        <v>45914</v>
      </c>
      <c r="C13" s="4">
        <v>45923</v>
      </c>
      <c r="D13" s="12" t="s">
        <v>646</v>
      </c>
      <c r="E13" s="12" t="s">
        <v>661</v>
      </c>
      <c r="F13" s="12" t="s">
        <v>687</v>
      </c>
      <c r="G13" s="12" t="s">
        <v>703</v>
      </c>
      <c r="H13" s="12" t="s">
        <v>708</v>
      </c>
      <c r="I13" s="12" t="s">
        <v>726</v>
      </c>
      <c r="J13" s="12" t="s">
        <v>727</v>
      </c>
      <c r="K13" s="12" t="s">
        <v>1131</v>
      </c>
      <c r="L13" s="6">
        <v>1310.3</v>
      </c>
      <c r="M13" s="6">
        <v>2875.8</v>
      </c>
      <c r="N13" s="6">
        <f t="shared" si="0"/>
        <v>2875.8</v>
      </c>
      <c r="O13" s="6" t="str">
        <f t="shared" si="12"/>
        <v>High</v>
      </c>
      <c r="P13" s="6">
        <v>8.3000000000000004E-2</v>
      </c>
      <c r="Q13" s="6">
        <f t="shared" si="1"/>
        <v>8.3000000000000004E-2</v>
      </c>
      <c r="R13" s="6">
        <v>5</v>
      </c>
      <c r="S13" s="6" t="str">
        <f t="shared" si="2"/>
        <v>OK</v>
      </c>
      <c r="T13" s="4">
        <f t="shared" si="13"/>
        <v>45923</v>
      </c>
      <c r="U13" s="11">
        <f t="shared" si="3"/>
        <v>9</v>
      </c>
      <c r="V13" s="6">
        <f t="shared" si="14"/>
        <v>13185.543</v>
      </c>
      <c r="W13" s="6">
        <f t="shared" si="4"/>
        <v>6551.5</v>
      </c>
      <c r="X13" s="6">
        <f t="shared" si="5"/>
        <v>6634.0429999999997</v>
      </c>
      <c r="Y13" s="6">
        <f t="shared" si="6"/>
        <v>0.50313005691157353</v>
      </c>
      <c r="Z13" s="4" t="str">
        <f t="shared" si="7"/>
        <v>Q3-2025</v>
      </c>
      <c r="AA13" t="str">
        <f t="shared" si="8"/>
        <v>Components</v>
      </c>
      <c r="AB13" t="str">
        <f t="shared" si="9"/>
        <v>Components</v>
      </c>
      <c r="AC13" t="str">
        <f t="shared" si="10"/>
        <v>Compliant</v>
      </c>
      <c r="AD13" t="str">
        <f t="shared" si="11"/>
        <v>Late</v>
      </c>
      <c r="AE13" s="8">
        <f>MIN(Q13,Scenario!$B$2)</f>
        <v>8.3000000000000004E-2</v>
      </c>
      <c r="AF13" s="33">
        <f>L13*(1+Scenario!$B$3)</f>
        <v>1506.8449999999998</v>
      </c>
      <c r="AG13" s="6">
        <f>R13*(1+Scenario!$B$4)</f>
        <v>6</v>
      </c>
      <c r="AH13" s="33">
        <f t="shared" si="15"/>
        <v>15822.651600000003</v>
      </c>
      <c r="AI13" s="33">
        <f t="shared" si="16"/>
        <v>9041.07</v>
      </c>
      <c r="AJ13" s="33">
        <f t="shared" si="17"/>
        <v>6781.5816000000032</v>
      </c>
    </row>
    <row r="14" spans="1:36" hidden="1" x14ac:dyDescent="0.25">
      <c r="A14" s="12" t="s">
        <v>495</v>
      </c>
      <c r="B14" s="27">
        <v>45538</v>
      </c>
      <c r="C14" s="4">
        <v>45542</v>
      </c>
      <c r="D14" s="12" t="s">
        <v>647</v>
      </c>
      <c r="E14" s="12" t="s">
        <v>652</v>
      </c>
      <c r="F14" s="12" t="s">
        <v>689</v>
      </c>
      <c r="G14" s="12" t="s">
        <v>705</v>
      </c>
      <c r="H14" s="12" t="s">
        <v>710</v>
      </c>
      <c r="I14" s="12" t="s">
        <v>725</v>
      </c>
      <c r="J14" s="12" t="s">
        <v>728</v>
      </c>
      <c r="K14" s="12" t="s">
        <v>1214</v>
      </c>
      <c r="L14" s="6">
        <v>43.23</v>
      </c>
      <c r="M14" s="6">
        <v>94.78</v>
      </c>
      <c r="N14" s="6">
        <f t="shared" si="0"/>
        <v>94.78</v>
      </c>
      <c r="O14" s="6" t="str">
        <f t="shared" si="12"/>
        <v>Low</v>
      </c>
      <c r="P14" s="6">
        <v>9.0999999999999998E-2</v>
      </c>
      <c r="Q14" s="6">
        <f t="shared" si="1"/>
        <v>9.0999999999999998E-2</v>
      </c>
      <c r="R14" s="6">
        <v>55</v>
      </c>
      <c r="S14" s="6" t="str">
        <f t="shared" si="2"/>
        <v>OK</v>
      </c>
      <c r="T14" s="4">
        <f t="shared" si="13"/>
        <v>45542</v>
      </c>
      <c r="U14" s="11">
        <f t="shared" si="3"/>
        <v>4</v>
      </c>
      <c r="V14" s="6">
        <f t="shared" si="14"/>
        <v>4738.5261</v>
      </c>
      <c r="W14" s="6">
        <f t="shared" si="4"/>
        <v>2377.6499999999996</v>
      </c>
      <c r="X14" s="6">
        <f t="shared" si="5"/>
        <v>2360.8761000000004</v>
      </c>
      <c r="Y14" s="6">
        <f t="shared" si="6"/>
        <v>0.49823005090127082</v>
      </c>
      <c r="Z14" s="4" t="str">
        <f t="shared" si="7"/>
        <v>Q3-2024</v>
      </c>
      <c r="AA14" t="str">
        <f t="shared" si="8"/>
        <v>Printers</v>
      </c>
      <c r="AB14" t="str">
        <f t="shared" si="9"/>
        <v>Printers</v>
      </c>
      <c r="AC14" t="str">
        <f t="shared" si="10"/>
        <v>Compliant</v>
      </c>
      <c r="AD14" t="str">
        <f t="shared" si="11"/>
        <v>On-time</v>
      </c>
      <c r="AE14" s="8">
        <f>MIN(Q14,Scenario!$B$2)</f>
        <v>9.0999999999999998E-2</v>
      </c>
      <c r="AF14" s="33">
        <f>L14*(1+Scenario!$B$3)</f>
        <v>49.714499999999994</v>
      </c>
      <c r="AG14" s="6">
        <f>R14*(1+Scenario!$B$4)</f>
        <v>66</v>
      </c>
      <c r="AH14" s="33">
        <f t="shared" si="15"/>
        <v>5686.2313200000008</v>
      </c>
      <c r="AI14" s="33">
        <f t="shared" si="16"/>
        <v>3281.1569999999997</v>
      </c>
      <c r="AJ14" s="33">
        <f t="shared" si="17"/>
        <v>2405.0743200000011</v>
      </c>
    </row>
    <row r="15" spans="1:36" hidden="1" x14ac:dyDescent="0.25">
      <c r="A15" s="12" t="s">
        <v>448</v>
      </c>
      <c r="B15" s="27">
        <v>45542</v>
      </c>
      <c r="C15" s="4">
        <v>45553</v>
      </c>
      <c r="D15" s="12" t="s">
        <v>647</v>
      </c>
      <c r="E15" s="12" t="s">
        <v>659</v>
      </c>
      <c r="F15" s="12" t="s">
        <v>699</v>
      </c>
      <c r="G15" s="12" t="s">
        <v>704</v>
      </c>
      <c r="H15" s="12" t="s">
        <v>710</v>
      </c>
      <c r="I15" s="12" t="s">
        <v>719</v>
      </c>
      <c r="J15" s="12" t="s">
        <v>729</v>
      </c>
      <c r="K15" s="12" t="s">
        <v>1167</v>
      </c>
      <c r="L15" s="6">
        <v>181.74</v>
      </c>
      <c r="M15" s="6">
        <v>190.84</v>
      </c>
      <c r="N15" s="6">
        <f t="shared" si="0"/>
        <v>190.84</v>
      </c>
      <c r="O15" s="6" t="str">
        <f t="shared" si="12"/>
        <v>Low</v>
      </c>
      <c r="P15" s="6">
        <v>0.214</v>
      </c>
      <c r="Q15" s="6">
        <f t="shared" si="1"/>
        <v>0.214</v>
      </c>
      <c r="R15" s="6">
        <v>13</v>
      </c>
      <c r="S15" s="6" t="str">
        <f t="shared" si="2"/>
        <v>OK</v>
      </c>
      <c r="T15" s="4">
        <f t="shared" si="13"/>
        <v>45553</v>
      </c>
      <c r="U15" s="11">
        <f t="shared" si="3"/>
        <v>11</v>
      </c>
      <c r="V15" s="6">
        <f t="shared" si="14"/>
        <v>1950.0031200000001</v>
      </c>
      <c r="W15" s="6">
        <f t="shared" si="4"/>
        <v>2362.62</v>
      </c>
      <c r="X15" s="6">
        <f t="shared" si="5"/>
        <v>-412.61687999999981</v>
      </c>
      <c r="Y15" s="6">
        <f t="shared" si="6"/>
        <v>-0.21159806144310159</v>
      </c>
      <c r="Z15" s="4" t="str">
        <f t="shared" si="7"/>
        <v>Q3-2024</v>
      </c>
      <c r="AA15" t="str">
        <f t="shared" si="8"/>
        <v>Networking</v>
      </c>
      <c r="AB15" t="str">
        <f t="shared" si="9"/>
        <v>Networking</v>
      </c>
      <c r="AC15" t="str">
        <f t="shared" si="10"/>
        <v>Non-compliant</v>
      </c>
      <c r="AD15" t="str">
        <f t="shared" si="11"/>
        <v>Late</v>
      </c>
      <c r="AE15" s="8">
        <f>MIN(Q15,Scenario!$B$2)</f>
        <v>0.2</v>
      </c>
      <c r="AF15" s="33">
        <f>L15*(1+Scenario!$B$3)</f>
        <v>209.001</v>
      </c>
      <c r="AG15" s="6">
        <f>R15*(1+Scenario!$B$4)</f>
        <v>15.6</v>
      </c>
      <c r="AH15" s="33">
        <f t="shared" si="15"/>
        <v>2381.6831999999999</v>
      </c>
      <c r="AI15" s="33">
        <f t="shared" si="16"/>
        <v>3260.4155999999998</v>
      </c>
      <c r="AJ15" s="33">
        <f t="shared" si="17"/>
        <v>-878.73239999999987</v>
      </c>
    </row>
    <row r="16" spans="1:36" hidden="1" x14ac:dyDescent="0.25">
      <c r="A16" s="12" t="s">
        <v>246</v>
      </c>
      <c r="B16" s="27">
        <v>45538</v>
      </c>
      <c r="C16" s="4">
        <v>45543</v>
      </c>
      <c r="D16" s="12" t="s">
        <v>646</v>
      </c>
      <c r="E16" s="12" t="s">
        <v>651</v>
      </c>
      <c r="F16" s="12" t="s">
        <v>665</v>
      </c>
      <c r="G16" s="12" t="s">
        <v>705</v>
      </c>
      <c r="H16" s="12" t="s">
        <v>711</v>
      </c>
      <c r="I16" s="12" t="s">
        <v>723</v>
      </c>
      <c r="J16" s="12" t="s">
        <v>728</v>
      </c>
      <c r="K16" s="12" t="s">
        <v>966</v>
      </c>
      <c r="L16" s="6">
        <v>197.63</v>
      </c>
      <c r="M16" s="6">
        <v>325.79000000000002</v>
      </c>
      <c r="N16" s="6">
        <f t="shared" si="0"/>
        <v>325.79000000000002</v>
      </c>
      <c r="O16" s="6" t="str">
        <f t="shared" si="12"/>
        <v>Low</v>
      </c>
      <c r="P16" s="6">
        <v>0.11600000000000001</v>
      </c>
      <c r="Q16" s="6">
        <f t="shared" si="1"/>
        <v>0.11600000000000001</v>
      </c>
      <c r="R16" s="6">
        <v>10</v>
      </c>
      <c r="S16" s="6" t="str">
        <f t="shared" si="2"/>
        <v>OK</v>
      </c>
      <c r="T16" s="4">
        <f t="shared" si="13"/>
        <v>45543</v>
      </c>
      <c r="U16" s="11">
        <f t="shared" si="3"/>
        <v>5</v>
      </c>
      <c r="V16" s="6">
        <f t="shared" si="14"/>
        <v>2879.9836</v>
      </c>
      <c r="W16" s="6">
        <f t="shared" si="4"/>
        <v>1976.3</v>
      </c>
      <c r="X16" s="6">
        <f t="shared" si="5"/>
        <v>903.68360000000007</v>
      </c>
      <c r="Y16" s="6">
        <f t="shared" si="6"/>
        <v>0.31378081458519419</v>
      </c>
      <c r="Z16" s="4" t="str">
        <f t="shared" si="7"/>
        <v>Q3-2024</v>
      </c>
      <c r="AA16" t="str">
        <f t="shared" si="8"/>
        <v>Printers</v>
      </c>
      <c r="AB16" t="str">
        <f t="shared" si="9"/>
        <v>Printers</v>
      </c>
      <c r="AC16" t="str">
        <f t="shared" si="10"/>
        <v>Compliant</v>
      </c>
      <c r="AD16" t="str">
        <f t="shared" si="11"/>
        <v>On-time</v>
      </c>
      <c r="AE16" s="8">
        <f>MIN(Q16,Scenario!$B$2)</f>
        <v>0.11600000000000001</v>
      </c>
      <c r="AF16" s="33">
        <f>L16*(1+Scenario!$B$3)</f>
        <v>227.27449999999999</v>
      </c>
      <c r="AG16" s="6">
        <f>R16*(1+Scenario!$B$4)</f>
        <v>12</v>
      </c>
      <c r="AH16" s="33">
        <f t="shared" si="15"/>
        <v>3455.9803200000006</v>
      </c>
      <c r="AI16" s="33">
        <f t="shared" si="16"/>
        <v>2727.2939999999999</v>
      </c>
      <c r="AJ16" s="33">
        <f t="shared" si="17"/>
        <v>728.68632000000071</v>
      </c>
    </row>
    <row r="17" spans="1:36" hidden="1" x14ac:dyDescent="0.25">
      <c r="A17" s="12" t="s">
        <v>247</v>
      </c>
      <c r="B17" s="27">
        <v>45540</v>
      </c>
      <c r="C17" s="4">
        <v>45560</v>
      </c>
      <c r="D17" s="12" t="s">
        <v>647</v>
      </c>
      <c r="E17" s="12" t="s">
        <v>652</v>
      </c>
      <c r="F17" s="12" t="s">
        <v>666</v>
      </c>
      <c r="G17" s="12" t="s">
        <v>706</v>
      </c>
      <c r="H17" s="12" t="s">
        <v>710</v>
      </c>
      <c r="I17" s="12" t="s">
        <v>726</v>
      </c>
      <c r="J17" s="12" t="s">
        <v>732</v>
      </c>
      <c r="K17" s="12" t="s">
        <v>967</v>
      </c>
      <c r="L17" s="6">
        <v>195.54</v>
      </c>
      <c r="M17" s="6">
        <v>405.97</v>
      </c>
      <c r="N17" s="6">
        <f t="shared" si="0"/>
        <v>405.97</v>
      </c>
      <c r="O17" s="6" t="str">
        <f t="shared" si="12"/>
        <v>Low</v>
      </c>
      <c r="P17" s="6">
        <v>0.187</v>
      </c>
      <c r="Q17" s="6">
        <f t="shared" si="1"/>
        <v>0.187</v>
      </c>
      <c r="R17" s="6">
        <v>16</v>
      </c>
      <c r="S17" s="6" t="str">
        <f t="shared" si="2"/>
        <v>OK</v>
      </c>
      <c r="T17" s="4">
        <f t="shared" si="13"/>
        <v>45560</v>
      </c>
      <c r="U17" s="11">
        <f t="shared" si="3"/>
        <v>20</v>
      </c>
      <c r="V17" s="6">
        <f t="shared" si="14"/>
        <v>5280.8577599999999</v>
      </c>
      <c r="W17" s="6">
        <f t="shared" si="4"/>
        <v>3128.64</v>
      </c>
      <c r="X17" s="6">
        <f t="shared" si="5"/>
        <v>2152.21776</v>
      </c>
      <c r="Y17" s="6">
        <f t="shared" si="6"/>
        <v>0.40755079152141377</v>
      </c>
      <c r="Z17" s="4" t="str">
        <f t="shared" si="7"/>
        <v>Q3-2024</v>
      </c>
      <c r="AA17" t="str">
        <f t="shared" si="8"/>
        <v>Monitors</v>
      </c>
      <c r="AB17" t="str">
        <f t="shared" si="9"/>
        <v>Monitors</v>
      </c>
      <c r="AC17" t="str">
        <f t="shared" si="10"/>
        <v>Compliant</v>
      </c>
      <c r="AD17" t="str">
        <f t="shared" si="11"/>
        <v>Late</v>
      </c>
      <c r="AE17" s="8">
        <f>MIN(Q17,Scenario!$B$2)</f>
        <v>0.187</v>
      </c>
      <c r="AF17" s="33">
        <f>L17*(1+Scenario!$B$3)</f>
        <v>224.87099999999998</v>
      </c>
      <c r="AG17" s="6">
        <f>R17*(1+Scenario!$B$4)</f>
        <v>19.2</v>
      </c>
      <c r="AH17" s="33">
        <f t="shared" si="15"/>
        <v>6337.0293119999997</v>
      </c>
      <c r="AI17" s="33">
        <f t="shared" si="16"/>
        <v>4317.5231999999996</v>
      </c>
      <c r="AJ17" s="33">
        <f t="shared" si="17"/>
        <v>2019.506112</v>
      </c>
    </row>
    <row r="18" spans="1:36" hidden="1" x14ac:dyDescent="0.25">
      <c r="A18" s="12" t="s">
        <v>233</v>
      </c>
      <c r="B18" s="27">
        <v>45554</v>
      </c>
      <c r="C18" s="4">
        <v>45579</v>
      </c>
      <c r="D18" s="12" t="s">
        <v>648</v>
      </c>
      <c r="E18" s="12" t="s">
        <v>655</v>
      </c>
      <c r="F18" s="12" t="s">
        <v>692</v>
      </c>
      <c r="G18" s="12" t="s">
        <v>705</v>
      </c>
      <c r="H18" s="12" t="s">
        <v>707</v>
      </c>
      <c r="I18" s="12" t="s">
        <v>723</v>
      </c>
      <c r="J18" s="12" t="s">
        <v>728</v>
      </c>
      <c r="K18" s="12" t="s">
        <v>953</v>
      </c>
      <c r="L18" s="6">
        <v>386.96</v>
      </c>
      <c r="M18" s="6">
        <v>937.46</v>
      </c>
      <c r="N18" s="6">
        <f t="shared" si="0"/>
        <v>937.46</v>
      </c>
      <c r="O18" s="6" t="str">
        <f t="shared" si="12"/>
        <v>Middle</v>
      </c>
      <c r="P18" s="6">
        <v>0.26600000000000001</v>
      </c>
      <c r="Q18" s="6">
        <f t="shared" si="1"/>
        <v>0.26600000000000001</v>
      </c>
      <c r="R18" s="6">
        <v>41</v>
      </c>
      <c r="S18" s="6" t="str">
        <f t="shared" si="2"/>
        <v>OK</v>
      </c>
      <c r="T18" s="4">
        <f t="shared" si="13"/>
        <v>45579</v>
      </c>
      <c r="U18" s="11">
        <f t="shared" si="3"/>
        <v>25</v>
      </c>
      <c r="V18" s="6">
        <f t="shared" si="14"/>
        <v>28211.92124</v>
      </c>
      <c r="W18" s="6">
        <f t="shared" si="4"/>
        <v>15865.359999999999</v>
      </c>
      <c r="X18" s="6">
        <f t="shared" si="5"/>
        <v>12346.561240000001</v>
      </c>
      <c r="Y18" s="6">
        <f t="shared" si="6"/>
        <v>0.43763631462626335</v>
      </c>
      <c r="Z18" s="4" t="str">
        <f t="shared" si="7"/>
        <v>Q3-2024</v>
      </c>
      <c r="AA18" t="str">
        <f t="shared" si="8"/>
        <v>Printers</v>
      </c>
      <c r="AB18" t="str">
        <f t="shared" si="9"/>
        <v>Printers</v>
      </c>
      <c r="AC18" t="str">
        <f t="shared" si="10"/>
        <v>Non-compliant</v>
      </c>
      <c r="AD18" t="str">
        <f t="shared" si="11"/>
        <v>Late</v>
      </c>
      <c r="AE18" s="8">
        <f>MIN(Q18,Scenario!$B$2)</f>
        <v>0.2</v>
      </c>
      <c r="AF18" s="33">
        <f>L18*(1+Scenario!$B$3)</f>
        <v>445.00399999999996</v>
      </c>
      <c r="AG18" s="6">
        <f>R18*(1+Scenario!$B$4)</f>
        <v>49.199999999999996</v>
      </c>
      <c r="AH18" s="33">
        <f t="shared" si="15"/>
        <v>36898.425600000002</v>
      </c>
      <c r="AI18" s="33">
        <f t="shared" si="16"/>
        <v>21894.196799999998</v>
      </c>
      <c r="AJ18" s="33">
        <f t="shared" si="17"/>
        <v>15004.228800000004</v>
      </c>
    </row>
    <row r="19" spans="1:36" x14ac:dyDescent="0.25">
      <c r="A19" s="12" t="s">
        <v>511</v>
      </c>
      <c r="B19" s="27">
        <v>45544</v>
      </c>
      <c r="C19" s="4">
        <v>45548</v>
      </c>
      <c r="D19" s="12" t="s">
        <v>649</v>
      </c>
      <c r="E19" s="12" t="s">
        <v>658</v>
      </c>
      <c r="F19" s="12" t="s">
        <v>683</v>
      </c>
      <c r="G19" s="12" t="s">
        <v>704</v>
      </c>
      <c r="H19" s="12" t="s">
        <v>709</v>
      </c>
      <c r="I19" s="12" t="s">
        <v>721</v>
      </c>
      <c r="J19" s="12" t="s">
        <v>729</v>
      </c>
      <c r="K19" s="12" t="s">
        <v>1230</v>
      </c>
      <c r="L19" s="6">
        <v>1133.08</v>
      </c>
      <c r="M19" s="6">
        <v>976.17</v>
      </c>
      <c r="N19" s="6">
        <f t="shared" si="0"/>
        <v>976.17</v>
      </c>
      <c r="O19" s="6" t="str">
        <f t="shared" si="12"/>
        <v>Middle</v>
      </c>
      <c r="P19" s="6">
        <v>4.2000000000000003E-2</v>
      </c>
      <c r="Q19" s="6">
        <f t="shared" si="1"/>
        <v>4.2000000000000003E-2</v>
      </c>
      <c r="R19" s="6">
        <v>27</v>
      </c>
      <c r="S19" s="6" t="str">
        <f t="shared" si="2"/>
        <v>OK</v>
      </c>
      <c r="T19" s="4">
        <f t="shared" si="13"/>
        <v>45548</v>
      </c>
      <c r="U19" s="11">
        <f t="shared" si="3"/>
        <v>4</v>
      </c>
      <c r="V19" s="6">
        <f t="shared" si="14"/>
        <v>25249.613219999999</v>
      </c>
      <c r="W19" s="6">
        <f t="shared" si="4"/>
        <v>30593.159999999996</v>
      </c>
      <c r="X19" s="6">
        <f t="shared" si="5"/>
        <v>-5343.5467799999969</v>
      </c>
      <c r="Y19" s="6">
        <f t="shared" si="6"/>
        <v>-0.21162885678452373</v>
      </c>
      <c r="Z19" s="4" t="str">
        <f t="shared" si="7"/>
        <v>Q3-2024</v>
      </c>
      <c r="AA19" t="str">
        <f t="shared" si="8"/>
        <v>Networking</v>
      </c>
      <c r="AB19" t="str">
        <f t="shared" si="9"/>
        <v>Networking</v>
      </c>
      <c r="AC19" t="str">
        <f t="shared" si="10"/>
        <v>Compliant</v>
      </c>
      <c r="AD19" t="str">
        <f t="shared" si="11"/>
        <v>On-time</v>
      </c>
      <c r="AE19" s="8">
        <f>MIN(Q19,Scenario!$B$2)</f>
        <v>4.2000000000000003E-2</v>
      </c>
      <c r="AF19" s="33">
        <f>L19*(1+Scenario!$B$3)</f>
        <v>1303.0419999999999</v>
      </c>
      <c r="AG19" s="6">
        <f>R19*(1+Scenario!$B$4)</f>
        <v>32.4</v>
      </c>
      <c r="AH19" s="33">
        <f t="shared" si="15"/>
        <v>30299.535863999994</v>
      </c>
      <c r="AI19" s="33">
        <f t="shared" si="16"/>
        <v>42218.560799999992</v>
      </c>
      <c r="AJ19" s="33">
        <f t="shared" si="17"/>
        <v>-11919.024935999998</v>
      </c>
    </row>
    <row r="20" spans="1:36" hidden="1" x14ac:dyDescent="0.25">
      <c r="A20" s="12" t="s">
        <v>264</v>
      </c>
      <c r="B20" s="27">
        <v>45537</v>
      </c>
      <c r="C20" s="4">
        <v>45543</v>
      </c>
      <c r="D20" s="12" t="s">
        <v>648</v>
      </c>
      <c r="E20" s="12" t="s">
        <v>660</v>
      </c>
      <c r="F20" s="12" t="s">
        <v>697</v>
      </c>
      <c r="G20" s="12" t="s">
        <v>704</v>
      </c>
      <c r="H20" s="12" t="s">
        <v>711</v>
      </c>
      <c r="I20" s="12" t="s">
        <v>722</v>
      </c>
      <c r="J20" s="12" t="s">
        <v>727</v>
      </c>
      <c r="K20" s="12" t="s">
        <v>984</v>
      </c>
      <c r="L20" s="6">
        <v>462.94</v>
      </c>
      <c r="M20" s="6">
        <v>1015.7</v>
      </c>
      <c r="N20" s="6">
        <f t="shared" si="0"/>
        <v>1015.7</v>
      </c>
      <c r="O20" s="6" t="str">
        <f t="shared" si="12"/>
        <v>Middle</v>
      </c>
      <c r="P20" s="6">
        <v>0.14299999999999999</v>
      </c>
      <c r="Q20" s="6">
        <f t="shared" si="1"/>
        <v>0.14299999999999999</v>
      </c>
      <c r="R20" s="6">
        <v>14</v>
      </c>
      <c r="S20" s="6" t="str">
        <f t="shared" si="2"/>
        <v>OK</v>
      </c>
      <c r="T20" s="4">
        <f t="shared" si="13"/>
        <v>45543</v>
      </c>
      <c r="U20" s="11">
        <f t="shared" si="3"/>
        <v>6</v>
      </c>
      <c r="V20" s="6">
        <f t="shared" si="14"/>
        <v>12186.368600000002</v>
      </c>
      <c r="W20" s="6">
        <f t="shared" si="4"/>
        <v>6481.16</v>
      </c>
      <c r="X20" s="6">
        <f t="shared" si="5"/>
        <v>5705.2086000000018</v>
      </c>
      <c r="Y20" s="6">
        <f t="shared" si="6"/>
        <v>0.46816314090483041</v>
      </c>
      <c r="Z20" s="4" t="str">
        <f t="shared" si="7"/>
        <v>Q3-2024</v>
      </c>
      <c r="AA20" t="str">
        <f t="shared" si="8"/>
        <v>Components</v>
      </c>
      <c r="AB20" t="str">
        <f t="shared" si="9"/>
        <v>Components</v>
      </c>
      <c r="AC20" t="str">
        <f t="shared" si="10"/>
        <v>Compliant</v>
      </c>
      <c r="AD20" t="str">
        <f t="shared" si="11"/>
        <v>On-time</v>
      </c>
      <c r="AE20" s="8">
        <f>MIN(Q20,Scenario!$B$2)</f>
        <v>0.14299999999999999</v>
      </c>
      <c r="AF20" s="33">
        <f>L20*(1+Scenario!$B$3)</f>
        <v>532.38099999999997</v>
      </c>
      <c r="AG20" s="6">
        <f>R20*(1+Scenario!$B$4)</f>
        <v>16.8</v>
      </c>
      <c r="AH20" s="33">
        <f t="shared" si="15"/>
        <v>14623.642320000001</v>
      </c>
      <c r="AI20" s="33">
        <f t="shared" si="16"/>
        <v>8944.0007999999998</v>
      </c>
      <c r="AJ20" s="33">
        <f t="shared" si="17"/>
        <v>5679.641520000001</v>
      </c>
    </row>
    <row r="21" spans="1:36" hidden="1" x14ac:dyDescent="0.25">
      <c r="A21" s="12" t="s">
        <v>458</v>
      </c>
      <c r="B21" s="27">
        <v>45560</v>
      </c>
      <c r="C21" s="4">
        <v>45568</v>
      </c>
      <c r="D21" s="12" t="s">
        <v>648</v>
      </c>
      <c r="E21" s="12" t="s">
        <v>653</v>
      </c>
      <c r="F21" s="12" t="s">
        <v>667</v>
      </c>
      <c r="G21" s="12" t="s">
        <v>704</v>
      </c>
      <c r="H21" s="12" t="s">
        <v>708</v>
      </c>
      <c r="I21" s="12" t="s">
        <v>718</v>
      </c>
      <c r="J21" s="12" t="s">
        <v>728</v>
      </c>
      <c r="K21" s="12" t="s">
        <v>1177</v>
      </c>
      <c r="L21" s="6">
        <v>558.19000000000005</v>
      </c>
      <c r="M21" s="6">
        <v>1031.6400000000001</v>
      </c>
      <c r="N21" s="6">
        <f t="shared" si="0"/>
        <v>1031.6400000000001</v>
      </c>
      <c r="O21" s="6" t="str">
        <f t="shared" si="12"/>
        <v>Middle</v>
      </c>
      <c r="P21" s="6">
        <v>0</v>
      </c>
      <c r="Q21" s="6">
        <f t="shared" si="1"/>
        <v>0</v>
      </c>
      <c r="R21" s="6">
        <v>21</v>
      </c>
      <c r="S21" s="6" t="str">
        <f t="shared" si="2"/>
        <v>OK</v>
      </c>
      <c r="T21" s="4">
        <f t="shared" si="13"/>
        <v>45568</v>
      </c>
      <c r="U21" s="11">
        <f t="shared" si="3"/>
        <v>8</v>
      </c>
      <c r="V21" s="6">
        <f t="shared" si="14"/>
        <v>21664.440000000002</v>
      </c>
      <c r="W21" s="6">
        <f t="shared" si="4"/>
        <v>11721.990000000002</v>
      </c>
      <c r="X21" s="6">
        <f t="shared" si="5"/>
        <v>9942.4500000000007</v>
      </c>
      <c r="Y21" s="6">
        <f t="shared" si="6"/>
        <v>0.45892947152107322</v>
      </c>
      <c r="Z21" s="4" t="str">
        <f t="shared" si="7"/>
        <v>Q3-2024</v>
      </c>
      <c r="AA21" t="str">
        <f t="shared" si="8"/>
        <v>Printers</v>
      </c>
      <c r="AB21" t="str">
        <f t="shared" si="9"/>
        <v>Printers</v>
      </c>
      <c r="AC21" t="str">
        <f t="shared" si="10"/>
        <v>Compliant</v>
      </c>
      <c r="AD21" t="str">
        <f t="shared" si="11"/>
        <v>Late</v>
      </c>
      <c r="AE21" s="8">
        <f>MIN(Q21,Scenario!$B$2)</f>
        <v>0</v>
      </c>
      <c r="AF21" s="33">
        <f>L21*(1+Scenario!$B$3)</f>
        <v>641.91849999999999</v>
      </c>
      <c r="AG21" s="6">
        <f>R21*(1+Scenario!$B$4)</f>
        <v>25.2</v>
      </c>
      <c r="AH21" s="33">
        <f t="shared" si="15"/>
        <v>25997.328000000001</v>
      </c>
      <c r="AI21" s="33">
        <f t="shared" si="16"/>
        <v>16176.3462</v>
      </c>
      <c r="AJ21" s="33">
        <f t="shared" si="17"/>
        <v>9820.9818000000014</v>
      </c>
    </row>
    <row r="22" spans="1:36" hidden="1" x14ac:dyDescent="0.25">
      <c r="A22" s="12" t="s">
        <v>226</v>
      </c>
      <c r="B22" s="27">
        <v>45544</v>
      </c>
      <c r="C22" s="4">
        <v>45566</v>
      </c>
      <c r="D22" s="12" t="s">
        <v>647</v>
      </c>
      <c r="E22" s="12" t="s">
        <v>659</v>
      </c>
      <c r="F22" s="12" t="s">
        <v>676</v>
      </c>
      <c r="G22" s="12" t="s">
        <v>704</v>
      </c>
      <c r="H22" s="12" t="s">
        <v>711</v>
      </c>
      <c r="I22" s="12" t="s">
        <v>716</v>
      </c>
      <c r="J22" s="12" t="s">
        <v>728</v>
      </c>
      <c r="K22" s="12" t="s">
        <v>946</v>
      </c>
      <c r="L22" s="6">
        <v>1166.18</v>
      </c>
      <c r="M22" s="6">
        <v>1335.02</v>
      </c>
      <c r="N22" s="6">
        <f t="shared" si="0"/>
        <v>1335.02</v>
      </c>
      <c r="O22" s="6" t="str">
        <f t="shared" si="12"/>
        <v>High</v>
      </c>
      <c r="P22" s="6">
        <v>0.128</v>
      </c>
      <c r="Q22" s="6">
        <f t="shared" si="1"/>
        <v>0.128</v>
      </c>
      <c r="R22" s="6">
        <v>6</v>
      </c>
      <c r="S22" s="6" t="str">
        <f t="shared" si="2"/>
        <v>OK</v>
      </c>
      <c r="T22" s="4">
        <f t="shared" si="13"/>
        <v>45566</v>
      </c>
      <c r="U22" s="11">
        <f t="shared" si="3"/>
        <v>22</v>
      </c>
      <c r="V22" s="6">
        <f t="shared" si="14"/>
        <v>6984.8246399999998</v>
      </c>
      <c r="W22" s="6">
        <f t="shared" si="4"/>
        <v>6997.08</v>
      </c>
      <c r="X22" s="6">
        <f t="shared" si="5"/>
        <v>-12.25536000000011</v>
      </c>
      <c r="Y22" s="6">
        <f t="shared" si="6"/>
        <v>-1.7545694604582242E-3</v>
      </c>
      <c r="Z22" s="4" t="str">
        <f t="shared" si="7"/>
        <v>Q3-2024</v>
      </c>
      <c r="AA22" t="str">
        <f t="shared" si="8"/>
        <v>Printers</v>
      </c>
      <c r="AB22" t="str">
        <f t="shared" si="9"/>
        <v>Printers</v>
      </c>
      <c r="AC22" t="str">
        <f t="shared" si="10"/>
        <v>Compliant</v>
      </c>
      <c r="AD22" t="str">
        <f t="shared" si="11"/>
        <v>Late</v>
      </c>
      <c r="AE22" s="8">
        <f>MIN(Q22,Scenario!$B$2)</f>
        <v>0.128</v>
      </c>
      <c r="AF22" s="33">
        <f>L22*(1+Scenario!$B$3)</f>
        <v>1341.107</v>
      </c>
      <c r="AG22" s="6">
        <f>R22*(1+Scenario!$B$4)</f>
        <v>7.1999999999999993</v>
      </c>
      <c r="AH22" s="33">
        <f t="shared" si="15"/>
        <v>8381.7895679999983</v>
      </c>
      <c r="AI22" s="33">
        <f t="shared" si="16"/>
        <v>9655.9703999999983</v>
      </c>
      <c r="AJ22" s="33">
        <f t="shared" si="17"/>
        <v>-1274.180832</v>
      </c>
    </row>
    <row r="23" spans="1:36" hidden="1" x14ac:dyDescent="0.25">
      <c r="A23" s="12" t="s">
        <v>413</v>
      </c>
      <c r="B23" s="27">
        <v>45541</v>
      </c>
      <c r="C23" s="4">
        <v>45569</v>
      </c>
      <c r="D23" s="12" t="s">
        <v>646</v>
      </c>
      <c r="E23" s="12" t="s">
        <v>661</v>
      </c>
      <c r="F23" s="12" t="s">
        <v>695</v>
      </c>
      <c r="G23" s="12" t="s">
        <v>701</v>
      </c>
      <c r="H23" s="12" t="s">
        <v>709</v>
      </c>
      <c r="I23" s="12" t="s">
        <v>726</v>
      </c>
      <c r="J23" s="12" t="s">
        <v>732</v>
      </c>
      <c r="K23" s="12" t="s">
        <v>1132</v>
      </c>
      <c r="L23" s="6">
        <v>1174.17</v>
      </c>
      <c r="M23" s="6">
        <v>1641.61</v>
      </c>
      <c r="N23" s="6">
        <f t="shared" si="0"/>
        <v>1641.61</v>
      </c>
      <c r="O23" s="6" t="str">
        <f t="shared" si="12"/>
        <v>High</v>
      </c>
      <c r="P23" s="6">
        <v>0.122</v>
      </c>
      <c r="Q23" s="6">
        <f t="shared" si="1"/>
        <v>0.122</v>
      </c>
      <c r="R23" s="6">
        <v>9</v>
      </c>
      <c r="S23" s="6" t="str">
        <f t="shared" si="2"/>
        <v>OK</v>
      </c>
      <c r="T23" s="4">
        <f t="shared" si="13"/>
        <v>45569</v>
      </c>
      <c r="U23" s="11">
        <f t="shared" si="3"/>
        <v>28</v>
      </c>
      <c r="V23" s="6">
        <f t="shared" si="14"/>
        <v>12972.00222</v>
      </c>
      <c r="W23" s="6">
        <f t="shared" si="4"/>
        <v>10567.53</v>
      </c>
      <c r="X23" s="6">
        <f t="shared" si="5"/>
        <v>2404.4722199999997</v>
      </c>
      <c r="Y23" s="6">
        <f t="shared" si="6"/>
        <v>0.18535860380079394</v>
      </c>
      <c r="Z23" s="4" t="str">
        <f t="shared" si="7"/>
        <v>Q3-2024</v>
      </c>
      <c r="AA23" t="str">
        <f t="shared" si="8"/>
        <v>Monitors</v>
      </c>
      <c r="AB23" t="str">
        <f t="shared" si="9"/>
        <v>Monitors</v>
      </c>
      <c r="AC23" t="str">
        <f t="shared" si="10"/>
        <v>Compliant</v>
      </c>
      <c r="AD23" t="str">
        <f t="shared" si="11"/>
        <v>Late</v>
      </c>
      <c r="AE23" s="8">
        <f>MIN(Q23,Scenario!$B$2)</f>
        <v>0.122</v>
      </c>
      <c r="AF23" s="33">
        <f>L23*(1+Scenario!$B$3)</f>
        <v>1350.2954999999999</v>
      </c>
      <c r="AG23" s="6">
        <f>R23*(1+Scenario!$B$4)</f>
        <v>10.799999999999999</v>
      </c>
      <c r="AH23" s="33">
        <f t="shared" si="15"/>
        <v>15566.402663999996</v>
      </c>
      <c r="AI23" s="33">
        <f t="shared" si="16"/>
        <v>14583.191399999998</v>
      </c>
      <c r="AJ23" s="33">
        <f t="shared" si="17"/>
        <v>983.21126399999775</v>
      </c>
    </row>
    <row r="24" spans="1:36" hidden="1" x14ac:dyDescent="0.25">
      <c r="A24" s="12" t="s">
        <v>250</v>
      </c>
      <c r="B24" s="27">
        <v>45548</v>
      </c>
      <c r="C24" s="4">
        <v>45567</v>
      </c>
      <c r="D24" s="12" t="s">
        <v>646</v>
      </c>
      <c r="E24" s="12" t="s">
        <v>650</v>
      </c>
      <c r="F24" s="12" t="s">
        <v>675</v>
      </c>
      <c r="G24" s="12" t="s">
        <v>705</v>
      </c>
      <c r="H24" s="12" t="s">
        <v>707</v>
      </c>
      <c r="I24" s="12" t="s">
        <v>724</v>
      </c>
      <c r="J24" s="12" t="s">
        <v>730</v>
      </c>
      <c r="K24" s="12" t="s">
        <v>970</v>
      </c>
      <c r="L24" s="6">
        <v>1338.99</v>
      </c>
      <c r="M24" s="6">
        <v>1765.76</v>
      </c>
      <c r="N24" s="6">
        <f t="shared" si="0"/>
        <v>1765.76</v>
      </c>
      <c r="O24" s="6" t="str">
        <f t="shared" si="12"/>
        <v>High</v>
      </c>
      <c r="P24" s="6">
        <v>0.126</v>
      </c>
      <c r="Q24" s="6">
        <f t="shared" si="1"/>
        <v>0.126</v>
      </c>
      <c r="R24" s="6">
        <v>24</v>
      </c>
      <c r="S24" s="6" t="str">
        <f t="shared" si="2"/>
        <v>OK</v>
      </c>
      <c r="T24" s="4">
        <f t="shared" si="13"/>
        <v>45567</v>
      </c>
      <c r="U24" s="11">
        <f t="shared" si="3"/>
        <v>19</v>
      </c>
      <c r="V24" s="6">
        <f t="shared" si="14"/>
        <v>37038.581760000001</v>
      </c>
      <c r="W24" s="6">
        <f t="shared" si="4"/>
        <v>32135.760000000002</v>
      </c>
      <c r="X24" s="6">
        <f t="shared" si="5"/>
        <v>4902.8217599999989</v>
      </c>
      <c r="Y24" s="6">
        <f t="shared" si="6"/>
        <v>0.1323706666677725</v>
      </c>
      <c r="Z24" s="4" t="str">
        <f t="shared" si="7"/>
        <v>Q3-2024</v>
      </c>
      <c r="AA24" t="str">
        <f t="shared" si="8"/>
        <v>Phones</v>
      </c>
      <c r="AB24" t="str">
        <f t="shared" si="9"/>
        <v>Phones</v>
      </c>
      <c r="AC24" t="str">
        <f t="shared" si="10"/>
        <v>Compliant</v>
      </c>
      <c r="AD24" t="str">
        <f t="shared" si="11"/>
        <v>Late</v>
      </c>
      <c r="AE24" s="8">
        <f>MIN(Q24,Scenario!$B$2)</f>
        <v>0.126</v>
      </c>
      <c r="AF24" s="33">
        <f>L24*(1+Scenario!$B$3)</f>
        <v>1539.8384999999998</v>
      </c>
      <c r="AG24" s="6">
        <f>R24*(1+Scenario!$B$4)</f>
        <v>28.799999999999997</v>
      </c>
      <c r="AH24" s="33">
        <f t="shared" si="15"/>
        <v>44446.298111999989</v>
      </c>
      <c r="AI24" s="33">
        <f t="shared" si="16"/>
        <v>44347.348799999992</v>
      </c>
      <c r="AJ24" s="33">
        <f t="shared" si="17"/>
        <v>98.949311999997008</v>
      </c>
    </row>
    <row r="25" spans="1:36" hidden="1" x14ac:dyDescent="0.25">
      <c r="A25" s="12" t="s">
        <v>222</v>
      </c>
      <c r="B25" s="27">
        <v>45545</v>
      </c>
      <c r="C25" s="4">
        <v>45572</v>
      </c>
      <c r="D25" s="12" t="s">
        <v>646</v>
      </c>
      <c r="E25" s="12" t="s">
        <v>650</v>
      </c>
      <c r="F25" s="12" t="s">
        <v>662</v>
      </c>
      <c r="G25" s="12" t="s">
        <v>704</v>
      </c>
      <c r="H25" s="12" t="s">
        <v>707</v>
      </c>
      <c r="I25" s="12" t="s">
        <v>716</v>
      </c>
      <c r="J25" s="12" t="s">
        <v>728</v>
      </c>
      <c r="K25" s="12" t="s">
        <v>942</v>
      </c>
      <c r="L25" s="6">
        <v>1248.3900000000001</v>
      </c>
      <c r="M25" s="6">
        <v>1805.11</v>
      </c>
      <c r="N25" s="6">
        <f t="shared" si="0"/>
        <v>1805.11</v>
      </c>
      <c r="O25" s="6" t="str">
        <f t="shared" si="12"/>
        <v>High</v>
      </c>
      <c r="P25" s="6">
        <v>0.20300000000000001</v>
      </c>
      <c r="Q25" s="6">
        <f t="shared" si="1"/>
        <v>0.20300000000000001</v>
      </c>
      <c r="R25" s="6">
        <v>11</v>
      </c>
      <c r="S25" s="6" t="str">
        <f t="shared" si="2"/>
        <v>OK</v>
      </c>
      <c r="T25" s="4">
        <f t="shared" si="13"/>
        <v>45572</v>
      </c>
      <c r="U25" s="11">
        <f t="shared" si="3"/>
        <v>27</v>
      </c>
      <c r="V25" s="6">
        <f t="shared" si="14"/>
        <v>15825.399369999997</v>
      </c>
      <c r="W25" s="6">
        <f t="shared" si="4"/>
        <v>13732.29</v>
      </c>
      <c r="X25" s="6">
        <f t="shared" si="5"/>
        <v>2093.1093699999965</v>
      </c>
      <c r="Y25" s="6">
        <f t="shared" si="6"/>
        <v>0.13226265707820786</v>
      </c>
      <c r="Z25" s="4" t="str">
        <f t="shared" si="7"/>
        <v>Q3-2024</v>
      </c>
      <c r="AA25" t="str">
        <f t="shared" si="8"/>
        <v>Printers</v>
      </c>
      <c r="AB25" t="str">
        <f t="shared" si="9"/>
        <v>Printers</v>
      </c>
      <c r="AC25" t="str">
        <f t="shared" si="10"/>
        <v>Non-compliant</v>
      </c>
      <c r="AD25" t="str">
        <f t="shared" si="11"/>
        <v>Late</v>
      </c>
      <c r="AE25" s="8">
        <f>MIN(Q25,Scenario!$B$2)</f>
        <v>0.2</v>
      </c>
      <c r="AF25" s="33">
        <f>L25*(1+Scenario!$B$3)</f>
        <v>1435.6485</v>
      </c>
      <c r="AG25" s="6">
        <f>R25*(1+Scenario!$B$4)</f>
        <v>13.2</v>
      </c>
      <c r="AH25" s="33">
        <f t="shared" si="15"/>
        <v>19061.961599999999</v>
      </c>
      <c r="AI25" s="33">
        <f t="shared" si="16"/>
        <v>18950.5602</v>
      </c>
      <c r="AJ25" s="33">
        <f t="shared" si="17"/>
        <v>111.40139999999883</v>
      </c>
    </row>
    <row r="26" spans="1:36" hidden="1" x14ac:dyDescent="0.25">
      <c r="A26" s="12" t="s">
        <v>209</v>
      </c>
      <c r="B26" s="27">
        <v>45557</v>
      </c>
      <c r="C26" s="4">
        <v>45566</v>
      </c>
      <c r="D26" s="12" t="s">
        <v>648</v>
      </c>
      <c r="E26" s="12" t="s">
        <v>655</v>
      </c>
      <c r="F26" s="12" t="s">
        <v>670</v>
      </c>
      <c r="G26" s="12" t="s">
        <v>703</v>
      </c>
      <c r="H26" s="12" t="s">
        <v>708</v>
      </c>
      <c r="I26" s="12" t="s">
        <v>723</v>
      </c>
      <c r="J26" s="12" t="s">
        <v>732</v>
      </c>
      <c r="K26" s="12" t="s">
        <v>929</v>
      </c>
      <c r="L26" s="6">
        <v>1378.8</v>
      </c>
      <c r="M26" s="6">
        <v>1952.04</v>
      </c>
      <c r="N26" s="6">
        <f t="shared" si="0"/>
        <v>1952.04</v>
      </c>
      <c r="O26" s="6" t="str">
        <f t="shared" si="12"/>
        <v>High</v>
      </c>
      <c r="P26" s="6">
        <v>0.159</v>
      </c>
      <c r="Q26" s="6">
        <f t="shared" si="1"/>
        <v>0.159</v>
      </c>
      <c r="R26" s="6">
        <v>19</v>
      </c>
      <c r="S26" s="6" t="str">
        <f t="shared" si="2"/>
        <v>OK</v>
      </c>
      <c r="T26" s="4">
        <f t="shared" si="13"/>
        <v>45566</v>
      </c>
      <c r="U26" s="11">
        <f t="shared" si="3"/>
        <v>9</v>
      </c>
      <c r="V26" s="6">
        <f t="shared" si="14"/>
        <v>31191.64716</v>
      </c>
      <c r="W26" s="6">
        <f t="shared" si="4"/>
        <v>26197.200000000001</v>
      </c>
      <c r="X26" s="6">
        <f t="shared" si="5"/>
        <v>4994.4471599999997</v>
      </c>
      <c r="Y26" s="6">
        <f t="shared" si="6"/>
        <v>0.16012130216723058</v>
      </c>
      <c r="Z26" s="4" t="str">
        <f t="shared" si="7"/>
        <v>Q3-2024</v>
      </c>
      <c r="AA26" t="str">
        <f t="shared" si="8"/>
        <v>Monitors</v>
      </c>
      <c r="AB26" t="str">
        <f t="shared" si="9"/>
        <v>Monitors</v>
      </c>
      <c r="AC26" t="str">
        <f t="shared" si="10"/>
        <v>Compliant</v>
      </c>
      <c r="AD26" t="str">
        <f t="shared" si="11"/>
        <v>Late</v>
      </c>
      <c r="AE26" s="8">
        <f>MIN(Q26,Scenario!$B$2)</f>
        <v>0.159</v>
      </c>
      <c r="AF26" s="33">
        <f>L26*(1+Scenario!$B$3)</f>
        <v>1585.62</v>
      </c>
      <c r="AG26" s="6">
        <f>R26*(1+Scenario!$B$4)</f>
        <v>22.8</v>
      </c>
      <c r="AH26" s="33">
        <f t="shared" si="15"/>
        <v>37429.976591999999</v>
      </c>
      <c r="AI26" s="33">
        <f t="shared" si="16"/>
        <v>36152.135999999999</v>
      </c>
      <c r="AJ26" s="33">
        <f t="shared" si="17"/>
        <v>1277.8405920000005</v>
      </c>
    </row>
    <row r="27" spans="1:36" hidden="1" x14ac:dyDescent="0.25">
      <c r="A27" s="12" t="s">
        <v>597</v>
      </c>
      <c r="B27" s="27">
        <v>45541</v>
      </c>
      <c r="C27" s="4">
        <v>45539</v>
      </c>
      <c r="D27" s="12" t="s">
        <v>647</v>
      </c>
      <c r="E27" s="12" t="s">
        <v>652</v>
      </c>
      <c r="F27" s="12" t="s">
        <v>666</v>
      </c>
      <c r="G27" s="12" t="s">
        <v>701</v>
      </c>
      <c r="H27" s="12" t="s">
        <v>711</v>
      </c>
      <c r="I27" s="12" t="s">
        <v>720</v>
      </c>
      <c r="J27" s="12" t="s">
        <v>731</v>
      </c>
      <c r="K27" s="12" t="s">
        <v>1315</v>
      </c>
      <c r="L27" s="6">
        <v>1368.17</v>
      </c>
      <c r="M27" s="6">
        <v>2307.75</v>
      </c>
      <c r="N27" s="6">
        <f t="shared" si="0"/>
        <v>2307.75</v>
      </c>
      <c r="O27" s="6" t="str">
        <f t="shared" si="12"/>
        <v>High</v>
      </c>
      <c r="P27" s="6">
        <v>0.16300000000000001</v>
      </c>
      <c r="Q27" s="6">
        <f t="shared" si="1"/>
        <v>0.16300000000000001</v>
      </c>
      <c r="R27" s="6">
        <v>21</v>
      </c>
      <c r="S27" s="6" t="str">
        <f t="shared" si="2"/>
        <v>Correct</v>
      </c>
      <c r="T27" s="4">
        <f t="shared" si="13"/>
        <v>45548</v>
      </c>
      <c r="U27" s="11">
        <f t="shared" si="3"/>
        <v>7</v>
      </c>
      <c r="V27" s="6">
        <f t="shared" si="14"/>
        <v>40563.321749999996</v>
      </c>
      <c r="W27" s="6">
        <f t="shared" si="4"/>
        <v>28731.57</v>
      </c>
      <c r="X27" s="6">
        <f t="shared" si="5"/>
        <v>11831.751749999996</v>
      </c>
      <c r="Y27" s="6">
        <f t="shared" si="6"/>
        <v>0.29168596750831921</v>
      </c>
      <c r="Z27" s="4" t="str">
        <f t="shared" si="7"/>
        <v>Q3-2024</v>
      </c>
      <c r="AA27" t="str">
        <f t="shared" si="8"/>
        <v>Laptops</v>
      </c>
      <c r="AB27" t="str">
        <f t="shared" si="9"/>
        <v>Laptops</v>
      </c>
      <c r="AC27" t="str">
        <f t="shared" si="10"/>
        <v>Compliant</v>
      </c>
      <c r="AD27" t="str">
        <f t="shared" si="11"/>
        <v>On-time</v>
      </c>
      <c r="AE27" s="8">
        <f>MIN(Q27,Scenario!$B$2)</f>
        <v>0.16300000000000001</v>
      </c>
      <c r="AF27" s="33">
        <f>L27*(1+Scenario!$B$3)</f>
        <v>1573.3954999999999</v>
      </c>
      <c r="AG27" s="6">
        <f>R27*(1+Scenario!$B$4)</f>
        <v>25.2</v>
      </c>
      <c r="AH27" s="33">
        <f t="shared" si="15"/>
        <v>48675.986099999995</v>
      </c>
      <c r="AI27" s="33">
        <f t="shared" si="16"/>
        <v>39649.566599999998</v>
      </c>
      <c r="AJ27" s="33">
        <f t="shared" si="17"/>
        <v>9026.4194999999963</v>
      </c>
    </row>
    <row r="28" spans="1:36" hidden="1" x14ac:dyDescent="0.25">
      <c r="A28" s="12" t="s">
        <v>164</v>
      </c>
      <c r="B28" s="27">
        <v>45558</v>
      </c>
      <c r="C28" s="4">
        <v>45583</v>
      </c>
      <c r="D28" s="12" t="s">
        <v>648</v>
      </c>
      <c r="E28" s="12" t="s">
        <v>653</v>
      </c>
      <c r="F28" s="12" t="s">
        <v>688</v>
      </c>
      <c r="G28" s="12" t="s">
        <v>705</v>
      </c>
      <c r="H28" s="12" t="s">
        <v>708</v>
      </c>
      <c r="I28" s="12" t="s">
        <v>725</v>
      </c>
      <c r="J28" s="12" t="s">
        <v>730</v>
      </c>
      <c r="K28" s="12" t="s">
        <v>883</v>
      </c>
      <c r="L28" s="6">
        <v>1297</v>
      </c>
      <c r="M28" s="6">
        <v>2411.52</v>
      </c>
      <c r="N28" s="6">
        <f t="shared" si="0"/>
        <v>2411.52</v>
      </c>
      <c r="O28" s="6" t="str">
        <f t="shared" si="12"/>
        <v>High</v>
      </c>
      <c r="P28" s="6">
        <v>2.1000000000000001E-2</v>
      </c>
      <c r="Q28" s="6">
        <f t="shared" si="1"/>
        <v>2.1000000000000001E-2</v>
      </c>
      <c r="R28" s="6">
        <v>18</v>
      </c>
      <c r="S28" s="6" t="str">
        <f t="shared" si="2"/>
        <v>OK</v>
      </c>
      <c r="T28" s="4">
        <f t="shared" si="13"/>
        <v>45583</v>
      </c>
      <c r="U28" s="11">
        <f t="shared" si="3"/>
        <v>25</v>
      </c>
      <c r="V28" s="6">
        <f t="shared" si="14"/>
        <v>42495.805439999996</v>
      </c>
      <c r="W28" s="6">
        <f t="shared" si="4"/>
        <v>23346</v>
      </c>
      <c r="X28" s="6">
        <f t="shared" si="5"/>
        <v>19149.805439999996</v>
      </c>
      <c r="Y28" s="6">
        <f t="shared" si="6"/>
        <v>0.45062813239385913</v>
      </c>
      <c r="Z28" s="4" t="str">
        <f t="shared" si="7"/>
        <v>Q3-2024</v>
      </c>
      <c r="AA28" t="str">
        <f t="shared" si="8"/>
        <v>Phones</v>
      </c>
      <c r="AB28" t="str">
        <f t="shared" si="9"/>
        <v>Phones</v>
      </c>
      <c r="AC28" t="str">
        <f t="shared" si="10"/>
        <v>Compliant</v>
      </c>
      <c r="AD28" t="str">
        <f t="shared" si="11"/>
        <v>Late</v>
      </c>
      <c r="AE28" s="8">
        <f>MIN(Q28,Scenario!$B$2)</f>
        <v>2.1000000000000001E-2</v>
      </c>
      <c r="AF28" s="33">
        <f>L28*(1+Scenario!$B$3)</f>
        <v>1491.55</v>
      </c>
      <c r="AG28" s="6">
        <f>R28*(1+Scenario!$B$4)</f>
        <v>21.599999999999998</v>
      </c>
      <c r="AH28" s="33">
        <f t="shared" si="15"/>
        <v>50994.966527999997</v>
      </c>
      <c r="AI28" s="33">
        <f t="shared" si="16"/>
        <v>32217.479999999996</v>
      </c>
      <c r="AJ28" s="33">
        <f t="shared" si="17"/>
        <v>18777.486528000001</v>
      </c>
    </row>
    <row r="29" spans="1:36" hidden="1" x14ac:dyDescent="0.25">
      <c r="A29" s="12" t="s">
        <v>338</v>
      </c>
      <c r="B29" s="27">
        <v>45544</v>
      </c>
      <c r="C29" s="4">
        <v>45573</v>
      </c>
      <c r="D29" s="12" t="s">
        <v>648</v>
      </c>
      <c r="E29" s="12" t="s">
        <v>655</v>
      </c>
      <c r="F29" s="12" t="s">
        <v>670</v>
      </c>
      <c r="G29" s="12" t="s">
        <v>702</v>
      </c>
      <c r="H29" s="12" t="s">
        <v>711</v>
      </c>
      <c r="I29" s="12" t="s">
        <v>713</v>
      </c>
      <c r="J29" s="12" t="s">
        <v>727</v>
      </c>
      <c r="K29" s="12" t="s">
        <v>1058</v>
      </c>
      <c r="L29" s="6">
        <v>1010.33</v>
      </c>
      <c r="M29" s="6">
        <v>2492.14</v>
      </c>
      <c r="N29" s="6">
        <f t="shared" si="0"/>
        <v>2492.14</v>
      </c>
      <c r="O29" s="6" t="str">
        <f t="shared" si="12"/>
        <v>High</v>
      </c>
      <c r="P29" s="6">
        <v>5.0999999999999997E-2</v>
      </c>
      <c r="Q29" s="6">
        <f t="shared" si="1"/>
        <v>5.0999999999999997E-2</v>
      </c>
      <c r="R29" s="6">
        <v>11</v>
      </c>
      <c r="S29" s="6" t="str">
        <f t="shared" si="2"/>
        <v>OK</v>
      </c>
      <c r="T29" s="4">
        <f t="shared" si="13"/>
        <v>45573</v>
      </c>
      <c r="U29" s="11">
        <f t="shared" si="3"/>
        <v>29</v>
      </c>
      <c r="V29" s="6">
        <f t="shared" si="14"/>
        <v>26015.449459999996</v>
      </c>
      <c r="W29" s="6">
        <f t="shared" si="4"/>
        <v>11113.630000000001</v>
      </c>
      <c r="X29" s="6">
        <f t="shared" si="5"/>
        <v>14901.819459999995</v>
      </c>
      <c r="Y29" s="6">
        <f t="shared" si="6"/>
        <v>0.57280653493656752</v>
      </c>
      <c r="Z29" s="4" t="str">
        <f t="shared" si="7"/>
        <v>Q3-2024</v>
      </c>
      <c r="AA29" t="str">
        <f t="shared" si="8"/>
        <v>Components</v>
      </c>
      <c r="AB29" t="str">
        <f t="shared" si="9"/>
        <v>Components</v>
      </c>
      <c r="AC29" t="str">
        <f t="shared" si="10"/>
        <v>Compliant</v>
      </c>
      <c r="AD29" t="str">
        <f t="shared" si="11"/>
        <v>Late</v>
      </c>
      <c r="AE29" s="8">
        <f>MIN(Q29,Scenario!$B$2)</f>
        <v>5.0999999999999997E-2</v>
      </c>
      <c r="AF29" s="33">
        <f>L29*(1+Scenario!$B$3)</f>
        <v>1161.8795</v>
      </c>
      <c r="AG29" s="6">
        <f>R29*(1+Scenario!$B$4)</f>
        <v>13.2</v>
      </c>
      <c r="AH29" s="33">
        <f t="shared" si="15"/>
        <v>31218.539352</v>
      </c>
      <c r="AI29" s="33">
        <f t="shared" si="16"/>
        <v>15336.8094</v>
      </c>
      <c r="AJ29" s="33">
        <f t="shared" si="17"/>
        <v>15881.729952</v>
      </c>
    </row>
    <row r="30" spans="1:36" hidden="1" x14ac:dyDescent="0.25">
      <c r="A30" s="12" t="s">
        <v>301</v>
      </c>
      <c r="B30" s="27">
        <v>45542</v>
      </c>
      <c r="C30" s="4">
        <v>45542</v>
      </c>
      <c r="D30" s="12" t="s">
        <v>647</v>
      </c>
      <c r="E30" s="12" t="s">
        <v>654</v>
      </c>
      <c r="F30" s="12" t="s">
        <v>691</v>
      </c>
      <c r="G30" s="12" t="s">
        <v>702</v>
      </c>
      <c r="H30" s="12" t="s">
        <v>710</v>
      </c>
      <c r="I30" s="12" t="s">
        <v>717</v>
      </c>
      <c r="J30" s="12" t="s">
        <v>729</v>
      </c>
      <c r="K30" s="12" t="s">
        <v>1021</v>
      </c>
      <c r="L30" s="6">
        <v>1066.6500000000001</v>
      </c>
      <c r="M30" s="6">
        <v>2569.77</v>
      </c>
      <c r="N30" s="6">
        <f t="shared" si="0"/>
        <v>2569.77</v>
      </c>
      <c r="O30" s="6" t="str">
        <f t="shared" si="12"/>
        <v>High</v>
      </c>
      <c r="P30" s="6">
        <v>0.13400000000000001</v>
      </c>
      <c r="Q30" s="6">
        <f t="shared" si="1"/>
        <v>0.13400000000000001</v>
      </c>
      <c r="R30" s="6">
        <v>9</v>
      </c>
      <c r="S30" s="6" t="str">
        <f t="shared" si="2"/>
        <v>OK</v>
      </c>
      <c r="T30" s="4">
        <f t="shared" si="13"/>
        <v>45542</v>
      </c>
      <c r="U30" s="11">
        <f t="shared" si="3"/>
        <v>0</v>
      </c>
      <c r="V30" s="6">
        <f t="shared" si="14"/>
        <v>20028.787380000002</v>
      </c>
      <c r="W30" s="6">
        <f t="shared" si="4"/>
        <v>9599.85</v>
      </c>
      <c r="X30" s="6">
        <f t="shared" si="5"/>
        <v>10428.937380000001</v>
      </c>
      <c r="Y30" s="6">
        <f t="shared" si="6"/>
        <v>0.52069739331368348</v>
      </c>
      <c r="Z30" s="4" t="str">
        <f t="shared" si="7"/>
        <v>Q3-2024</v>
      </c>
      <c r="AA30" t="str">
        <f t="shared" si="8"/>
        <v>Networking</v>
      </c>
      <c r="AB30" t="str">
        <f t="shared" si="9"/>
        <v>Networking</v>
      </c>
      <c r="AC30" t="str">
        <f t="shared" si="10"/>
        <v>Compliant</v>
      </c>
      <c r="AD30" t="str">
        <f t="shared" si="11"/>
        <v>On-time</v>
      </c>
      <c r="AE30" s="8">
        <f>MIN(Q30,Scenario!$B$2)</f>
        <v>0.13400000000000001</v>
      </c>
      <c r="AF30" s="33">
        <f>L30*(1+Scenario!$B$3)</f>
        <v>1226.6475</v>
      </c>
      <c r="AG30" s="6">
        <f>R30*(1+Scenario!$B$4)</f>
        <v>10.799999999999999</v>
      </c>
      <c r="AH30" s="33">
        <f t="shared" si="15"/>
        <v>24034.544855999997</v>
      </c>
      <c r="AI30" s="33">
        <f t="shared" si="16"/>
        <v>13247.793</v>
      </c>
      <c r="AJ30" s="33">
        <f t="shared" si="17"/>
        <v>10786.751855999997</v>
      </c>
    </row>
    <row r="31" spans="1:36" hidden="1" x14ac:dyDescent="0.25">
      <c r="A31" s="12" t="s">
        <v>119</v>
      </c>
      <c r="B31" s="27">
        <v>45549</v>
      </c>
      <c r="C31" s="4">
        <v>45570</v>
      </c>
      <c r="D31" s="12" t="s">
        <v>647</v>
      </c>
      <c r="E31" s="12" t="s">
        <v>659</v>
      </c>
      <c r="F31" s="12" t="s">
        <v>685</v>
      </c>
      <c r="G31" s="12" t="s">
        <v>705</v>
      </c>
      <c r="H31" s="12" t="s">
        <v>708</v>
      </c>
      <c r="I31" s="12" t="s">
        <v>722</v>
      </c>
      <c r="J31" s="12" t="s">
        <v>731</v>
      </c>
      <c r="K31" s="12" t="s">
        <v>838</v>
      </c>
      <c r="L31" s="6">
        <v>1405.56</v>
      </c>
      <c r="M31" s="6">
        <v>2968.87</v>
      </c>
      <c r="N31" s="6">
        <f t="shared" si="0"/>
        <v>2968.87</v>
      </c>
      <c r="O31" s="6" t="str">
        <f t="shared" si="12"/>
        <v>High</v>
      </c>
      <c r="P31" s="6">
        <v>0.16900000000000001</v>
      </c>
      <c r="Q31" s="6">
        <f t="shared" si="1"/>
        <v>0.16900000000000001</v>
      </c>
      <c r="R31" s="6">
        <v>5</v>
      </c>
      <c r="S31" s="6" t="str">
        <f t="shared" si="2"/>
        <v>OK</v>
      </c>
      <c r="T31" s="4">
        <f t="shared" si="13"/>
        <v>45570</v>
      </c>
      <c r="U31" s="11">
        <f t="shared" si="3"/>
        <v>21</v>
      </c>
      <c r="V31" s="6">
        <f t="shared" si="14"/>
        <v>12335.654849999999</v>
      </c>
      <c r="W31" s="6">
        <f t="shared" si="4"/>
        <v>7027.7999999999993</v>
      </c>
      <c r="X31" s="6">
        <f t="shared" si="5"/>
        <v>5307.8548499999997</v>
      </c>
      <c r="Y31" s="6">
        <f t="shared" si="6"/>
        <v>0.4302856163327235</v>
      </c>
      <c r="Z31" s="4" t="str">
        <f t="shared" si="7"/>
        <v>Q3-2024</v>
      </c>
      <c r="AA31" t="str">
        <f t="shared" si="8"/>
        <v>Laptops</v>
      </c>
      <c r="AB31" t="str">
        <f t="shared" si="9"/>
        <v>Laptops</v>
      </c>
      <c r="AC31" t="str">
        <f t="shared" si="10"/>
        <v>Compliant</v>
      </c>
      <c r="AD31" t="str">
        <f t="shared" si="11"/>
        <v>Late</v>
      </c>
      <c r="AE31" s="8">
        <f>MIN(Q31,Scenario!$B$2)</f>
        <v>0.16900000000000001</v>
      </c>
      <c r="AF31" s="33">
        <f>L31*(1+Scenario!$B$3)</f>
        <v>1616.3939999999998</v>
      </c>
      <c r="AG31" s="6">
        <f>R31*(1+Scenario!$B$4)</f>
        <v>6</v>
      </c>
      <c r="AH31" s="33">
        <f t="shared" si="15"/>
        <v>14802.785820000001</v>
      </c>
      <c r="AI31" s="33">
        <f t="shared" si="16"/>
        <v>9698.3639999999978</v>
      </c>
      <c r="AJ31" s="33">
        <f t="shared" si="17"/>
        <v>5104.4218200000032</v>
      </c>
    </row>
    <row r="32" spans="1:36" hidden="1" x14ac:dyDescent="0.25">
      <c r="A32" s="12" t="s">
        <v>235</v>
      </c>
      <c r="B32" s="27">
        <v>45194</v>
      </c>
      <c r="C32" s="4">
        <v>45201</v>
      </c>
      <c r="D32" s="12" t="s">
        <v>648</v>
      </c>
      <c r="E32" s="12" t="s">
        <v>660</v>
      </c>
      <c r="F32" s="12" t="s">
        <v>700</v>
      </c>
      <c r="G32" s="12" t="s">
        <v>702</v>
      </c>
      <c r="H32" s="12" t="s">
        <v>709</v>
      </c>
      <c r="I32" s="12" t="s">
        <v>714</v>
      </c>
      <c r="J32" s="12" t="s">
        <v>733</v>
      </c>
      <c r="K32" s="12" t="s">
        <v>955</v>
      </c>
      <c r="L32" s="6">
        <v>145.58000000000001</v>
      </c>
      <c r="M32" s="6">
        <v>228.15</v>
      </c>
      <c r="N32" s="6">
        <f t="shared" si="0"/>
        <v>228.15</v>
      </c>
      <c r="O32" s="6" t="str">
        <f t="shared" si="12"/>
        <v>Low</v>
      </c>
      <c r="P32" s="6">
        <v>0.20399999999999999</v>
      </c>
      <c r="Q32" s="6">
        <f t="shared" si="1"/>
        <v>0.20399999999999999</v>
      </c>
      <c r="R32" s="6">
        <v>5</v>
      </c>
      <c r="S32" s="6" t="str">
        <f t="shared" si="2"/>
        <v>OK</v>
      </c>
      <c r="T32" s="4">
        <f t="shared" si="13"/>
        <v>45201</v>
      </c>
      <c r="U32" s="11">
        <f t="shared" si="3"/>
        <v>7</v>
      </c>
      <c r="V32" s="6">
        <f t="shared" si="14"/>
        <v>908.03700000000003</v>
      </c>
      <c r="W32" s="6">
        <f t="shared" si="4"/>
        <v>727.90000000000009</v>
      </c>
      <c r="X32" s="6">
        <f t="shared" si="5"/>
        <v>180.13699999999994</v>
      </c>
      <c r="Y32" s="6">
        <f t="shared" si="6"/>
        <v>0.19838068272548359</v>
      </c>
      <c r="Z32" s="4" t="str">
        <f t="shared" si="7"/>
        <v>Q3-2023</v>
      </c>
      <c r="AA32" t="str">
        <f t="shared" si="8"/>
        <v>Accessories</v>
      </c>
      <c r="AB32" t="str">
        <f t="shared" si="9"/>
        <v>Accessories</v>
      </c>
      <c r="AC32" t="str">
        <f t="shared" si="10"/>
        <v>Non-compliant</v>
      </c>
      <c r="AD32" t="str">
        <f t="shared" si="11"/>
        <v>On-time</v>
      </c>
      <c r="AE32" s="8">
        <f>MIN(Q32,Scenario!$B$2)</f>
        <v>0.2</v>
      </c>
      <c r="AF32" s="33">
        <f>L32*(1+Scenario!$B$3)</f>
        <v>167.417</v>
      </c>
      <c r="AG32" s="6">
        <f>R32*(1+Scenario!$B$4)</f>
        <v>6</v>
      </c>
      <c r="AH32" s="33">
        <f t="shared" si="15"/>
        <v>1095.1200000000001</v>
      </c>
      <c r="AI32" s="33">
        <f t="shared" si="16"/>
        <v>1004.502</v>
      </c>
      <c r="AJ32" s="33">
        <f t="shared" si="17"/>
        <v>90.618000000000166</v>
      </c>
    </row>
    <row r="33" spans="1:36" hidden="1" x14ac:dyDescent="0.25">
      <c r="A33" s="12" t="s">
        <v>634</v>
      </c>
      <c r="B33" s="27">
        <v>45177</v>
      </c>
      <c r="C33" s="4">
        <v>45183</v>
      </c>
      <c r="D33" s="12" t="s">
        <v>646</v>
      </c>
      <c r="E33" s="12" t="s">
        <v>650</v>
      </c>
      <c r="F33" s="12" t="s">
        <v>678</v>
      </c>
      <c r="G33" s="12" t="s">
        <v>702</v>
      </c>
      <c r="H33" s="12" t="s">
        <v>711</v>
      </c>
      <c r="I33" s="12" t="s">
        <v>714</v>
      </c>
      <c r="J33" s="12" t="s">
        <v>733</v>
      </c>
      <c r="K33" s="12" t="s">
        <v>1352</v>
      </c>
      <c r="L33" s="6">
        <v>251.03</v>
      </c>
      <c r="M33" s="6">
        <v>411.48</v>
      </c>
      <c r="N33" s="6">
        <f t="shared" si="0"/>
        <v>411.48</v>
      </c>
      <c r="O33" s="6" t="str">
        <f t="shared" si="12"/>
        <v>Low</v>
      </c>
      <c r="P33" s="6">
        <v>0.16500000000000001</v>
      </c>
      <c r="Q33" s="6">
        <f t="shared" si="1"/>
        <v>0.16500000000000001</v>
      </c>
      <c r="R33" s="6">
        <v>3</v>
      </c>
      <c r="S33" s="6" t="str">
        <f t="shared" si="2"/>
        <v>OK</v>
      </c>
      <c r="T33" s="4">
        <f t="shared" si="13"/>
        <v>45183</v>
      </c>
      <c r="U33" s="11">
        <f t="shared" si="3"/>
        <v>6</v>
      </c>
      <c r="V33" s="6">
        <f t="shared" si="14"/>
        <v>1030.7574</v>
      </c>
      <c r="W33" s="6">
        <f t="shared" si="4"/>
        <v>753.09</v>
      </c>
      <c r="X33" s="6">
        <f t="shared" si="5"/>
        <v>277.66739999999993</v>
      </c>
      <c r="Y33" s="6">
        <f t="shared" si="6"/>
        <v>0.26938191275658069</v>
      </c>
      <c r="Z33" s="4" t="str">
        <f t="shared" si="7"/>
        <v>Q3-2023</v>
      </c>
      <c r="AA33" t="str">
        <f t="shared" si="8"/>
        <v>Accessories</v>
      </c>
      <c r="AB33" t="str">
        <f t="shared" si="9"/>
        <v>Accessories</v>
      </c>
      <c r="AC33" t="str">
        <f t="shared" si="10"/>
        <v>Compliant</v>
      </c>
      <c r="AD33" t="str">
        <f t="shared" si="11"/>
        <v>On-time</v>
      </c>
      <c r="AE33" s="8">
        <f>MIN(Q33,Scenario!$B$2)</f>
        <v>0.16500000000000001</v>
      </c>
      <c r="AF33" s="33">
        <f>L33*(1+Scenario!$B$3)</f>
        <v>288.68449999999996</v>
      </c>
      <c r="AG33" s="6">
        <f>R33*(1+Scenario!$B$4)</f>
        <v>3.5999999999999996</v>
      </c>
      <c r="AH33" s="33">
        <f t="shared" si="15"/>
        <v>1236.90888</v>
      </c>
      <c r="AI33" s="33">
        <f t="shared" si="16"/>
        <v>1039.2641999999998</v>
      </c>
      <c r="AJ33" s="33">
        <f t="shared" si="17"/>
        <v>197.64468000000011</v>
      </c>
    </row>
    <row r="34" spans="1:36" hidden="1" x14ac:dyDescent="0.25">
      <c r="A34" s="12" t="s">
        <v>254</v>
      </c>
      <c r="B34" s="27">
        <v>45188</v>
      </c>
      <c r="C34" s="4">
        <v>45207</v>
      </c>
      <c r="D34" s="12" t="s">
        <v>647</v>
      </c>
      <c r="E34" s="12" t="s">
        <v>654</v>
      </c>
      <c r="F34" s="12" t="s">
        <v>668</v>
      </c>
      <c r="G34" s="12" t="s">
        <v>702</v>
      </c>
      <c r="H34" s="12" t="s">
        <v>711</v>
      </c>
      <c r="I34" s="12" t="s">
        <v>713</v>
      </c>
      <c r="J34" s="12" t="s">
        <v>728</v>
      </c>
      <c r="K34" s="12" t="s">
        <v>974</v>
      </c>
      <c r="L34" s="6">
        <v>385.32</v>
      </c>
      <c r="M34" s="6">
        <v>606.76</v>
      </c>
      <c r="N34" s="6">
        <f t="shared" si="0"/>
        <v>606.76</v>
      </c>
      <c r="O34" s="6" t="str">
        <f t="shared" si="12"/>
        <v>Middle</v>
      </c>
      <c r="P34" s="6">
        <v>8.5999999999999993E-2</v>
      </c>
      <c r="Q34" s="6">
        <f t="shared" si="1"/>
        <v>8.5999999999999993E-2</v>
      </c>
      <c r="R34" s="6">
        <v>8</v>
      </c>
      <c r="S34" s="6" t="str">
        <f t="shared" si="2"/>
        <v>OK</v>
      </c>
      <c r="T34" s="4">
        <f t="shared" si="13"/>
        <v>45207</v>
      </c>
      <c r="U34" s="11">
        <f t="shared" si="3"/>
        <v>19</v>
      </c>
      <c r="V34" s="6">
        <f t="shared" si="14"/>
        <v>4436.6291200000005</v>
      </c>
      <c r="W34" s="6">
        <f t="shared" si="4"/>
        <v>3082.56</v>
      </c>
      <c r="X34" s="6">
        <f t="shared" si="5"/>
        <v>1354.0691200000006</v>
      </c>
      <c r="Y34" s="6">
        <f t="shared" si="6"/>
        <v>0.30520223425842735</v>
      </c>
      <c r="Z34" s="4" t="str">
        <f t="shared" si="7"/>
        <v>Q3-2023</v>
      </c>
      <c r="AA34" t="str">
        <f t="shared" si="8"/>
        <v>Printers</v>
      </c>
      <c r="AB34" t="str">
        <f t="shared" si="9"/>
        <v>Printers</v>
      </c>
      <c r="AC34" t="str">
        <f t="shared" si="10"/>
        <v>Compliant</v>
      </c>
      <c r="AD34" t="str">
        <f t="shared" si="11"/>
        <v>Late</v>
      </c>
      <c r="AE34" s="8">
        <f>MIN(Q34,Scenario!$B$2)</f>
        <v>8.5999999999999993E-2</v>
      </c>
      <c r="AF34" s="33">
        <f>L34*(1+Scenario!$B$3)</f>
        <v>443.11799999999994</v>
      </c>
      <c r="AG34" s="6">
        <f>R34*(1+Scenario!$B$4)</f>
        <v>9.6</v>
      </c>
      <c r="AH34" s="33">
        <f t="shared" si="15"/>
        <v>5323.9549440000001</v>
      </c>
      <c r="AI34" s="33">
        <f t="shared" si="16"/>
        <v>4253.9327999999996</v>
      </c>
      <c r="AJ34" s="33">
        <f t="shared" si="17"/>
        <v>1070.0221440000005</v>
      </c>
    </row>
    <row r="35" spans="1:36" hidden="1" x14ac:dyDescent="0.25">
      <c r="A35" s="12" t="s">
        <v>619</v>
      </c>
      <c r="B35" s="27">
        <v>45186</v>
      </c>
      <c r="C35" s="4">
        <v>45201</v>
      </c>
      <c r="D35" s="12" t="s">
        <v>648</v>
      </c>
      <c r="E35" s="12" t="s">
        <v>655</v>
      </c>
      <c r="F35" s="12" t="s">
        <v>692</v>
      </c>
      <c r="G35" s="12" t="s">
        <v>705</v>
      </c>
      <c r="H35" s="12" t="s">
        <v>707</v>
      </c>
      <c r="I35" s="12" t="s">
        <v>717</v>
      </c>
      <c r="J35" s="12" t="s">
        <v>731</v>
      </c>
      <c r="K35" s="12" t="s">
        <v>1337</v>
      </c>
      <c r="L35" s="6">
        <v>689.33</v>
      </c>
      <c r="M35" s="6">
        <v>668.27</v>
      </c>
      <c r="N35" s="6">
        <f t="shared" si="0"/>
        <v>668.27</v>
      </c>
      <c r="O35" s="6" t="str">
        <f t="shared" si="12"/>
        <v>Middle</v>
      </c>
      <c r="P35" s="6">
        <v>0.186</v>
      </c>
      <c r="Q35" s="6">
        <f t="shared" si="1"/>
        <v>0.186</v>
      </c>
      <c r="R35" s="6">
        <v>13</v>
      </c>
      <c r="S35" s="6" t="str">
        <f t="shared" si="2"/>
        <v>OK</v>
      </c>
      <c r="T35" s="4">
        <f t="shared" si="13"/>
        <v>45201</v>
      </c>
      <c r="U35" s="11">
        <f t="shared" si="3"/>
        <v>15</v>
      </c>
      <c r="V35" s="6">
        <f t="shared" si="14"/>
        <v>7071.6331400000008</v>
      </c>
      <c r="W35" s="6">
        <f t="shared" si="4"/>
        <v>8961.2900000000009</v>
      </c>
      <c r="X35" s="6">
        <f t="shared" si="5"/>
        <v>-1889.6568600000001</v>
      </c>
      <c r="Y35" s="6">
        <f t="shared" si="6"/>
        <v>-0.26721647214861033</v>
      </c>
      <c r="Z35" s="4" t="str">
        <f t="shared" si="7"/>
        <v>Q3-2023</v>
      </c>
      <c r="AA35" t="str">
        <f t="shared" si="8"/>
        <v>Laptops</v>
      </c>
      <c r="AB35" t="str">
        <f t="shared" si="9"/>
        <v>Laptops</v>
      </c>
      <c r="AC35" t="str">
        <f t="shared" si="10"/>
        <v>Compliant</v>
      </c>
      <c r="AD35" t="str">
        <f t="shared" si="11"/>
        <v>Late</v>
      </c>
      <c r="AE35" s="8">
        <f>MIN(Q35,Scenario!$B$2)</f>
        <v>0.186</v>
      </c>
      <c r="AF35" s="33">
        <f>L35*(1+Scenario!$B$3)</f>
        <v>792.72950000000003</v>
      </c>
      <c r="AG35" s="6">
        <f>R35*(1+Scenario!$B$4)</f>
        <v>15.6</v>
      </c>
      <c r="AH35" s="33">
        <f t="shared" si="15"/>
        <v>8485.9597679999988</v>
      </c>
      <c r="AI35" s="33">
        <f t="shared" si="16"/>
        <v>12366.5802</v>
      </c>
      <c r="AJ35" s="33">
        <f t="shared" si="17"/>
        <v>-3880.6204320000015</v>
      </c>
    </row>
    <row r="36" spans="1:36" x14ac:dyDescent="0.25">
      <c r="A36" s="12" t="s">
        <v>163</v>
      </c>
      <c r="B36" s="27">
        <v>45183</v>
      </c>
      <c r="C36" s="4">
        <v>45185</v>
      </c>
      <c r="D36" s="12" t="s">
        <v>649</v>
      </c>
      <c r="E36" s="12" t="s">
        <v>657</v>
      </c>
      <c r="F36" s="12" t="s">
        <v>679</v>
      </c>
      <c r="G36" s="12" t="s">
        <v>703</v>
      </c>
      <c r="H36" s="12" t="s">
        <v>711</v>
      </c>
      <c r="I36" s="12" t="s">
        <v>717</v>
      </c>
      <c r="J36" s="12" t="s">
        <v>728</v>
      </c>
      <c r="K36" s="12" t="s">
        <v>882</v>
      </c>
      <c r="L36" s="6">
        <v>376.83</v>
      </c>
      <c r="M36" s="6">
        <v>732.88</v>
      </c>
      <c r="N36" s="6">
        <f t="shared" si="0"/>
        <v>732.88</v>
      </c>
      <c r="O36" s="6" t="str">
        <f t="shared" si="12"/>
        <v>Middle</v>
      </c>
      <c r="P36" s="6">
        <v>0.188</v>
      </c>
      <c r="Q36" s="6">
        <f t="shared" si="1"/>
        <v>0.188</v>
      </c>
      <c r="R36" s="6">
        <v>25</v>
      </c>
      <c r="S36" s="6" t="str">
        <f t="shared" si="2"/>
        <v>OK</v>
      </c>
      <c r="T36" s="4">
        <f t="shared" si="13"/>
        <v>45185</v>
      </c>
      <c r="U36" s="11">
        <f t="shared" si="3"/>
        <v>2</v>
      </c>
      <c r="V36" s="6">
        <f t="shared" si="14"/>
        <v>14877.464000000002</v>
      </c>
      <c r="W36" s="6">
        <f t="shared" si="4"/>
        <v>9420.75</v>
      </c>
      <c r="X36" s="6">
        <f t="shared" si="5"/>
        <v>5456.7140000000018</v>
      </c>
      <c r="Y36" s="6">
        <f t="shared" si="6"/>
        <v>0.36677716040852132</v>
      </c>
      <c r="Z36" s="4" t="str">
        <f t="shared" si="7"/>
        <v>Q3-2023</v>
      </c>
      <c r="AA36" t="str">
        <f t="shared" si="8"/>
        <v>Printers</v>
      </c>
      <c r="AB36" t="str">
        <f t="shared" si="9"/>
        <v>Printers</v>
      </c>
      <c r="AC36" t="str">
        <f t="shared" si="10"/>
        <v>Compliant</v>
      </c>
      <c r="AD36" t="str">
        <f t="shared" si="11"/>
        <v>On-time</v>
      </c>
      <c r="AE36" s="8">
        <f>MIN(Q36,Scenario!$B$2)</f>
        <v>0.188</v>
      </c>
      <c r="AF36" s="33">
        <f>L36*(1+Scenario!$B$3)</f>
        <v>433.35449999999997</v>
      </c>
      <c r="AG36" s="6">
        <f>R36*(1+Scenario!$B$4)</f>
        <v>30</v>
      </c>
      <c r="AH36" s="33">
        <f t="shared" si="15"/>
        <v>17852.956800000004</v>
      </c>
      <c r="AI36" s="33">
        <f t="shared" si="16"/>
        <v>13000.634999999998</v>
      </c>
      <c r="AJ36" s="33">
        <f t="shared" si="17"/>
        <v>4852.3218000000052</v>
      </c>
    </row>
    <row r="37" spans="1:36" hidden="1" x14ac:dyDescent="0.25">
      <c r="A37" s="12" t="s">
        <v>402</v>
      </c>
      <c r="B37" s="27">
        <v>45199</v>
      </c>
      <c r="C37" s="4">
        <v>45202</v>
      </c>
      <c r="D37" s="12" t="s">
        <v>647</v>
      </c>
      <c r="E37" s="12" t="s">
        <v>659</v>
      </c>
      <c r="F37" s="12" t="s">
        <v>699</v>
      </c>
      <c r="G37" s="12" t="s">
        <v>703</v>
      </c>
      <c r="H37" s="12" t="s">
        <v>707</v>
      </c>
      <c r="I37" s="12" t="s">
        <v>713</v>
      </c>
      <c r="J37" s="12" t="s">
        <v>731</v>
      </c>
      <c r="K37" s="12" t="s">
        <v>1121</v>
      </c>
      <c r="L37" s="6">
        <v>1019.36</v>
      </c>
      <c r="M37" s="6">
        <v>972.91</v>
      </c>
      <c r="N37" s="6">
        <f t="shared" si="0"/>
        <v>972.91</v>
      </c>
      <c r="O37" s="6" t="str">
        <f t="shared" si="12"/>
        <v>Middle</v>
      </c>
      <c r="P37" s="6">
        <v>0.14699999999999999</v>
      </c>
      <c r="Q37" s="6">
        <f t="shared" si="1"/>
        <v>0.14699999999999999</v>
      </c>
      <c r="R37" s="6">
        <v>17</v>
      </c>
      <c r="S37" s="6" t="str">
        <f t="shared" si="2"/>
        <v>OK</v>
      </c>
      <c r="T37" s="4">
        <f t="shared" si="13"/>
        <v>45202</v>
      </c>
      <c r="U37" s="11">
        <f t="shared" si="3"/>
        <v>3</v>
      </c>
      <c r="V37" s="6">
        <f t="shared" si="14"/>
        <v>14108.16791</v>
      </c>
      <c r="W37" s="6">
        <f t="shared" si="4"/>
        <v>17329.12</v>
      </c>
      <c r="X37" s="6">
        <f t="shared" si="5"/>
        <v>-3220.9520899999989</v>
      </c>
      <c r="Y37" s="6">
        <f t="shared" si="6"/>
        <v>-0.22830406545678819</v>
      </c>
      <c r="Z37" s="4" t="str">
        <f t="shared" si="7"/>
        <v>Q3-2023</v>
      </c>
      <c r="AA37" t="str">
        <f t="shared" si="8"/>
        <v>Laptops</v>
      </c>
      <c r="AB37" t="str">
        <f t="shared" si="9"/>
        <v>Laptops</v>
      </c>
      <c r="AC37" t="str">
        <f t="shared" si="10"/>
        <v>Compliant</v>
      </c>
      <c r="AD37" t="str">
        <f t="shared" si="11"/>
        <v>On-time</v>
      </c>
      <c r="AE37" s="8">
        <f>MIN(Q37,Scenario!$B$2)</f>
        <v>0.14699999999999999</v>
      </c>
      <c r="AF37" s="33">
        <f>L37*(1+Scenario!$B$3)</f>
        <v>1172.2639999999999</v>
      </c>
      <c r="AG37" s="6">
        <f>R37*(1+Scenario!$B$4)</f>
        <v>20.399999999999999</v>
      </c>
      <c r="AH37" s="33">
        <f t="shared" si="15"/>
        <v>16929.801491999999</v>
      </c>
      <c r="AI37" s="33">
        <f t="shared" si="16"/>
        <v>23914.185599999997</v>
      </c>
      <c r="AJ37" s="33">
        <f t="shared" si="17"/>
        <v>-6984.3841079999984</v>
      </c>
    </row>
    <row r="38" spans="1:36" hidden="1" x14ac:dyDescent="0.25">
      <c r="A38" s="12" t="s">
        <v>530</v>
      </c>
      <c r="B38" s="27">
        <v>45199</v>
      </c>
      <c r="C38" s="4">
        <v>45229</v>
      </c>
      <c r="D38" s="12" t="s">
        <v>647</v>
      </c>
      <c r="E38" s="12" t="s">
        <v>652</v>
      </c>
      <c r="F38" s="12" t="s">
        <v>689</v>
      </c>
      <c r="G38" s="12" t="s">
        <v>706</v>
      </c>
      <c r="H38" s="12" t="s">
        <v>708</v>
      </c>
      <c r="I38" s="12" t="s">
        <v>726</v>
      </c>
      <c r="J38" s="12" t="s">
        <v>728</v>
      </c>
      <c r="K38" s="12" t="s">
        <v>1249</v>
      </c>
      <c r="L38" s="6">
        <v>649.13</v>
      </c>
      <c r="M38" s="6">
        <v>975.43</v>
      </c>
      <c r="N38" s="6">
        <f t="shared" si="0"/>
        <v>975.43</v>
      </c>
      <c r="O38" s="6" t="str">
        <f t="shared" si="12"/>
        <v>Middle</v>
      </c>
      <c r="P38" s="6">
        <v>0.157</v>
      </c>
      <c r="Q38" s="6">
        <f t="shared" si="1"/>
        <v>0.157</v>
      </c>
      <c r="R38" s="6">
        <v>27</v>
      </c>
      <c r="S38" s="6" t="str">
        <f t="shared" si="2"/>
        <v>OK</v>
      </c>
      <c r="T38" s="4">
        <f t="shared" si="13"/>
        <v>45229</v>
      </c>
      <c r="U38" s="11">
        <f t="shared" si="3"/>
        <v>30</v>
      </c>
      <c r="V38" s="6">
        <f t="shared" si="14"/>
        <v>22201.762229999997</v>
      </c>
      <c r="W38" s="6">
        <f t="shared" si="4"/>
        <v>17526.509999999998</v>
      </c>
      <c r="X38" s="6">
        <f t="shared" si="5"/>
        <v>4675.2522299999982</v>
      </c>
      <c r="Y38" s="6">
        <f t="shared" si="6"/>
        <v>0.21058023149543473</v>
      </c>
      <c r="Z38" s="4" t="str">
        <f t="shared" si="7"/>
        <v>Q3-2023</v>
      </c>
      <c r="AA38" t="str">
        <f t="shared" si="8"/>
        <v>Printers</v>
      </c>
      <c r="AB38" t="str">
        <f t="shared" si="9"/>
        <v>Printers</v>
      </c>
      <c r="AC38" t="str">
        <f t="shared" si="10"/>
        <v>Compliant</v>
      </c>
      <c r="AD38" t="str">
        <f t="shared" si="11"/>
        <v>Late</v>
      </c>
      <c r="AE38" s="8">
        <f>MIN(Q38,Scenario!$B$2)</f>
        <v>0.157</v>
      </c>
      <c r="AF38" s="33">
        <f>L38*(1+Scenario!$B$3)</f>
        <v>746.4994999999999</v>
      </c>
      <c r="AG38" s="6">
        <f>R38*(1+Scenario!$B$4)</f>
        <v>32.4</v>
      </c>
      <c r="AH38" s="33">
        <f t="shared" si="15"/>
        <v>26642.114675999997</v>
      </c>
      <c r="AI38" s="33">
        <f t="shared" si="16"/>
        <v>24186.583799999997</v>
      </c>
      <c r="AJ38" s="33">
        <f t="shared" si="17"/>
        <v>2455.5308760000007</v>
      </c>
    </row>
    <row r="39" spans="1:36" hidden="1" x14ac:dyDescent="0.25">
      <c r="A39" s="12" t="s">
        <v>90</v>
      </c>
      <c r="B39" s="27">
        <v>45187</v>
      </c>
      <c r="C39" s="4">
        <v>45207</v>
      </c>
      <c r="D39" s="12" t="s">
        <v>647</v>
      </c>
      <c r="E39" s="12" t="s">
        <v>654</v>
      </c>
      <c r="F39" s="12" t="s">
        <v>680</v>
      </c>
      <c r="G39" s="12" t="s">
        <v>705</v>
      </c>
      <c r="H39" s="12" t="s">
        <v>711</v>
      </c>
      <c r="I39" s="12" t="s">
        <v>717</v>
      </c>
      <c r="J39" s="12" t="s">
        <v>727</v>
      </c>
      <c r="K39" s="12" t="s">
        <v>809</v>
      </c>
      <c r="L39" s="6">
        <v>825.64</v>
      </c>
      <c r="M39" s="6">
        <v>1108.43</v>
      </c>
      <c r="N39" s="6">
        <f t="shared" si="0"/>
        <v>1108.43</v>
      </c>
      <c r="O39" s="6" t="str">
        <f t="shared" si="12"/>
        <v>Middle</v>
      </c>
      <c r="P39" s="6">
        <v>0.114</v>
      </c>
      <c r="Q39" s="6">
        <f t="shared" si="1"/>
        <v>0.114</v>
      </c>
      <c r="R39" s="6">
        <v>7</v>
      </c>
      <c r="S39" s="6" t="str">
        <f t="shared" si="2"/>
        <v>OK</v>
      </c>
      <c r="T39" s="4">
        <f t="shared" si="13"/>
        <v>45207</v>
      </c>
      <c r="U39" s="11">
        <f t="shared" si="3"/>
        <v>20</v>
      </c>
      <c r="V39" s="6">
        <f t="shared" si="14"/>
        <v>6874.4828600000001</v>
      </c>
      <c r="W39" s="6">
        <f t="shared" si="4"/>
        <v>5779.48</v>
      </c>
      <c r="X39" s="6">
        <f t="shared" si="5"/>
        <v>1095.0028600000005</v>
      </c>
      <c r="Y39" s="6">
        <f t="shared" si="6"/>
        <v>0.15928512475773349</v>
      </c>
      <c r="Z39" s="4" t="str">
        <f t="shared" si="7"/>
        <v>Q3-2023</v>
      </c>
      <c r="AA39" t="str">
        <f t="shared" si="8"/>
        <v>Components</v>
      </c>
      <c r="AB39" t="str">
        <f t="shared" si="9"/>
        <v>Components</v>
      </c>
      <c r="AC39" t="str">
        <f t="shared" si="10"/>
        <v>Compliant</v>
      </c>
      <c r="AD39" t="str">
        <f t="shared" si="11"/>
        <v>Late</v>
      </c>
      <c r="AE39" s="8">
        <f>MIN(Q39,Scenario!$B$2)</f>
        <v>0.114</v>
      </c>
      <c r="AF39" s="33">
        <f>L39*(1+Scenario!$B$3)</f>
        <v>949.48599999999988</v>
      </c>
      <c r="AG39" s="6">
        <f>R39*(1+Scenario!$B$4)</f>
        <v>8.4</v>
      </c>
      <c r="AH39" s="33">
        <f t="shared" si="15"/>
        <v>8249.3794320000015</v>
      </c>
      <c r="AI39" s="33">
        <f t="shared" si="16"/>
        <v>7975.6823999999997</v>
      </c>
      <c r="AJ39" s="33">
        <f t="shared" si="17"/>
        <v>273.69703200000185</v>
      </c>
    </row>
    <row r="40" spans="1:36" hidden="1" x14ac:dyDescent="0.25">
      <c r="A40" s="12" t="s">
        <v>186</v>
      </c>
      <c r="B40" s="27">
        <v>45190</v>
      </c>
      <c r="C40" s="4">
        <v>45209</v>
      </c>
      <c r="D40" s="12" t="s">
        <v>647</v>
      </c>
      <c r="E40" s="12" t="s">
        <v>652</v>
      </c>
      <c r="F40" s="12" t="s">
        <v>689</v>
      </c>
      <c r="G40" s="12" t="s">
        <v>702</v>
      </c>
      <c r="H40" s="12" t="s">
        <v>708</v>
      </c>
      <c r="I40" s="12" t="s">
        <v>726</v>
      </c>
      <c r="J40" s="12" t="s">
        <v>727</v>
      </c>
      <c r="K40" s="12" t="s">
        <v>905</v>
      </c>
      <c r="L40" s="6">
        <v>845.63</v>
      </c>
      <c r="M40" s="6">
        <v>2062.12</v>
      </c>
      <c r="N40" s="6">
        <f t="shared" si="0"/>
        <v>2062.12</v>
      </c>
      <c r="O40" s="6" t="str">
        <f t="shared" si="12"/>
        <v>High</v>
      </c>
      <c r="P40" s="6">
        <v>0.13400000000000001</v>
      </c>
      <c r="Q40" s="6">
        <f t="shared" si="1"/>
        <v>0.13400000000000001</v>
      </c>
      <c r="R40" s="6">
        <v>5</v>
      </c>
      <c r="S40" s="6" t="str">
        <f t="shared" si="2"/>
        <v>OK</v>
      </c>
      <c r="T40" s="4">
        <f t="shared" si="13"/>
        <v>45209</v>
      </c>
      <c r="U40" s="11">
        <f t="shared" si="3"/>
        <v>19</v>
      </c>
      <c r="V40" s="6">
        <f t="shared" si="14"/>
        <v>8928.9795999999988</v>
      </c>
      <c r="W40" s="6">
        <f t="shared" si="4"/>
        <v>4228.1499999999996</v>
      </c>
      <c r="X40" s="6">
        <f t="shared" si="5"/>
        <v>4700.8295999999991</v>
      </c>
      <c r="Y40" s="6">
        <f t="shared" si="6"/>
        <v>0.52646884757133949</v>
      </c>
      <c r="Z40" s="4" t="str">
        <f t="shared" si="7"/>
        <v>Q3-2023</v>
      </c>
      <c r="AA40" t="str">
        <f t="shared" si="8"/>
        <v>Components</v>
      </c>
      <c r="AB40" t="str">
        <f t="shared" si="9"/>
        <v>Components</v>
      </c>
      <c r="AC40" t="str">
        <f t="shared" si="10"/>
        <v>Compliant</v>
      </c>
      <c r="AD40" t="str">
        <f t="shared" si="11"/>
        <v>Late</v>
      </c>
      <c r="AE40" s="8">
        <f>MIN(Q40,Scenario!$B$2)</f>
        <v>0.13400000000000001</v>
      </c>
      <c r="AF40" s="33">
        <f>L40*(1+Scenario!$B$3)</f>
        <v>972.47449999999992</v>
      </c>
      <c r="AG40" s="6">
        <f>R40*(1+Scenario!$B$4)</f>
        <v>6</v>
      </c>
      <c r="AH40" s="33">
        <f t="shared" si="15"/>
        <v>10714.775519999999</v>
      </c>
      <c r="AI40" s="33">
        <f t="shared" si="16"/>
        <v>5834.8469999999998</v>
      </c>
      <c r="AJ40" s="33">
        <f t="shared" si="17"/>
        <v>4879.9285199999995</v>
      </c>
    </row>
    <row r="41" spans="1:36" hidden="1" x14ac:dyDescent="0.25">
      <c r="A41" s="12" t="s">
        <v>561</v>
      </c>
      <c r="B41" s="27">
        <v>45177</v>
      </c>
      <c r="C41" s="4">
        <v>45201</v>
      </c>
      <c r="D41" s="12" t="s">
        <v>648</v>
      </c>
      <c r="E41" s="12" t="s">
        <v>653</v>
      </c>
      <c r="F41" s="12" t="s">
        <v>667</v>
      </c>
      <c r="G41" s="12" t="s">
        <v>702</v>
      </c>
      <c r="H41" s="12" t="s">
        <v>711</v>
      </c>
      <c r="I41" s="12" t="s">
        <v>720</v>
      </c>
      <c r="J41" s="12" t="s">
        <v>733</v>
      </c>
      <c r="K41" s="12" t="s">
        <v>1279</v>
      </c>
      <c r="L41" s="6">
        <v>1299.03</v>
      </c>
      <c r="M41" s="6">
        <v>2451.2199999999998</v>
      </c>
      <c r="N41" s="6">
        <f t="shared" si="0"/>
        <v>2451.2199999999998</v>
      </c>
      <c r="O41" s="6" t="str">
        <f t="shared" si="12"/>
        <v>High</v>
      </c>
      <c r="P41" s="6">
        <v>0.20799999999999999</v>
      </c>
      <c r="Q41" s="6">
        <f t="shared" si="1"/>
        <v>0.20799999999999999</v>
      </c>
      <c r="R41" s="6">
        <v>8</v>
      </c>
      <c r="S41" s="6" t="str">
        <f t="shared" si="2"/>
        <v>OK</v>
      </c>
      <c r="T41" s="4">
        <f t="shared" si="13"/>
        <v>45201</v>
      </c>
      <c r="U41" s="11">
        <f t="shared" si="3"/>
        <v>24</v>
      </c>
      <c r="V41" s="6">
        <f t="shared" si="14"/>
        <v>15530.929919999999</v>
      </c>
      <c r="W41" s="6">
        <f t="shared" si="4"/>
        <v>10392.24</v>
      </c>
      <c r="X41" s="6">
        <f t="shared" si="5"/>
        <v>5138.6899199999989</v>
      </c>
      <c r="Y41" s="6">
        <f t="shared" si="6"/>
        <v>0.3308681416032041</v>
      </c>
      <c r="Z41" s="4" t="str">
        <f t="shared" si="7"/>
        <v>Q3-2023</v>
      </c>
      <c r="AA41" t="str">
        <f t="shared" si="8"/>
        <v>Accessories</v>
      </c>
      <c r="AB41" t="str">
        <f t="shared" si="9"/>
        <v>Accessories</v>
      </c>
      <c r="AC41" t="str">
        <f t="shared" si="10"/>
        <v>Non-compliant</v>
      </c>
      <c r="AD41" t="str">
        <f t="shared" si="11"/>
        <v>Late</v>
      </c>
      <c r="AE41" s="8">
        <f>MIN(Q41,Scenario!$B$2)</f>
        <v>0.2</v>
      </c>
      <c r="AF41" s="33">
        <f>L41*(1+Scenario!$B$3)</f>
        <v>1493.8844999999999</v>
      </c>
      <c r="AG41" s="6">
        <f>R41*(1+Scenario!$B$4)</f>
        <v>9.6</v>
      </c>
      <c r="AH41" s="33">
        <f t="shared" si="15"/>
        <v>18825.369599999998</v>
      </c>
      <c r="AI41" s="33">
        <f t="shared" si="16"/>
        <v>14341.291199999998</v>
      </c>
      <c r="AJ41" s="33">
        <f t="shared" si="17"/>
        <v>4484.0784000000003</v>
      </c>
    </row>
    <row r="42" spans="1:36" hidden="1" x14ac:dyDescent="0.25">
      <c r="A42" s="12" t="s">
        <v>382</v>
      </c>
      <c r="B42" s="27">
        <v>45194</v>
      </c>
      <c r="C42" s="4">
        <v>45208</v>
      </c>
      <c r="D42" s="12" t="s">
        <v>648</v>
      </c>
      <c r="E42" s="12" t="s">
        <v>660</v>
      </c>
      <c r="F42" s="12" t="s">
        <v>700</v>
      </c>
      <c r="G42" s="12" t="s">
        <v>705</v>
      </c>
      <c r="H42" s="12" t="s">
        <v>709</v>
      </c>
      <c r="I42" s="12" t="s">
        <v>713</v>
      </c>
      <c r="J42" s="12" t="s">
        <v>731</v>
      </c>
      <c r="K42" s="12" t="s">
        <v>1102</v>
      </c>
      <c r="L42" s="6">
        <v>1279.56</v>
      </c>
      <c r="M42" s="6">
        <v>3083.8</v>
      </c>
      <c r="N42" s="6">
        <f t="shared" si="0"/>
        <v>3083.8</v>
      </c>
      <c r="O42" s="6" t="str">
        <f t="shared" si="12"/>
        <v>High</v>
      </c>
      <c r="P42" s="6">
        <v>0.106</v>
      </c>
      <c r="Q42" s="6">
        <f t="shared" si="1"/>
        <v>0.106</v>
      </c>
      <c r="R42" s="6">
        <v>5</v>
      </c>
      <c r="S42" s="6" t="str">
        <f t="shared" si="2"/>
        <v>OK</v>
      </c>
      <c r="T42" s="4">
        <f t="shared" si="13"/>
        <v>45208</v>
      </c>
      <c r="U42" s="11">
        <f t="shared" si="3"/>
        <v>14</v>
      </c>
      <c r="V42" s="6">
        <f t="shared" si="14"/>
        <v>13784.586000000001</v>
      </c>
      <c r="W42" s="6">
        <f t="shared" si="4"/>
        <v>6397.7999999999993</v>
      </c>
      <c r="X42" s="6">
        <f t="shared" si="5"/>
        <v>7386.7860000000019</v>
      </c>
      <c r="Y42" s="6">
        <f t="shared" si="6"/>
        <v>0.53587289455047848</v>
      </c>
      <c r="Z42" s="4" t="str">
        <f t="shared" si="7"/>
        <v>Q3-2023</v>
      </c>
      <c r="AA42" t="str">
        <f t="shared" si="8"/>
        <v>Laptops</v>
      </c>
      <c r="AB42" t="str">
        <f t="shared" si="9"/>
        <v>Laptops</v>
      </c>
      <c r="AC42" t="str">
        <f t="shared" si="10"/>
        <v>Compliant</v>
      </c>
      <c r="AD42" t="str">
        <f t="shared" si="11"/>
        <v>Late</v>
      </c>
      <c r="AE42" s="8">
        <f>MIN(Q42,Scenario!$B$2)</f>
        <v>0.106</v>
      </c>
      <c r="AF42" s="33">
        <f>L42*(1+Scenario!$B$3)</f>
        <v>1471.4939999999999</v>
      </c>
      <c r="AG42" s="6">
        <f>R42*(1+Scenario!$B$4)</f>
        <v>6</v>
      </c>
      <c r="AH42" s="33">
        <f t="shared" si="15"/>
        <v>16541.503200000003</v>
      </c>
      <c r="AI42" s="33">
        <f t="shared" si="16"/>
        <v>8828.9639999999999</v>
      </c>
      <c r="AJ42" s="33">
        <f t="shared" si="17"/>
        <v>7712.5392000000029</v>
      </c>
    </row>
    <row r="43" spans="1:36" hidden="1" x14ac:dyDescent="0.25">
      <c r="A43" s="12" t="s">
        <v>456</v>
      </c>
      <c r="B43" s="27">
        <v>45189</v>
      </c>
      <c r="C43" s="4">
        <v>45197</v>
      </c>
      <c r="D43" s="12" t="s">
        <v>647</v>
      </c>
      <c r="E43" s="12" t="s">
        <v>654</v>
      </c>
      <c r="F43" s="15" t="s">
        <v>1367</v>
      </c>
      <c r="G43" s="12" t="s">
        <v>701</v>
      </c>
      <c r="H43" s="14" t="s">
        <v>1379</v>
      </c>
      <c r="I43" s="12" t="s">
        <v>717</v>
      </c>
      <c r="J43" s="12" t="s">
        <v>733</v>
      </c>
      <c r="K43" s="12" t="s">
        <v>1175</v>
      </c>
      <c r="L43" s="6">
        <v>1362.06</v>
      </c>
      <c r="M43" s="6">
        <v>3398.37</v>
      </c>
      <c r="N43" s="6">
        <f t="shared" si="0"/>
        <v>3398.37</v>
      </c>
      <c r="O43" s="6" t="str">
        <f t="shared" si="12"/>
        <v>High</v>
      </c>
      <c r="P43" s="6">
        <v>0.157</v>
      </c>
      <c r="Q43" s="6">
        <f t="shared" si="1"/>
        <v>0.157</v>
      </c>
      <c r="R43" s="6">
        <v>11</v>
      </c>
      <c r="S43" s="6" t="str">
        <f t="shared" si="2"/>
        <v>OK</v>
      </c>
      <c r="T43" s="4">
        <f t="shared" si="13"/>
        <v>45197</v>
      </c>
      <c r="U43" s="11">
        <f t="shared" si="3"/>
        <v>8</v>
      </c>
      <c r="V43" s="6">
        <f t="shared" si="14"/>
        <v>31513.085009999999</v>
      </c>
      <c r="W43" s="6">
        <f t="shared" si="4"/>
        <v>14982.66</v>
      </c>
      <c r="X43" s="6">
        <f t="shared" si="5"/>
        <v>16530.425009999999</v>
      </c>
      <c r="Y43" s="6">
        <f t="shared" si="6"/>
        <v>0.52455749745714919</v>
      </c>
      <c r="Z43" s="4" t="str">
        <f t="shared" si="7"/>
        <v>Q3-2023</v>
      </c>
      <c r="AA43" t="str">
        <f t="shared" si="8"/>
        <v>Accessories</v>
      </c>
      <c r="AB43" t="str">
        <f t="shared" si="9"/>
        <v>Accessories</v>
      </c>
      <c r="AC43" t="str">
        <f t="shared" si="10"/>
        <v>Compliant</v>
      </c>
      <c r="AD43" t="str">
        <f t="shared" si="11"/>
        <v>Late</v>
      </c>
      <c r="AE43" s="8">
        <f>MIN(Q43,Scenario!$B$2)</f>
        <v>0.157</v>
      </c>
      <c r="AF43" s="33">
        <f>L43*(1+Scenario!$B$3)</f>
        <v>1566.3689999999999</v>
      </c>
      <c r="AG43" s="6">
        <f>R43*(1+Scenario!$B$4)</f>
        <v>13.2</v>
      </c>
      <c r="AH43" s="33">
        <f t="shared" si="15"/>
        <v>37815.702011999994</v>
      </c>
      <c r="AI43" s="33">
        <f t="shared" si="16"/>
        <v>20676.070799999998</v>
      </c>
      <c r="AJ43" s="33">
        <f t="shared" si="17"/>
        <v>17139.631211999997</v>
      </c>
    </row>
    <row r="44" spans="1:36" hidden="1" x14ac:dyDescent="0.25">
      <c r="A44" s="12" t="s">
        <v>66</v>
      </c>
      <c r="B44" s="27">
        <v>45582</v>
      </c>
      <c r="C44" s="4">
        <v>45602</v>
      </c>
      <c r="D44" s="12" t="s">
        <v>647</v>
      </c>
      <c r="E44" s="12" t="s">
        <v>654</v>
      </c>
      <c r="F44" s="12" t="s">
        <v>668</v>
      </c>
      <c r="G44" s="12" t="s">
        <v>706</v>
      </c>
      <c r="H44" s="12" t="s">
        <v>710</v>
      </c>
      <c r="I44" s="12" t="s">
        <v>719</v>
      </c>
      <c r="J44" s="12" t="s">
        <v>732</v>
      </c>
      <c r="K44" s="12" t="s">
        <v>785</v>
      </c>
      <c r="L44" s="6">
        <v>72.94</v>
      </c>
      <c r="M44" s="6">
        <v>106.3</v>
      </c>
      <c r="N44" s="6">
        <f t="shared" si="0"/>
        <v>106.3</v>
      </c>
      <c r="O44" s="6" t="str">
        <f t="shared" si="12"/>
        <v>Low</v>
      </c>
      <c r="P44" s="6">
        <v>0.29499999999999998</v>
      </c>
      <c r="Q44" s="6">
        <f t="shared" si="1"/>
        <v>0.29499999999999998</v>
      </c>
      <c r="R44" s="6">
        <v>8</v>
      </c>
      <c r="S44" s="6" t="str">
        <f t="shared" si="2"/>
        <v>OK</v>
      </c>
      <c r="T44" s="4">
        <f t="shared" si="13"/>
        <v>45602</v>
      </c>
      <c r="U44" s="11">
        <f t="shared" si="3"/>
        <v>20</v>
      </c>
      <c r="V44" s="6">
        <f t="shared" si="14"/>
        <v>599.53200000000004</v>
      </c>
      <c r="W44" s="6">
        <f t="shared" si="4"/>
        <v>583.52</v>
      </c>
      <c r="X44" s="6">
        <f t="shared" si="5"/>
        <v>16.012000000000057</v>
      </c>
      <c r="Y44" s="6">
        <f t="shared" si="6"/>
        <v>2.6707498515508857E-2</v>
      </c>
      <c r="Z44" s="4" t="str">
        <f t="shared" si="7"/>
        <v>Q4-2024</v>
      </c>
      <c r="AA44" t="str">
        <f t="shared" si="8"/>
        <v>Monitors</v>
      </c>
      <c r="AB44" t="str">
        <f t="shared" si="9"/>
        <v>Monitors</v>
      </c>
      <c r="AC44" t="str">
        <f t="shared" si="10"/>
        <v>Non-compliant</v>
      </c>
      <c r="AD44" t="str">
        <f t="shared" si="11"/>
        <v>Late</v>
      </c>
      <c r="AE44" s="8">
        <f>MIN(Q44,Scenario!$B$2)</f>
        <v>0.2</v>
      </c>
      <c r="AF44" s="33">
        <f>L44*(1+Scenario!$B$3)</f>
        <v>83.880999999999986</v>
      </c>
      <c r="AG44" s="6">
        <f>R44*(1+Scenario!$B$4)</f>
        <v>9.6</v>
      </c>
      <c r="AH44" s="33">
        <f t="shared" si="15"/>
        <v>816.38400000000001</v>
      </c>
      <c r="AI44" s="33">
        <f t="shared" si="16"/>
        <v>805.2575999999998</v>
      </c>
      <c r="AJ44" s="33">
        <f t="shared" si="17"/>
        <v>11.126400000000217</v>
      </c>
    </row>
    <row r="45" spans="1:36" hidden="1" x14ac:dyDescent="0.25">
      <c r="A45" s="12" t="s">
        <v>123</v>
      </c>
      <c r="B45" s="27">
        <v>45581</v>
      </c>
      <c r="C45" s="4">
        <v>45604</v>
      </c>
      <c r="D45" s="12" t="s">
        <v>647</v>
      </c>
      <c r="E45" s="12" t="s">
        <v>652</v>
      </c>
      <c r="F45" s="12" t="s">
        <v>666</v>
      </c>
      <c r="G45" s="12" t="s">
        <v>705</v>
      </c>
      <c r="H45" s="12" t="s">
        <v>707</v>
      </c>
      <c r="I45" s="12" t="s">
        <v>713</v>
      </c>
      <c r="J45" s="12" t="s">
        <v>729</v>
      </c>
      <c r="K45" s="12" t="s">
        <v>842</v>
      </c>
      <c r="L45" s="6">
        <v>82.14</v>
      </c>
      <c r="M45" s="6">
        <v>166.04</v>
      </c>
      <c r="N45" s="6">
        <f t="shared" si="0"/>
        <v>166.04</v>
      </c>
      <c r="O45" s="6" t="str">
        <f t="shared" si="12"/>
        <v>Low</v>
      </c>
      <c r="P45" s="6">
        <v>0</v>
      </c>
      <c r="Q45" s="6">
        <f t="shared" si="1"/>
        <v>0</v>
      </c>
      <c r="R45" s="6">
        <v>10</v>
      </c>
      <c r="S45" s="6" t="str">
        <f t="shared" si="2"/>
        <v>OK</v>
      </c>
      <c r="T45" s="4">
        <f t="shared" si="13"/>
        <v>45604</v>
      </c>
      <c r="U45" s="11">
        <f t="shared" si="3"/>
        <v>23</v>
      </c>
      <c r="V45" s="6">
        <f t="shared" si="14"/>
        <v>1660.3999999999999</v>
      </c>
      <c r="W45" s="6">
        <f t="shared" si="4"/>
        <v>821.4</v>
      </c>
      <c r="X45" s="6">
        <f t="shared" si="5"/>
        <v>838.99999999999989</v>
      </c>
      <c r="Y45" s="6">
        <f t="shared" si="6"/>
        <v>0.50529992772825827</v>
      </c>
      <c r="Z45" s="4" t="str">
        <f t="shared" si="7"/>
        <v>Q4-2024</v>
      </c>
      <c r="AA45" t="str">
        <f t="shared" si="8"/>
        <v>Networking</v>
      </c>
      <c r="AB45" t="str">
        <f t="shared" si="9"/>
        <v>Networking</v>
      </c>
      <c r="AC45" t="str">
        <f t="shared" si="10"/>
        <v>Compliant</v>
      </c>
      <c r="AD45" t="str">
        <f t="shared" si="11"/>
        <v>Late</v>
      </c>
      <c r="AE45" s="8">
        <f>MIN(Q45,Scenario!$B$2)</f>
        <v>0</v>
      </c>
      <c r="AF45" s="33">
        <f>L45*(1+Scenario!$B$3)</f>
        <v>94.460999999999999</v>
      </c>
      <c r="AG45" s="6">
        <f>R45*(1+Scenario!$B$4)</f>
        <v>12</v>
      </c>
      <c r="AH45" s="33">
        <f t="shared" si="15"/>
        <v>1992.48</v>
      </c>
      <c r="AI45" s="33">
        <f t="shared" si="16"/>
        <v>1133.5319999999999</v>
      </c>
      <c r="AJ45" s="33">
        <f t="shared" si="17"/>
        <v>858.94800000000009</v>
      </c>
    </row>
    <row r="46" spans="1:36" hidden="1" x14ac:dyDescent="0.25">
      <c r="A46" s="12" t="s">
        <v>232</v>
      </c>
      <c r="B46" s="27">
        <v>45576</v>
      </c>
      <c r="C46" s="4">
        <v>45605</v>
      </c>
      <c r="D46" s="12" t="s">
        <v>647</v>
      </c>
      <c r="E46" s="12" t="s">
        <v>659</v>
      </c>
      <c r="F46" s="12" t="s">
        <v>685</v>
      </c>
      <c r="G46" s="12" t="s">
        <v>703</v>
      </c>
      <c r="H46" s="12" t="s">
        <v>708</v>
      </c>
      <c r="I46" s="12" t="s">
        <v>721</v>
      </c>
      <c r="J46" s="12" t="s">
        <v>728</v>
      </c>
      <c r="K46" s="12" t="s">
        <v>952</v>
      </c>
      <c r="L46" s="6">
        <v>391.64</v>
      </c>
      <c r="M46" s="6">
        <v>504.76</v>
      </c>
      <c r="N46" s="6">
        <f t="shared" si="0"/>
        <v>504.76</v>
      </c>
      <c r="O46" s="6" t="str">
        <f t="shared" si="12"/>
        <v>Low</v>
      </c>
      <c r="P46" s="6">
        <v>4.0000000000000001E-3</v>
      </c>
      <c r="Q46" s="6">
        <f t="shared" si="1"/>
        <v>4.0000000000000001E-3</v>
      </c>
      <c r="R46" s="6">
        <v>13</v>
      </c>
      <c r="S46" s="6" t="str">
        <f t="shared" si="2"/>
        <v>OK</v>
      </c>
      <c r="T46" s="4">
        <f t="shared" si="13"/>
        <v>45605</v>
      </c>
      <c r="U46" s="11">
        <f t="shared" si="3"/>
        <v>29</v>
      </c>
      <c r="V46" s="6">
        <f t="shared" si="14"/>
        <v>6535.6324800000002</v>
      </c>
      <c r="W46" s="6">
        <f t="shared" si="4"/>
        <v>5091.32</v>
      </c>
      <c r="X46" s="6">
        <f t="shared" si="5"/>
        <v>1444.3124800000005</v>
      </c>
      <c r="Y46" s="6">
        <f t="shared" si="6"/>
        <v>0.22099046793402319</v>
      </c>
      <c r="Z46" s="4" t="str">
        <f t="shared" si="7"/>
        <v>Q4-2024</v>
      </c>
      <c r="AA46" t="str">
        <f t="shared" si="8"/>
        <v>Printers</v>
      </c>
      <c r="AB46" t="str">
        <f t="shared" si="9"/>
        <v>Printers</v>
      </c>
      <c r="AC46" t="str">
        <f t="shared" si="10"/>
        <v>Compliant</v>
      </c>
      <c r="AD46" t="str">
        <f t="shared" si="11"/>
        <v>Late</v>
      </c>
      <c r="AE46" s="8">
        <f>MIN(Q46,Scenario!$B$2)</f>
        <v>4.0000000000000001E-3</v>
      </c>
      <c r="AF46" s="33">
        <f>L46*(1+Scenario!$B$3)</f>
        <v>450.38599999999997</v>
      </c>
      <c r="AG46" s="6">
        <f>R46*(1+Scenario!$B$4)</f>
        <v>15.6</v>
      </c>
      <c r="AH46" s="33">
        <f t="shared" si="15"/>
        <v>7842.7589759999992</v>
      </c>
      <c r="AI46" s="33">
        <f t="shared" si="16"/>
        <v>7026.0215999999991</v>
      </c>
      <c r="AJ46" s="33">
        <f t="shared" si="17"/>
        <v>816.73737600000004</v>
      </c>
    </row>
    <row r="47" spans="1:36" hidden="1" x14ac:dyDescent="0.25">
      <c r="A47" s="12" t="s">
        <v>575</v>
      </c>
      <c r="B47" s="27">
        <v>45590</v>
      </c>
      <c r="C47" s="4">
        <v>45601</v>
      </c>
      <c r="D47" s="12" t="s">
        <v>648</v>
      </c>
      <c r="E47" s="12" t="s">
        <v>660</v>
      </c>
      <c r="F47" s="12" t="s">
        <v>700</v>
      </c>
      <c r="G47" s="12" t="s">
        <v>701</v>
      </c>
      <c r="H47" s="12" t="s">
        <v>710</v>
      </c>
      <c r="I47" s="12" t="s">
        <v>725</v>
      </c>
      <c r="J47" s="12" t="s">
        <v>727</v>
      </c>
      <c r="K47" s="12" t="s">
        <v>1293</v>
      </c>
      <c r="L47" s="6">
        <v>446.66</v>
      </c>
      <c r="M47" s="6">
        <v>527.64</v>
      </c>
      <c r="N47" s="6">
        <f t="shared" si="0"/>
        <v>527.64</v>
      </c>
      <c r="O47" s="6" t="str">
        <f t="shared" si="12"/>
        <v>Low</v>
      </c>
      <c r="P47" s="6">
        <v>0.14499999999999999</v>
      </c>
      <c r="Q47" s="6">
        <f t="shared" si="1"/>
        <v>0.14499999999999999</v>
      </c>
      <c r="R47" s="6">
        <v>15</v>
      </c>
      <c r="S47" s="6" t="str">
        <f t="shared" si="2"/>
        <v>OK</v>
      </c>
      <c r="T47" s="4">
        <f t="shared" si="13"/>
        <v>45601</v>
      </c>
      <c r="U47" s="11">
        <f t="shared" si="3"/>
        <v>11</v>
      </c>
      <c r="V47" s="6">
        <f t="shared" si="14"/>
        <v>6766.9829999999993</v>
      </c>
      <c r="W47" s="6">
        <f t="shared" si="4"/>
        <v>6699.9000000000005</v>
      </c>
      <c r="X47" s="6">
        <f t="shared" si="5"/>
        <v>67.082999999998719</v>
      </c>
      <c r="Y47" s="6">
        <f t="shared" si="6"/>
        <v>9.9132804087137105E-3</v>
      </c>
      <c r="Z47" s="4" t="str">
        <f t="shared" si="7"/>
        <v>Q4-2024</v>
      </c>
      <c r="AA47" t="str">
        <f t="shared" si="8"/>
        <v>Components</v>
      </c>
      <c r="AB47" t="str">
        <f t="shared" si="9"/>
        <v>Components</v>
      </c>
      <c r="AC47" t="str">
        <f t="shared" si="10"/>
        <v>Compliant</v>
      </c>
      <c r="AD47" t="str">
        <f t="shared" si="11"/>
        <v>Late</v>
      </c>
      <c r="AE47" s="8">
        <f>MIN(Q47,Scenario!$B$2)</f>
        <v>0.14499999999999999</v>
      </c>
      <c r="AF47" s="33">
        <f>L47*(1+Scenario!$B$3)</f>
        <v>513.65899999999999</v>
      </c>
      <c r="AG47" s="6">
        <f>R47*(1+Scenario!$B$4)</f>
        <v>18</v>
      </c>
      <c r="AH47" s="33">
        <f t="shared" si="15"/>
        <v>8120.3796000000002</v>
      </c>
      <c r="AI47" s="33">
        <f t="shared" si="16"/>
        <v>9245.8619999999992</v>
      </c>
      <c r="AJ47" s="33">
        <f t="shared" si="17"/>
        <v>-1125.482399999999</v>
      </c>
    </row>
    <row r="48" spans="1:36" x14ac:dyDescent="0.25">
      <c r="A48" s="12" t="s">
        <v>184</v>
      </c>
      <c r="B48" s="27">
        <v>45574</v>
      </c>
      <c r="C48" s="4">
        <v>45604</v>
      </c>
      <c r="D48" s="12" t="s">
        <v>649</v>
      </c>
      <c r="E48" s="12" t="s">
        <v>658</v>
      </c>
      <c r="F48" s="12" t="s">
        <v>693</v>
      </c>
      <c r="G48" s="12" t="s">
        <v>705</v>
      </c>
      <c r="H48" s="12" t="s">
        <v>710</v>
      </c>
      <c r="I48" s="12" t="s">
        <v>713</v>
      </c>
      <c r="J48" s="12" t="s">
        <v>727</v>
      </c>
      <c r="K48" s="12" t="s">
        <v>903</v>
      </c>
      <c r="L48" s="6">
        <v>343.85</v>
      </c>
      <c r="M48" s="6">
        <v>538.04</v>
      </c>
      <c r="N48" s="6">
        <f t="shared" si="0"/>
        <v>538.04</v>
      </c>
      <c r="O48" s="6" t="str">
        <f t="shared" si="12"/>
        <v>Low</v>
      </c>
      <c r="P48" s="6">
        <v>0.13900000000000001</v>
      </c>
      <c r="Q48" s="6">
        <f t="shared" si="1"/>
        <v>0.13900000000000001</v>
      </c>
      <c r="R48" s="6">
        <v>5</v>
      </c>
      <c r="S48" s="6" t="str">
        <f t="shared" si="2"/>
        <v>OK</v>
      </c>
      <c r="T48" s="4">
        <f t="shared" si="13"/>
        <v>45604</v>
      </c>
      <c r="U48" s="11">
        <f t="shared" si="3"/>
        <v>30</v>
      </c>
      <c r="V48" s="6">
        <f t="shared" si="14"/>
        <v>2316.2621999999997</v>
      </c>
      <c r="W48" s="6">
        <f t="shared" si="4"/>
        <v>1719.25</v>
      </c>
      <c r="X48" s="6">
        <f t="shared" si="5"/>
        <v>597.01219999999967</v>
      </c>
      <c r="Y48" s="6">
        <f t="shared" si="6"/>
        <v>0.25774810813732563</v>
      </c>
      <c r="Z48" s="4" t="str">
        <f t="shared" si="7"/>
        <v>Q4-2024</v>
      </c>
      <c r="AA48" t="str">
        <f t="shared" si="8"/>
        <v>Components</v>
      </c>
      <c r="AB48" t="str">
        <f t="shared" si="9"/>
        <v>Components</v>
      </c>
      <c r="AC48" t="str">
        <f t="shared" si="10"/>
        <v>Compliant</v>
      </c>
      <c r="AD48" t="str">
        <f t="shared" si="11"/>
        <v>Late</v>
      </c>
      <c r="AE48" s="8">
        <f>MIN(Q48,Scenario!$B$2)</f>
        <v>0.13900000000000001</v>
      </c>
      <c r="AF48" s="33">
        <f>L48*(1+Scenario!$B$3)</f>
        <v>395.42750000000001</v>
      </c>
      <c r="AG48" s="6">
        <f>R48*(1+Scenario!$B$4)</f>
        <v>6</v>
      </c>
      <c r="AH48" s="33">
        <f t="shared" si="15"/>
        <v>2779.5146399999999</v>
      </c>
      <c r="AI48" s="33">
        <f t="shared" si="16"/>
        <v>2372.5650000000001</v>
      </c>
      <c r="AJ48" s="33">
        <f t="shared" si="17"/>
        <v>406.94963999999982</v>
      </c>
    </row>
    <row r="49" spans="1:36" hidden="1" x14ac:dyDescent="0.25">
      <c r="A49" s="12" t="s">
        <v>268</v>
      </c>
      <c r="B49" s="27">
        <v>45592</v>
      </c>
      <c r="C49" s="4">
        <v>45616</v>
      </c>
      <c r="D49" s="12" t="s">
        <v>647</v>
      </c>
      <c r="E49" s="12" t="s">
        <v>652</v>
      </c>
      <c r="F49" s="12" t="s">
        <v>694</v>
      </c>
      <c r="G49" s="12" t="s">
        <v>703</v>
      </c>
      <c r="H49" s="12" t="s">
        <v>708</v>
      </c>
      <c r="I49" s="12" t="s">
        <v>722</v>
      </c>
      <c r="J49" s="12" t="s">
        <v>732</v>
      </c>
      <c r="K49" s="12" t="s">
        <v>988</v>
      </c>
      <c r="L49" s="6">
        <v>317.25</v>
      </c>
      <c r="M49" s="6">
        <v>758.92</v>
      </c>
      <c r="N49" s="6">
        <f t="shared" si="0"/>
        <v>758.92</v>
      </c>
      <c r="O49" s="6" t="str">
        <f t="shared" si="12"/>
        <v>Middle</v>
      </c>
      <c r="P49" s="6">
        <v>5.2999999999999999E-2</v>
      </c>
      <c r="Q49" s="6">
        <f t="shared" si="1"/>
        <v>5.2999999999999999E-2</v>
      </c>
      <c r="R49" s="6">
        <v>9</v>
      </c>
      <c r="S49" s="6" t="str">
        <f t="shared" si="2"/>
        <v>OK</v>
      </c>
      <c r="T49" s="4">
        <f t="shared" si="13"/>
        <v>45616</v>
      </c>
      <c r="U49" s="11">
        <f t="shared" si="3"/>
        <v>24</v>
      </c>
      <c r="V49" s="6">
        <f t="shared" si="14"/>
        <v>6468.2751599999992</v>
      </c>
      <c r="W49" s="6">
        <f t="shared" si="4"/>
        <v>2855.25</v>
      </c>
      <c r="X49" s="6">
        <f t="shared" si="5"/>
        <v>3613.0251599999992</v>
      </c>
      <c r="Y49" s="6">
        <f t="shared" si="6"/>
        <v>0.5585762928489888</v>
      </c>
      <c r="Z49" s="4" t="str">
        <f t="shared" si="7"/>
        <v>Q4-2024</v>
      </c>
      <c r="AA49" t="str">
        <f t="shared" si="8"/>
        <v>Monitors</v>
      </c>
      <c r="AB49" t="str">
        <f t="shared" si="9"/>
        <v>Monitors</v>
      </c>
      <c r="AC49" t="str">
        <f t="shared" si="10"/>
        <v>Compliant</v>
      </c>
      <c r="AD49" t="str">
        <f t="shared" si="11"/>
        <v>Late</v>
      </c>
      <c r="AE49" s="8">
        <f>MIN(Q49,Scenario!$B$2)</f>
        <v>5.2999999999999999E-2</v>
      </c>
      <c r="AF49" s="33">
        <f>L49*(1+Scenario!$B$3)</f>
        <v>364.83749999999998</v>
      </c>
      <c r="AG49" s="6">
        <f>R49*(1+Scenario!$B$4)</f>
        <v>10.799999999999999</v>
      </c>
      <c r="AH49" s="33">
        <f t="shared" si="15"/>
        <v>7761.9301919999989</v>
      </c>
      <c r="AI49" s="33">
        <f t="shared" si="16"/>
        <v>3940.2449999999994</v>
      </c>
      <c r="AJ49" s="33">
        <f t="shared" si="17"/>
        <v>3821.6851919999995</v>
      </c>
    </row>
    <row r="50" spans="1:36" hidden="1" x14ac:dyDescent="0.25">
      <c r="A50" s="12" t="s">
        <v>16</v>
      </c>
      <c r="B50" s="27">
        <v>45588</v>
      </c>
      <c r="C50" s="4">
        <v>45587</v>
      </c>
      <c r="D50" s="12" t="s">
        <v>646</v>
      </c>
      <c r="E50" s="12" t="s">
        <v>651</v>
      </c>
      <c r="F50" s="12" t="s">
        <v>663</v>
      </c>
      <c r="G50" s="12" t="s">
        <v>702</v>
      </c>
      <c r="H50" s="12" t="s">
        <v>708</v>
      </c>
      <c r="I50" s="12" t="s">
        <v>713</v>
      </c>
      <c r="J50" s="12" t="s">
        <v>728</v>
      </c>
      <c r="K50" s="12" t="s">
        <v>735</v>
      </c>
      <c r="L50" s="6">
        <v>1084.3900000000001</v>
      </c>
      <c r="M50" s="6">
        <v>759.33</v>
      </c>
      <c r="N50" s="6">
        <f t="shared" si="0"/>
        <v>759.33</v>
      </c>
      <c r="O50" s="6" t="str">
        <f t="shared" si="12"/>
        <v>Middle</v>
      </c>
      <c r="P50" s="6">
        <v>0.23699999999999999</v>
      </c>
      <c r="Q50" s="6">
        <f t="shared" si="1"/>
        <v>0.23699999999999999</v>
      </c>
      <c r="R50" s="6">
        <v>31</v>
      </c>
      <c r="S50" s="6" t="str">
        <f t="shared" si="2"/>
        <v>Correct</v>
      </c>
      <c r="T50" s="4">
        <f t="shared" si="13"/>
        <v>45595</v>
      </c>
      <c r="U50" s="11">
        <f t="shared" si="3"/>
        <v>7</v>
      </c>
      <c r="V50" s="6">
        <f t="shared" si="14"/>
        <v>17960.432489999999</v>
      </c>
      <c r="W50" s="6">
        <f t="shared" si="4"/>
        <v>33616.090000000004</v>
      </c>
      <c r="X50" s="6">
        <f t="shared" si="5"/>
        <v>-15655.657510000005</v>
      </c>
      <c r="Y50" s="6">
        <f t="shared" si="6"/>
        <v>-0.87167486187856302</v>
      </c>
      <c r="Z50" s="4" t="str">
        <f t="shared" si="7"/>
        <v>Q4-2024</v>
      </c>
      <c r="AA50" t="str">
        <f t="shared" si="8"/>
        <v>Printers</v>
      </c>
      <c r="AB50" t="str">
        <f t="shared" si="9"/>
        <v>Printers</v>
      </c>
      <c r="AC50" t="str">
        <f t="shared" si="10"/>
        <v>Non-compliant</v>
      </c>
      <c r="AD50" t="str">
        <f t="shared" si="11"/>
        <v>On-time</v>
      </c>
      <c r="AE50" s="8">
        <f>MIN(Q50,Scenario!$B$2)</f>
        <v>0.2</v>
      </c>
      <c r="AF50" s="33">
        <f>L50*(1+Scenario!$B$3)</f>
        <v>1247.0485000000001</v>
      </c>
      <c r="AG50" s="6">
        <f>R50*(1+Scenario!$B$4)</f>
        <v>37.199999999999996</v>
      </c>
      <c r="AH50" s="33">
        <f t="shared" si="15"/>
        <v>22597.660799999998</v>
      </c>
      <c r="AI50" s="33">
        <f t="shared" si="16"/>
        <v>46390.2042</v>
      </c>
      <c r="AJ50" s="33">
        <f t="shared" si="17"/>
        <v>-23792.543400000002</v>
      </c>
    </row>
    <row r="51" spans="1:36" hidden="1" x14ac:dyDescent="0.25">
      <c r="A51" s="12" t="s">
        <v>108</v>
      </c>
      <c r="B51" s="27">
        <v>45569</v>
      </c>
      <c r="C51" s="4">
        <v>45598</v>
      </c>
      <c r="D51" s="12" t="s">
        <v>646</v>
      </c>
      <c r="E51" s="12" t="s">
        <v>651</v>
      </c>
      <c r="F51" s="12" t="s">
        <v>669</v>
      </c>
      <c r="G51" s="12" t="s">
        <v>701</v>
      </c>
      <c r="H51" s="12" t="s">
        <v>710</v>
      </c>
      <c r="I51" s="12" t="s">
        <v>721</v>
      </c>
      <c r="J51" s="12" t="s">
        <v>733</v>
      </c>
      <c r="K51" s="12" t="s">
        <v>827</v>
      </c>
      <c r="L51" s="6">
        <v>412.09</v>
      </c>
      <c r="M51" s="6">
        <v>968.94</v>
      </c>
      <c r="N51" s="6">
        <f t="shared" si="0"/>
        <v>968.94</v>
      </c>
      <c r="O51" s="6" t="str">
        <f t="shared" si="12"/>
        <v>Middle</v>
      </c>
      <c r="P51" s="6">
        <v>9.9000000000000005E-2</v>
      </c>
      <c r="Q51" s="6">
        <f t="shared" si="1"/>
        <v>9.9000000000000005E-2</v>
      </c>
      <c r="R51" s="6">
        <v>23</v>
      </c>
      <c r="S51" s="6" t="str">
        <f t="shared" si="2"/>
        <v>OK</v>
      </c>
      <c r="T51" s="4">
        <f t="shared" si="13"/>
        <v>45598</v>
      </c>
      <c r="U51" s="11">
        <f t="shared" si="3"/>
        <v>29</v>
      </c>
      <c r="V51" s="6">
        <f t="shared" si="14"/>
        <v>20079.343620000003</v>
      </c>
      <c r="W51" s="6">
        <f t="shared" si="4"/>
        <v>9478.07</v>
      </c>
      <c r="X51" s="6">
        <f t="shared" si="5"/>
        <v>10601.273620000004</v>
      </c>
      <c r="Y51" s="6">
        <f t="shared" si="6"/>
        <v>0.52796913189137418</v>
      </c>
      <c r="Z51" s="4" t="str">
        <f t="shared" si="7"/>
        <v>Q4-2024</v>
      </c>
      <c r="AA51" t="str">
        <f t="shared" si="8"/>
        <v>Accessories</v>
      </c>
      <c r="AB51" t="str">
        <f t="shared" si="9"/>
        <v>Accessories</v>
      </c>
      <c r="AC51" t="str">
        <f t="shared" si="10"/>
        <v>Compliant</v>
      </c>
      <c r="AD51" t="str">
        <f t="shared" si="11"/>
        <v>Late</v>
      </c>
      <c r="AE51" s="8">
        <f>MIN(Q51,Scenario!$B$2)</f>
        <v>9.9000000000000005E-2</v>
      </c>
      <c r="AF51" s="33">
        <f>L51*(1+Scenario!$B$3)</f>
        <v>473.90349999999995</v>
      </c>
      <c r="AG51" s="6">
        <f>R51*(1+Scenario!$B$4)</f>
        <v>27.599999999999998</v>
      </c>
      <c r="AH51" s="33">
        <f t="shared" si="15"/>
        <v>24095.212344</v>
      </c>
      <c r="AI51" s="33">
        <f t="shared" si="16"/>
        <v>13079.736599999998</v>
      </c>
      <c r="AJ51" s="33">
        <f t="shared" si="17"/>
        <v>11015.475744000001</v>
      </c>
    </row>
    <row r="52" spans="1:36" x14ac:dyDescent="0.25">
      <c r="A52" s="12" t="s">
        <v>633</v>
      </c>
      <c r="B52" s="27">
        <v>45578</v>
      </c>
      <c r="C52" s="4">
        <v>45589</v>
      </c>
      <c r="D52" s="12" t="s">
        <v>649</v>
      </c>
      <c r="E52" s="12" t="s">
        <v>657</v>
      </c>
      <c r="F52" s="12" t="s">
        <v>690</v>
      </c>
      <c r="G52" s="12" t="s">
        <v>702</v>
      </c>
      <c r="H52" s="12" t="s">
        <v>710</v>
      </c>
      <c r="I52" s="12" t="s">
        <v>721</v>
      </c>
      <c r="J52" s="12" t="s">
        <v>727</v>
      </c>
      <c r="K52" s="12" t="s">
        <v>1351</v>
      </c>
      <c r="L52" s="6">
        <v>816.7</v>
      </c>
      <c r="M52" s="6">
        <v>1010.75</v>
      </c>
      <c r="N52" s="6">
        <f t="shared" si="0"/>
        <v>1010.75</v>
      </c>
      <c r="O52" s="6" t="str">
        <f t="shared" si="12"/>
        <v>Middle</v>
      </c>
      <c r="P52" s="6">
        <v>4.7E-2</v>
      </c>
      <c r="Q52" s="6">
        <f t="shared" si="1"/>
        <v>4.7E-2</v>
      </c>
      <c r="R52" s="6">
        <v>43</v>
      </c>
      <c r="S52" s="6" t="str">
        <f t="shared" si="2"/>
        <v>OK</v>
      </c>
      <c r="T52" s="4">
        <f t="shared" si="13"/>
        <v>45589</v>
      </c>
      <c r="U52" s="11">
        <f t="shared" si="3"/>
        <v>11</v>
      </c>
      <c r="V52" s="6">
        <f t="shared" si="14"/>
        <v>41419.524249999995</v>
      </c>
      <c r="W52" s="6">
        <f t="shared" si="4"/>
        <v>35118.1</v>
      </c>
      <c r="X52" s="6">
        <f t="shared" si="5"/>
        <v>6301.4242499999964</v>
      </c>
      <c r="Y52" s="6">
        <f t="shared" si="6"/>
        <v>0.15213656757537472</v>
      </c>
      <c r="Z52" s="4" t="str">
        <f t="shared" si="7"/>
        <v>Q4-2024</v>
      </c>
      <c r="AA52" t="str">
        <f t="shared" si="8"/>
        <v>Components</v>
      </c>
      <c r="AB52" t="str">
        <f t="shared" si="9"/>
        <v>Components</v>
      </c>
      <c r="AC52" t="str">
        <f t="shared" si="10"/>
        <v>Compliant</v>
      </c>
      <c r="AD52" t="str">
        <f t="shared" si="11"/>
        <v>Late</v>
      </c>
      <c r="AE52" s="8">
        <f>MIN(Q52,Scenario!$B$2)</f>
        <v>4.7E-2</v>
      </c>
      <c r="AF52" s="33">
        <f>L52*(1+Scenario!$B$3)</f>
        <v>939.20499999999993</v>
      </c>
      <c r="AG52" s="6">
        <f>R52*(1+Scenario!$B$4)</f>
        <v>51.6</v>
      </c>
      <c r="AH52" s="33">
        <f t="shared" si="15"/>
        <v>49703.429100000001</v>
      </c>
      <c r="AI52" s="33">
        <f t="shared" si="16"/>
        <v>48462.977999999996</v>
      </c>
      <c r="AJ52" s="33">
        <f t="shared" si="17"/>
        <v>1240.4511000000057</v>
      </c>
    </row>
    <row r="53" spans="1:36" hidden="1" x14ac:dyDescent="0.25">
      <c r="A53" s="12" t="s">
        <v>626</v>
      </c>
      <c r="B53" s="27">
        <v>45584</v>
      </c>
      <c r="C53" s="4">
        <v>45602</v>
      </c>
      <c r="D53" s="12" t="s">
        <v>648</v>
      </c>
      <c r="E53" s="12" t="s">
        <v>660</v>
      </c>
      <c r="F53" s="12" t="s">
        <v>677</v>
      </c>
      <c r="G53" s="12" t="s">
        <v>702</v>
      </c>
      <c r="H53" s="14" t="s">
        <v>1379</v>
      </c>
      <c r="I53" s="12" t="s">
        <v>712</v>
      </c>
      <c r="J53" s="12" t="s">
        <v>732</v>
      </c>
      <c r="K53" s="12" t="s">
        <v>1344</v>
      </c>
      <c r="L53" s="6">
        <v>942.02</v>
      </c>
      <c r="M53" s="6">
        <v>1028.46</v>
      </c>
      <c r="N53" s="6">
        <f t="shared" si="0"/>
        <v>1028.46</v>
      </c>
      <c r="O53" s="6" t="str">
        <f t="shared" si="12"/>
        <v>Middle</v>
      </c>
      <c r="P53" s="6">
        <v>0</v>
      </c>
      <c r="Q53" s="6">
        <f t="shared" si="1"/>
        <v>0</v>
      </c>
      <c r="R53" s="6">
        <v>9</v>
      </c>
      <c r="S53" s="6" t="str">
        <f t="shared" si="2"/>
        <v>OK</v>
      </c>
      <c r="T53" s="4">
        <f t="shared" si="13"/>
        <v>45602</v>
      </c>
      <c r="U53" s="11">
        <f t="shared" si="3"/>
        <v>18</v>
      </c>
      <c r="V53" s="6">
        <f t="shared" si="14"/>
        <v>9256.14</v>
      </c>
      <c r="W53" s="6">
        <f t="shared" si="4"/>
        <v>8478.18</v>
      </c>
      <c r="X53" s="6">
        <f t="shared" si="5"/>
        <v>777.95999999999913</v>
      </c>
      <c r="Y53" s="6">
        <f t="shared" si="6"/>
        <v>8.4047994088248354E-2</v>
      </c>
      <c r="Z53" s="4" t="str">
        <f t="shared" si="7"/>
        <v>Q4-2024</v>
      </c>
      <c r="AA53" t="str">
        <f t="shared" si="8"/>
        <v>Monitors</v>
      </c>
      <c r="AB53" t="str">
        <f t="shared" si="9"/>
        <v>Monitors</v>
      </c>
      <c r="AC53" t="str">
        <f t="shared" si="10"/>
        <v>Compliant</v>
      </c>
      <c r="AD53" t="str">
        <f t="shared" si="11"/>
        <v>Late</v>
      </c>
      <c r="AE53" s="8">
        <f>MIN(Q53,Scenario!$B$2)</f>
        <v>0</v>
      </c>
      <c r="AF53" s="33">
        <f>L53*(1+Scenario!$B$3)</f>
        <v>1083.3229999999999</v>
      </c>
      <c r="AG53" s="6">
        <f>R53*(1+Scenario!$B$4)</f>
        <v>10.799999999999999</v>
      </c>
      <c r="AH53" s="33">
        <f t="shared" si="15"/>
        <v>11107.367999999999</v>
      </c>
      <c r="AI53" s="33">
        <f t="shared" si="16"/>
        <v>11699.888399999998</v>
      </c>
      <c r="AJ53" s="33">
        <f t="shared" si="17"/>
        <v>-592.52039999999943</v>
      </c>
    </row>
    <row r="54" spans="1:36" hidden="1" x14ac:dyDescent="0.25">
      <c r="A54" s="12" t="s">
        <v>176</v>
      </c>
      <c r="B54" s="27">
        <v>45595</v>
      </c>
      <c r="C54" s="4">
        <v>45620</v>
      </c>
      <c r="D54" s="12" t="s">
        <v>647</v>
      </c>
      <c r="E54" s="12" t="s">
        <v>659</v>
      </c>
      <c r="F54" s="12" t="s">
        <v>676</v>
      </c>
      <c r="G54" s="12" t="s">
        <v>705</v>
      </c>
      <c r="H54" s="12" t="s">
        <v>708</v>
      </c>
      <c r="I54" s="12" t="s">
        <v>718</v>
      </c>
      <c r="J54" s="12" t="s">
        <v>727</v>
      </c>
      <c r="K54" s="12" t="s">
        <v>895</v>
      </c>
      <c r="L54" s="6">
        <v>811.05</v>
      </c>
      <c r="M54" s="6">
        <v>1217.71</v>
      </c>
      <c r="N54" s="6">
        <f t="shared" si="0"/>
        <v>1217.71</v>
      </c>
      <c r="O54" s="6" t="str">
        <f t="shared" si="12"/>
        <v>Middle</v>
      </c>
      <c r="P54" s="6">
        <v>7.1999999999999995E-2</v>
      </c>
      <c r="Q54" s="6">
        <f t="shared" si="1"/>
        <v>7.1999999999999995E-2</v>
      </c>
      <c r="R54" s="6">
        <v>5</v>
      </c>
      <c r="S54" s="6" t="str">
        <f t="shared" si="2"/>
        <v>OK</v>
      </c>
      <c r="T54" s="4">
        <f t="shared" si="13"/>
        <v>45620</v>
      </c>
      <c r="U54" s="11">
        <f t="shared" si="3"/>
        <v>25</v>
      </c>
      <c r="V54" s="6">
        <f t="shared" si="14"/>
        <v>5650.1744000000008</v>
      </c>
      <c r="W54" s="6">
        <f t="shared" si="4"/>
        <v>4055.25</v>
      </c>
      <c r="X54" s="6">
        <f t="shared" si="5"/>
        <v>1594.9244000000008</v>
      </c>
      <c r="Y54" s="6">
        <f t="shared" si="6"/>
        <v>0.28227879125288602</v>
      </c>
      <c r="Z54" s="4" t="str">
        <f t="shared" si="7"/>
        <v>Q4-2024</v>
      </c>
      <c r="AA54" t="str">
        <f t="shared" si="8"/>
        <v>Components</v>
      </c>
      <c r="AB54" t="str">
        <f t="shared" si="9"/>
        <v>Components</v>
      </c>
      <c r="AC54" t="str">
        <f t="shared" si="10"/>
        <v>Compliant</v>
      </c>
      <c r="AD54" t="str">
        <f t="shared" si="11"/>
        <v>Late</v>
      </c>
      <c r="AE54" s="8">
        <f>MIN(Q54,Scenario!$B$2)</f>
        <v>7.1999999999999995E-2</v>
      </c>
      <c r="AF54" s="33">
        <f>L54*(1+Scenario!$B$3)</f>
        <v>932.70749999999987</v>
      </c>
      <c r="AG54" s="6">
        <f>R54*(1+Scenario!$B$4)</f>
        <v>6</v>
      </c>
      <c r="AH54" s="33">
        <f t="shared" si="15"/>
        <v>6780.2092800000009</v>
      </c>
      <c r="AI54" s="33">
        <f t="shared" si="16"/>
        <v>5596.244999999999</v>
      </c>
      <c r="AJ54" s="33">
        <f t="shared" si="17"/>
        <v>1183.964280000002</v>
      </c>
    </row>
    <row r="55" spans="1:36" hidden="1" x14ac:dyDescent="0.25">
      <c r="A55" s="12" t="s">
        <v>199</v>
      </c>
      <c r="B55" s="27">
        <v>45587</v>
      </c>
      <c r="C55" s="4">
        <v>45594</v>
      </c>
      <c r="D55" s="12" t="s">
        <v>646</v>
      </c>
      <c r="E55" s="12" t="s">
        <v>651</v>
      </c>
      <c r="F55" s="12" t="s">
        <v>663</v>
      </c>
      <c r="G55" s="12" t="s">
        <v>706</v>
      </c>
      <c r="H55" s="12" t="s">
        <v>710</v>
      </c>
      <c r="I55" s="12" t="s">
        <v>724</v>
      </c>
      <c r="J55" s="12" t="s">
        <v>732</v>
      </c>
      <c r="K55" s="12" t="s">
        <v>918</v>
      </c>
      <c r="L55" s="6">
        <v>1023.06</v>
      </c>
      <c r="M55" s="6">
        <v>1355.61</v>
      </c>
      <c r="N55" s="6">
        <f t="shared" si="0"/>
        <v>1355.61</v>
      </c>
      <c r="O55" s="6" t="str">
        <f t="shared" si="12"/>
        <v>High</v>
      </c>
      <c r="P55" s="6">
        <v>0.153</v>
      </c>
      <c r="Q55" s="6">
        <f t="shared" si="1"/>
        <v>0.153</v>
      </c>
      <c r="R55" s="6">
        <v>23</v>
      </c>
      <c r="S55" s="6" t="str">
        <f t="shared" si="2"/>
        <v>OK</v>
      </c>
      <c r="T55" s="4">
        <f t="shared" si="13"/>
        <v>45594</v>
      </c>
      <c r="U55" s="11">
        <f t="shared" si="3"/>
        <v>7</v>
      </c>
      <c r="V55" s="6">
        <f t="shared" si="14"/>
        <v>26408.63841</v>
      </c>
      <c r="W55" s="6">
        <f t="shared" si="4"/>
        <v>23530.379999999997</v>
      </c>
      <c r="X55" s="6">
        <f t="shared" si="5"/>
        <v>2878.2584100000022</v>
      </c>
      <c r="Y55" s="6">
        <f t="shared" si="6"/>
        <v>0.10898927711888809</v>
      </c>
      <c r="Z55" s="4" t="str">
        <f t="shared" si="7"/>
        <v>Q4-2024</v>
      </c>
      <c r="AA55" t="str">
        <f t="shared" si="8"/>
        <v>Monitors</v>
      </c>
      <c r="AB55" t="str">
        <f t="shared" si="9"/>
        <v>Monitors</v>
      </c>
      <c r="AC55" t="str">
        <f t="shared" si="10"/>
        <v>Compliant</v>
      </c>
      <c r="AD55" t="str">
        <f t="shared" si="11"/>
        <v>On-time</v>
      </c>
      <c r="AE55" s="8">
        <f>MIN(Q55,Scenario!$B$2)</f>
        <v>0.153</v>
      </c>
      <c r="AF55" s="33">
        <f>L55*(1+Scenario!$B$3)</f>
        <v>1176.5189999999998</v>
      </c>
      <c r="AG55" s="6">
        <f>R55*(1+Scenario!$B$4)</f>
        <v>27.599999999999998</v>
      </c>
      <c r="AH55" s="33">
        <f t="shared" si="15"/>
        <v>31690.366091999997</v>
      </c>
      <c r="AI55" s="33">
        <f t="shared" si="16"/>
        <v>32471.924399999993</v>
      </c>
      <c r="AJ55" s="33">
        <f t="shared" si="17"/>
        <v>-781.55830799999603</v>
      </c>
    </row>
    <row r="56" spans="1:36" hidden="1" x14ac:dyDescent="0.25">
      <c r="A56" s="12" t="s">
        <v>210</v>
      </c>
      <c r="B56" s="27">
        <v>45588</v>
      </c>
      <c r="C56" s="4">
        <v>45610</v>
      </c>
      <c r="D56" s="12" t="s">
        <v>647</v>
      </c>
      <c r="E56" s="12" t="s">
        <v>652</v>
      </c>
      <c r="F56" s="12" t="s">
        <v>666</v>
      </c>
      <c r="G56" s="12" t="s">
        <v>703</v>
      </c>
      <c r="H56" s="12" t="s">
        <v>711</v>
      </c>
      <c r="I56" s="12" t="s">
        <v>717</v>
      </c>
      <c r="J56" s="12" t="s">
        <v>730</v>
      </c>
      <c r="K56" s="12" t="s">
        <v>930</v>
      </c>
      <c r="L56" s="6">
        <v>1406.4</v>
      </c>
      <c r="M56" s="6">
        <v>1564.76</v>
      </c>
      <c r="N56" s="6">
        <f t="shared" si="0"/>
        <v>1564.76</v>
      </c>
      <c r="O56" s="6" t="str">
        <f t="shared" si="12"/>
        <v>High</v>
      </c>
      <c r="P56" s="6">
        <v>0.185</v>
      </c>
      <c r="Q56" s="6">
        <f t="shared" si="1"/>
        <v>0.185</v>
      </c>
      <c r="R56" s="6">
        <v>17</v>
      </c>
      <c r="S56" s="6" t="str">
        <f t="shared" si="2"/>
        <v>OK</v>
      </c>
      <c r="T56" s="4">
        <f t="shared" si="13"/>
        <v>45610</v>
      </c>
      <c r="U56" s="11">
        <f t="shared" si="3"/>
        <v>22</v>
      </c>
      <c r="V56" s="6">
        <f t="shared" si="14"/>
        <v>21679.749799999998</v>
      </c>
      <c r="W56" s="6">
        <f t="shared" si="4"/>
        <v>23908.800000000003</v>
      </c>
      <c r="X56" s="6">
        <f t="shared" si="5"/>
        <v>-2229.0502000000051</v>
      </c>
      <c r="Y56" s="6">
        <f t="shared" si="6"/>
        <v>-0.10281715520536151</v>
      </c>
      <c r="Z56" s="4" t="str">
        <f t="shared" si="7"/>
        <v>Q4-2024</v>
      </c>
      <c r="AA56" t="str">
        <f t="shared" si="8"/>
        <v>Phones</v>
      </c>
      <c r="AB56" t="str">
        <f t="shared" si="9"/>
        <v>Phones</v>
      </c>
      <c r="AC56" t="str">
        <f t="shared" si="10"/>
        <v>Compliant</v>
      </c>
      <c r="AD56" t="str">
        <f t="shared" si="11"/>
        <v>Late</v>
      </c>
      <c r="AE56" s="8">
        <f>MIN(Q56,Scenario!$B$2)</f>
        <v>0.185</v>
      </c>
      <c r="AF56" s="33">
        <f>L56*(1+Scenario!$B$3)</f>
        <v>1617.36</v>
      </c>
      <c r="AG56" s="6">
        <f>R56*(1+Scenario!$B$4)</f>
        <v>20.399999999999999</v>
      </c>
      <c r="AH56" s="33">
        <f t="shared" si="15"/>
        <v>26015.69976</v>
      </c>
      <c r="AI56" s="33">
        <f t="shared" si="16"/>
        <v>32994.143999999993</v>
      </c>
      <c r="AJ56" s="33">
        <f t="shared" si="17"/>
        <v>-6978.4442399999934</v>
      </c>
    </row>
    <row r="57" spans="1:36" x14ac:dyDescent="0.25">
      <c r="A57" s="12" t="s">
        <v>526</v>
      </c>
      <c r="B57" s="27">
        <v>45575</v>
      </c>
      <c r="C57" s="4">
        <v>45576</v>
      </c>
      <c r="D57" s="12" t="s">
        <v>649</v>
      </c>
      <c r="E57" s="12" t="s">
        <v>658</v>
      </c>
      <c r="F57" s="12" t="s">
        <v>693</v>
      </c>
      <c r="G57" s="12" t="s">
        <v>703</v>
      </c>
      <c r="H57" s="12" t="s">
        <v>710</v>
      </c>
      <c r="I57" s="12" t="s">
        <v>716</v>
      </c>
      <c r="J57" s="12" t="s">
        <v>727</v>
      </c>
      <c r="K57" s="12" t="s">
        <v>1245</v>
      </c>
      <c r="L57" s="6">
        <v>1389.46</v>
      </c>
      <c r="M57" s="6">
        <v>1784.7</v>
      </c>
      <c r="N57" s="6">
        <f t="shared" si="0"/>
        <v>1784.7</v>
      </c>
      <c r="O57" s="6" t="str">
        <f t="shared" si="12"/>
        <v>High</v>
      </c>
      <c r="P57" s="6">
        <v>0.14599999999999999</v>
      </c>
      <c r="Q57" s="6">
        <f t="shared" si="1"/>
        <v>0.14599999999999999</v>
      </c>
      <c r="R57" s="6">
        <v>33</v>
      </c>
      <c r="S57" s="6" t="str">
        <f t="shared" si="2"/>
        <v>OK</v>
      </c>
      <c r="T57" s="4">
        <f t="shared" si="13"/>
        <v>45576</v>
      </c>
      <c r="U57" s="11">
        <f t="shared" si="3"/>
        <v>1</v>
      </c>
      <c r="V57" s="6">
        <f t="shared" si="14"/>
        <v>50296.415399999998</v>
      </c>
      <c r="W57" s="6">
        <f t="shared" si="4"/>
        <v>45852.18</v>
      </c>
      <c r="X57" s="6">
        <f t="shared" si="5"/>
        <v>4444.2353999999978</v>
      </c>
      <c r="Y57" s="6">
        <f t="shared" si="6"/>
        <v>8.8360877503011831E-2</v>
      </c>
      <c r="Z57" s="4" t="str">
        <f t="shared" si="7"/>
        <v>Q4-2024</v>
      </c>
      <c r="AA57" t="str">
        <f t="shared" si="8"/>
        <v>Components</v>
      </c>
      <c r="AB57" t="str">
        <f t="shared" si="9"/>
        <v>Components</v>
      </c>
      <c r="AC57" t="str">
        <f t="shared" si="10"/>
        <v>Compliant</v>
      </c>
      <c r="AD57" t="str">
        <f t="shared" si="11"/>
        <v>On-time</v>
      </c>
      <c r="AE57" s="8">
        <f>MIN(Q57,Scenario!$B$2)</f>
        <v>0.14599999999999999</v>
      </c>
      <c r="AF57" s="33">
        <f>L57*(1+Scenario!$B$3)</f>
        <v>1597.8789999999999</v>
      </c>
      <c r="AG57" s="6">
        <f>R57*(1+Scenario!$B$4)</f>
        <v>39.6</v>
      </c>
      <c r="AH57" s="33">
        <f t="shared" si="15"/>
        <v>60355.698480000006</v>
      </c>
      <c r="AI57" s="33">
        <f t="shared" si="16"/>
        <v>63276.008399999999</v>
      </c>
      <c r="AJ57" s="33">
        <f t="shared" si="17"/>
        <v>-2920.3099199999924</v>
      </c>
    </row>
    <row r="58" spans="1:36" hidden="1" x14ac:dyDescent="0.25">
      <c r="A58" s="12" t="s">
        <v>356</v>
      </c>
      <c r="B58" s="27">
        <v>45594</v>
      </c>
      <c r="C58" s="4">
        <v>45600</v>
      </c>
      <c r="D58" s="12" t="s">
        <v>646</v>
      </c>
      <c r="E58" s="12" t="s">
        <v>650</v>
      </c>
      <c r="F58" s="12" t="s">
        <v>664</v>
      </c>
      <c r="G58" s="12" t="s">
        <v>701</v>
      </c>
      <c r="H58" s="12" t="s">
        <v>710</v>
      </c>
      <c r="I58" s="12" t="s">
        <v>724</v>
      </c>
      <c r="J58" s="12" t="s">
        <v>728</v>
      </c>
      <c r="K58" s="12" t="s">
        <v>1076</v>
      </c>
      <c r="L58" s="6">
        <v>805.81</v>
      </c>
      <c r="M58" s="6">
        <v>1823.04</v>
      </c>
      <c r="N58" s="6">
        <f t="shared" si="0"/>
        <v>1823.04</v>
      </c>
      <c r="O58" s="6" t="str">
        <f t="shared" si="12"/>
        <v>High</v>
      </c>
      <c r="P58" s="6">
        <v>0</v>
      </c>
      <c r="Q58" s="6">
        <f t="shared" si="1"/>
        <v>0</v>
      </c>
      <c r="R58" s="6">
        <v>11</v>
      </c>
      <c r="S58" s="6" t="str">
        <f t="shared" si="2"/>
        <v>OK</v>
      </c>
      <c r="T58" s="4">
        <f t="shared" si="13"/>
        <v>45600</v>
      </c>
      <c r="U58" s="11">
        <f t="shared" si="3"/>
        <v>6</v>
      </c>
      <c r="V58" s="6">
        <f t="shared" si="14"/>
        <v>20053.439999999999</v>
      </c>
      <c r="W58" s="6">
        <f t="shared" si="4"/>
        <v>8863.91</v>
      </c>
      <c r="X58" s="6">
        <f t="shared" si="5"/>
        <v>11189.529999999999</v>
      </c>
      <c r="Y58" s="6">
        <f t="shared" si="6"/>
        <v>0.55798556257679477</v>
      </c>
      <c r="Z58" s="4" t="str">
        <f t="shared" si="7"/>
        <v>Q4-2024</v>
      </c>
      <c r="AA58" t="str">
        <f t="shared" si="8"/>
        <v>Printers</v>
      </c>
      <c r="AB58" t="str">
        <f t="shared" si="9"/>
        <v>Printers</v>
      </c>
      <c r="AC58" t="str">
        <f t="shared" si="10"/>
        <v>Compliant</v>
      </c>
      <c r="AD58" t="str">
        <f t="shared" si="11"/>
        <v>On-time</v>
      </c>
      <c r="AE58" s="8">
        <f>MIN(Q58,Scenario!$B$2)</f>
        <v>0</v>
      </c>
      <c r="AF58" s="33">
        <f>L58*(1+Scenario!$B$3)</f>
        <v>926.68149999999991</v>
      </c>
      <c r="AG58" s="6">
        <f>R58*(1+Scenario!$B$4)</f>
        <v>13.2</v>
      </c>
      <c r="AH58" s="33">
        <f t="shared" si="15"/>
        <v>24064.127999999997</v>
      </c>
      <c r="AI58" s="33">
        <f t="shared" si="16"/>
        <v>12232.195799999998</v>
      </c>
      <c r="AJ58" s="33">
        <f t="shared" si="17"/>
        <v>11831.932199999999</v>
      </c>
    </row>
    <row r="59" spans="1:36" hidden="1" x14ac:dyDescent="0.25">
      <c r="A59" s="12" t="s">
        <v>63</v>
      </c>
      <c r="B59" s="27">
        <v>45579</v>
      </c>
      <c r="C59" s="4">
        <v>45604</v>
      </c>
      <c r="D59" s="12" t="s">
        <v>646</v>
      </c>
      <c r="E59" s="12" t="s">
        <v>651</v>
      </c>
      <c r="F59" s="12" t="s">
        <v>665</v>
      </c>
      <c r="G59" s="12" t="s">
        <v>706</v>
      </c>
      <c r="H59" s="12" t="s">
        <v>708</v>
      </c>
      <c r="I59" s="12" t="s">
        <v>719</v>
      </c>
      <c r="J59" s="12" t="s">
        <v>729</v>
      </c>
      <c r="K59" s="12" t="s">
        <v>782</v>
      </c>
      <c r="L59" s="6">
        <v>859.35</v>
      </c>
      <c r="M59" s="6">
        <v>1825.61</v>
      </c>
      <c r="N59" s="6">
        <f t="shared" si="0"/>
        <v>1825.61</v>
      </c>
      <c r="O59" s="6" t="str">
        <f t="shared" si="12"/>
        <v>High</v>
      </c>
      <c r="P59" s="6">
        <v>0.187</v>
      </c>
      <c r="Q59" s="6">
        <f t="shared" si="1"/>
        <v>0.187</v>
      </c>
      <c r="R59" s="6">
        <v>24</v>
      </c>
      <c r="S59" s="6" t="str">
        <f t="shared" si="2"/>
        <v>OK</v>
      </c>
      <c r="T59" s="4">
        <f t="shared" si="13"/>
        <v>45604</v>
      </c>
      <c r="U59" s="11">
        <f t="shared" si="3"/>
        <v>25</v>
      </c>
      <c r="V59" s="6">
        <f t="shared" si="14"/>
        <v>35621.302319999995</v>
      </c>
      <c r="W59" s="6">
        <f t="shared" si="4"/>
        <v>20624.400000000001</v>
      </c>
      <c r="X59" s="6">
        <f t="shared" si="5"/>
        <v>14996.902319999994</v>
      </c>
      <c r="Y59" s="6">
        <f t="shared" si="6"/>
        <v>0.42100937762681989</v>
      </c>
      <c r="Z59" s="4" t="str">
        <f t="shared" si="7"/>
        <v>Q4-2024</v>
      </c>
      <c r="AA59" t="str">
        <f t="shared" si="8"/>
        <v>Networking</v>
      </c>
      <c r="AB59" t="str">
        <f t="shared" si="9"/>
        <v>Networking</v>
      </c>
      <c r="AC59" t="str">
        <f t="shared" si="10"/>
        <v>Compliant</v>
      </c>
      <c r="AD59" t="str">
        <f t="shared" si="11"/>
        <v>Late</v>
      </c>
      <c r="AE59" s="8">
        <f>MIN(Q59,Scenario!$B$2)</f>
        <v>0.187</v>
      </c>
      <c r="AF59" s="33">
        <f>L59*(1+Scenario!$B$3)</f>
        <v>988.25249999999994</v>
      </c>
      <c r="AG59" s="6">
        <f>R59*(1+Scenario!$B$4)</f>
        <v>28.799999999999997</v>
      </c>
      <c r="AH59" s="33">
        <f t="shared" si="15"/>
        <v>42745.562783999987</v>
      </c>
      <c r="AI59" s="33">
        <f t="shared" si="16"/>
        <v>28461.671999999995</v>
      </c>
      <c r="AJ59" s="33">
        <f t="shared" si="17"/>
        <v>14283.890783999992</v>
      </c>
    </row>
    <row r="60" spans="1:36" hidden="1" x14ac:dyDescent="0.25">
      <c r="A60" s="12" t="s">
        <v>196</v>
      </c>
      <c r="B60" s="27">
        <v>45568</v>
      </c>
      <c r="C60" s="4">
        <v>45576</v>
      </c>
      <c r="D60" s="12" t="s">
        <v>647</v>
      </c>
      <c r="E60" s="12" t="s">
        <v>659</v>
      </c>
      <c r="F60" s="12" t="s">
        <v>699</v>
      </c>
      <c r="G60" s="12" t="s">
        <v>706</v>
      </c>
      <c r="H60" s="12" t="s">
        <v>711</v>
      </c>
      <c r="I60" s="12" t="s">
        <v>717</v>
      </c>
      <c r="J60" s="12" t="s">
        <v>730</v>
      </c>
      <c r="K60" s="12" t="s">
        <v>915</v>
      </c>
      <c r="L60" s="6">
        <v>1132.6099999999999</v>
      </c>
      <c r="M60" s="6">
        <v>2206.63</v>
      </c>
      <c r="N60" s="6">
        <f t="shared" si="0"/>
        <v>2206.63</v>
      </c>
      <c r="O60" s="6" t="str">
        <f t="shared" si="12"/>
        <v>High</v>
      </c>
      <c r="P60" s="6">
        <v>6.3E-2</v>
      </c>
      <c r="Q60" s="6">
        <f t="shared" si="1"/>
        <v>6.3E-2</v>
      </c>
      <c r="R60" s="6">
        <v>20</v>
      </c>
      <c r="S60" s="6" t="str">
        <f t="shared" si="2"/>
        <v>OK</v>
      </c>
      <c r="T60" s="4">
        <f t="shared" si="13"/>
        <v>45576</v>
      </c>
      <c r="U60" s="11">
        <f t="shared" si="3"/>
        <v>8</v>
      </c>
      <c r="V60" s="6">
        <f t="shared" si="14"/>
        <v>41352.246200000009</v>
      </c>
      <c r="W60" s="6">
        <f t="shared" si="4"/>
        <v>22652.199999999997</v>
      </c>
      <c r="X60" s="6">
        <f t="shared" si="5"/>
        <v>18700.046200000012</v>
      </c>
      <c r="Y60" s="6">
        <f t="shared" si="6"/>
        <v>0.45221355351671338</v>
      </c>
      <c r="Z60" s="4" t="str">
        <f t="shared" si="7"/>
        <v>Q4-2024</v>
      </c>
      <c r="AA60" t="str">
        <f t="shared" si="8"/>
        <v>Phones</v>
      </c>
      <c r="AB60" t="str">
        <f t="shared" si="9"/>
        <v>Phones</v>
      </c>
      <c r="AC60" t="str">
        <f t="shared" si="10"/>
        <v>Compliant</v>
      </c>
      <c r="AD60" t="str">
        <f t="shared" si="11"/>
        <v>Late</v>
      </c>
      <c r="AE60" s="8">
        <f>MIN(Q60,Scenario!$B$2)</f>
        <v>6.3E-2</v>
      </c>
      <c r="AF60" s="33">
        <f>L60*(1+Scenario!$B$3)</f>
        <v>1302.5014999999999</v>
      </c>
      <c r="AG60" s="6">
        <f>R60*(1+Scenario!$B$4)</f>
        <v>24</v>
      </c>
      <c r="AH60" s="33">
        <f t="shared" si="15"/>
        <v>49622.695440000003</v>
      </c>
      <c r="AI60" s="33">
        <f t="shared" si="16"/>
        <v>31260.035999999996</v>
      </c>
      <c r="AJ60" s="33">
        <f t="shared" si="17"/>
        <v>18362.659440000007</v>
      </c>
    </row>
    <row r="61" spans="1:36" hidden="1" x14ac:dyDescent="0.25">
      <c r="A61" s="12" t="s">
        <v>224</v>
      </c>
      <c r="B61" s="27">
        <v>45567</v>
      </c>
      <c r="C61" s="4">
        <v>45588</v>
      </c>
      <c r="D61" s="12" t="s">
        <v>646</v>
      </c>
      <c r="E61" s="12" t="s">
        <v>661</v>
      </c>
      <c r="F61" s="12" t="s">
        <v>687</v>
      </c>
      <c r="G61" s="12" t="s">
        <v>701</v>
      </c>
      <c r="H61" s="12" t="s">
        <v>709</v>
      </c>
      <c r="I61" s="12" t="s">
        <v>720</v>
      </c>
      <c r="J61" s="12" t="s">
        <v>727</v>
      </c>
      <c r="K61" s="12" t="s">
        <v>944</v>
      </c>
      <c r="L61" s="6">
        <v>1095.6099999999999</v>
      </c>
      <c r="M61" s="6">
        <v>2366.5100000000002</v>
      </c>
      <c r="N61" s="6">
        <f t="shared" si="0"/>
        <v>2366.5100000000002</v>
      </c>
      <c r="O61" s="6" t="str">
        <f t="shared" si="12"/>
        <v>High</v>
      </c>
      <c r="P61" s="6">
        <v>0.152</v>
      </c>
      <c r="Q61" s="6">
        <f t="shared" si="1"/>
        <v>0.152</v>
      </c>
      <c r="R61" s="6">
        <v>9</v>
      </c>
      <c r="S61" s="6" t="str">
        <f t="shared" si="2"/>
        <v>OK</v>
      </c>
      <c r="T61" s="4">
        <f t="shared" si="13"/>
        <v>45588</v>
      </c>
      <c r="U61" s="11">
        <f t="shared" si="3"/>
        <v>21</v>
      </c>
      <c r="V61" s="6">
        <f t="shared" si="14"/>
        <v>18061.204320000004</v>
      </c>
      <c r="W61" s="6">
        <f t="shared" si="4"/>
        <v>9860.49</v>
      </c>
      <c r="X61" s="6">
        <f t="shared" si="5"/>
        <v>8200.7143200000046</v>
      </c>
      <c r="Y61" s="6">
        <f t="shared" si="6"/>
        <v>0.4540513564158607</v>
      </c>
      <c r="Z61" s="4" t="str">
        <f t="shared" si="7"/>
        <v>Q4-2024</v>
      </c>
      <c r="AA61" t="str">
        <f t="shared" si="8"/>
        <v>Components</v>
      </c>
      <c r="AB61" t="str">
        <f t="shared" si="9"/>
        <v>Components</v>
      </c>
      <c r="AC61" t="str">
        <f t="shared" si="10"/>
        <v>Compliant</v>
      </c>
      <c r="AD61" t="str">
        <f t="shared" si="11"/>
        <v>Late</v>
      </c>
      <c r="AE61" s="8">
        <f>MIN(Q61,Scenario!$B$2)</f>
        <v>0.152</v>
      </c>
      <c r="AF61" s="33">
        <f>L61*(1+Scenario!$B$3)</f>
        <v>1259.9514999999999</v>
      </c>
      <c r="AG61" s="6">
        <f>R61*(1+Scenario!$B$4)</f>
        <v>10.799999999999999</v>
      </c>
      <c r="AH61" s="33">
        <f t="shared" si="15"/>
        <v>21673.445184</v>
      </c>
      <c r="AI61" s="33">
        <f t="shared" si="16"/>
        <v>13607.476199999997</v>
      </c>
      <c r="AJ61" s="33">
        <f t="shared" si="17"/>
        <v>8065.9689840000028</v>
      </c>
    </row>
    <row r="62" spans="1:36" x14ac:dyDescent="0.25">
      <c r="A62" s="12" t="s">
        <v>280</v>
      </c>
      <c r="B62" s="27">
        <v>45573</v>
      </c>
      <c r="C62" s="4">
        <v>45573</v>
      </c>
      <c r="D62" s="12" t="s">
        <v>649</v>
      </c>
      <c r="E62" s="12" t="s">
        <v>658</v>
      </c>
      <c r="F62" s="12" t="s">
        <v>683</v>
      </c>
      <c r="G62" s="12" t="s">
        <v>701</v>
      </c>
      <c r="H62" s="12" t="s">
        <v>708</v>
      </c>
      <c r="I62" s="12" t="s">
        <v>718</v>
      </c>
      <c r="J62" s="12" t="s">
        <v>732</v>
      </c>
      <c r="K62" s="12" t="s">
        <v>1000</v>
      </c>
      <c r="L62" s="6">
        <v>1108.1099999999999</v>
      </c>
      <c r="M62" s="6">
        <v>2503.79</v>
      </c>
      <c r="N62" s="6">
        <f t="shared" si="0"/>
        <v>2503.79</v>
      </c>
      <c r="O62" s="6" t="str">
        <f t="shared" si="12"/>
        <v>High</v>
      </c>
      <c r="P62" s="6">
        <v>0.184</v>
      </c>
      <c r="Q62" s="6">
        <f t="shared" si="1"/>
        <v>0.184</v>
      </c>
      <c r="R62" s="6">
        <v>19</v>
      </c>
      <c r="S62" s="6" t="str">
        <f t="shared" si="2"/>
        <v>OK</v>
      </c>
      <c r="T62" s="4">
        <f t="shared" si="13"/>
        <v>45573</v>
      </c>
      <c r="U62" s="11">
        <f t="shared" si="3"/>
        <v>0</v>
      </c>
      <c r="V62" s="6">
        <f t="shared" si="14"/>
        <v>38818.760160000005</v>
      </c>
      <c r="W62" s="6">
        <f t="shared" si="4"/>
        <v>21054.089999999997</v>
      </c>
      <c r="X62" s="6">
        <f t="shared" si="5"/>
        <v>17764.670160000009</v>
      </c>
      <c r="Y62" s="6">
        <f t="shared" si="6"/>
        <v>0.45763105485025896</v>
      </c>
      <c r="Z62" s="4" t="str">
        <f t="shared" si="7"/>
        <v>Q4-2024</v>
      </c>
      <c r="AA62" t="str">
        <f t="shared" si="8"/>
        <v>Monitors</v>
      </c>
      <c r="AB62" t="str">
        <f t="shared" si="9"/>
        <v>Monitors</v>
      </c>
      <c r="AC62" t="str">
        <f t="shared" si="10"/>
        <v>Compliant</v>
      </c>
      <c r="AD62" t="str">
        <f t="shared" si="11"/>
        <v>On-time</v>
      </c>
      <c r="AE62" s="8">
        <f>MIN(Q62,Scenario!$B$2)</f>
        <v>0.184</v>
      </c>
      <c r="AF62" s="33">
        <f>L62*(1+Scenario!$B$3)</f>
        <v>1274.3264999999999</v>
      </c>
      <c r="AG62" s="6">
        <f>R62*(1+Scenario!$B$4)</f>
        <v>22.8</v>
      </c>
      <c r="AH62" s="33">
        <f t="shared" si="15"/>
        <v>46582.512192000009</v>
      </c>
      <c r="AI62" s="33">
        <f t="shared" si="16"/>
        <v>29054.644199999999</v>
      </c>
      <c r="AJ62" s="33">
        <f t="shared" si="17"/>
        <v>17527.86799200001</v>
      </c>
    </row>
    <row r="63" spans="1:36" hidden="1" x14ac:dyDescent="0.25">
      <c r="A63" s="12" t="s">
        <v>521</v>
      </c>
      <c r="B63" s="27">
        <v>45589</v>
      </c>
      <c r="C63" s="4">
        <v>45593</v>
      </c>
      <c r="D63" s="12" t="s">
        <v>647</v>
      </c>
      <c r="E63" s="12" t="s">
        <v>659</v>
      </c>
      <c r="F63" s="12" t="s">
        <v>685</v>
      </c>
      <c r="G63" s="12" t="s">
        <v>705</v>
      </c>
      <c r="H63" s="12" t="s">
        <v>710</v>
      </c>
      <c r="I63" s="12" t="s">
        <v>714</v>
      </c>
      <c r="J63" s="12" t="s">
        <v>729</v>
      </c>
      <c r="K63" s="12" t="s">
        <v>1240</v>
      </c>
      <c r="L63" s="6">
        <v>1331.77</v>
      </c>
      <c r="M63" s="6">
        <v>2606.11</v>
      </c>
      <c r="N63" s="6">
        <f t="shared" si="0"/>
        <v>2606.11</v>
      </c>
      <c r="O63" s="6" t="str">
        <f t="shared" si="12"/>
        <v>High</v>
      </c>
      <c r="P63" s="6">
        <v>0.02</v>
      </c>
      <c r="Q63" s="6">
        <f t="shared" si="1"/>
        <v>0.02</v>
      </c>
      <c r="R63" s="6">
        <v>6</v>
      </c>
      <c r="S63" s="6" t="str">
        <f t="shared" si="2"/>
        <v>OK</v>
      </c>
      <c r="T63" s="4">
        <f t="shared" si="13"/>
        <v>45593</v>
      </c>
      <c r="U63" s="11">
        <f t="shared" si="3"/>
        <v>4</v>
      </c>
      <c r="V63" s="6">
        <f t="shared" si="14"/>
        <v>15323.926799999999</v>
      </c>
      <c r="W63" s="6">
        <f t="shared" si="4"/>
        <v>7990.62</v>
      </c>
      <c r="X63" s="6">
        <f t="shared" si="5"/>
        <v>7333.3067999999994</v>
      </c>
      <c r="Y63" s="6">
        <f t="shared" si="6"/>
        <v>0.47855271665745619</v>
      </c>
      <c r="Z63" s="4" t="str">
        <f t="shared" si="7"/>
        <v>Q4-2024</v>
      </c>
      <c r="AA63" t="str">
        <f t="shared" si="8"/>
        <v>Networking</v>
      </c>
      <c r="AB63" t="str">
        <f t="shared" si="9"/>
        <v>Networking</v>
      </c>
      <c r="AC63" t="str">
        <f t="shared" si="10"/>
        <v>Compliant</v>
      </c>
      <c r="AD63" t="str">
        <f t="shared" si="11"/>
        <v>On-time</v>
      </c>
      <c r="AE63" s="8">
        <f>MIN(Q63,Scenario!$B$2)</f>
        <v>0.02</v>
      </c>
      <c r="AF63" s="33">
        <f>L63*(1+Scenario!$B$3)</f>
        <v>1531.5355</v>
      </c>
      <c r="AG63" s="6">
        <f>R63*(1+Scenario!$B$4)</f>
        <v>7.1999999999999993</v>
      </c>
      <c r="AH63" s="33">
        <f t="shared" si="15"/>
        <v>18388.712159999999</v>
      </c>
      <c r="AI63" s="33">
        <f t="shared" si="16"/>
        <v>11027.055599999998</v>
      </c>
      <c r="AJ63" s="33">
        <f t="shared" si="17"/>
        <v>7361.6565600000013</v>
      </c>
    </row>
    <row r="64" spans="1:36" hidden="1" x14ac:dyDescent="0.25">
      <c r="A64" s="12" t="s">
        <v>57</v>
      </c>
      <c r="B64" s="27">
        <v>45590</v>
      </c>
      <c r="C64" s="4">
        <v>45610</v>
      </c>
      <c r="D64" s="12" t="s">
        <v>646</v>
      </c>
      <c r="E64" s="12" t="s">
        <v>650</v>
      </c>
      <c r="F64" s="12" t="s">
        <v>675</v>
      </c>
      <c r="G64" s="12" t="s">
        <v>701</v>
      </c>
      <c r="H64" s="12" t="s">
        <v>711</v>
      </c>
      <c r="I64" s="12" t="s">
        <v>722</v>
      </c>
      <c r="J64" s="12" t="s">
        <v>728</v>
      </c>
      <c r="K64" s="12" t="s">
        <v>776</v>
      </c>
      <c r="L64" s="6">
        <v>1396.48</v>
      </c>
      <c r="M64" s="6">
        <v>3204.5</v>
      </c>
      <c r="N64" s="6">
        <f t="shared" si="0"/>
        <v>3204.5</v>
      </c>
      <c r="O64" s="6" t="str">
        <f t="shared" si="12"/>
        <v>High</v>
      </c>
      <c r="P64" s="6">
        <v>0.318</v>
      </c>
      <c r="Q64" s="6">
        <f t="shared" si="1"/>
        <v>0.3</v>
      </c>
      <c r="R64" s="6">
        <v>14</v>
      </c>
      <c r="S64" s="6" t="str">
        <f t="shared" si="2"/>
        <v>OK</v>
      </c>
      <c r="T64" s="4">
        <f t="shared" si="13"/>
        <v>45610</v>
      </c>
      <c r="U64" s="11">
        <f t="shared" si="3"/>
        <v>20</v>
      </c>
      <c r="V64" s="6">
        <f t="shared" si="14"/>
        <v>31404.1</v>
      </c>
      <c r="W64" s="6">
        <f t="shared" si="4"/>
        <v>19550.72</v>
      </c>
      <c r="X64" s="6">
        <f t="shared" si="5"/>
        <v>11853.379999999997</v>
      </c>
      <c r="Y64" s="6">
        <f t="shared" si="6"/>
        <v>0.3774468938769141</v>
      </c>
      <c r="Z64" s="4" t="str">
        <f t="shared" si="7"/>
        <v>Q4-2024</v>
      </c>
      <c r="AA64" t="str">
        <f t="shared" si="8"/>
        <v>Printers</v>
      </c>
      <c r="AB64" t="str">
        <f t="shared" si="9"/>
        <v>Printers</v>
      </c>
      <c r="AC64" t="str">
        <f t="shared" si="10"/>
        <v>Non-compliant</v>
      </c>
      <c r="AD64" t="str">
        <f t="shared" si="11"/>
        <v>Late</v>
      </c>
      <c r="AE64" s="8">
        <f>MIN(Q64,Scenario!$B$2)</f>
        <v>0.2</v>
      </c>
      <c r="AF64" s="33">
        <f>L64*(1+Scenario!$B$3)</f>
        <v>1605.952</v>
      </c>
      <c r="AG64" s="6">
        <f>R64*(1+Scenario!$B$4)</f>
        <v>16.8</v>
      </c>
      <c r="AH64" s="33">
        <f t="shared" si="15"/>
        <v>43068.48000000001</v>
      </c>
      <c r="AI64" s="33">
        <f t="shared" si="16"/>
        <v>26979.993600000002</v>
      </c>
      <c r="AJ64" s="33">
        <f t="shared" si="17"/>
        <v>16088.486400000009</v>
      </c>
    </row>
    <row r="65" spans="1:36" hidden="1" x14ac:dyDescent="0.25">
      <c r="A65" s="12" t="s">
        <v>403</v>
      </c>
      <c r="B65" s="27">
        <v>45225</v>
      </c>
      <c r="C65" s="4">
        <v>45235</v>
      </c>
      <c r="D65" s="12" t="s">
        <v>646</v>
      </c>
      <c r="E65" s="12" t="s">
        <v>661</v>
      </c>
      <c r="F65" s="12" t="s">
        <v>695</v>
      </c>
      <c r="G65" s="12" t="s">
        <v>703</v>
      </c>
      <c r="H65" s="12" t="s">
        <v>708</v>
      </c>
      <c r="I65" s="12" t="s">
        <v>714</v>
      </c>
      <c r="J65" s="12" t="s">
        <v>731</v>
      </c>
      <c r="K65" s="12" t="s">
        <v>1122</v>
      </c>
      <c r="L65" s="6">
        <v>20.38</v>
      </c>
      <c r="M65" s="6">
        <v>42.56</v>
      </c>
      <c r="N65" s="6">
        <f t="shared" si="0"/>
        <v>42.56</v>
      </c>
      <c r="O65" s="6" t="str">
        <f t="shared" si="12"/>
        <v>Low</v>
      </c>
      <c r="P65" s="6">
        <v>7.1999999999999995E-2</v>
      </c>
      <c r="Q65" s="6">
        <f t="shared" si="1"/>
        <v>7.1999999999999995E-2</v>
      </c>
      <c r="R65" s="6">
        <v>11</v>
      </c>
      <c r="S65" s="6" t="str">
        <f t="shared" si="2"/>
        <v>OK</v>
      </c>
      <c r="T65" s="4">
        <f t="shared" si="13"/>
        <v>45235</v>
      </c>
      <c r="U65" s="11">
        <f t="shared" si="3"/>
        <v>10</v>
      </c>
      <c r="V65" s="6">
        <f t="shared" si="14"/>
        <v>434.45248000000004</v>
      </c>
      <c r="W65" s="6">
        <f t="shared" si="4"/>
        <v>224.17999999999998</v>
      </c>
      <c r="X65" s="6">
        <f t="shared" si="5"/>
        <v>210.27248000000006</v>
      </c>
      <c r="Y65" s="6">
        <f t="shared" si="6"/>
        <v>0.48399419885921713</v>
      </c>
      <c r="Z65" s="4" t="str">
        <f t="shared" si="7"/>
        <v>Q4-2023</v>
      </c>
      <c r="AA65" t="str">
        <f t="shared" si="8"/>
        <v>Laptops</v>
      </c>
      <c r="AB65" t="str">
        <f t="shared" si="9"/>
        <v>Laptops</v>
      </c>
      <c r="AC65" t="str">
        <f t="shared" si="10"/>
        <v>Compliant</v>
      </c>
      <c r="AD65" t="str">
        <f t="shared" si="11"/>
        <v>Late</v>
      </c>
      <c r="AE65" s="8">
        <f>MIN(Q65,Scenario!$B$2)</f>
        <v>7.1999999999999995E-2</v>
      </c>
      <c r="AF65" s="33">
        <f>L65*(1+Scenario!$B$3)</f>
        <v>23.436999999999998</v>
      </c>
      <c r="AG65" s="6">
        <f>R65*(1+Scenario!$B$4)</f>
        <v>13.2</v>
      </c>
      <c r="AH65" s="33">
        <f t="shared" si="15"/>
        <v>521.34297600000002</v>
      </c>
      <c r="AI65" s="33">
        <f t="shared" si="16"/>
        <v>309.36839999999995</v>
      </c>
      <c r="AJ65" s="33">
        <f t="shared" si="17"/>
        <v>211.97457600000007</v>
      </c>
    </row>
    <row r="66" spans="1:36" x14ac:dyDescent="0.25">
      <c r="A66" s="12" t="s">
        <v>446</v>
      </c>
      <c r="B66" s="27">
        <v>45220</v>
      </c>
      <c r="C66" s="4">
        <v>45220</v>
      </c>
      <c r="D66" s="12" t="s">
        <v>649</v>
      </c>
      <c r="E66" s="12" t="s">
        <v>658</v>
      </c>
      <c r="F66" s="12" t="s">
        <v>693</v>
      </c>
      <c r="G66" s="12" t="s">
        <v>706</v>
      </c>
      <c r="H66" s="12" t="s">
        <v>710</v>
      </c>
      <c r="I66" s="12" t="s">
        <v>713</v>
      </c>
      <c r="J66" s="12" t="s">
        <v>732</v>
      </c>
      <c r="K66" s="12" t="s">
        <v>1165</v>
      </c>
      <c r="L66" s="6">
        <v>384.19</v>
      </c>
      <c r="M66" s="6">
        <v>278.35000000000002</v>
      </c>
      <c r="N66" s="6">
        <f t="shared" ref="N66:N129" si="18">ABS(M66)</f>
        <v>278.35000000000002</v>
      </c>
      <c r="O66" s="6" t="str">
        <f t="shared" si="12"/>
        <v>Low</v>
      </c>
      <c r="P66" s="6">
        <v>5.6000000000000001E-2</v>
      </c>
      <c r="Q66" s="6">
        <f t="shared" ref="Q66:Q129" si="19">IF(P66&gt;0.3, 0.3, P66)</f>
        <v>5.6000000000000001E-2</v>
      </c>
      <c r="R66" s="6">
        <v>10</v>
      </c>
      <c r="S66" s="6" t="str">
        <f t="shared" ref="S66:S129" si="20">IFERROR(IF(C66&lt;B66,"Correct", "OK"), "Error")</f>
        <v>OK</v>
      </c>
      <c r="T66" s="4">
        <f t="shared" ref="T66:T129" si="21">IF(C66&lt;B66,B66+7,C66)</f>
        <v>45220</v>
      </c>
      <c r="U66" s="11">
        <f t="shared" ref="U66:U129" si="22">T66-B66</f>
        <v>0</v>
      </c>
      <c r="V66" s="6">
        <f t="shared" ref="V66:V129" si="23">N66*R66*(1-Q66)</f>
        <v>2627.6239999999998</v>
      </c>
      <c r="W66" s="6">
        <f t="shared" ref="W66:W129" si="24">L66*R66</f>
        <v>3841.9</v>
      </c>
      <c r="X66" s="6">
        <f t="shared" ref="X66:X129" si="25">V66-W66</f>
        <v>-1214.2760000000003</v>
      </c>
      <c r="Y66" s="6">
        <f t="shared" ref="Y66:Y129" si="26">IF(V66=0, 0, X66/V66)</f>
        <v>-0.46211938998882657</v>
      </c>
      <c r="Z66" s="4" t="str">
        <f t="shared" ref="Z66:Z129" si="27">"Q"&amp;ROUNDUP(MONTH(B66)/3,0)&amp;"-"&amp;YEAR(B66)</f>
        <v>Q4-2023</v>
      </c>
      <c r="AA66" t="str">
        <f t="shared" ref="AA66:AA129" si="28">PROPER(J66)</f>
        <v>Monitors</v>
      </c>
      <c r="AB66" t="str">
        <f t="shared" ref="AB66:AB129" si="29">TRIM(J66)</f>
        <v>Monitors</v>
      </c>
      <c r="AC66" t="str">
        <f t="shared" ref="AC66:AC129" si="30">IF(Q66&gt;20%, "Non-compliant","Compliant")</f>
        <v>Compliant</v>
      </c>
      <c r="AD66" t="str">
        <f t="shared" ref="AD66:AD129" si="31">IF(U66&lt;=7,"On-time","Late")</f>
        <v>On-time</v>
      </c>
      <c r="AE66" s="8">
        <f>MIN(Q66,Scenario!$B$2)</f>
        <v>5.6000000000000001E-2</v>
      </c>
      <c r="AF66" s="33">
        <f>L66*(1+Scenario!$B$3)</f>
        <v>441.81849999999997</v>
      </c>
      <c r="AG66" s="6">
        <f>R66*(1+Scenario!$B$4)</f>
        <v>12</v>
      </c>
      <c r="AH66" s="33">
        <f t="shared" si="15"/>
        <v>3153.1487999999999</v>
      </c>
      <c r="AI66" s="33">
        <f t="shared" si="16"/>
        <v>5301.8220000000001</v>
      </c>
      <c r="AJ66" s="33">
        <f t="shared" si="17"/>
        <v>-2148.6732000000002</v>
      </c>
    </row>
    <row r="67" spans="1:36" hidden="1" x14ac:dyDescent="0.25">
      <c r="A67" s="12" t="s">
        <v>273</v>
      </c>
      <c r="B67" s="27">
        <v>45210</v>
      </c>
      <c r="C67" s="4">
        <v>45212</v>
      </c>
      <c r="D67" s="12" t="s">
        <v>648</v>
      </c>
      <c r="E67" s="12" t="s">
        <v>655</v>
      </c>
      <c r="F67" s="12" t="s">
        <v>672</v>
      </c>
      <c r="G67" s="12" t="s">
        <v>704</v>
      </c>
      <c r="H67" s="12" t="s">
        <v>710</v>
      </c>
      <c r="I67" s="14" t="s">
        <v>1368</v>
      </c>
      <c r="J67" s="12" t="s">
        <v>733</v>
      </c>
      <c r="K67" s="12" t="s">
        <v>993</v>
      </c>
      <c r="L67" s="6">
        <v>715.94</v>
      </c>
      <c r="M67" s="6">
        <v>550.07000000000005</v>
      </c>
      <c r="N67" s="6">
        <f t="shared" si="18"/>
        <v>550.07000000000005</v>
      </c>
      <c r="O67" s="6" t="str">
        <f t="shared" ref="O67:O130" si="32">IF(N67&lt;=QUARTILE(N67:N697,1), "Low", IF(N67&lt;=QUARTILE(N67:N697,2),"Middle", "High"))</f>
        <v>Low</v>
      </c>
      <c r="P67" s="6">
        <v>0.14000000000000001</v>
      </c>
      <c r="Q67" s="6">
        <f t="shared" si="19"/>
        <v>0.14000000000000001</v>
      </c>
      <c r="R67" s="6">
        <v>16</v>
      </c>
      <c r="S67" s="6" t="str">
        <f t="shared" si="20"/>
        <v>OK</v>
      </c>
      <c r="T67" s="4">
        <f t="shared" si="21"/>
        <v>45212</v>
      </c>
      <c r="U67" s="11">
        <f t="shared" si="22"/>
        <v>2</v>
      </c>
      <c r="V67" s="6">
        <f t="shared" si="23"/>
        <v>7568.9632000000001</v>
      </c>
      <c r="W67" s="6">
        <f t="shared" si="24"/>
        <v>11455.04</v>
      </c>
      <c r="X67" s="6">
        <f t="shared" si="25"/>
        <v>-3886.0768000000007</v>
      </c>
      <c r="Y67" s="6">
        <f t="shared" si="26"/>
        <v>-0.51342260456491595</v>
      </c>
      <c r="Z67" s="4" t="str">
        <f t="shared" si="27"/>
        <v>Q4-2023</v>
      </c>
      <c r="AA67" t="str">
        <f t="shared" si="28"/>
        <v>Accessories</v>
      </c>
      <c r="AB67" t="str">
        <f t="shared" si="29"/>
        <v>Accessories</v>
      </c>
      <c r="AC67" t="str">
        <f t="shared" si="30"/>
        <v>Compliant</v>
      </c>
      <c r="AD67" t="str">
        <f t="shared" si="31"/>
        <v>On-time</v>
      </c>
      <c r="AE67" s="8">
        <f>MIN(Q67,Scenario!$B$2)</f>
        <v>0.14000000000000001</v>
      </c>
      <c r="AF67" s="33">
        <f>L67*(1+Scenario!$B$3)</f>
        <v>823.33100000000002</v>
      </c>
      <c r="AG67" s="6">
        <f>R67*(1+Scenario!$B$4)</f>
        <v>19.2</v>
      </c>
      <c r="AH67" s="33">
        <f t="shared" ref="AH67:AH130" si="33">N67*AG67*(1-AE67)</f>
        <v>9082.7558399999998</v>
      </c>
      <c r="AI67" s="33">
        <f t="shared" ref="AI67:AI130" si="34">AF67*AG67</f>
        <v>15807.9552</v>
      </c>
      <c r="AJ67" s="33">
        <f t="shared" ref="AJ67:AJ130" si="35">AH67-AI67</f>
        <v>-6725.1993600000005</v>
      </c>
    </row>
    <row r="68" spans="1:36" x14ac:dyDescent="0.25">
      <c r="A68" s="12" t="s">
        <v>500</v>
      </c>
      <c r="B68" s="27">
        <v>45224</v>
      </c>
      <c r="C68" s="4">
        <v>45254</v>
      </c>
      <c r="D68" s="12" t="s">
        <v>649</v>
      </c>
      <c r="E68" s="12" t="s">
        <v>657</v>
      </c>
      <c r="F68" s="12" t="s">
        <v>690</v>
      </c>
      <c r="G68" s="12" t="s">
        <v>706</v>
      </c>
      <c r="H68" s="12" t="s">
        <v>710</v>
      </c>
      <c r="I68" s="12" t="s">
        <v>712</v>
      </c>
      <c r="J68" s="12" t="s">
        <v>730</v>
      </c>
      <c r="K68" s="12" t="s">
        <v>1219</v>
      </c>
      <c r="L68" s="6">
        <v>287.85000000000002</v>
      </c>
      <c r="M68" s="6">
        <v>602.91999999999996</v>
      </c>
      <c r="N68" s="6">
        <f t="shared" si="18"/>
        <v>602.91999999999996</v>
      </c>
      <c r="O68" s="6" t="str">
        <f t="shared" si="32"/>
        <v>Low</v>
      </c>
      <c r="P68" s="6">
        <v>0.222</v>
      </c>
      <c r="Q68" s="6">
        <f t="shared" si="19"/>
        <v>0.222</v>
      </c>
      <c r="R68" s="6">
        <v>11</v>
      </c>
      <c r="S68" s="6" t="str">
        <f t="shared" si="20"/>
        <v>OK</v>
      </c>
      <c r="T68" s="4">
        <f t="shared" si="21"/>
        <v>45254</v>
      </c>
      <c r="U68" s="11">
        <f t="shared" si="22"/>
        <v>30</v>
      </c>
      <c r="V68" s="6">
        <f t="shared" si="23"/>
        <v>5159.7893599999998</v>
      </c>
      <c r="W68" s="6">
        <f t="shared" si="24"/>
        <v>3166.3500000000004</v>
      </c>
      <c r="X68" s="6">
        <f t="shared" si="25"/>
        <v>1993.4393599999994</v>
      </c>
      <c r="Y68" s="6">
        <f t="shared" si="26"/>
        <v>0.38634122847216373</v>
      </c>
      <c r="Z68" s="4" t="str">
        <f t="shared" si="27"/>
        <v>Q4-2023</v>
      </c>
      <c r="AA68" t="str">
        <f t="shared" si="28"/>
        <v>Phones</v>
      </c>
      <c r="AB68" t="str">
        <f t="shared" si="29"/>
        <v>Phones</v>
      </c>
      <c r="AC68" t="str">
        <f t="shared" si="30"/>
        <v>Non-compliant</v>
      </c>
      <c r="AD68" t="str">
        <f t="shared" si="31"/>
        <v>Late</v>
      </c>
      <c r="AE68" s="8">
        <f>MIN(Q68,Scenario!$B$2)</f>
        <v>0.2</v>
      </c>
      <c r="AF68" s="33">
        <f>L68*(1+Scenario!$B$3)</f>
        <v>331.02749999999997</v>
      </c>
      <c r="AG68" s="6">
        <f>R68*(1+Scenario!$B$4)</f>
        <v>13.2</v>
      </c>
      <c r="AH68" s="33">
        <f t="shared" si="33"/>
        <v>6366.8351999999995</v>
      </c>
      <c r="AI68" s="33">
        <f t="shared" si="34"/>
        <v>4369.5629999999992</v>
      </c>
      <c r="AJ68" s="33">
        <f t="shared" si="35"/>
        <v>1997.2722000000003</v>
      </c>
    </row>
    <row r="69" spans="1:36" hidden="1" x14ac:dyDescent="0.25">
      <c r="A69" s="12" t="s">
        <v>207</v>
      </c>
      <c r="B69" s="27">
        <v>45214</v>
      </c>
      <c r="C69" s="4">
        <v>45243</v>
      </c>
      <c r="D69" s="12" t="s">
        <v>647</v>
      </c>
      <c r="E69" s="12" t="s">
        <v>659</v>
      </c>
      <c r="F69" s="12" t="s">
        <v>676</v>
      </c>
      <c r="G69" s="12" t="s">
        <v>703</v>
      </c>
      <c r="H69" s="12" t="s">
        <v>710</v>
      </c>
      <c r="I69" s="12" t="s">
        <v>713</v>
      </c>
      <c r="J69" s="12" t="s">
        <v>728</v>
      </c>
      <c r="K69" s="12" t="s">
        <v>927</v>
      </c>
      <c r="L69" s="6">
        <v>986.44</v>
      </c>
      <c r="M69" s="6">
        <v>790.61</v>
      </c>
      <c r="N69" s="6">
        <f t="shared" si="18"/>
        <v>790.61</v>
      </c>
      <c r="O69" s="6" t="str">
        <f t="shared" si="32"/>
        <v>Middle</v>
      </c>
      <c r="P69" s="6">
        <v>7.1999999999999995E-2</v>
      </c>
      <c r="Q69" s="6">
        <f t="shared" si="19"/>
        <v>7.1999999999999995E-2</v>
      </c>
      <c r="R69" s="6">
        <v>6</v>
      </c>
      <c r="S69" s="6" t="str">
        <f t="shared" si="20"/>
        <v>OK</v>
      </c>
      <c r="T69" s="4">
        <f t="shared" si="21"/>
        <v>45243</v>
      </c>
      <c r="U69" s="11">
        <f t="shared" si="22"/>
        <v>29</v>
      </c>
      <c r="V69" s="6">
        <f t="shared" si="23"/>
        <v>4402.1164799999997</v>
      </c>
      <c r="W69" s="6">
        <f t="shared" si="24"/>
        <v>5918.64</v>
      </c>
      <c r="X69" s="6">
        <f t="shared" si="25"/>
        <v>-1516.5235200000006</v>
      </c>
      <c r="Y69" s="6">
        <f t="shared" si="26"/>
        <v>-0.34449872621271499</v>
      </c>
      <c r="Z69" s="4" t="str">
        <f t="shared" si="27"/>
        <v>Q4-2023</v>
      </c>
      <c r="AA69" t="str">
        <f t="shared" si="28"/>
        <v>Printers</v>
      </c>
      <c r="AB69" t="str">
        <f t="shared" si="29"/>
        <v>Printers</v>
      </c>
      <c r="AC69" t="str">
        <f t="shared" si="30"/>
        <v>Compliant</v>
      </c>
      <c r="AD69" t="str">
        <f t="shared" si="31"/>
        <v>Late</v>
      </c>
      <c r="AE69" s="8">
        <f>MIN(Q69,Scenario!$B$2)</f>
        <v>7.1999999999999995E-2</v>
      </c>
      <c r="AF69" s="33">
        <f>L69*(1+Scenario!$B$3)</f>
        <v>1134.4059999999999</v>
      </c>
      <c r="AG69" s="6">
        <f>R69*(1+Scenario!$B$4)</f>
        <v>7.1999999999999993</v>
      </c>
      <c r="AH69" s="33">
        <f t="shared" si="33"/>
        <v>5282.5397760000005</v>
      </c>
      <c r="AI69" s="33">
        <f t="shared" si="34"/>
        <v>8167.7231999999985</v>
      </c>
      <c r="AJ69" s="33">
        <f t="shared" si="35"/>
        <v>-2885.183423999998</v>
      </c>
    </row>
    <row r="70" spans="1:36" hidden="1" x14ac:dyDescent="0.25">
      <c r="A70" s="12" t="s">
        <v>630</v>
      </c>
      <c r="B70" s="27">
        <v>45208</v>
      </c>
      <c r="C70" s="4">
        <v>45210</v>
      </c>
      <c r="D70" s="12" t="s">
        <v>646</v>
      </c>
      <c r="E70" s="12" t="s">
        <v>651</v>
      </c>
      <c r="F70" s="12" t="s">
        <v>663</v>
      </c>
      <c r="G70" s="12" t="s">
        <v>702</v>
      </c>
      <c r="H70" s="12" t="s">
        <v>709</v>
      </c>
      <c r="I70" s="12" t="s">
        <v>723</v>
      </c>
      <c r="J70" s="12" t="s">
        <v>729</v>
      </c>
      <c r="K70" s="12" t="s">
        <v>1348</v>
      </c>
      <c r="L70" s="6">
        <v>391.16</v>
      </c>
      <c r="M70" s="6">
        <v>902.47</v>
      </c>
      <c r="N70" s="6">
        <f t="shared" si="18"/>
        <v>902.47</v>
      </c>
      <c r="O70" s="6" t="str">
        <f t="shared" si="32"/>
        <v>Middle</v>
      </c>
      <c r="P70" s="6">
        <v>4.0000000000000001E-3</v>
      </c>
      <c r="Q70" s="6">
        <f t="shared" si="19"/>
        <v>4.0000000000000001E-3</v>
      </c>
      <c r="R70" s="6">
        <v>12</v>
      </c>
      <c r="S70" s="6" t="str">
        <f t="shared" si="20"/>
        <v>OK</v>
      </c>
      <c r="T70" s="4">
        <f t="shared" si="21"/>
        <v>45210</v>
      </c>
      <c r="U70" s="11">
        <f t="shared" si="22"/>
        <v>2</v>
      </c>
      <c r="V70" s="6">
        <f t="shared" si="23"/>
        <v>10786.32144</v>
      </c>
      <c r="W70" s="6">
        <f t="shared" si="24"/>
        <v>4693.92</v>
      </c>
      <c r="X70" s="6">
        <f t="shared" si="25"/>
        <v>6092.4014399999996</v>
      </c>
      <c r="Y70" s="6">
        <f t="shared" si="26"/>
        <v>0.56482661618139207</v>
      </c>
      <c r="Z70" s="4" t="str">
        <f t="shared" si="27"/>
        <v>Q4-2023</v>
      </c>
      <c r="AA70" t="str">
        <f t="shared" si="28"/>
        <v>Networking</v>
      </c>
      <c r="AB70" t="str">
        <f t="shared" si="29"/>
        <v>Networking</v>
      </c>
      <c r="AC70" t="str">
        <f t="shared" si="30"/>
        <v>Compliant</v>
      </c>
      <c r="AD70" t="str">
        <f t="shared" si="31"/>
        <v>On-time</v>
      </c>
      <c r="AE70" s="8">
        <f>MIN(Q70,Scenario!$B$2)</f>
        <v>4.0000000000000001E-3</v>
      </c>
      <c r="AF70" s="33">
        <f>L70*(1+Scenario!$B$3)</f>
        <v>449.834</v>
      </c>
      <c r="AG70" s="6">
        <f>R70*(1+Scenario!$B$4)</f>
        <v>14.399999999999999</v>
      </c>
      <c r="AH70" s="33">
        <f t="shared" si="33"/>
        <v>12943.585728</v>
      </c>
      <c r="AI70" s="33">
        <f t="shared" si="34"/>
        <v>6477.6095999999998</v>
      </c>
      <c r="AJ70" s="33">
        <f t="shared" si="35"/>
        <v>6465.9761280000002</v>
      </c>
    </row>
    <row r="71" spans="1:36" hidden="1" x14ac:dyDescent="0.25">
      <c r="A71" s="12" t="s">
        <v>449</v>
      </c>
      <c r="B71" s="27">
        <v>45217</v>
      </c>
      <c r="C71" s="4">
        <v>45219</v>
      </c>
      <c r="D71" s="12" t="s">
        <v>646</v>
      </c>
      <c r="E71" s="12" t="s">
        <v>650</v>
      </c>
      <c r="F71" s="12" t="s">
        <v>662</v>
      </c>
      <c r="G71" s="12" t="s">
        <v>704</v>
      </c>
      <c r="H71" s="12" t="s">
        <v>707</v>
      </c>
      <c r="I71" s="12" t="s">
        <v>713</v>
      </c>
      <c r="J71" s="12" t="s">
        <v>730</v>
      </c>
      <c r="K71" s="12" t="s">
        <v>1168</v>
      </c>
      <c r="L71" s="6">
        <v>774.12</v>
      </c>
      <c r="M71" s="6">
        <v>908.3</v>
      </c>
      <c r="N71" s="6">
        <f t="shared" si="18"/>
        <v>908.3</v>
      </c>
      <c r="O71" s="6" t="str">
        <f t="shared" si="32"/>
        <v>Middle</v>
      </c>
      <c r="P71" s="6">
        <v>0</v>
      </c>
      <c r="Q71" s="6">
        <f t="shared" si="19"/>
        <v>0</v>
      </c>
      <c r="R71" s="6">
        <v>30</v>
      </c>
      <c r="S71" s="6" t="str">
        <f t="shared" si="20"/>
        <v>OK</v>
      </c>
      <c r="T71" s="4">
        <f t="shared" si="21"/>
        <v>45219</v>
      </c>
      <c r="U71" s="11">
        <f t="shared" si="22"/>
        <v>2</v>
      </c>
      <c r="V71" s="6">
        <f t="shared" si="23"/>
        <v>27249</v>
      </c>
      <c r="W71" s="6">
        <f t="shared" si="24"/>
        <v>23223.599999999999</v>
      </c>
      <c r="X71" s="6">
        <f t="shared" si="25"/>
        <v>4025.4000000000015</v>
      </c>
      <c r="Y71" s="6">
        <f t="shared" si="26"/>
        <v>0.14772652207420461</v>
      </c>
      <c r="Z71" s="4" t="str">
        <f t="shared" si="27"/>
        <v>Q4-2023</v>
      </c>
      <c r="AA71" t="str">
        <f t="shared" si="28"/>
        <v>Phones</v>
      </c>
      <c r="AB71" t="str">
        <f t="shared" si="29"/>
        <v>Phones</v>
      </c>
      <c r="AC71" t="str">
        <f t="shared" si="30"/>
        <v>Compliant</v>
      </c>
      <c r="AD71" t="str">
        <f t="shared" si="31"/>
        <v>On-time</v>
      </c>
      <c r="AE71" s="8">
        <f>MIN(Q71,Scenario!$B$2)</f>
        <v>0</v>
      </c>
      <c r="AF71" s="33">
        <f>L71*(1+Scenario!$B$3)</f>
        <v>890.23799999999994</v>
      </c>
      <c r="AG71" s="6">
        <f>R71*(1+Scenario!$B$4)</f>
        <v>36</v>
      </c>
      <c r="AH71" s="33">
        <f t="shared" si="33"/>
        <v>32698.799999999999</v>
      </c>
      <c r="AI71" s="33">
        <f t="shared" si="34"/>
        <v>32048.567999999999</v>
      </c>
      <c r="AJ71" s="33">
        <f t="shared" si="35"/>
        <v>650.23199999999997</v>
      </c>
    </row>
    <row r="72" spans="1:36" hidden="1" x14ac:dyDescent="0.25">
      <c r="A72" s="12" t="s">
        <v>512</v>
      </c>
      <c r="B72" s="27">
        <v>45224</v>
      </c>
      <c r="C72" s="4">
        <v>45227</v>
      </c>
      <c r="D72" s="12" t="s">
        <v>648</v>
      </c>
      <c r="E72" s="12" t="s">
        <v>655</v>
      </c>
      <c r="F72" s="12" t="s">
        <v>672</v>
      </c>
      <c r="G72" s="12" t="s">
        <v>701</v>
      </c>
      <c r="H72" s="12" t="s">
        <v>710</v>
      </c>
      <c r="I72" s="12" t="s">
        <v>716</v>
      </c>
      <c r="J72" s="12" t="s">
        <v>733</v>
      </c>
      <c r="K72" s="12" t="s">
        <v>1231</v>
      </c>
      <c r="L72" s="6">
        <v>509.31</v>
      </c>
      <c r="M72" s="6">
        <v>1145.9000000000001</v>
      </c>
      <c r="N72" s="6">
        <f t="shared" si="18"/>
        <v>1145.9000000000001</v>
      </c>
      <c r="O72" s="6" t="str">
        <f t="shared" si="32"/>
        <v>Middle</v>
      </c>
      <c r="P72" s="6">
        <v>5.7000000000000002E-2</v>
      </c>
      <c r="Q72" s="6">
        <f t="shared" si="19"/>
        <v>5.7000000000000002E-2</v>
      </c>
      <c r="R72" s="6">
        <v>8</v>
      </c>
      <c r="S72" s="6" t="str">
        <f t="shared" si="20"/>
        <v>OK</v>
      </c>
      <c r="T72" s="4">
        <f t="shared" si="21"/>
        <v>45227</v>
      </c>
      <c r="U72" s="11">
        <f t="shared" si="22"/>
        <v>3</v>
      </c>
      <c r="V72" s="6">
        <f t="shared" si="23"/>
        <v>8644.6696000000011</v>
      </c>
      <c r="W72" s="6">
        <f t="shared" si="24"/>
        <v>4074.48</v>
      </c>
      <c r="X72" s="6">
        <f t="shared" si="25"/>
        <v>4570.1896000000015</v>
      </c>
      <c r="Y72" s="6">
        <f t="shared" si="26"/>
        <v>0.52867140231709964</v>
      </c>
      <c r="Z72" s="4" t="str">
        <f t="shared" si="27"/>
        <v>Q4-2023</v>
      </c>
      <c r="AA72" t="str">
        <f t="shared" si="28"/>
        <v>Accessories</v>
      </c>
      <c r="AB72" t="str">
        <f t="shared" si="29"/>
        <v>Accessories</v>
      </c>
      <c r="AC72" t="str">
        <f t="shared" si="30"/>
        <v>Compliant</v>
      </c>
      <c r="AD72" t="str">
        <f t="shared" si="31"/>
        <v>On-time</v>
      </c>
      <c r="AE72" s="8">
        <f>MIN(Q72,Scenario!$B$2)</f>
        <v>5.7000000000000002E-2</v>
      </c>
      <c r="AF72" s="33">
        <f>L72*(1+Scenario!$B$3)</f>
        <v>585.70650000000001</v>
      </c>
      <c r="AG72" s="6">
        <f>R72*(1+Scenario!$B$4)</f>
        <v>9.6</v>
      </c>
      <c r="AH72" s="33">
        <f t="shared" si="33"/>
        <v>10373.603520000001</v>
      </c>
      <c r="AI72" s="33">
        <f t="shared" si="34"/>
        <v>5622.7824000000001</v>
      </c>
      <c r="AJ72" s="33">
        <f t="shared" si="35"/>
        <v>4750.8211200000005</v>
      </c>
    </row>
    <row r="73" spans="1:36" hidden="1" x14ac:dyDescent="0.25">
      <c r="A73" s="12" t="s">
        <v>169</v>
      </c>
      <c r="B73" s="27">
        <v>45230</v>
      </c>
      <c r="C73" s="4">
        <v>45232</v>
      </c>
      <c r="D73" s="12" t="s">
        <v>646</v>
      </c>
      <c r="E73" s="12" t="s">
        <v>650</v>
      </c>
      <c r="F73" s="12" t="s">
        <v>662</v>
      </c>
      <c r="G73" s="12" t="s">
        <v>702</v>
      </c>
      <c r="H73" s="12" t="s">
        <v>707</v>
      </c>
      <c r="I73" s="12" t="s">
        <v>719</v>
      </c>
      <c r="J73" s="12" t="s">
        <v>733</v>
      </c>
      <c r="K73" s="12" t="s">
        <v>888</v>
      </c>
      <c r="L73" s="6">
        <v>867.89</v>
      </c>
      <c r="M73" s="6">
        <v>1349.94</v>
      </c>
      <c r="N73" s="6">
        <f t="shared" si="18"/>
        <v>1349.94</v>
      </c>
      <c r="O73" s="6" t="str">
        <f t="shared" si="32"/>
        <v>High</v>
      </c>
      <c r="P73" s="6">
        <v>0.184</v>
      </c>
      <c r="Q73" s="6">
        <f t="shared" si="19"/>
        <v>0.184</v>
      </c>
      <c r="R73" s="6">
        <v>10</v>
      </c>
      <c r="S73" s="6" t="str">
        <f t="shared" si="20"/>
        <v>OK</v>
      </c>
      <c r="T73" s="4">
        <f t="shared" si="21"/>
        <v>45232</v>
      </c>
      <c r="U73" s="11">
        <f t="shared" si="22"/>
        <v>2</v>
      </c>
      <c r="V73" s="6">
        <f t="shared" si="23"/>
        <v>11015.510400000003</v>
      </c>
      <c r="W73" s="6">
        <f t="shared" si="24"/>
        <v>8678.9</v>
      </c>
      <c r="X73" s="6">
        <f t="shared" si="25"/>
        <v>2336.6104000000032</v>
      </c>
      <c r="Y73" s="6">
        <f t="shared" si="26"/>
        <v>0.21212003031652557</v>
      </c>
      <c r="Z73" s="4" t="str">
        <f t="shared" si="27"/>
        <v>Q4-2023</v>
      </c>
      <c r="AA73" t="str">
        <f t="shared" si="28"/>
        <v>Accessories</v>
      </c>
      <c r="AB73" t="str">
        <f t="shared" si="29"/>
        <v>Accessories</v>
      </c>
      <c r="AC73" t="str">
        <f t="shared" si="30"/>
        <v>Compliant</v>
      </c>
      <c r="AD73" t="str">
        <f t="shared" si="31"/>
        <v>On-time</v>
      </c>
      <c r="AE73" s="8">
        <f>MIN(Q73,Scenario!$B$2)</f>
        <v>0.184</v>
      </c>
      <c r="AF73" s="33">
        <f>L73*(1+Scenario!$B$3)</f>
        <v>998.07349999999985</v>
      </c>
      <c r="AG73" s="6">
        <f>R73*(1+Scenario!$B$4)</f>
        <v>12</v>
      </c>
      <c r="AH73" s="33">
        <f t="shared" si="33"/>
        <v>13218.612480000002</v>
      </c>
      <c r="AI73" s="33">
        <f t="shared" si="34"/>
        <v>11976.881999999998</v>
      </c>
      <c r="AJ73" s="33">
        <f t="shared" si="35"/>
        <v>1241.7304800000038</v>
      </c>
    </row>
    <row r="74" spans="1:36" hidden="1" x14ac:dyDescent="0.25">
      <c r="A74" s="12" t="s">
        <v>315</v>
      </c>
      <c r="B74" s="27">
        <v>45204</v>
      </c>
      <c r="C74" s="4">
        <v>45230</v>
      </c>
      <c r="D74" s="12" t="s">
        <v>647</v>
      </c>
      <c r="E74" s="12" t="s">
        <v>659</v>
      </c>
      <c r="F74" s="12" t="s">
        <v>685</v>
      </c>
      <c r="G74" s="12" t="s">
        <v>704</v>
      </c>
      <c r="H74" s="14" t="s">
        <v>1379</v>
      </c>
      <c r="I74" s="12" t="s">
        <v>713</v>
      </c>
      <c r="J74" s="12" t="s">
        <v>728</v>
      </c>
      <c r="K74" s="12" t="s">
        <v>1035</v>
      </c>
      <c r="L74" s="6">
        <v>649.91</v>
      </c>
      <c r="M74" s="6">
        <v>1360.12</v>
      </c>
      <c r="N74" s="6">
        <f t="shared" si="18"/>
        <v>1360.12</v>
      </c>
      <c r="O74" s="6" t="str">
        <f t="shared" si="32"/>
        <v>High</v>
      </c>
      <c r="P74" s="6">
        <v>0.19400000000000001</v>
      </c>
      <c r="Q74" s="6">
        <f t="shared" si="19"/>
        <v>0.19400000000000001</v>
      </c>
      <c r="R74" s="6">
        <v>9</v>
      </c>
      <c r="S74" s="6" t="str">
        <f t="shared" si="20"/>
        <v>OK</v>
      </c>
      <c r="T74" s="4">
        <f t="shared" si="21"/>
        <v>45230</v>
      </c>
      <c r="U74" s="11">
        <f t="shared" si="22"/>
        <v>26</v>
      </c>
      <c r="V74" s="6">
        <f t="shared" si="23"/>
        <v>9866.3104799999983</v>
      </c>
      <c r="W74" s="6">
        <f t="shared" si="24"/>
        <v>5849.19</v>
      </c>
      <c r="X74" s="6">
        <f t="shared" si="25"/>
        <v>4017.1204799999987</v>
      </c>
      <c r="Y74" s="6">
        <f t="shared" si="26"/>
        <v>0.40715528749506769</v>
      </c>
      <c r="Z74" s="4" t="str">
        <f t="shared" si="27"/>
        <v>Q4-2023</v>
      </c>
      <c r="AA74" t="str">
        <f t="shared" si="28"/>
        <v>Printers</v>
      </c>
      <c r="AB74" t="str">
        <f t="shared" si="29"/>
        <v>Printers</v>
      </c>
      <c r="AC74" t="str">
        <f t="shared" si="30"/>
        <v>Compliant</v>
      </c>
      <c r="AD74" t="str">
        <f t="shared" si="31"/>
        <v>Late</v>
      </c>
      <c r="AE74" s="8">
        <f>MIN(Q74,Scenario!$B$2)</f>
        <v>0.19400000000000001</v>
      </c>
      <c r="AF74" s="33">
        <f>L74*(1+Scenario!$B$3)</f>
        <v>747.39649999999995</v>
      </c>
      <c r="AG74" s="6">
        <f>R74*(1+Scenario!$B$4)</f>
        <v>10.799999999999999</v>
      </c>
      <c r="AH74" s="33">
        <f t="shared" si="33"/>
        <v>11839.572575999999</v>
      </c>
      <c r="AI74" s="33">
        <f t="shared" si="34"/>
        <v>8071.8821999999982</v>
      </c>
      <c r="AJ74" s="33">
        <f t="shared" si="35"/>
        <v>3767.6903760000005</v>
      </c>
    </row>
    <row r="75" spans="1:36" hidden="1" x14ac:dyDescent="0.25">
      <c r="A75" s="12" t="s">
        <v>183</v>
      </c>
      <c r="B75" s="27">
        <v>45206</v>
      </c>
      <c r="C75" s="4">
        <v>45222</v>
      </c>
      <c r="D75" s="12" t="s">
        <v>647</v>
      </c>
      <c r="E75" s="12" t="s">
        <v>654</v>
      </c>
      <c r="F75" s="12" t="s">
        <v>696</v>
      </c>
      <c r="G75" s="12" t="s">
        <v>704</v>
      </c>
      <c r="H75" s="12" t="s">
        <v>707</v>
      </c>
      <c r="I75" s="12" t="s">
        <v>715</v>
      </c>
      <c r="J75" s="12" t="s">
        <v>732</v>
      </c>
      <c r="K75" s="12" t="s">
        <v>902</v>
      </c>
      <c r="L75" s="6">
        <v>906.81</v>
      </c>
      <c r="M75" s="6">
        <v>1395.56</v>
      </c>
      <c r="N75" s="6">
        <f t="shared" si="18"/>
        <v>1395.56</v>
      </c>
      <c r="O75" s="6" t="str">
        <f t="shared" si="32"/>
        <v>High</v>
      </c>
      <c r="P75" s="6">
        <v>0.185</v>
      </c>
      <c r="Q75" s="6">
        <f t="shared" si="19"/>
        <v>0.185</v>
      </c>
      <c r="R75" s="6">
        <v>6</v>
      </c>
      <c r="S75" s="6" t="str">
        <f t="shared" si="20"/>
        <v>OK</v>
      </c>
      <c r="T75" s="4">
        <f t="shared" si="21"/>
        <v>45222</v>
      </c>
      <c r="U75" s="11">
        <f t="shared" si="22"/>
        <v>16</v>
      </c>
      <c r="V75" s="6">
        <f t="shared" si="23"/>
        <v>6824.2884000000004</v>
      </c>
      <c r="W75" s="6">
        <f t="shared" si="24"/>
        <v>5440.86</v>
      </c>
      <c r="X75" s="6">
        <f t="shared" si="25"/>
        <v>1383.4284000000007</v>
      </c>
      <c r="Y75" s="6">
        <f t="shared" si="26"/>
        <v>0.20272126834498974</v>
      </c>
      <c r="Z75" s="4" t="str">
        <f t="shared" si="27"/>
        <v>Q4-2023</v>
      </c>
      <c r="AA75" t="str">
        <f t="shared" si="28"/>
        <v>Monitors</v>
      </c>
      <c r="AB75" t="str">
        <f t="shared" si="29"/>
        <v>Monitors</v>
      </c>
      <c r="AC75" t="str">
        <f t="shared" si="30"/>
        <v>Compliant</v>
      </c>
      <c r="AD75" t="str">
        <f t="shared" si="31"/>
        <v>Late</v>
      </c>
      <c r="AE75" s="8">
        <f>MIN(Q75,Scenario!$B$2)</f>
        <v>0.185</v>
      </c>
      <c r="AF75" s="33">
        <f>L75*(1+Scenario!$B$3)</f>
        <v>1042.8314999999998</v>
      </c>
      <c r="AG75" s="6">
        <f>R75*(1+Scenario!$B$4)</f>
        <v>7.1999999999999993</v>
      </c>
      <c r="AH75" s="33">
        <f t="shared" si="33"/>
        <v>8189.1460799999986</v>
      </c>
      <c r="AI75" s="33">
        <f t="shared" si="34"/>
        <v>7508.3867999999975</v>
      </c>
      <c r="AJ75" s="33">
        <f t="shared" si="35"/>
        <v>680.75928000000113</v>
      </c>
    </row>
    <row r="76" spans="1:36" hidden="1" x14ac:dyDescent="0.25">
      <c r="A76" s="12" t="s">
        <v>241</v>
      </c>
      <c r="B76" s="27">
        <v>45203</v>
      </c>
      <c r="C76" s="4">
        <v>45228</v>
      </c>
      <c r="D76" s="12" t="s">
        <v>648</v>
      </c>
      <c r="E76" s="12" t="s">
        <v>660</v>
      </c>
      <c r="F76" s="12" t="s">
        <v>686</v>
      </c>
      <c r="G76" s="12" t="s">
        <v>705</v>
      </c>
      <c r="H76" s="12" t="s">
        <v>710</v>
      </c>
      <c r="I76" s="12" t="s">
        <v>719</v>
      </c>
      <c r="J76" s="12" t="s">
        <v>733</v>
      </c>
      <c r="K76" s="12" t="s">
        <v>961</v>
      </c>
      <c r="L76" s="6">
        <v>1239.8399999999999</v>
      </c>
      <c r="M76" s="6">
        <v>1482.75</v>
      </c>
      <c r="N76" s="6">
        <f t="shared" si="18"/>
        <v>1482.75</v>
      </c>
      <c r="O76" s="6" t="str">
        <f t="shared" si="32"/>
        <v>High</v>
      </c>
      <c r="P76" s="6">
        <v>6.7000000000000004E-2</v>
      </c>
      <c r="Q76" s="6">
        <f t="shared" si="19"/>
        <v>6.7000000000000004E-2</v>
      </c>
      <c r="R76" s="6">
        <v>4</v>
      </c>
      <c r="S76" s="6" t="str">
        <f t="shared" si="20"/>
        <v>OK</v>
      </c>
      <c r="T76" s="4">
        <f t="shared" si="21"/>
        <v>45228</v>
      </c>
      <c r="U76" s="11">
        <f t="shared" si="22"/>
        <v>25</v>
      </c>
      <c r="V76" s="6">
        <f t="shared" si="23"/>
        <v>5533.6230000000005</v>
      </c>
      <c r="W76" s="6">
        <f t="shared" si="24"/>
        <v>4959.3599999999997</v>
      </c>
      <c r="X76" s="6">
        <f t="shared" si="25"/>
        <v>574.26300000000083</v>
      </c>
      <c r="Y76" s="6">
        <f t="shared" si="26"/>
        <v>0.10377703721413634</v>
      </c>
      <c r="Z76" s="4" t="str">
        <f t="shared" si="27"/>
        <v>Q4-2023</v>
      </c>
      <c r="AA76" t="str">
        <f t="shared" si="28"/>
        <v>Accessories</v>
      </c>
      <c r="AB76" t="str">
        <f t="shared" si="29"/>
        <v>Accessories</v>
      </c>
      <c r="AC76" t="str">
        <f t="shared" si="30"/>
        <v>Compliant</v>
      </c>
      <c r="AD76" t="str">
        <f t="shared" si="31"/>
        <v>Late</v>
      </c>
      <c r="AE76" s="8">
        <f>MIN(Q76,Scenario!$B$2)</f>
        <v>6.7000000000000004E-2</v>
      </c>
      <c r="AF76" s="33">
        <f>L76*(1+Scenario!$B$3)</f>
        <v>1425.8159999999998</v>
      </c>
      <c r="AG76" s="6">
        <f>R76*(1+Scenario!$B$4)</f>
        <v>4.8</v>
      </c>
      <c r="AH76" s="33">
        <f t="shared" si="33"/>
        <v>6640.3476000000001</v>
      </c>
      <c r="AI76" s="33">
        <f t="shared" si="34"/>
        <v>6843.9167999999991</v>
      </c>
      <c r="AJ76" s="33">
        <f t="shared" si="35"/>
        <v>-203.569199999999</v>
      </c>
    </row>
    <row r="77" spans="1:36" hidden="1" x14ac:dyDescent="0.25">
      <c r="A77" s="12" t="s">
        <v>434</v>
      </c>
      <c r="B77" s="27">
        <v>45211</v>
      </c>
      <c r="C77" s="4">
        <v>45228</v>
      </c>
      <c r="D77" s="12" t="s">
        <v>647</v>
      </c>
      <c r="E77" s="12" t="s">
        <v>652</v>
      </c>
      <c r="F77" s="12" t="s">
        <v>694</v>
      </c>
      <c r="G77" s="12" t="s">
        <v>703</v>
      </c>
      <c r="H77" s="12" t="s">
        <v>711</v>
      </c>
      <c r="I77" s="12" t="s">
        <v>722</v>
      </c>
      <c r="J77" s="12" t="s">
        <v>730</v>
      </c>
      <c r="K77" s="12" t="s">
        <v>1153</v>
      </c>
      <c r="L77" s="6">
        <v>1102.19</v>
      </c>
      <c r="M77" s="6">
        <v>1711.16</v>
      </c>
      <c r="N77" s="6">
        <f t="shared" si="18"/>
        <v>1711.16</v>
      </c>
      <c r="O77" s="6" t="str">
        <f t="shared" si="32"/>
        <v>High</v>
      </c>
      <c r="P77" s="6">
        <v>0.151</v>
      </c>
      <c r="Q77" s="6">
        <f t="shared" si="19"/>
        <v>0.151</v>
      </c>
      <c r="R77" s="6">
        <v>10</v>
      </c>
      <c r="S77" s="6" t="str">
        <f t="shared" si="20"/>
        <v>OK</v>
      </c>
      <c r="T77" s="4">
        <f t="shared" si="21"/>
        <v>45228</v>
      </c>
      <c r="U77" s="11">
        <f t="shared" si="22"/>
        <v>17</v>
      </c>
      <c r="V77" s="6">
        <f t="shared" si="23"/>
        <v>14527.748400000002</v>
      </c>
      <c r="W77" s="6">
        <f t="shared" si="24"/>
        <v>11021.900000000001</v>
      </c>
      <c r="X77" s="6">
        <f t="shared" si="25"/>
        <v>3505.8484000000008</v>
      </c>
      <c r="Y77" s="6">
        <f t="shared" si="26"/>
        <v>0.24132083675127525</v>
      </c>
      <c r="Z77" s="4" t="str">
        <f t="shared" si="27"/>
        <v>Q4-2023</v>
      </c>
      <c r="AA77" t="str">
        <f t="shared" si="28"/>
        <v>Phones</v>
      </c>
      <c r="AB77" t="str">
        <f t="shared" si="29"/>
        <v>Phones</v>
      </c>
      <c r="AC77" t="str">
        <f t="shared" si="30"/>
        <v>Compliant</v>
      </c>
      <c r="AD77" t="str">
        <f t="shared" si="31"/>
        <v>Late</v>
      </c>
      <c r="AE77" s="8">
        <f>MIN(Q77,Scenario!$B$2)</f>
        <v>0.151</v>
      </c>
      <c r="AF77" s="33">
        <f>L77*(1+Scenario!$B$3)</f>
        <v>1267.5184999999999</v>
      </c>
      <c r="AG77" s="6">
        <f>R77*(1+Scenario!$B$4)</f>
        <v>12</v>
      </c>
      <c r="AH77" s="33">
        <f t="shared" si="33"/>
        <v>17433.29808</v>
      </c>
      <c r="AI77" s="33">
        <f t="shared" si="34"/>
        <v>15210.221999999998</v>
      </c>
      <c r="AJ77" s="33">
        <f t="shared" si="35"/>
        <v>2223.0760800000025</v>
      </c>
    </row>
    <row r="78" spans="1:36" hidden="1" x14ac:dyDescent="0.25">
      <c r="A78" s="12" t="s">
        <v>293</v>
      </c>
      <c r="B78" s="27">
        <v>45229</v>
      </c>
      <c r="C78" s="4">
        <v>45244</v>
      </c>
      <c r="D78" s="12" t="s">
        <v>647</v>
      </c>
      <c r="E78" s="12" t="s">
        <v>654</v>
      </c>
      <c r="F78" s="12" t="s">
        <v>668</v>
      </c>
      <c r="G78" s="12" t="s">
        <v>701</v>
      </c>
      <c r="H78" s="12" t="s">
        <v>708</v>
      </c>
      <c r="I78" s="12" t="s">
        <v>721</v>
      </c>
      <c r="J78" s="12" t="s">
        <v>731</v>
      </c>
      <c r="K78" s="12" t="s">
        <v>1013</v>
      </c>
      <c r="L78" s="6">
        <v>953.46</v>
      </c>
      <c r="M78" s="6">
        <v>2066.75</v>
      </c>
      <c r="N78" s="6">
        <f t="shared" si="18"/>
        <v>2066.75</v>
      </c>
      <c r="O78" s="6" t="str">
        <f t="shared" si="32"/>
        <v>High</v>
      </c>
      <c r="P78" s="6">
        <v>0.13800000000000001</v>
      </c>
      <c r="Q78" s="6">
        <f t="shared" si="19"/>
        <v>0.13800000000000001</v>
      </c>
      <c r="R78" s="6">
        <v>5</v>
      </c>
      <c r="S78" s="6" t="str">
        <f t="shared" si="20"/>
        <v>OK</v>
      </c>
      <c r="T78" s="4">
        <f t="shared" si="21"/>
        <v>45244</v>
      </c>
      <c r="U78" s="11">
        <f t="shared" si="22"/>
        <v>15</v>
      </c>
      <c r="V78" s="6">
        <f t="shared" si="23"/>
        <v>8907.6924999999992</v>
      </c>
      <c r="W78" s="6">
        <f t="shared" si="24"/>
        <v>4767.3</v>
      </c>
      <c r="X78" s="6">
        <f t="shared" si="25"/>
        <v>4140.392499999999</v>
      </c>
      <c r="Y78" s="6">
        <f t="shared" si="26"/>
        <v>0.46481089238318446</v>
      </c>
      <c r="Z78" s="4" t="str">
        <f t="shared" si="27"/>
        <v>Q4-2023</v>
      </c>
      <c r="AA78" t="str">
        <f t="shared" si="28"/>
        <v>Laptops</v>
      </c>
      <c r="AB78" t="str">
        <f t="shared" si="29"/>
        <v>Laptops</v>
      </c>
      <c r="AC78" t="str">
        <f t="shared" si="30"/>
        <v>Compliant</v>
      </c>
      <c r="AD78" t="str">
        <f t="shared" si="31"/>
        <v>Late</v>
      </c>
      <c r="AE78" s="8">
        <f>MIN(Q78,Scenario!$B$2)</f>
        <v>0.13800000000000001</v>
      </c>
      <c r="AF78" s="33">
        <f>L78*(1+Scenario!$B$3)</f>
        <v>1096.479</v>
      </c>
      <c r="AG78" s="6">
        <f>R78*(1+Scenario!$B$4)</f>
        <v>6</v>
      </c>
      <c r="AH78" s="33">
        <f t="shared" si="33"/>
        <v>10689.231</v>
      </c>
      <c r="AI78" s="33">
        <f t="shared" si="34"/>
        <v>6578.8739999999998</v>
      </c>
      <c r="AJ78" s="33">
        <f t="shared" si="35"/>
        <v>4110.357</v>
      </c>
    </row>
    <row r="79" spans="1:36" x14ac:dyDescent="0.25">
      <c r="A79" s="12" t="s">
        <v>306</v>
      </c>
      <c r="B79" s="27">
        <v>45220</v>
      </c>
      <c r="C79" s="4">
        <v>45239</v>
      </c>
      <c r="D79" s="12" t="s">
        <v>649</v>
      </c>
      <c r="E79" s="12" t="s">
        <v>658</v>
      </c>
      <c r="F79" s="12" t="s">
        <v>683</v>
      </c>
      <c r="G79" s="12" t="s">
        <v>703</v>
      </c>
      <c r="H79" s="12" t="s">
        <v>711</v>
      </c>
      <c r="I79" s="12" t="s">
        <v>720</v>
      </c>
      <c r="J79" s="12" t="s">
        <v>733</v>
      </c>
      <c r="K79" s="12" t="s">
        <v>1026</v>
      </c>
      <c r="L79" s="6">
        <v>1142.48</v>
      </c>
      <c r="M79" s="6">
        <v>2105.5300000000002</v>
      </c>
      <c r="N79" s="6">
        <f t="shared" si="18"/>
        <v>2105.5300000000002</v>
      </c>
      <c r="O79" s="6" t="str">
        <f t="shared" si="32"/>
        <v>High</v>
      </c>
      <c r="P79" s="6">
        <v>0.20699999999999999</v>
      </c>
      <c r="Q79" s="6">
        <f t="shared" si="19"/>
        <v>0.20699999999999999</v>
      </c>
      <c r="R79" s="6">
        <v>14</v>
      </c>
      <c r="S79" s="6" t="str">
        <f t="shared" si="20"/>
        <v>OK</v>
      </c>
      <c r="T79" s="4">
        <f t="shared" si="21"/>
        <v>45239</v>
      </c>
      <c r="U79" s="11">
        <f t="shared" si="22"/>
        <v>19</v>
      </c>
      <c r="V79" s="6">
        <f t="shared" si="23"/>
        <v>23375.594060000003</v>
      </c>
      <c r="W79" s="6">
        <f t="shared" si="24"/>
        <v>15994.720000000001</v>
      </c>
      <c r="X79" s="6">
        <f t="shared" si="25"/>
        <v>7380.8740600000019</v>
      </c>
      <c r="Y79" s="6">
        <f t="shared" si="26"/>
        <v>0.31575129346680658</v>
      </c>
      <c r="Z79" s="4" t="str">
        <f t="shared" si="27"/>
        <v>Q4-2023</v>
      </c>
      <c r="AA79" t="str">
        <f t="shared" si="28"/>
        <v>Accessories</v>
      </c>
      <c r="AB79" t="str">
        <f t="shared" si="29"/>
        <v>Accessories</v>
      </c>
      <c r="AC79" t="str">
        <f t="shared" si="30"/>
        <v>Non-compliant</v>
      </c>
      <c r="AD79" t="str">
        <f t="shared" si="31"/>
        <v>Late</v>
      </c>
      <c r="AE79" s="8">
        <f>MIN(Q79,Scenario!$B$2)</f>
        <v>0.2</v>
      </c>
      <c r="AF79" s="33">
        <f>L79*(1+Scenario!$B$3)</f>
        <v>1313.8519999999999</v>
      </c>
      <c r="AG79" s="6">
        <f>R79*(1+Scenario!$B$4)</f>
        <v>16.8</v>
      </c>
      <c r="AH79" s="33">
        <f t="shared" si="33"/>
        <v>28298.323200000003</v>
      </c>
      <c r="AI79" s="33">
        <f t="shared" si="34"/>
        <v>22072.713599999999</v>
      </c>
      <c r="AJ79" s="33">
        <f t="shared" si="35"/>
        <v>6225.6096000000034</v>
      </c>
    </row>
    <row r="80" spans="1:36" hidden="1" x14ac:dyDescent="0.25">
      <c r="A80" s="12" t="s">
        <v>406</v>
      </c>
      <c r="B80" s="27">
        <v>45208</v>
      </c>
      <c r="C80" s="4">
        <v>45225</v>
      </c>
      <c r="D80" s="12" t="s">
        <v>647</v>
      </c>
      <c r="E80" s="12" t="s">
        <v>659</v>
      </c>
      <c r="F80" s="12" t="s">
        <v>685</v>
      </c>
      <c r="G80" s="12" t="s">
        <v>704</v>
      </c>
      <c r="H80" s="12" t="s">
        <v>709</v>
      </c>
      <c r="I80" s="12" t="s">
        <v>712</v>
      </c>
      <c r="J80" s="12" t="s">
        <v>727</v>
      </c>
      <c r="K80" s="12" t="s">
        <v>1125</v>
      </c>
      <c r="L80" s="6">
        <v>1132.03</v>
      </c>
      <c r="M80" s="6">
        <v>2137.21</v>
      </c>
      <c r="N80" s="6">
        <f t="shared" si="18"/>
        <v>2137.21</v>
      </c>
      <c r="O80" s="6" t="str">
        <f t="shared" si="32"/>
        <v>High</v>
      </c>
      <c r="P80" s="6">
        <v>0.35699999999999998</v>
      </c>
      <c r="Q80" s="6">
        <f t="shared" si="19"/>
        <v>0.3</v>
      </c>
      <c r="R80" s="6">
        <v>35</v>
      </c>
      <c r="S80" s="6" t="str">
        <f t="shared" si="20"/>
        <v>OK</v>
      </c>
      <c r="T80" s="4">
        <f t="shared" si="21"/>
        <v>45225</v>
      </c>
      <c r="U80" s="11">
        <f t="shared" si="22"/>
        <v>17</v>
      </c>
      <c r="V80" s="6">
        <f t="shared" si="23"/>
        <v>52361.645000000004</v>
      </c>
      <c r="W80" s="6">
        <f t="shared" si="24"/>
        <v>39621.049999999996</v>
      </c>
      <c r="X80" s="6">
        <f t="shared" si="25"/>
        <v>12740.595000000008</v>
      </c>
      <c r="Y80" s="6">
        <f t="shared" si="26"/>
        <v>0.24331922727026639</v>
      </c>
      <c r="Z80" s="4" t="str">
        <f t="shared" si="27"/>
        <v>Q4-2023</v>
      </c>
      <c r="AA80" t="str">
        <f t="shared" si="28"/>
        <v>Components</v>
      </c>
      <c r="AB80" t="str">
        <f t="shared" si="29"/>
        <v>Components</v>
      </c>
      <c r="AC80" t="str">
        <f t="shared" si="30"/>
        <v>Non-compliant</v>
      </c>
      <c r="AD80" t="str">
        <f t="shared" si="31"/>
        <v>Late</v>
      </c>
      <c r="AE80" s="8">
        <f>MIN(Q80,Scenario!$B$2)</f>
        <v>0.2</v>
      </c>
      <c r="AF80" s="33">
        <f>L80*(1+Scenario!$B$3)</f>
        <v>1301.8344999999999</v>
      </c>
      <c r="AG80" s="6">
        <f>R80*(1+Scenario!$B$4)</f>
        <v>42</v>
      </c>
      <c r="AH80" s="33">
        <f t="shared" si="33"/>
        <v>71810.256000000008</v>
      </c>
      <c r="AI80" s="33">
        <f t="shared" si="34"/>
        <v>54677.048999999999</v>
      </c>
      <c r="AJ80" s="33">
        <f t="shared" si="35"/>
        <v>17133.207000000009</v>
      </c>
    </row>
    <row r="81" spans="1:36" hidden="1" x14ac:dyDescent="0.25">
      <c r="A81" s="12" t="s">
        <v>270</v>
      </c>
      <c r="B81" s="27">
        <v>45204</v>
      </c>
      <c r="C81" s="4">
        <v>45205</v>
      </c>
      <c r="D81" s="12" t="s">
        <v>647</v>
      </c>
      <c r="E81" s="12" t="s">
        <v>654</v>
      </c>
      <c r="F81" s="12" t="s">
        <v>668</v>
      </c>
      <c r="G81" s="12" t="s">
        <v>703</v>
      </c>
      <c r="H81" s="12" t="s">
        <v>708</v>
      </c>
      <c r="I81" s="12" t="s">
        <v>714</v>
      </c>
      <c r="J81" s="12" t="s">
        <v>727</v>
      </c>
      <c r="K81" s="12" t="s">
        <v>990</v>
      </c>
      <c r="L81" s="6">
        <v>1470.26</v>
      </c>
      <c r="M81" s="6">
        <v>2562.5500000000002</v>
      </c>
      <c r="N81" s="6">
        <f t="shared" si="18"/>
        <v>2562.5500000000002</v>
      </c>
      <c r="O81" s="6" t="str">
        <f t="shared" si="32"/>
        <v>High</v>
      </c>
      <c r="P81" s="6">
        <v>0.17299999999999999</v>
      </c>
      <c r="Q81" s="6">
        <f t="shared" si="19"/>
        <v>0.17299999999999999</v>
      </c>
      <c r="R81" s="6">
        <v>9</v>
      </c>
      <c r="S81" s="6" t="str">
        <f t="shared" si="20"/>
        <v>OK</v>
      </c>
      <c r="T81" s="4">
        <f t="shared" si="21"/>
        <v>45205</v>
      </c>
      <c r="U81" s="11">
        <f t="shared" si="22"/>
        <v>1</v>
      </c>
      <c r="V81" s="6">
        <f t="shared" si="23"/>
        <v>19073.059649999999</v>
      </c>
      <c r="W81" s="6">
        <f t="shared" si="24"/>
        <v>13232.34</v>
      </c>
      <c r="X81" s="6">
        <f t="shared" si="25"/>
        <v>5840.7196499999991</v>
      </c>
      <c r="Y81" s="6">
        <f t="shared" si="26"/>
        <v>0.30622877279157462</v>
      </c>
      <c r="Z81" s="4" t="str">
        <f t="shared" si="27"/>
        <v>Q4-2023</v>
      </c>
      <c r="AA81" t="str">
        <f t="shared" si="28"/>
        <v>Components</v>
      </c>
      <c r="AB81" t="str">
        <f t="shared" si="29"/>
        <v>Components</v>
      </c>
      <c r="AC81" t="str">
        <f t="shared" si="30"/>
        <v>Compliant</v>
      </c>
      <c r="AD81" t="str">
        <f t="shared" si="31"/>
        <v>On-time</v>
      </c>
      <c r="AE81" s="8">
        <f>MIN(Q81,Scenario!$B$2)</f>
        <v>0.17299999999999999</v>
      </c>
      <c r="AF81" s="33">
        <f>L81*(1+Scenario!$B$3)</f>
        <v>1690.7989999999998</v>
      </c>
      <c r="AG81" s="6">
        <f>R81*(1+Scenario!$B$4)</f>
        <v>10.799999999999999</v>
      </c>
      <c r="AH81" s="33">
        <f t="shared" si="33"/>
        <v>22887.671579999998</v>
      </c>
      <c r="AI81" s="33">
        <f t="shared" si="34"/>
        <v>18260.629199999996</v>
      </c>
      <c r="AJ81" s="33">
        <f t="shared" si="35"/>
        <v>4627.0423800000026</v>
      </c>
    </row>
    <row r="82" spans="1:36" hidden="1" x14ac:dyDescent="0.25">
      <c r="A82" s="12" t="s">
        <v>343</v>
      </c>
      <c r="B82" s="27">
        <v>45221</v>
      </c>
      <c r="C82" s="4">
        <v>45246</v>
      </c>
      <c r="D82" s="12" t="s">
        <v>648</v>
      </c>
      <c r="E82" s="12" t="s">
        <v>653</v>
      </c>
      <c r="F82" s="12" t="s">
        <v>667</v>
      </c>
      <c r="G82" s="12" t="s">
        <v>705</v>
      </c>
      <c r="H82" s="12" t="s">
        <v>709</v>
      </c>
      <c r="I82" s="12" t="s">
        <v>714</v>
      </c>
      <c r="J82" s="12" t="s">
        <v>731</v>
      </c>
      <c r="K82" s="12" t="s">
        <v>1063</v>
      </c>
      <c r="L82" s="6">
        <v>1373.31</v>
      </c>
      <c r="M82" s="6">
        <v>3154.14</v>
      </c>
      <c r="N82" s="6">
        <f t="shared" si="18"/>
        <v>3154.14</v>
      </c>
      <c r="O82" s="6" t="str">
        <f t="shared" si="32"/>
        <v>High</v>
      </c>
      <c r="P82" s="6">
        <v>0.2</v>
      </c>
      <c r="Q82" s="6">
        <f t="shared" si="19"/>
        <v>0.2</v>
      </c>
      <c r="R82" s="6">
        <v>11</v>
      </c>
      <c r="S82" s="6" t="str">
        <f t="shared" si="20"/>
        <v>OK</v>
      </c>
      <c r="T82" s="4">
        <f t="shared" si="21"/>
        <v>45246</v>
      </c>
      <c r="U82" s="11">
        <f t="shared" si="22"/>
        <v>25</v>
      </c>
      <c r="V82" s="6">
        <f t="shared" si="23"/>
        <v>27756.432000000001</v>
      </c>
      <c r="W82" s="6">
        <f t="shared" si="24"/>
        <v>15106.41</v>
      </c>
      <c r="X82" s="6">
        <f t="shared" si="25"/>
        <v>12650.022000000001</v>
      </c>
      <c r="Y82" s="6">
        <f t="shared" si="26"/>
        <v>0.45575101295440279</v>
      </c>
      <c r="Z82" s="4" t="str">
        <f t="shared" si="27"/>
        <v>Q4-2023</v>
      </c>
      <c r="AA82" t="str">
        <f t="shared" si="28"/>
        <v>Laptops</v>
      </c>
      <c r="AB82" t="str">
        <f t="shared" si="29"/>
        <v>Laptops</v>
      </c>
      <c r="AC82" t="str">
        <f t="shared" si="30"/>
        <v>Compliant</v>
      </c>
      <c r="AD82" t="str">
        <f t="shared" si="31"/>
        <v>Late</v>
      </c>
      <c r="AE82" s="8">
        <f>MIN(Q82,Scenario!$B$2)</f>
        <v>0.2</v>
      </c>
      <c r="AF82" s="33">
        <f>L82*(1+Scenario!$B$3)</f>
        <v>1579.3064999999999</v>
      </c>
      <c r="AG82" s="6">
        <f>R82*(1+Scenario!$B$4)</f>
        <v>13.2</v>
      </c>
      <c r="AH82" s="33">
        <f t="shared" si="33"/>
        <v>33307.718399999998</v>
      </c>
      <c r="AI82" s="33">
        <f t="shared" si="34"/>
        <v>20846.845799999999</v>
      </c>
      <c r="AJ82" s="33">
        <f t="shared" si="35"/>
        <v>12460.872599999999</v>
      </c>
    </row>
    <row r="83" spans="1:36" hidden="1" x14ac:dyDescent="0.25">
      <c r="A83" s="12" t="s">
        <v>368</v>
      </c>
      <c r="B83" s="27">
        <v>45603</v>
      </c>
      <c r="C83" s="4">
        <v>45622</v>
      </c>
      <c r="D83" s="12" t="s">
        <v>648</v>
      </c>
      <c r="E83" s="12" t="s">
        <v>655</v>
      </c>
      <c r="F83" s="12" t="s">
        <v>692</v>
      </c>
      <c r="G83" s="12" t="s">
        <v>703</v>
      </c>
      <c r="H83" s="12" t="s">
        <v>710</v>
      </c>
      <c r="I83" s="12" t="s">
        <v>713</v>
      </c>
      <c r="J83" s="12" t="s">
        <v>728</v>
      </c>
      <c r="K83" s="12" t="s">
        <v>1088</v>
      </c>
      <c r="L83" s="6">
        <v>55.35</v>
      </c>
      <c r="M83" s="6">
        <v>128.68</v>
      </c>
      <c r="N83" s="6">
        <f t="shared" si="18"/>
        <v>128.68</v>
      </c>
      <c r="O83" s="6" t="str">
        <f t="shared" si="32"/>
        <v>Low</v>
      </c>
      <c r="P83" s="6">
        <v>0.128</v>
      </c>
      <c r="Q83" s="6">
        <f t="shared" si="19"/>
        <v>0.128</v>
      </c>
      <c r="R83" s="6">
        <v>10</v>
      </c>
      <c r="S83" s="6" t="str">
        <f t="shared" si="20"/>
        <v>OK</v>
      </c>
      <c r="T83" s="4">
        <f t="shared" si="21"/>
        <v>45622</v>
      </c>
      <c r="U83" s="11">
        <f t="shared" si="22"/>
        <v>19</v>
      </c>
      <c r="V83" s="6">
        <f t="shared" si="23"/>
        <v>1122.0896000000002</v>
      </c>
      <c r="W83" s="6">
        <f t="shared" si="24"/>
        <v>553.5</v>
      </c>
      <c r="X83" s="6">
        <f t="shared" si="25"/>
        <v>568.58960000000025</v>
      </c>
      <c r="Y83" s="6">
        <f t="shared" si="26"/>
        <v>0.50672388372550647</v>
      </c>
      <c r="Z83" s="4" t="str">
        <f t="shared" si="27"/>
        <v>Q4-2024</v>
      </c>
      <c r="AA83" t="str">
        <f t="shared" si="28"/>
        <v>Printers</v>
      </c>
      <c r="AB83" t="str">
        <f t="shared" si="29"/>
        <v>Printers</v>
      </c>
      <c r="AC83" t="str">
        <f t="shared" si="30"/>
        <v>Compliant</v>
      </c>
      <c r="AD83" t="str">
        <f t="shared" si="31"/>
        <v>Late</v>
      </c>
      <c r="AE83" s="8">
        <f>MIN(Q83,Scenario!$B$2)</f>
        <v>0.128</v>
      </c>
      <c r="AF83" s="33">
        <f>L83*(1+Scenario!$B$3)</f>
        <v>63.652499999999996</v>
      </c>
      <c r="AG83" s="6">
        <f>R83*(1+Scenario!$B$4)</f>
        <v>12</v>
      </c>
      <c r="AH83" s="33">
        <f t="shared" si="33"/>
        <v>1346.5075200000001</v>
      </c>
      <c r="AI83" s="33">
        <f t="shared" si="34"/>
        <v>763.82999999999993</v>
      </c>
      <c r="AJ83" s="33">
        <f t="shared" si="35"/>
        <v>582.67752000000019</v>
      </c>
    </row>
    <row r="84" spans="1:36" x14ac:dyDescent="0.25">
      <c r="A84" s="12" t="s">
        <v>41</v>
      </c>
      <c r="B84" s="27">
        <v>45626</v>
      </c>
      <c r="C84" s="4">
        <v>45656</v>
      </c>
      <c r="D84" s="12" t="s">
        <v>649</v>
      </c>
      <c r="E84" s="12" t="s">
        <v>657</v>
      </c>
      <c r="F84" s="12" t="s">
        <v>673</v>
      </c>
      <c r="G84" s="12" t="s">
        <v>704</v>
      </c>
      <c r="H84" s="12" t="s">
        <v>709</v>
      </c>
      <c r="I84" s="12" t="s">
        <v>721</v>
      </c>
      <c r="J84" s="12" t="s">
        <v>728</v>
      </c>
      <c r="K84" s="12" t="s">
        <v>760</v>
      </c>
      <c r="L84" s="6">
        <v>117.64</v>
      </c>
      <c r="M84" s="6">
        <v>175.67</v>
      </c>
      <c r="N84" s="6">
        <f t="shared" si="18"/>
        <v>175.67</v>
      </c>
      <c r="O84" s="6" t="str">
        <f t="shared" si="32"/>
        <v>Low</v>
      </c>
      <c r="P84" s="6">
        <v>0</v>
      </c>
      <c r="Q84" s="6">
        <f t="shared" si="19"/>
        <v>0</v>
      </c>
      <c r="R84" s="6">
        <v>10</v>
      </c>
      <c r="S84" s="6" t="str">
        <f t="shared" si="20"/>
        <v>OK</v>
      </c>
      <c r="T84" s="4">
        <f t="shared" si="21"/>
        <v>45656</v>
      </c>
      <c r="U84" s="11">
        <f t="shared" si="22"/>
        <v>30</v>
      </c>
      <c r="V84" s="6">
        <f t="shared" si="23"/>
        <v>1756.6999999999998</v>
      </c>
      <c r="W84" s="6">
        <f t="shared" si="24"/>
        <v>1176.4000000000001</v>
      </c>
      <c r="X84" s="6">
        <f t="shared" si="25"/>
        <v>580.29999999999973</v>
      </c>
      <c r="Y84" s="6">
        <f t="shared" si="26"/>
        <v>0.33033528775545046</v>
      </c>
      <c r="Z84" s="4" t="str">
        <f t="shared" si="27"/>
        <v>Q4-2024</v>
      </c>
      <c r="AA84" t="str">
        <f t="shared" si="28"/>
        <v>Printers</v>
      </c>
      <c r="AB84" t="str">
        <f t="shared" si="29"/>
        <v>Printers</v>
      </c>
      <c r="AC84" t="str">
        <f t="shared" si="30"/>
        <v>Compliant</v>
      </c>
      <c r="AD84" t="str">
        <f t="shared" si="31"/>
        <v>Late</v>
      </c>
      <c r="AE84" s="8">
        <f>MIN(Q84,Scenario!$B$2)</f>
        <v>0</v>
      </c>
      <c r="AF84" s="33">
        <f>L84*(1+Scenario!$B$3)</f>
        <v>135.286</v>
      </c>
      <c r="AG84" s="6">
        <f>R84*(1+Scenario!$B$4)</f>
        <v>12</v>
      </c>
      <c r="AH84" s="33">
        <f t="shared" si="33"/>
        <v>2108.04</v>
      </c>
      <c r="AI84" s="33">
        <f t="shared" si="34"/>
        <v>1623.432</v>
      </c>
      <c r="AJ84" s="33">
        <f t="shared" si="35"/>
        <v>484.60799999999995</v>
      </c>
    </row>
    <row r="85" spans="1:36" hidden="1" x14ac:dyDescent="0.25">
      <c r="A85" s="12" t="s">
        <v>622</v>
      </c>
      <c r="B85" s="27">
        <v>45623</v>
      </c>
      <c r="C85" s="4">
        <v>45650</v>
      </c>
      <c r="D85" s="12" t="s">
        <v>646</v>
      </c>
      <c r="E85" s="12" t="s">
        <v>650</v>
      </c>
      <c r="F85" s="12" t="s">
        <v>675</v>
      </c>
      <c r="G85" s="12" t="s">
        <v>701</v>
      </c>
      <c r="H85" s="12" t="s">
        <v>710</v>
      </c>
      <c r="I85" s="12" t="s">
        <v>717</v>
      </c>
      <c r="J85" s="12" t="s">
        <v>728</v>
      </c>
      <c r="K85" s="12" t="s">
        <v>1340</v>
      </c>
      <c r="L85" s="6">
        <v>143.33000000000001</v>
      </c>
      <c r="M85" s="6">
        <v>233.51</v>
      </c>
      <c r="N85" s="6">
        <f t="shared" si="18"/>
        <v>233.51</v>
      </c>
      <c r="O85" s="6" t="str">
        <f t="shared" si="32"/>
        <v>Low</v>
      </c>
      <c r="P85" s="6">
        <v>0.16300000000000001</v>
      </c>
      <c r="Q85" s="6">
        <f t="shared" si="19"/>
        <v>0.16300000000000001</v>
      </c>
      <c r="R85" s="6">
        <v>14</v>
      </c>
      <c r="S85" s="6" t="str">
        <f t="shared" si="20"/>
        <v>OK</v>
      </c>
      <c r="T85" s="4">
        <f t="shared" si="21"/>
        <v>45650</v>
      </c>
      <c r="U85" s="11">
        <f t="shared" si="22"/>
        <v>27</v>
      </c>
      <c r="V85" s="6">
        <f t="shared" si="23"/>
        <v>2736.27018</v>
      </c>
      <c r="W85" s="6">
        <f t="shared" si="24"/>
        <v>2006.6200000000001</v>
      </c>
      <c r="X85" s="6">
        <f t="shared" si="25"/>
        <v>729.65017999999986</v>
      </c>
      <c r="Y85" s="6">
        <f t="shared" si="26"/>
        <v>0.26665867476580835</v>
      </c>
      <c r="Z85" s="4" t="str">
        <f t="shared" si="27"/>
        <v>Q4-2024</v>
      </c>
      <c r="AA85" t="str">
        <f t="shared" si="28"/>
        <v>Printers</v>
      </c>
      <c r="AB85" t="str">
        <f t="shared" si="29"/>
        <v>Printers</v>
      </c>
      <c r="AC85" t="str">
        <f t="shared" si="30"/>
        <v>Compliant</v>
      </c>
      <c r="AD85" t="str">
        <f t="shared" si="31"/>
        <v>Late</v>
      </c>
      <c r="AE85" s="8">
        <f>MIN(Q85,Scenario!$B$2)</f>
        <v>0.16300000000000001</v>
      </c>
      <c r="AF85" s="33">
        <f>L85*(1+Scenario!$B$3)</f>
        <v>164.8295</v>
      </c>
      <c r="AG85" s="6">
        <f>R85*(1+Scenario!$B$4)</f>
        <v>16.8</v>
      </c>
      <c r="AH85" s="33">
        <f t="shared" si="33"/>
        <v>3283.5242159999998</v>
      </c>
      <c r="AI85" s="33">
        <f t="shared" si="34"/>
        <v>2769.1356000000001</v>
      </c>
      <c r="AJ85" s="33">
        <f t="shared" si="35"/>
        <v>514.38861599999973</v>
      </c>
    </row>
    <row r="86" spans="1:36" x14ac:dyDescent="0.25">
      <c r="A86" s="12" t="s">
        <v>593</v>
      </c>
      <c r="B86" s="27">
        <v>45607</v>
      </c>
      <c r="C86" s="4">
        <v>45620</v>
      </c>
      <c r="D86" s="12" t="s">
        <v>649</v>
      </c>
      <c r="E86" s="12" t="s">
        <v>658</v>
      </c>
      <c r="F86" s="12" t="s">
        <v>683</v>
      </c>
      <c r="G86" s="12" t="s">
        <v>701</v>
      </c>
      <c r="H86" s="12" t="s">
        <v>707</v>
      </c>
      <c r="I86" s="12" t="s">
        <v>718</v>
      </c>
      <c r="J86" s="12" t="s">
        <v>729</v>
      </c>
      <c r="K86" s="12" t="s">
        <v>1311</v>
      </c>
      <c r="L86" s="6">
        <v>164.53</v>
      </c>
      <c r="M86" s="6">
        <v>327.72</v>
      </c>
      <c r="N86" s="6">
        <f t="shared" si="18"/>
        <v>327.72</v>
      </c>
      <c r="O86" s="6" t="str">
        <f t="shared" si="32"/>
        <v>Low</v>
      </c>
      <c r="P86" s="6">
        <v>6.7000000000000004E-2</v>
      </c>
      <c r="Q86" s="6">
        <f t="shared" si="19"/>
        <v>6.7000000000000004E-2</v>
      </c>
      <c r="R86" s="6">
        <v>14</v>
      </c>
      <c r="S86" s="6" t="str">
        <f t="shared" si="20"/>
        <v>OK</v>
      </c>
      <c r="T86" s="4">
        <f t="shared" si="21"/>
        <v>45620</v>
      </c>
      <c r="U86" s="11">
        <f t="shared" si="22"/>
        <v>13</v>
      </c>
      <c r="V86" s="6">
        <f t="shared" si="23"/>
        <v>4280.6786400000001</v>
      </c>
      <c r="W86" s="6">
        <f t="shared" si="24"/>
        <v>2303.42</v>
      </c>
      <c r="X86" s="6">
        <f t="shared" si="25"/>
        <v>1977.25864</v>
      </c>
      <c r="Y86" s="6">
        <f t="shared" si="26"/>
        <v>0.46190307805960412</v>
      </c>
      <c r="Z86" s="4" t="str">
        <f t="shared" si="27"/>
        <v>Q4-2024</v>
      </c>
      <c r="AA86" t="str">
        <f t="shared" si="28"/>
        <v>Networking</v>
      </c>
      <c r="AB86" t="str">
        <f t="shared" si="29"/>
        <v>Networking</v>
      </c>
      <c r="AC86" t="str">
        <f t="shared" si="30"/>
        <v>Compliant</v>
      </c>
      <c r="AD86" t="str">
        <f t="shared" si="31"/>
        <v>Late</v>
      </c>
      <c r="AE86" s="8">
        <f>MIN(Q86,Scenario!$B$2)</f>
        <v>6.7000000000000004E-2</v>
      </c>
      <c r="AF86" s="33">
        <f>L86*(1+Scenario!$B$3)</f>
        <v>189.20949999999999</v>
      </c>
      <c r="AG86" s="6">
        <f>R86*(1+Scenario!$B$4)</f>
        <v>16.8</v>
      </c>
      <c r="AH86" s="33">
        <f t="shared" si="33"/>
        <v>5136.8143680000012</v>
      </c>
      <c r="AI86" s="33">
        <f t="shared" si="34"/>
        <v>3178.7195999999999</v>
      </c>
      <c r="AJ86" s="33">
        <f t="shared" si="35"/>
        <v>1958.0947680000013</v>
      </c>
    </row>
    <row r="87" spans="1:36" hidden="1" x14ac:dyDescent="0.25">
      <c r="A87" s="12" t="s">
        <v>372</v>
      </c>
      <c r="B87" s="27">
        <v>45621</v>
      </c>
      <c r="C87" s="4">
        <v>45633</v>
      </c>
      <c r="D87" s="12" t="s">
        <v>647</v>
      </c>
      <c r="E87" s="12" t="s">
        <v>659</v>
      </c>
      <c r="F87" s="12" t="s">
        <v>685</v>
      </c>
      <c r="G87" s="12" t="s">
        <v>701</v>
      </c>
      <c r="H87" s="12" t="s">
        <v>710</v>
      </c>
      <c r="I87" s="12" t="s">
        <v>720</v>
      </c>
      <c r="J87" s="12" t="s">
        <v>733</v>
      </c>
      <c r="K87" s="12" t="s">
        <v>1092</v>
      </c>
      <c r="L87" s="6">
        <v>769.9</v>
      </c>
      <c r="M87" s="6">
        <v>814.36</v>
      </c>
      <c r="N87" s="6">
        <f t="shared" si="18"/>
        <v>814.36</v>
      </c>
      <c r="O87" s="6" t="str">
        <f t="shared" si="32"/>
        <v>Middle</v>
      </c>
      <c r="P87" s="6">
        <v>0</v>
      </c>
      <c r="Q87" s="6">
        <f t="shared" si="19"/>
        <v>0</v>
      </c>
      <c r="R87" s="6">
        <v>5</v>
      </c>
      <c r="S87" s="6" t="str">
        <f t="shared" si="20"/>
        <v>OK</v>
      </c>
      <c r="T87" s="4">
        <f t="shared" si="21"/>
        <v>45633</v>
      </c>
      <c r="U87" s="11">
        <f t="shared" si="22"/>
        <v>12</v>
      </c>
      <c r="V87" s="6">
        <f t="shared" si="23"/>
        <v>4071.8</v>
      </c>
      <c r="W87" s="6">
        <f t="shared" si="24"/>
        <v>3849.5</v>
      </c>
      <c r="X87" s="6">
        <f t="shared" si="25"/>
        <v>222.30000000000018</v>
      </c>
      <c r="Y87" s="6">
        <f t="shared" si="26"/>
        <v>5.4595019401738831E-2</v>
      </c>
      <c r="Z87" s="4" t="str">
        <f t="shared" si="27"/>
        <v>Q4-2024</v>
      </c>
      <c r="AA87" t="str">
        <f t="shared" si="28"/>
        <v>Accessories</v>
      </c>
      <c r="AB87" t="str">
        <f t="shared" si="29"/>
        <v>Accessories</v>
      </c>
      <c r="AC87" t="str">
        <f t="shared" si="30"/>
        <v>Compliant</v>
      </c>
      <c r="AD87" t="str">
        <f t="shared" si="31"/>
        <v>Late</v>
      </c>
      <c r="AE87" s="8">
        <f>MIN(Q87,Scenario!$B$2)</f>
        <v>0</v>
      </c>
      <c r="AF87" s="33">
        <f>L87*(1+Scenario!$B$3)</f>
        <v>885.38499999999988</v>
      </c>
      <c r="AG87" s="6">
        <f>R87*(1+Scenario!$B$4)</f>
        <v>6</v>
      </c>
      <c r="AH87" s="33">
        <f t="shared" si="33"/>
        <v>4886.16</v>
      </c>
      <c r="AI87" s="33">
        <f t="shared" si="34"/>
        <v>5312.3099999999995</v>
      </c>
      <c r="AJ87" s="33">
        <f t="shared" si="35"/>
        <v>-426.14999999999964</v>
      </c>
    </row>
    <row r="88" spans="1:36" hidden="1" x14ac:dyDescent="0.25">
      <c r="A88" s="12" t="s">
        <v>430</v>
      </c>
      <c r="B88" s="27">
        <v>45626</v>
      </c>
      <c r="C88" s="4">
        <v>45636</v>
      </c>
      <c r="D88" s="12" t="s">
        <v>647</v>
      </c>
      <c r="E88" s="12" t="s">
        <v>654</v>
      </c>
      <c r="F88" s="12" t="s">
        <v>696</v>
      </c>
      <c r="G88" s="12" t="s">
        <v>705</v>
      </c>
      <c r="H88" s="12" t="s">
        <v>707</v>
      </c>
      <c r="I88" s="12" t="s">
        <v>721</v>
      </c>
      <c r="J88" s="12" t="s">
        <v>733</v>
      </c>
      <c r="K88" s="12" t="s">
        <v>1149</v>
      </c>
      <c r="L88" s="6">
        <v>851.49</v>
      </c>
      <c r="M88" s="6">
        <v>901.79</v>
      </c>
      <c r="N88" s="6">
        <f t="shared" si="18"/>
        <v>901.79</v>
      </c>
      <c r="O88" s="6" t="str">
        <f t="shared" si="32"/>
        <v>Middle</v>
      </c>
      <c r="P88" s="6">
        <v>0.245</v>
      </c>
      <c r="Q88" s="6">
        <f t="shared" si="19"/>
        <v>0.245</v>
      </c>
      <c r="R88" s="6">
        <v>16</v>
      </c>
      <c r="S88" s="6" t="str">
        <f t="shared" si="20"/>
        <v>OK</v>
      </c>
      <c r="T88" s="4">
        <f t="shared" si="21"/>
        <v>45636</v>
      </c>
      <c r="U88" s="11">
        <f t="shared" si="22"/>
        <v>10</v>
      </c>
      <c r="V88" s="6">
        <f t="shared" si="23"/>
        <v>10893.6232</v>
      </c>
      <c r="W88" s="6">
        <f t="shared" si="24"/>
        <v>13623.84</v>
      </c>
      <c r="X88" s="6">
        <f t="shared" si="25"/>
        <v>-2730.2168000000001</v>
      </c>
      <c r="Y88" s="6">
        <f t="shared" si="26"/>
        <v>-0.25062522816100341</v>
      </c>
      <c r="Z88" s="4" t="str">
        <f t="shared" si="27"/>
        <v>Q4-2024</v>
      </c>
      <c r="AA88" t="str">
        <f t="shared" si="28"/>
        <v>Accessories</v>
      </c>
      <c r="AB88" t="str">
        <f t="shared" si="29"/>
        <v>Accessories</v>
      </c>
      <c r="AC88" t="str">
        <f t="shared" si="30"/>
        <v>Non-compliant</v>
      </c>
      <c r="AD88" t="str">
        <f t="shared" si="31"/>
        <v>Late</v>
      </c>
      <c r="AE88" s="8">
        <f>MIN(Q88,Scenario!$B$2)</f>
        <v>0.2</v>
      </c>
      <c r="AF88" s="33">
        <f>L88*(1+Scenario!$B$3)</f>
        <v>979.21349999999995</v>
      </c>
      <c r="AG88" s="6">
        <f>R88*(1+Scenario!$B$4)</f>
        <v>19.2</v>
      </c>
      <c r="AH88" s="33">
        <f t="shared" si="33"/>
        <v>13851.4944</v>
      </c>
      <c r="AI88" s="33">
        <f t="shared" si="34"/>
        <v>18800.8992</v>
      </c>
      <c r="AJ88" s="33">
        <f t="shared" si="35"/>
        <v>-4949.4048000000003</v>
      </c>
    </row>
    <row r="89" spans="1:36" hidden="1" x14ac:dyDescent="0.25">
      <c r="A89" s="12" t="s">
        <v>262</v>
      </c>
      <c r="B89" s="27">
        <v>45604</v>
      </c>
      <c r="C89" s="4">
        <v>45604</v>
      </c>
      <c r="D89" s="12" t="s">
        <v>646</v>
      </c>
      <c r="E89" s="12" t="s">
        <v>650</v>
      </c>
      <c r="F89" s="12" t="s">
        <v>678</v>
      </c>
      <c r="G89" s="12" t="s">
        <v>706</v>
      </c>
      <c r="H89" s="12" t="s">
        <v>709</v>
      </c>
      <c r="I89" s="12" t="s">
        <v>724</v>
      </c>
      <c r="J89" s="12" t="s">
        <v>729</v>
      </c>
      <c r="K89" s="12" t="s">
        <v>982</v>
      </c>
      <c r="L89" s="6">
        <v>803.28</v>
      </c>
      <c r="M89" s="6">
        <v>1009</v>
      </c>
      <c r="N89" s="6">
        <f t="shared" si="18"/>
        <v>1009</v>
      </c>
      <c r="O89" s="6" t="str">
        <f t="shared" si="32"/>
        <v>Middle</v>
      </c>
      <c r="P89" s="6">
        <v>0.11</v>
      </c>
      <c r="Q89" s="6">
        <f t="shared" si="19"/>
        <v>0.11</v>
      </c>
      <c r="R89" s="6">
        <v>4</v>
      </c>
      <c r="S89" s="6" t="str">
        <f t="shared" si="20"/>
        <v>OK</v>
      </c>
      <c r="T89" s="4">
        <f t="shared" si="21"/>
        <v>45604</v>
      </c>
      <c r="U89" s="11">
        <f t="shared" si="22"/>
        <v>0</v>
      </c>
      <c r="V89" s="6">
        <f t="shared" si="23"/>
        <v>3592.04</v>
      </c>
      <c r="W89" s="6">
        <f t="shared" si="24"/>
        <v>3213.12</v>
      </c>
      <c r="X89" s="6">
        <f t="shared" si="25"/>
        <v>378.92000000000007</v>
      </c>
      <c r="Y89" s="6">
        <f t="shared" si="26"/>
        <v>0.10548880302001093</v>
      </c>
      <c r="Z89" s="4" t="str">
        <f t="shared" si="27"/>
        <v>Q4-2024</v>
      </c>
      <c r="AA89" t="str">
        <f t="shared" si="28"/>
        <v>Networking</v>
      </c>
      <c r="AB89" t="str">
        <f t="shared" si="29"/>
        <v>Networking</v>
      </c>
      <c r="AC89" t="str">
        <f t="shared" si="30"/>
        <v>Compliant</v>
      </c>
      <c r="AD89" t="str">
        <f t="shared" si="31"/>
        <v>On-time</v>
      </c>
      <c r="AE89" s="8">
        <f>MIN(Q89,Scenario!$B$2)</f>
        <v>0.11</v>
      </c>
      <c r="AF89" s="33">
        <f>L89*(1+Scenario!$B$3)</f>
        <v>923.77199999999993</v>
      </c>
      <c r="AG89" s="6">
        <f>R89*(1+Scenario!$B$4)</f>
        <v>4.8</v>
      </c>
      <c r="AH89" s="33">
        <f t="shared" si="33"/>
        <v>4310.4480000000003</v>
      </c>
      <c r="AI89" s="33">
        <f t="shared" si="34"/>
        <v>4434.1055999999999</v>
      </c>
      <c r="AJ89" s="33">
        <f t="shared" si="35"/>
        <v>-123.65759999999955</v>
      </c>
    </row>
    <row r="90" spans="1:36" hidden="1" x14ac:dyDescent="0.25">
      <c r="A90" s="12" t="s">
        <v>416</v>
      </c>
      <c r="B90" s="27">
        <v>45601</v>
      </c>
      <c r="C90" s="4">
        <v>45604</v>
      </c>
      <c r="D90" s="12" t="s">
        <v>648</v>
      </c>
      <c r="E90" s="12" t="s">
        <v>653</v>
      </c>
      <c r="F90" s="12" t="s">
        <v>667</v>
      </c>
      <c r="G90" s="12" t="s">
        <v>702</v>
      </c>
      <c r="H90" s="12" t="s">
        <v>709</v>
      </c>
      <c r="I90" s="12" t="s">
        <v>719</v>
      </c>
      <c r="J90" s="12" t="s">
        <v>727</v>
      </c>
      <c r="K90" s="12" t="s">
        <v>1135</v>
      </c>
      <c r="L90" s="6">
        <v>1020.4</v>
      </c>
      <c r="M90" s="6">
        <v>1184.71</v>
      </c>
      <c r="N90" s="6">
        <f t="shared" si="18"/>
        <v>1184.71</v>
      </c>
      <c r="O90" s="6" t="str">
        <f t="shared" si="32"/>
        <v>Middle</v>
      </c>
      <c r="P90" s="6">
        <v>0.106</v>
      </c>
      <c r="Q90" s="6">
        <f t="shared" si="19"/>
        <v>0.106</v>
      </c>
      <c r="R90" s="6">
        <v>16</v>
      </c>
      <c r="S90" s="6" t="str">
        <f t="shared" si="20"/>
        <v>OK</v>
      </c>
      <c r="T90" s="4">
        <f t="shared" si="21"/>
        <v>45604</v>
      </c>
      <c r="U90" s="11">
        <f t="shared" si="22"/>
        <v>3</v>
      </c>
      <c r="V90" s="6">
        <f t="shared" si="23"/>
        <v>16946.091840000001</v>
      </c>
      <c r="W90" s="6">
        <f t="shared" si="24"/>
        <v>16326.4</v>
      </c>
      <c r="X90" s="6">
        <f t="shared" si="25"/>
        <v>619.69184000000132</v>
      </c>
      <c r="Y90" s="6">
        <f t="shared" si="26"/>
        <v>3.6568422138328345E-2</v>
      </c>
      <c r="Z90" s="4" t="str">
        <f t="shared" si="27"/>
        <v>Q4-2024</v>
      </c>
      <c r="AA90" t="str">
        <f t="shared" si="28"/>
        <v>Components</v>
      </c>
      <c r="AB90" t="str">
        <f t="shared" si="29"/>
        <v>Components</v>
      </c>
      <c r="AC90" t="str">
        <f t="shared" si="30"/>
        <v>Compliant</v>
      </c>
      <c r="AD90" t="str">
        <f t="shared" si="31"/>
        <v>On-time</v>
      </c>
      <c r="AE90" s="8">
        <f>MIN(Q90,Scenario!$B$2)</f>
        <v>0.106</v>
      </c>
      <c r="AF90" s="33">
        <f>L90*(1+Scenario!$B$3)</f>
        <v>1173.4599999999998</v>
      </c>
      <c r="AG90" s="6">
        <f>R90*(1+Scenario!$B$4)</f>
        <v>19.2</v>
      </c>
      <c r="AH90" s="33">
        <f t="shared" si="33"/>
        <v>20335.310208000003</v>
      </c>
      <c r="AI90" s="33">
        <f t="shared" si="34"/>
        <v>22530.431999999997</v>
      </c>
      <c r="AJ90" s="33">
        <f t="shared" si="35"/>
        <v>-2195.1217919999945</v>
      </c>
    </row>
    <row r="91" spans="1:36" x14ac:dyDescent="0.25">
      <c r="A91" s="12" t="s">
        <v>444</v>
      </c>
      <c r="B91" s="27">
        <v>45597</v>
      </c>
      <c r="C91" s="4">
        <v>45608</v>
      </c>
      <c r="D91" s="12" t="s">
        <v>649</v>
      </c>
      <c r="E91" s="12" t="s">
        <v>656</v>
      </c>
      <c r="F91" s="12" t="s">
        <v>698</v>
      </c>
      <c r="G91" s="12" t="s">
        <v>704</v>
      </c>
      <c r="H91" s="12" t="s">
        <v>708</v>
      </c>
      <c r="I91" s="12" t="s">
        <v>717</v>
      </c>
      <c r="J91" s="12" t="s">
        <v>728</v>
      </c>
      <c r="K91" s="12" t="s">
        <v>1163</v>
      </c>
      <c r="L91" s="6">
        <v>599.84</v>
      </c>
      <c r="M91" s="6">
        <v>1330.85</v>
      </c>
      <c r="N91" s="6">
        <f t="shared" si="18"/>
        <v>1330.85</v>
      </c>
      <c r="O91" s="6" t="str">
        <f t="shared" si="32"/>
        <v>High</v>
      </c>
      <c r="P91" s="6">
        <v>0.115</v>
      </c>
      <c r="Q91" s="6">
        <f t="shared" si="19"/>
        <v>0.115</v>
      </c>
      <c r="R91" s="6">
        <v>11</v>
      </c>
      <c r="S91" s="6" t="str">
        <f t="shared" si="20"/>
        <v>OK</v>
      </c>
      <c r="T91" s="4">
        <f t="shared" si="21"/>
        <v>45608</v>
      </c>
      <c r="U91" s="11">
        <f t="shared" si="22"/>
        <v>11</v>
      </c>
      <c r="V91" s="6">
        <f t="shared" si="23"/>
        <v>12955.824749999998</v>
      </c>
      <c r="W91" s="6">
        <f t="shared" si="24"/>
        <v>6598.2400000000007</v>
      </c>
      <c r="X91" s="6">
        <f t="shared" si="25"/>
        <v>6357.5847499999973</v>
      </c>
      <c r="Y91" s="6">
        <f t="shared" si="26"/>
        <v>0.49071246892252063</v>
      </c>
      <c r="Z91" s="4" t="str">
        <f t="shared" si="27"/>
        <v>Q4-2024</v>
      </c>
      <c r="AA91" t="str">
        <f t="shared" si="28"/>
        <v>Printers</v>
      </c>
      <c r="AB91" t="str">
        <f t="shared" si="29"/>
        <v>Printers</v>
      </c>
      <c r="AC91" t="str">
        <f t="shared" si="30"/>
        <v>Compliant</v>
      </c>
      <c r="AD91" t="str">
        <f t="shared" si="31"/>
        <v>Late</v>
      </c>
      <c r="AE91" s="8">
        <f>MIN(Q91,Scenario!$B$2)</f>
        <v>0.115</v>
      </c>
      <c r="AF91" s="33">
        <f>L91*(1+Scenario!$B$3)</f>
        <v>689.81600000000003</v>
      </c>
      <c r="AG91" s="6">
        <f>R91*(1+Scenario!$B$4)</f>
        <v>13.2</v>
      </c>
      <c r="AH91" s="33">
        <f t="shared" si="33"/>
        <v>15546.989699999998</v>
      </c>
      <c r="AI91" s="33">
        <f t="shared" si="34"/>
        <v>9105.5712000000003</v>
      </c>
      <c r="AJ91" s="33">
        <f t="shared" si="35"/>
        <v>6441.4184999999979</v>
      </c>
    </row>
    <row r="92" spans="1:36" hidden="1" x14ac:dyDescent="0.25">
      <c r="A92" s="12" t="s">
        <v>138</v>
      </c>
      <c r="B92" s="27">
        <v>45598</v>
      </c>
      <c r="C92" s="4">
        <v>45625</v>
      </c>
      <c r="D92" s="12" t="s">
        <v>648</v>
      </c>
      <c r="E92" s="12" t="s">
        <v>655</v>
      </c>
      <c r="F92" s="12" t="s">
        <v>672</v>
      </c>
      <c r="G92" s="12" t="s">
        <v>705</v>
      </c>
      <c r="H92" s="12" t="s">
        <v>711</v>
      </c>
      <c r="I92" s="12" t="s">
        <v>714</v>
      </c>
      <c r="J92" s="12" t="s">
        <v>729</v>
      </c>
      <c r="K92" s="12" t="s">
        <v>857</v>
      </c>
      <c r="L92" s="6">
        <v>1363.51</v>
      </c>
      <c r="M92" s="6">
        <v>1433.9</v>
      </c>
      <c r="N92" s="6">
        <f t="shared" si="18"/>
        <v>1433.9</v>
      </c>
      <c r="O92" s="6" t="str">
        <f t="shared" si="32"/>
        <v>High</v>
      </c>
      <c r="P92" s="6">
        <v>5.7000000000000002E-2</v>
      </c>
      <c r="Q92" s="6">
        <f t="shared" si="19"/>
        <v>5.7000000000000002E-2</v>
      </c>
      <c r="R92" s="6">
        <v>8</v>
      </c>
      <c r="S92" s="6" t="str">
        <f t="shared" si="20"/>
        <v>OK</v>
      </c>
      <c r="T92" s="4">
        <f t="shared" si="21"/>
        <v>45625</v>
      </c>
      <c r="U92" s="11">
        <f t="shared" si="22"/>
        <v>27</v>
      </c>
      <c r="V92" s="6">
        <f t="shared" si="23"/>
        <v>10817.3416</v>
      </c>
      <c r="W92" s="6">
        <f t="shared" si="24"/>
        <v>10908.08</v>
      </c>
      <c r="X92" s="6">
        <f t="shared" si="25"/>
        <v>-90.738400000000183</v>
      </c>
      <c r="Y92" s="6">
        <f t="shared" si="26"/>
        <v>-8.3882346842037592E-3</v>
      </c>
      <c r="Z92" s="4" t="str">
        <f t="shared" si="27"/>
        <v>Q4-2024</v>
      </c>
      <c r="AA92" t="str">
        <f t="shared" si="28"/>
        <v>Networking</v>
      </c>
      <c r="AB92" t="str">
        <f t="shared" si="29"/>
        <v>Networking</v>
      </c>
      <c r="AC92" t="str">
        <f t="shared" si="30"/>
        <v>Compliant</v>
      </c>
      <c r="AD92" t="str">
        <f t="shared" si="31"/>
        <v>Late</v>
      </c>
      <c r="AE92" s="8">
        <f>MIN(Q92,Scenario!$B$2)</f>
        <v>5.7000000000000002E-2</v>
      </c>
      <c r="AF92" s="33">
        <f>L92*(1+Scenario!$B$3)</f>
        <v>1568.0364999999999</v>
      </c>
      <c r="AG92" s="6">
        <f>R92*(1+Scenario!$B$4)</f>
        <v>9.6</v>
      </c>
      <c r="AH92" s="33">
        <f t="shared" si="33"/>
        <v>12980.80992</v>
      </c>
      <c r="AI92" s="33">
        <f t="shared" si="34"/>
        <v>15053.150399999999</v>
      </c>
      <c r="AJ92" s="33">
        <f t="shared" si="35"/>
        <v>-2072.3404799999989</v>
      </c>
    </row>
    <row r="93" spans="1:36" x14ac:dyDescent="0.25">
      <c r="A93" s="12" t="s">
        <v>327</v>
      </c>
      <c r="B93" s="27">
        <v>45600</v>
      </c>
      <c r="C93" s="4">
        <v>45601</v>
      </c>
      <c r="D93" s="12" t="s">
        <v>649</v>
      </c>
      <c r="E93" s="12" t="s">
        <v>658</v>
      </c>
      <c r="F93" s="12" t="s">
        <v>683</v>
      </c>
      <c r="G93" s="12" t="s">
        <v>701</v>
      </c>
      <c r="H93" s="12" t="s">
        <v>707</v>
      </c>
      <c r="I93" s="12" t="s">
        <v>724</v>
      </c>
      <c r="J93" s="12" t="s">
        <v>728</v>
      </c>
      <c r="K93" s="12" t="s">
        <v>1047</v>
      </c>
      <c r="L93" s="6">
        <v>840.68</v>
      </c>
      <c r="M93" s="6">
        <v>1493.53</v>
      </c>
      <c r="N93" s="6">
        <f t="shared" si="18"/>
        <v>1493.53</v>
      </c>
      <c r="O93" s="6" t="str">
        <f t="shared" si="32"/>
        <v>High</v>
      </c>
      <c r="P93" s="6">
        <v>0</v>
      </c>
      <c r="Q93" s="6">
        <f t="shared" si="19"/>
        <v>0</v>
      </c>
      <c r="R93" s="6">
        <v>27</v>
      </c>
      <c r="S93" s="6" t="str">
        <f t="shared" si="20"/>
        <v>OK</v>
      </c>
      <c r="T93" s="4">
        <f t="shared" si="21"/>
        <v>45601</v>
      </c>
      <c r="U93" s="11">
        <f t="shared" si="22"/>
        <v>1</v>
      </c>
      <c r="V93" s="6">
        <f t="shared" si="23"/>
        <v>40325.31</v>
      </c>
      <c r="W93" s="6">
        <f t="shared" si="24"/>
        <v>22698.359999999997</v>
      </c>
      <c r="X93" s="6">
        <f t="shared" si="25"/>
        <v>17626.95</v>
      </c>
      <c r="Y93" s="6">
        <f t="shared" si="26"/>
        <v>0.43711877230454027</v>
      </c>
      <c r="Z93" s="4" t="str">
        <f t="shared" si="27"/>
        <v>Q4-2024</v>
      </c>
      <c r="AA93" t="str">
        <f t="shared" si="28"/>
        <v>Printers</v>
      </c>
      <c r="AB93" t="str">
        <f t="shared" si="29"/>
        <v>Printers</v>
      </c>
      <c r="AC93" t="str">
        <f t="shared" si="30"/>
        <v>Compliant</v>
      </c>
      <c r="AD93" t="str">
        <f t="shared" si="31"/>
        <v>On-time</v>
      </c>
      <c r="AE93" s="8">
        <f>MIN(Q93,Scenario!$B$2)</f>
        <v>0</v>
      </c>
      <c r="AF93" s="33">
        <f>L93*(1+Scenario!$B$3)</f>
        <v>966.78199999999981</v>
      </c>
      <c r="AG93" s="6">
        <f>R93*(1+Scenario!$B$4)</f>
        <v>32.4</v>
      </c>
      <c r="AH93" s="33">
        <f t="shared" si="33"/>
        <v>48390.371999999996</v>
      </c>
      <c r="AI93" s="33">
        <f t="shared" si="34"/>
        <v>31323.736799999991</v>
      </c>
      <c r="AJ93" s="33">
        <f t="shared" si="35"/>
        <v>17066.635200000004</v>
      </c>
    </row>
    <row r="94" spans="1:36" x14ac:dyDescent="0.25">
      <c r="A94" s="12" t="s">
        <v>582</v>
      </c>
      <c r="B94" s="27">
        <v>45600</v>
      </c>
      <c r="C94" s="4">
        <v>45603</v>
      </c>
      <c r="D94" s="12" t="s">
        <v>649</v>
      </c>
      <c r="E94" s="12" t="s">
        <v>657</v>
      </c>
      <c r="F94" s="12" t="s">
        <v>679</v>
      </c>
      <c r="G94" s="12" t="s">
        <v>701</v>
      </c>
      <c r="H94" s="12" t="s">
        <v>708</v>
      </c>
      <c r="I94" s="12" t="s">
        <v>719</v>
      </c>
      <c r="J94" s="12" t="s">
        <v>732</v>
      </c>
      <c r="K94" s="12" t="s">
        <v>1300</v>
      </c>
      <c r="L94" s="6">
        <v>740.68</v>
      </c>
      <c r="M94" s="6">
        <v>1837.19</v>
      </c>
      <c r="N94" s="6">
        <f t="shared" si="18"/>
        <v>1837.19</v>
      </c>
      <c r="O94" s="6" t="str">
        <f t="shared" si="32"/>
        <v>High</v>
      </c>
      <c r="P94" s="6">
        <v>0.19700000000000001</v>
      </c>
      <c r="Q94" s="6">
        <f t="shared" si="19"/>
        <v>0.19700000000000001</v>
      </c>
      <c r="R94" s="6">
        <v>17</v>
      </c>
      <c r="S94" s="6" t="str">
        <f t="shared" si="20"/>
        <v>OK</v>
      </c>
      <c r="T94" s="4">
        <f t="shared" si="21"/>
        <v>45603</v>
      </c>
      <c r="U94" s="11">
        <f t="shared" si="22"/>
        <v>3</v>
      </c>
      <c r="V94" s="6">
        <f t="shared" si="23"/>
        <v>25079.480689999997</v>
      </c>
      <c r="W94" s="6">
        <f t="shared" si="24"/>
        <v>12591.56</v>
      </c>
      <c r="X94" s="6">
        <f t="shared" si="25"/>
        <v>12487.920689999997</v>
      </c>
      <c r="Y94" s="6">
        <f t="shared" si="26"/>
        <v>0.4979337827748298</v>
      </c>
      <c r="Z94" s="4" t="str">
        <f t="shared" si="27"/>
        <v>Q4-2024</v>
      </c>
      <c r="AA94" t="str">
        <f t="shared" si="28"/>
        <v>Monitors</v>
      </c>
      <c r="AB94" t="str">
        <f t="shared" si="29"/>
        <v>Monitors</v>
      </c>
      <c r="AC94" t="str">
        <f t="shared" si="30"/>
        <v>Compliant</v>
      </c>
      <c r="AD94" t="str">
        <f t="shared" si="31"/>
        <v>On-time</v>
      </c>
      <c r="AE94" s="8">
        <f>MIN(Q94,Scenario!$B$2)</f>
        <v>0.19700000000000001</v>
      </c>
      <c r="AF94" s="33">
        <f>L94*(1+Scenario!$B$3)</f>
        <v>851.78199999999993</v>
      </c>
      <c r="AG94" s="6">
        <f>R94*(1+Scenario!$B$4)</f>
        <v>20.399999999999999</v>
      </c>
      <c r="AH94" s="33">
        <f t="shared" si="33"/>
        <v>30095.376827999997</v>
      </c>
      <c r="AI94" s="33">
        <f t="shared" si="34"/>
        <v>17376.352799999997</v>
      </c>
      <c r="AJ94" s="33">
        <f t="shared" si="35"/>
        <v>12719.024028</v>
      </c>
    </row>
    <row r="95" spans="1:36" hidden="1" x14ac:dyDescent="0.25">
      <c r="A95" s="12" t="s">
        <v>576</v>
      </c>
      <c r="B95" s="27">
        <v>45626</v>
      </c>
      <c r="C95" s="4">
        <v>45645</v>
      </c>
      <c r="D95" s="12" t="s">
        <v>646</v>
      </c>
      <c r="E95" s="12" t="s">
        <v>650</v>
      </c>
      <c r="F95" s="12" t="s">
        <v>662</v>
      </c>
      <c r="G95" s="12" t="s">
        <v>701</v>
      </c>
      <c r="H95" s="12" t="s">
        <v>708</v>
      </c>
      <c r="I95" s="12" t="s">
        <v>716</v>
      </c>
      <c r="J95" s="12" t="s">
        <v>730</v>
      </c>
      <c r="K95" s="12" t="s">
        <v>1294</v>
      </c>
      <c r="L95" s="6">
        <v>1195.98</v>
      </c>
      <c r="M95" s="6">
        <v>1841.9</v>
      </c>
      <c r="N95" s="6">
        <f t="shared" si="18"/>
        <v>1841.9</v>
      </c>
      <c r="O95" s="6" t="str">
        <f t="shared" si="32"/>
        <v>High</v>
      </c>
      <c r="P95" s="6">
        <v>5.5E-2</v>
      </c>
      <c r="Q95" s="6">
        <f t="shared" si="19"/>
        <v>5.5E-2</v>
      </c>
      <c r="R95" s="6">
        <v>19</v>
      </c>
      <c r="S95" s="6" t="str">
        <f t="shared" si="20"/>
        <v>OK</v>
      </c>
      <c r="T95" s="4">
        <f t="shared" si="21"/>
        <v>45645</v>
      </c>
      <c r="U95" s="11">
        <f t="shared" si="22"/>
        <v>19</v>
      </c>
      <c r="V95" s="6">
        <f t="shared" si="23"/>
        <v>33071.3145</v>
      </c>
      <c r="W95" s="6">
        <f t="shared" si="24"/>
        <v>22723.62</v>
      </c>
      <c r="X95" s="6">
        <f t="shared" si="25"/>
        <v>10347.694500000001</v>
      </c>
      <c r="Y95" s="6">
        <f t="shared" si="26"/>
        <v>0.31289032977506842</v>
      </c>
      <c r="Z95" s="4" t="str">
        <f t="shared" si="27"/>
        <v>Q4-2024</v>
      </c>
      <c r="AA95" t="str">
        <f t="shared" si="28"/>
        <v>Phones</v>
      </c>
      <c r="AB95" t="str">
        <f t="shared" si="29"/>
        <v>Phones</v>
      </c>
      <c r="AC95" t="str">
        <f t="shared" si="30"/>
        <v>Compliant</v>
      </c>
      <c r="AD95" t="str">
        <f t="shared" si="31"/>
        <v>Late</v>
      </c>
      <c r="AE95" s="8">
        <f>MIN(Q95,Scenario!$B$2)</f>
        <v>5.5E-2</v>
      </c>
      <c r="AF95" s="33">
        <f>L95*(1+Scenario!$B$3)</f>
        <v>1375.377</v>
      </c>
      <c r="AG95" s="6">
        <f>R95*(1+Scenario!$B$4)</f>
        <v>22.8</v>
      </c>
      <c r="AH95" s="33">
        <f t="shared" si="33"/>
        <v>39685.577400000002</v>
      </c>
      <c r="AI95" s="33">
        <f t="shared" si="34"/>
        <v>31358.595600000001</v>
      </c>
      <c r="AJ95" s="33">
        <f t="shared" si="35"/>
        <v>8326.9818000000014</v>
      </c>
    </row>
    <row r="96" spans="1:36" x14ac:dyDescent="0.25">
      <c r="A96" s="12" t="s">
        <v>153</v>
      </c>
      <c r="B96" s="27">
        <v>45616</v>
      </c>
      <c r="C96" s="4">
        <v>45641</v>
      </c>
      <c r="D96" s="12" t="s">
        <v>649</v>
      </c>
      <c r="E96" s="12" t="s">
        <v>657</v>
      </c>
      <c r="F96" s="12" t="s">
        <v>690</v>
      </c>
      <c r="G96" s="12" t="s">
        <v>701</v>
      </c>
      <c r="H96" s="12" t="s">
        <v>708</v>
      </c>
      <c r="I96" s="12" t="s">
        <v>715</v>
      </c>
      <c r="J96" s="12" t="s">
        <v>728</v>
      </c>
      <c r="K96" s="12" t="s">
        <v>872</v>
      </c>
      <c r="L96" s="6">
        <v>1203.58</v>
      </c>
      <c r="M96" s="6">
        <v>1856.16</v>
      </c>
      <c r="N96" s="6">
        <f t="shared" si="18"/>
        <v>1856.16</v>
      </c>
      <c r="O96" s="6" t="str">
        <f t="shared" si="32"/>
        <v>High</v>
      </c>
      <c r="P96" s="6">
        <v>0.129</v>
      </c>
      <c r="Q96" s="6">
        <f t="shared" si="19"/>
        <v>0.129</v>
      </c>
      <c r="R96" s="6">
        <v>22</v>
      </c>
      <c r="S96" s="6" t="str">
        <f t="shared" si="20"/>
        <v>OK</v>
      </c>
      <c r="T96" s="4">
        <f t="shared" si="21"/>
        <v>45641</v>
      </c>
      <c r="U96" s="11">
        <f t="shared" si="22"/>
        <v>25</v>
      </c>
      <c r="V96" s="6">
        <f t="shared" si="23"/>
        <v>35567.737920000007</v>
      </c>
      <c r="W96" s="6">
        <f t="shared" si="24"/>
        <v>26478.76</v>
      </c>
      <c r="X96" s="6">
        <f t="shared" si="25"/>
        <v>9088.9779200000085</v>
      </c>
      <c r="Y96" s="6">
        <f t="shared" si="26"/>
        <v>0.25553994860295032</v>
      </c>
      <c r="Z96" s="4" t="str">
        <f t="shared" si="27"/>
        <v>Q4-2024</v>
      </c>
      <c r="AA96" t="str">
        <f t="shared" si="28"/>
        <v>Printers</v>
      </c>
      <c r="AB96" t="str">
        <f t="shared" si="29"/>
        <v>Printers</v>
      </c>
      <c r="AC96" t="str">
        <f t="shared" si="30"/>
        <v>Compliant</v>
      </c>
      <c r="AD96" t="str">
        <f t="shared" si="31"/>
        <v>Late</v>
      </c>
      <c r="AE96" s="8">
        <f>MIN(Q96,Scenario!$B$2)</f>
        <v>0.129</v>
      </c>
      <c r="AF96" s="33">
        <f>L96*(1+Scenario!$B$3)</f>
        <v>1384.1169999999997</v>
      </c>
      <c r="AG96" s="6">
        <f>R96*(1+Scenario!$B$4)</f>
        <v>26.4</v>
      </c>
      <c r="AH96" s="33">
        <f t="shared" si="33"/>
        <v>42681.285503999999</v>
      </c>
      <c r="AI96" s="33">
        <f t="shared" si="34"/>
        <v>36540.688799999989</v>
      </c>
      <c r="AJ96" s="33">
        <f t="shared" si="35"/>
        <v>6140.5967040000105</v>
      </c>
    </row>
    <row r="97" spans="1:36" hidden="1" x14ac:dyDescent="0.25">
      <c r="A97" s="12" t="s">
        <v>523</v>
      </c>
      <c r="B97" s="27">
        <v>45608</v>
      </c>
      <c r="C97" s="4">
        <v>45617</v>
      </c>
      <c r="D97" s="12" t="s">
        <v>647</v>
      </c>
      <c r="E97" s="12" t="s">
        <v>654</v>
      </c>
      <c r="F97" s="12" t="s">
        <v>691</v>
      </c>
      <c r="G97" s="12" t="s">
        <v>701</v>
      </c>
      <c r="H97" s="12" t="s">
        <v>711</v>
      </c>
      <c r="I97" s="12" t="s">
        <v>722</v>
      </c>
      <c r="J97" s="12" t="s">
        <v>731</v>
      </c>
      <c r="K97" s="12" t="s">
        <v>1242</v>
      </c>
      <c r="L97" s="6">
        <v>903.41</v>
      </c>
      <c r="M97" s="6">
        <v>1860.41</v>
      </c>
      <c r="N97" s="6">
        <f t="shared" si="18"/>
        <v>1860.41</v>
      </c>
      <c r="O97" s="6" t="str">
        <f t="shared" si="32"/>
        <v>High</v>
      </c>
      <c r="P97" s="6">
        <v>0.108</v>
      </c>
      <c r="Q97" s="6">
        <f t="shared" si="19"/>
        <v>0.108</v>
      </c>
      <c r="R97" s="6">
        <v>5</v>
      </c>
      <c r="S97" s="6" t="str">
        <f t="shared" si="20"/>
        <v>OK</v>
      </c>
      <c r="T97" s="4">
        <f t="shared" si="21"/>
        <v>45617</v>
      </c>
      <c r="U97" s="11">
        <f t="shared" si="22"/>
        <v>9</v>
      </c>
      <c r="V97" s="6">
        <f t="shared" si="23"/>
        <v>8297.4286000000011</v>
      </c>
      <c r="W97" s="6">
        <f t="shared" si="24"/>
        <v>4517.05</v>
      </c>
      <c r="X97" s="6">
        <f t="shared" si="25"/>
        <v>3780.3786000000009</v>
      </c>
      <c r="Y97" s="6">
        <f t="shared" si="26"/>
        <v>0.455608451996803</v>
      </c>
      <c r="Z97" s="4" t="str">
        <f t="shared" si="27"/>
        <v>Q4-2024</v>
      </c>
      <c r="AA97" t="str">
        <f t="shared" si="28"/>
        <v>Laptops</v>
      </c>
      <c r="AB97" t="str">
        <f t="shared" si="29"/>
        <v>Laptops</v>
      </c>
      <c r="AC97" t="str">
        <f t="shared" si="30"/>
        <v>Compliant</v>
      </c>
      <c r="AD97" t="str">
        <f t="shared" si="31"/>
        <v>Late</v>
      </c>
      <c r="AE97" s="8">
        <f>MIN(Q97,Scenario!$B$2)</f>
        <v>0.108</v>
      </c>
      <c r="AF97" s="33">
        <f>L97*(1+Scenario!$B$3)</f>
        <v>1038.9214999999999</v>
      </c>
      <c r="AG97" s="6">
        <f>R97*(1+Scenario!$B$4)</f>
        <v>6</v>
      </c>
      <c r="AH97" s="33">
        <f t="shared" si="33"/>
        <v>9956.9143200000017</v>
      </c>
      <c r="AI97" s="33">
        <f t="shared" si="34"/>
        <v>6233.5289999999995</v>
      </c>
      <c r="AJ97" s="33">
        <f t="shared" si="35"/>
        <v>3723.3853200000021</v>
      </c>
    </row>
    <row r="98" spans="1:36" hidden="1" x14ac:dyDescent="0.25">
      <c r="A98" s="12" t="s">
        <v>78</v>
      </c>
      <c r="B98" s="27">
        <v>45598</v>
      </c>
      <c r="C98" s="4">
        <v>45614</v>
      </c>
      <c r="D98" s="12" t="s">
        <v>647</v>
      </c>
      <c r="E98" s="12" t="s">
        <v>654</v>
      </c>
      <c r="F98" s="12" t="s">
        <v>691</v>
      </c>
      <c r="G98" s="12" t="s">
        <v>705</v>
      </c>
      <c r="H98" s="12" t="s">
        <v>710</v>
      </c>
      <c r="I98" s="12" t="s">
        <v>719</v>
      </c>
      <c r="J98" s="12" t="s">
        <v>732</v>
      </c>
      <c r="K98" s="12" t="s">
        <v>797</v>
      </c>
      <c r="L98" s="6">
        <v>1233.58</v>
      </c>
      <c r="M98" s="6">
        <v>1912.51</v>
      </c>
      <c r="N98" s="6">
        <f t="shared" si="18"/>
        <v>1912.51</v>
      </c>
      <c r="O98" s="6" t="str">
        <f t="shared" si="32"/>
        <v>High</v>
      </c>
      <c r="P98" s="6">
        <v>0.255</v>
      </c>
      <c r="Q98" s="6">
        <f t="shared" si="19"/>
        <v>0.255</v>
      </c>
      <c r="R98" s="6">
        <v>51</v>
      </c>
      <c r="S98" s="6" t="str">
        <f t="shared" si="20"/>
        <v>OK</v>
      </c>
      <c r="T98" s="4">
        <f t="shared" si="21"/>
        <v>45614</v>
      </c>
      <c r="U98" s="11">
        <f t="shared" si="22"/>
        <v>16</v>
      </c>
      <c r="V98" s="6">
        <f t="shared" si="23"/>
        <v>72665.817450000002</v>
      </c>
      <c r="W98" s="6">
        <f t="shared" si="24"/>
        <v>62912.579999999994</v>
      </c>
      <c r="X98" s="6">
        <f t="shared" si="25"/>
        <v>9753.2374500000078</v>
      </c>
      <c r="Y98" s="6">
        <f t="shared" si="26"/>
        <v>0.134220432553601</v>
      </c>
      <c r="Z98" s="4" t="str">
        <f t="shared" si="27"/>
        <v>Q4-2024</v>
      </c>
      <c r="AA98" t="str">
        <f t="shared" si="28"/>
        <v>Monitors</v>
      </c>
      <c r="AB98" t="str">
        <f t="shared" si="29"/>
        <v>Monitors</v>
      </c>
      <c r="AC98" t="str">
        <f t="shared" si="30"/>
        <v>Non-compliant</v>
      </c>
      <c r="AD98" t="str">
        <f t="shared" si="31"/>
        <v>Late</v>
      </c>
      <c r="AE98" s="8">
        <f>MIN(Q98,Scenario!$B$2)</f>
        <v>0.2</v>
      </c>
      <c r="AF98" s="33">
        <f>L98*(1+Scenario!$B$3)</f>
        <v>1418.6169999999997</v>
      </c>
      <c r="AG98" s="6">
        <f>R98*(1+Scenario!$B$4)</f>
        <v>61.199999999999996</v>
      </c>
      <c r="AH98" s="33">
        <f t="shared" si="33"/>
        <v>93636.489600000001</v>
      </c>
      <c r="AI98" s="33">
        <f t="shared" si="34"/>
        <v>86819.360399999976</v>
      </c>
      <c r="AJ98" s="33">
        <f t="shared" si="35"/>
        <v>6817.1292000000249</v>
      </c>
    </row>
    <row r="99" spans="1:36" x14ac:dyDescent="0.25">
      <c r="A99" s="12" t="s">
        <v>94</v>
      </c>
      <c r="B99" s="27">
        <v>45617</v>
      </c>
      <c r="C99" s="4">
        <v>45647</v>
      </c>
      <c r="D99" s="12" t="s">
        <v>649</v>
      </c>
      <c r="E99" s="12" t="s">
        <v>657</v>
      </c>
      <c r="F99" s="12" t="s">
        <v>673</v>
      </c>
      <c r="G99" s="12" t="s">
        <v>705</v>
      </c>
      <c r="H99" s="12" t="s">
        <v>711</v>
      </c>
      <c r="I99" s="12" t="s">
        <v>714</v>
      </c>
      <c r="J99" s="12" t="s">
        <v>732</v>
      </c>
      <c r="K99" s="12" t="s">
        <v>813</v>
      </c>
      <c r="L99" s="6">
        <v>1122.68</v>
      </c>
      <c r="M99" s="6">
        <v>1997.19</v>
      </c>
      <c r="N99" s="6">
        <f t="shared" si="18"/>
        <v>1997.19</v>
      </c>
      <c r="O99" s="6" t="str">
        <f t="shared" si="32"/>
        <v>High</v>
      </c>
      <c r="P99" s="6">
        <v>0.186</v>
      </c>
      <c r="Q99" s="6">
        <f t="shared" si="19"/>
        <v>0.186</v>
      </c>
      <c r="R99" s="6">
        <v>3</v>
      </c>
      <c r="S99" s="6" t="str">
        <f t="shared" si="20"/>
        <v>OK</v>
      </c>
      <c r="T99" s="4">
        <f t="shared" si="21"/>
        <v>45647</v>
      </c>
      <c r="U99" s="11">
        <f t="shared" si="22"/>
        <v>30</v>
      </c>
      <c r="V99" s="6">
        <f t="shared" si="23"/>
        <v>4877.1379800000004</v>
      </c>
      <c r="W99" s="6">
        <f t="shared" si="24"/>
        <v>3368.04</v>
      </c>
      <c r="X99" s="6">
        <f t="shared" si="25"/>
        <v>1509.0979800000005</v>
      </c>
      <c r="Y99" s="6">
        <f t="shared" si="26"/>
        <v>0.30942285951073306</v>
      </c>
      <c r="Z99" s="4" t="str">
        <f t="shared" si="27"/>
        <v>Q4-2024</v>
      </c>
      <c r="AA99" t="str">
        <f t="shared" si="28"/>
        <v>Monitors</v>
      </c>
      <c r="AB99" t="str">
        <f t="shared" si="29"/>
        <v>Monitors</v>
      </c>
      <c r="AC99" t="str">
        <f t="shared" si="30"/>
        <v>Compliant</v>
      </c>
      <c r="AD99" t="str">
        <f t="shared" si="31"/>
        <v>Late</v>
      </c>
      <c r="AE99" s="8">
        <f>MIN(Q99,Scenario!$B$2)</f>
        <v>0.186</v>
      </c>
      <c r="AF99" s="33">
        <f>L99*(1+Scenario!$B$3)</f>
        <v>1291.0819999999999</v>
      </c>
      <c r="AG99" s="6">
        <f>R99*(1+Scenario!$B$4)</f>
        <v>3.5999999999999996</v>
      </c>
      <c r="AH99" s="33">
        <f t="shared" si="33"/>
        <v>5852.565576</v>
      </c>
      <c r="AI99" s="33">
        <f t="shared" si="34"/>
        <v>4647.895199999999</v>
      </c>
      <c r="AJ99" s="33">
        <f t="shared" si="35"/>
        <v>1204.6703760000009</v>
      </c>
    </row>
    <row r="100" spans="1:36" hidden="1" x14ac:dyDescent="0.25">
      <c r="A100" s="12" t="s">
        <v>501</v>
      </c>
      <c r="B100" s="27">
        <v>45613</v>
      </c>
      <c r="C100" s="4">
        <v>45624</v>
      </c>
      <c r="D100" s="12" t="s">
        <v>648</v>
      </c>
      <c r="E100" s="12" t="s">
        <v>653</v>
      </c>
      <c r="F100" s="15" t="s">
        <v>1367</v>
      </c>
      <c r="G100" s="12" t="s">
        <v>704</v>
      </c>
      <c r="H100" s="12" t="s">
        <v>710</v>
      </c>
      <c r="I100" s="12" t="s">
        <v>720</v>
      </c>
      <c r="J100" s="12" t="s">
        <v>728</v>
      </c>
      <c r="K100" s="12" t="s">
        <v>1220</v>
      </c>
      <c r="L100" s="6">
        <v>1008.16</v>
      </c>
      <c r="M100" s="6">
        <v>2077.5</v>
      </c>
      <c r="N100" s="6">
        <f t="shared" si="18"/>
        <v>2077.5</v>
      </c>
      <c r="O100" s="6" t="str">
        <f t="shared" si="32"/>
        <v>High</v>
      </c>
      <c r="P100" s="6">
        <v>7.3999999999999996E-2</v>
      </c>
      <c r="Q100" s="6">
        <f t="shared" si="19"/>
        <v>7.3999999999999996E-2</v>
      </c>
      <c r="R100" s="6">
        <v>15</v>
      </c>
      <c r="S100" s="6" t="str">
        <f t="shared" si="20"/>
        <v>OK</v>
      </c>
      <c r="T100" s="4">
        <f t="shared" si="21"/>
        <v>45624</v>
      </c>
      <c r="U100" s="11">
        <f t="shared" si="22"/>
        <v>11</v>
      </c>
      <c r="V100" s="6">
        <f t="shared" si="23"/>
        <v>28856.475000000002</v>
      </c>
      <c r="W100" s="6">
        <f t="shared" si="24"/>
        <v>15122.4</v>
      </c>
      <c r="X100" s="6">
        <f t="shared" si="25"/>
        <v>13734.075000000003</v>
      </c>
      <c r="Y100" s="6">
        <f t="shared" si="26"/>
        <v>0.47594430712691005</v>
      </c>
      <c r="Z100" s="4" t="str">
        <f t="shared" si="27"/>
        <v>Q4-2024</v>
      </c>
      <c r="AA100" t="str">
        <f t="shared" si="28"/>
        <v>Printers</v>
      </c>
      <c r="AB100" t="str">
        <f t="shared" si="29"/>
        <v>Printers</v>
      </c>
      <c r="AC100" t="str">
        <f t="shared" si="30"/>
        <v>Compliant</v>
      </c>
      <c r="AD100" t="str">
        <f t="shared" si="31"/>
        <v>Late</v>
      </c>
      <c r="AE100" s="8">
        <f>MIN(Q100,Scenario!$B$2)</f>
        <v>7.3999999999999996E-2</v>
      </c>
      <c r="AF100" s="33">
        <f>L100*(1+Scenario!$B$3)</f>
        <v>1159.3839999999998</v>
      </c>
      <c r="AG100" s="6">
        <f>R100*(1+Scenario!$B$4)</f>
        <v>18</v>
      </c>
      <c r="AH100" s="33">
        <f t="shared" si="33"/>
        <v>34627.770000000004</v>
      </c>
      <c r="AI100" s="33">
        <f t="shared" si="34"/>
        <v>20868.911999999997</v>
      </c>
      <c r="AJ100" s="33">
        <f t="shared" si="35"/>
        <v>13758.858000000007</v>
      </c>
    </row>
    <row r="101" spans="1:36" hidden="1" x14ac:dyDescent="0.25">
      <c r="A101" s="12" t="s">
        <v>65</v>
      </c>
      <c r="B101" s="27">
        <v>45602</v>
      </c>
      <c r="C101" s="4">
        <v>45618</v>
      </c>
      <c r="D101" s="12" t="s">
        <v>648</v>
      </c>
      <c r="E101" s="12" t="s">
        <v>653</v>
      </c>
      <c r="F101" s="12" t="s">
        <v>667</v>
      </c>
      <c r="G101" s="12" t="s">
        <v>703</v>
      </c>
      <c r="H101" s="12" t="s">
        <v>710</v>
      </c>
      <c r="I101" s="12" t="s">
        <v>726</v>
      </c>
      <c r="J101" s="12" t="s">
        <v>733</v>
      </c>
      <c r="K101" s="12" t="s">
        <v>784</v>
      </c>
      <c r="L101" s="6">
        <v>1454.11</v>
      </c>
      <c r="M101" s="6">
        <v>2629.75</v>
      </c>
      <c r="N101" s="6">
        <f t="shared" si="18"/>
        <v>2629.75</v>
      </c>
      <c r="O101" s="6" t="str">
        <f t="shared" si="32"/>
        <v>High</v>
      </c>
      <c r="P101" s="6">
        <v>0.29199999999999998</v>
      </c>
      <c r="Q101" s="6">
        <f t="shared" si="19"/>
        <v>0.29199999999999998</v>
      </c>
      <c r="R101" s="6">
        <v>8</v>
      </c>
      <c r="S101" s="6" t="str">
        <f t="shared" si="20"/>
        <v>OK</v>
      </c>
      <c r="T101" s="4">
        <f t="shared" si="21"/>
        <v>45618</v>
      </c>
      <c r="U101" s="11">
        <f t="shared" si="22"/>
        <v>16</v>
      </c>
      <c r="V101" s="6">
        <f t="shared" si="23"/>
        <v>14894.903999999999</v>
      </c>
      <c r="W101" s="6">
        <f t="shared" si="24"/>
        <v>11632.88</v>
      </c>
      <c r="X101" s="6">
        <f t="shared" si="25"/>
        <v>3262.0239999999994</v>
      </c>
      <c r="Y101" s="6">
        <f t="shared" si="26"/>
        <v>0.21900268709351867</v>
      </c>
      <c r="Z101" s="4" t="str">
        <f t="shared" si="27"/>
        <v>Q4-2024</v>
      </c>
      <c r="AA101" t="str">
        <f t="shared" si="28"/>
        <v>Accessories</v>
      </c>
      <c r="AB101" t="str">
        <f t="shared" si="29"/>
        <v>Accessories</v>
      </c>
      <c r="AC101" t="str">
        <f t="shared" si="30"/>
        <v>Non-compliant</v>
      </c>
      <c r="AD101" t="str">
        <f t="shared" si="31"/>
        <v>Late</v>
      </c>
      <c r="AE101" s="8">
        <f>MIN(Q101,Scenario!$B$2)</f>
        <v>0.2</v>
      </c>
      <c r="AF101" s="33">
        <f>L101*(1+Scenario!$B$3)</f>
        <v>1672.2264999999998</v>
      </c>
      <c r="AG101" s="6">
        <f>R101*(1+Scenario!$B$4)</f>
        <v>9.6</v>
      </c>
      <c r="AH101" s="33">
        <f t="shared" si="33"/>
        <v>20196.48</v>
      </c>
      <c r="AI101" s="33">
        <f t="shared" si="34"/>
        <v>16053.374399999997</v>
      </c>
      <c r="AJ101" s="33">
        <f t="shared" si="35"/>
        <v>4143.1056000000026</v>
      </c>
    </row>
    <row r="102" spans="1:36" hidden="1" x14ac:dyDescent="0.25">
      <c r="A102" s="12" t="s">
        <v>479</v>
      </c>
      <c r="B102" s="27">
        <v>45618</v>
      </c>
      <c r="C102" s="4">
        <v>45641</v>
      </c>
      <c r="D102" s="12" t="s">
        <v>646</v>
      </c>
      <c r="E102" s="12" t="s">
        <v>650</v>
      </c>
      <c r="F102" s="12" t="s">
        <v>675</v>
      </c>
      <c r="G102" s="12" t="s">
        <v>703</v>
      </c>
      <c r="H102" s="12" t="s">
        <v>710</v>
      </c>
      <c r="I102" s="12" t="s">
        <v>712</v>
      </c>
      <c r="J102" s="12" t="s">
        <v>727</v>
      </c>
      <c r="K102" s="12" t="s">
        <v>1198</v>
      </c>
      <c r="L102" s="6">
        <v>1335.76</v>
      </c>
      <c r="M102" s="6">
        <v>2665.91</v>
      </c>
      <c r="N102" s="6">
        <f t="shared" si="18"/>
        <v>2665.91</v>
      </c>
      <c r="O102" s="6" t="str">
        <f t="shared" si="32"/>
        <v>High</v>
      </c>
      <c r="P102" s="6">
        <v>0.21099999999999999</v>
      </c>
      <c r="Q102" s="6">
        <f t="shared" si="19"/>
        <v>0.21099999999999999</v>
      </c>
      <c r="R102" s="6">
        <v>40</v>
      </c>
      <c r="S102" s="6" t="str">
        <f t="shared" si="20"/>
        <v>OK</v>
      </c>
      <c r="T102" s="4">
        <f t="shared" si="21"/>
        <v>45641</v>
      </c>
      <c r="U102" s="11">
        <f t="shared" si="22"/>
        <v>23</v>
      </c>
      <c r="V102" s="6">
        <f t="shared" si="23"/>
        <v>84136.119600000005</v>
      </c>
      <c r="W102" s="6">
        <f t="shared" si="24"/>
        <v>53430.400000000001</v>
      </c>
      <c r="X102" s="6">
        <f t="shared" si="25"/>
        <v>30705.719600000004</v>
      </c>
      <c r="Y102" s="6">
        <f t="shared" si="26"/>
        <v>0.36495288522909253</v>
      </c>
      <c r="Z102" s="4" t="str">
        <f t="shared" si="27"/>
        <v>Q4-2024</v>
      </c>
      <c r="AA102" t="str">
        <f t="shared" si="28"/>
        <v>Components</v>
      </c>
      <c r="AB102" t="str">
        <f t="shared" si="29"/>
        <v>Components</v>
      </c>
      <c r="AC102" t="str">
        <f t="shared" si="30"/>
        <v>Non-compliant</v>
      </c>
      <c r="AD102" t="str">
        <f t="shared" si="31"/>
        <v>Late</v>
      </c>
      <c r="AE102" s="8">
        <f>MIN(Q102,Scenario!$B$2)</f>
        <v>0.2</v>
      </c>
      <c r="AF102" s="33">
        <f>L102*(1+Scenario!$B$3)</f>
        <v>1536.1239999999998</v>
      </c>
      <c r="AG102" s="6">
        <f>R102*(1+Scenario!$B$4)</f>
        <v>48</v>
      </c>
      <c r="AH102" s="33">
        <f t="shared" si="33"/>
        <v>102370.944</v>
      </c>
      <c r="AI102" s="33">
        <f t="shared" si="34"/>
        <v>73733.95199999999</v>
      </c>
      <c r="AJ102" s="33">
        <f t="shared" si="35"/>
        <v>28636.992000000013</v>
      </c>
    </row>
    <row r="103" spans="1:36" hidden="1" x14ac:dyDescent="0.25">
      <c r="A103" s="12" t="s">
        <v>129</v>
      </c>
      <c r="B103" s="27">
        <v>45250</v>
      </c>
      <c r="C103" s="4">
        <v>45265</v>
      </c>
      <c r="D103" s="12" t="s">
        <v>647</v>
      </c>
      <c r="E103" s="12" t="s">
        <v>652</v>
      </c>
      <c r="F103" s="12" t="s">
        <v>689</v>
      </c>
      <c r="G103" s="12" t="s">
        <v>706</v>
      </c>
      <c r="H103" s="12" t="s">
        <v>707</v>
      </c>
      <c r="I103" s="12" t="s">
        <v>716</v>
      </c>
      <c r="J103" s="12" t="s">
        <v>729</v>
      </c>
      <c r="K103" s="12" t="s">
        <v>848</v>
      </c>
      <c r="L103" s="6">
        <v>354.24</v>
      </c>
      <c r="M103" s="6">
        <v>249.87</v>
      </c>
      <c r="N103" s="6">
        <f t="shared" si="18"/>
        <v>249.87</v>
      </c>
      <c r="O103" s="6" t="str">
        <f t="shared" si="32"/>
        <v>Low</v>
      </c>
      <c r="P103" s="6">
        <v>0</v>
      </c>
      <c r="Q103" s="6">
        <f t="shared" si="19"/>
        <v>0</v>
      </c>
      <c r="R103" s="6">
        <v>6</v>
      </c>
      <c r="S103" s="6" t="str">
        <f t="shared" si="20"/>
        <v>OK</v>
      </c>
      <c r="T103" s="4">
        <f t="shared" si="21"/>
        <v>45265</v>
      </c>
      <c r="U103" s="11">
        <f t="shared" si="22"/>
        <v>15</v>
      </c>
      <c r="V103" s="6">
        <f t="shared" si="23"/>
        <v>1499.22</v>
      </c>
      <c r="W103" s="6">
        <f t="shared" si="24"/>
        <v>2125.44</v>
      </c>
      <c r="X103" s="6">
        <f t="shared" si="25"/>
        <v>-626.22</v>
      </c>
      <c r="Y103" s="6">
        <f t="shared" si="26"/>
        <v>-0.41769720254532355</v>
      </c>
      <c r="Z103" s="4" t="str">
        <f t="shared" si="27"/>
        <v>Q4-2023</v>
      </c>
      <c r="AA103" t="str">
        <f t="shared" si="28"/>
        <v>Networking</v>
      </c>
      <c r="AB103" t="str">
        <f t="shared" si="29"/>
        <v>Networking</v>
      </c>
      <c r="AC103" t="str">
        <f t="shared" si="30"/>
        <v>Compliant</v>
      </c>
      <c r="AD103" t="str">
        <f t="shared" si="31"/>
        <v>Late</v>
      </c>
      <c r="AE103" s="8">
        <f>MIN(Q103,Scenario!$B$2)</f>
        <v>0</v>
      </c>
      <c r="AF103" s="33">
        <f>L103*(1+Scenario!$B$3)</f>
        <v>407.37599999999998</v>
      </c>
      <c r="AG103" s="6">
        <f>R103*(1+Scenario!$B$4)</f>
        <v>7.1999999999999993</v>
      </c>
      <c r="AH103" s="33">
        <f t="shared" si="33"/>
        <v>1799.0639999999999</v>
      </c>
      <c r="AI103" s="33">
        <f t="shared" si="34"/>
        <v>2933.1071999999995</v>
      </c>
      <c r="AJ103" s="33">
        <f t="shared" si="35"/>
        <v>-1134.0431999999996</v>
      </c>
    </row>
    <row r="104" spans="1:36" x14ac:dyDescent="0.25">
      <c r="A104" s="12" t="s">
        <v>472</v>
      </c>
      <c r="B104" s="27">
        <v>45260</v>
      </c>
      <c r="C104" s="4">
        <v>45270</v>
      </c>
      <c r="D104" s="12" t="s">
        <v>649</v>
      </c>
      <c r="E104" s="12" t="s">
        <v>656</v>
      </c>
      <c r="F104" s="12" t="s">
        <v>684</v>
      </c>
      <c r="G104" s="12" t="s">
        <v>705</v>
      </c>
      <c r="H104" s="12" t="s">
        <v>711</v>
      </c>
      <c r="I104" s="12" t="s">
        <v>721</v>
      </c>
      <c r="J104" s="12" t="s">
        <v>731</v>
      </c>
      <c r="K104" s="12" t="s">
        <v>1191</v>
      </c>
      <c r="L104" s="6">
        <v>174.74</v>
      </c>
      <c r="M104" s="6">
        <v>415.96</v>
      </c>
      <c r="N104" s="6">
        <f t="shared" si="18"/>
        <v>415.96</v>
      </c>
      <c r="O104" s="6" t="str">
        <f t="shared" si="32"/>
        <v>Low</v>
      </c>
      <c r="P104" s="6">
        <v>0.125</v>
      </c>
      <c r="Q104" s="6">
        <f t="shared" si="19"/>
        <v>0.125</v>
      </c>
      <c r="R104" s="6">
        <v>21</v>
      </c>
      <c r="S104" s="6" t="str">
        <f t="shared" si="20"/>
        <v>OK</v>
      </c>
      <c r="T104" s="4">
        <f t="shared" si="21"/>
        <v>45270</v>
      </c>
      <c r="U104" s="11">
        <f t="shared" si="22"/>
        <v>10</v>
      </c>
      <c r="V104" s="6">
        <f t="shared" si="23"/>
        <v>7643.2649999999994</v>
      </c>
      <c r="W104" s="6">
        <f t="shared" si="24"/>
        <v>3669.54</v>
      </c>
      <c r="X104" s="6">
        <f t="shared" si="25"/>
        <v>3973.7249999999995</v>
      </c>
      <c r="Y104" s="6">
        <f t="shared" si="26"/>
        <v>0.51989889137691803</v>
      </c>
      <c r="Z104" s="4" t="str">
        <f t="shared" si="27"/>
        <v>Q4-2023</v>
      </c>
      <c r="AA104" t="str">
        <f t="shared" si="28"/>
        <v>Laptops</v>
      </c>
      <c r="AB104" t="str">
        <f t="shared" si="29"/>
        <v>Laptops</v>
      </c>
      <c r="AC104" t="str">
        <f t="shared" si="30"/>
        <v>Compliant</v>
      </c>
      <c r="AD104" t="str">
        <f t="shared" si="31"/>
        <v>Late</v>
      </c>
      <c r="AE104" s="8">
        <f>MIN(Q104,Scenario!$B$2)</f>
        <v>0.125</v>
      </c>
      <c r="AF104" s="33">
        <f>L104*(1+Scenario!$B$3)</f>
        <v>200.95099999999999</v>
      </c>
      <c r="AG104" s="6">
        <f>R104*(1+Scenario!$B$4)</f>
        <v>25.2</v>
      </c>
      <c r="AH104" s="33">
        <f t="shared" si="33"/>
        <v>9171.9179999999997</v>
      </c>
      <c r="AI104" s="33">
        <f t="shared" si="34"/>
        <v>5063.9651999999996</v>
      </c>
      <c r="AJ104" s="33">
        <f t="shared" si="35"/>
        <v>4107.9528</v>
      </c>
    </row>
    <row r="105" spans="1:36" hidden="1" x14ac:dyDescent="0.25">
      <c r="A105" s="12" t="s">
        <v>160</v>
      </c>
      <c r="B105" s="27">
        <v>45260</v>
      </c>
      <c r="C105" s="4">
        <v>45259</v>
      </c>
      <c r="D105" s="12" t="s">
        <v>646</v>
      </c>
      <c r="E105" s="12" t="s">
        <v>661</v>
      </c>
      <c r="F105" s="12" t="s">
        <v>687</v>
      </c>
      <c r="G105" s="12" t="s">
        <v>705</v>
      </c>
      <c r="H105" s="12" t="s">
        <v>709</v>
      </c>
      <c r="I105" s="12" t="s">
        <v>718</v>
      </c>
      <c r="J105" s="12" t="s">
        <v>731</v>
      </c>
      <c r="K105" s="12" t="s">
        <v>879</v>
      </c>
      <c r="L105" s="6">
        <v>275.56</v>
      </c>
      <c r="M105" s="6">
        <v>630.72</v>
      </c>
      <c r="N105" s="6">
        <f t="shared" si="18"/>
        <v>630.72</v>
      </c>
      <c r="O105" s="6" t="str">
        <f t="shared" si="32"/>
        <v>Middle</v>
      </c>
      <c r="P105" s="6">
        <v>0.107</v>
      </c>
      <c r="Q105" s="6">
        <f t="shared" si="19"/>
        <v>0.107</v>
      </c>
      <c r="R105" s="6">
        <v>23</v>
      </c>
      <c r="S105" s="6" t="str">
        <f t="shared" si="20"/>
        <v>Correct</v>
      </c>
      <c r="T105" s="4">
        <f t="shared" si="21"/>
        <v>45267</v>
      </c>
      <c r="U105" s="11">
        <f t="shared" si="22"/>
        <v>7</v>
      </c>
      <c r="V105" s="6">
        <f t="shared" si="23"/>
        <v>12954.358080000002</v>
      </c>
      <c r="W105" s="6">
        <f t="shared" si="24"/>
        <v>6337.88</v>
      </c>
      <c r="X105" s="6">
        <f t="shared" si="25"/>
        <v>6616.4780800000017</v>
      </c>
      <c r="Y105" s="6">
        <f t="shared" si="26"/>
        <v>0.5107530638831933</v>
      </c>
      <c r="Z105" s="4" t="str">
        <f t="shared" si="27"/>
        <v>Q4-2023</v>
      </c>
      <c r="AA105" t="str">
        <f t="shared" si="28"/>
        <v>Laptops</v>
      </c>
      <c r="AB105" t="str">
        <f t="shared" si="29"/>
        <v>Laptops</v>
      </c>
      <c r="AC105" t="str">
        <f t="shared" si="30"/>
        <v>Compliant</v>
      </c>
      <c r="AD105" t="str">
        <f t="shared" si="31"/>
        <v>On-time</v>
      </c>
      <c r="AE105" s="8">
        <f>MIN(Q105,Scenario!$B$2)</f>
        <v>0.107</v>
      </c>
      <c r="AF105" s="33">
        <f>L105*(1+Scenario!$B$3)</f>
        <v>316.89400000000001</v>
      </c>
      <c r="AG105" s="6">
        <f>R105*(1+Scenario!$B$4)</f>
        <v>27.599999999999998</v>
      </c>
      <c r="AH105" s="33">
        <f t="shared" si="33"/>
        <v>15545.229696</v>
      </c>
      <c r="AI105" s="33">
        <f t="shared" si="34"/>
        <v>8746.2744000000002</v>
      </c>
      <c r="AJ105" s="33">
        <f t="shared" si="35"/>
        <v>6798.9552960000001</v>
      </c>
    </row>
    <row r="106" spans="1:36" hidden="1" x14ac:dyDescent="0.25">
      <c r="A106" s="12" t="s">
        <v>228</v>
      </c>
      <c r="B106" s="27">
        <v>45240</v>
      </c>
      <c r="C106" s="4">
        <v>45258</v>
      </c>
      <c r="D106" s="12" t="s">
        <v>648</v>
      </c>
      <c r="E106" s="12" t="s">
        <v>655</v>
      </c>
      <c r="F106" s="12" t="s">
        <v>672</v>
      </c>
      <c r="G106" s="12" t="s">
        <v>702</v>
      </c>
      <c r="H106" s="12" t="s">
        <v>709</v>
      </c>
      <c r="I106" s="12" t="s">
        <v>716</v>
      </c>
      <c r="J106" s="12" t="s">
        <v>733</v>
      </c>
      <c r="K106" s="12" t="s">
        <v>948</v>
      </c>
      <c r="L106" s="6">
        <v>388.51</v>
      </c>
      <c r="M106" s="6">
        <v>776.46</v>
      </c>
      <c r="N106" s="6">
        <f t="shared" si="18"/>
        <v>776.46</v>
      </c>
      <c r="O106" s="6" t="str">
        <f t="shared" si="32"/>
        <v>Middle</v>
      </c>
      <c r="P106" s="6">
        <v>0.157</v>
      </c>
      <c r="Q106" s="6">
        <f t="shared" si="19"/>
        <v>0.157</v>
      </c>
      <c r="R106" s="6">
        <v>12</v>
      </c>
      <c r="S106" s="6" t="str">
        <f t="shared" si="20"/>
        <v>OK</v>
      </c>
      <c r="T106" s="4">
        <f t="shared" si="21"/>
        <v>45258</v>
      </c>
      <c r="U106" s="11">
        <f t="shared" si="22"/>
        <v>18</v>
      </c>
      <c r="V106" s="6">
        <f t="shared" si="23"/>
        <v>7854.6693599999999</v>
      </c>
      <c r="W106" s="6">
        <f t="shared" si="24"/>
        <v>4662.12</v>
      </c>
      <c r="X106" s="6">
        <f t="shared" si="25"/>
        <v>3192.54936</v>
      </c>
      <c r="Y106" s="6">
        <f t="shared" si="26"/>
        <v>0.40645241876864946</v>
      </c>
      <c r="Z106" s="4" t="str">
        <f t="shared" si="27"/>
        <v>Q4-2023</v>
      </c>
      <c r="AA106" t="str">
        <f t="shared" si="28"/>
        <v>Accessories</v>
      </c>
      <c r="AB106" t="str">
        <f t="shared" si="29"/>
        <v>Accessories</v>
      </c>
      <c r="AC106" t="str">
        <f t="shared" si="30"/>
        <v>Compliant</v>
      </c>
      <c r="AD106" t="str">
        <f t="shared" si="31"/>
        <v>Late</v>
      </c>
      <c r="AE106" s="8">
        <f>MIN(Q106,Scenario!$B$2)</f>
        <v>0.157</v>
      </c>
      <c r="AF106" s="33">
        <f>L106*(1+Scenario!$B$3)</f>
        <v>446.78649999999993</v>
      </c>
      <c r="AG106" s="6">
        <f>R106*(1+Scenario!$B$4)</f>
        <v>14.399999999999999</v>
      </c>
      <c r="AH106" s="33">
        <f t="shared" si="33"/>
        <v>9425.6032319999995</v>
      </c>
      <c r="AI106" s="33">
        <f t="shared" si="34"/>
        <v>6433.7255999999988</v>
      </c>
      <c r="AJ106" s="33">
        <f t="shared" si="35"/>
        <v>2991.8776320000006</v>
      </c>
    </row>
    <row r="107" spans="1:36" hidden="1" x14ac:dyDescent="0.25">
      <c r="A107" s="12" t="s">
        <v>252</v>
      </c>
      <c r="B107" s="27">
        <v>45258</v>
      </c>
      <c r="C107" s="4">
        <v>45267</v>
      </c>
      <c r="D107" s="12" t="s">
        <v>647</v>
      </c>
      <c r="E107" s="12" t="s">
        <v>654</v>
      </c>
      <c r="F107" s="12" t="s">
        <v>680</v>
      </c>
      <c r="G107" s="12" t="s">
        <v>706</v>
      </c>
      <c r="H107" s="12" t="s">
        <v>709</v>
      </c>
      <c r="I107" s="12" t="s">
        <v>716</v>
      </c>
      <c r="J107" s="12" t="s">
        <v>730</v>
      </c>
      <c r="K107" s="12" t="s">
        <v>972</v>
      </c>
      <c r="L107" s="6">
        <v>699.33</v>
      </c>
      <c r="M107" s="6">
        <v>873.75</v>
      </c>
      <c r="N107" s="6">
        <f t="shared" si="18"/>
        <v>873.75</v>
      </c>
      <c r="O107" s="6" t="str">
        <f t="shared" si="32"/>
        <v>Middle</v>
      </c>
      <c r="P107" s="6">
        <v>0.23499999999999999</v>
      </c>
      <c r="Q107" s="6">
        <f t="shared" si="19"/>
        <v>0.23499999999999999</v>
      </c>
      <c r="R107" s="6">
        <v>10</v>
      </c>
      <c r="S107" s="6" t="str">
        <f t="shared" si="20"/>
        <v>OK</v>
      </c>
      <c r="T107" s="4">
        <f t="shared" si="21"/>
        <v>45267</v>
      </c>
      <c r="U107" s="11">
        <f t="shared" si="22"/>
        <v>9</v>
      </c>
      <c r="V107" s="6">
        <f t="shared" si="23"/>
        <v>6684.1875</v>
      </c>
      <c r="W107" s="6">
        <f t="shared" si="24"/>
        <v>6993.3</v>
      </c>
      <c r="X107" s="6">
        <f t="shared" si="25"/>
        <v>-309.11250000000018</v>
      </c>
      <c r="Y107" s="6">
        <f t="shared" si="26"/>
        <v>-4.6245336475076469E-2</v>
      </c>
      <c r="Z107" s="4" t="str">
        <f t="shared" si="27"/>
        <v>Q4-2023</v>
      </c>
      <c r="AA107" t="str">
        <f t="shared" si="28"/>
        <v>Phones</v>
      </c>
      <c r="AB107" t="str">
        <f t="shared" si="29"/>
        <v>Phones</v>
      </c>
      <c r="AC107" t="str">
        <f t="shared" si="30"/>
        <v>Non-compliant</v>
      </c>
      <c r="AD107" t="str">
        <f t="shared" si="31"/>
        <v>Late</v>
      </c>
      <c r="AE107" s="8">
        <f>MIN(Q107,Scenario!$B$2)</f>
        <v>0.2</v>
      </c>
      <c r="AF107" s="33">
        <f>L107*(1+Scenario!$B$3)</f>
        <v>804.22950000000003</v>
      </c>
      <c r="AG107" s="6">
        <f>R107*(1+Scenario!$B$4)</f>
        <v>12</v>
      </c>
      <c r="AH107" s="33">
        <f t="shared" si="33"/>
        <v>8388</v>
      </c>
      <c r="AI107" s="33">
        <f t="shared" si="34"/>
        <v>9650.7540000000008</v>
      </c>
      <c r="AJ107" s="33">
        <f t="shared" si="35"/>
        <v>-1262.7540000000008</v>
      </c>
    </row>
    <row r="108" spans="1:36" x14ac:dyDescent="0.25">
      <c r="A108" s="12" t="s">
        <v>347</v>
      </c>
      <c r="B108" s="27">
        <v>45245</v>
      </c>
      <c r="C108" s="4">
        <v>45266</v>
      </c>
      <c r="D108" s="12" t="s">
        <v>649</v>
      </c>
      <c r="E108" s="12" t="s">
        <v>658</v>
      </c>
      <c r="F108" s="12" t="s">
        <v>693</v>
      </c>
      <c r="G108" s="12" t="s">
        <v>702</v>
      </c>
      <c r="H108" s="12" t="s">
        <v>711</v>
      </c>
      <c r="I108" s="12" t="s">
        <v>722</v>
      </c>
      <c r="J108" s="12" t="s">
        <v>733</v>
      </c>
      <c r="K108" s="12" t="s">
        <v>1067</v>
      </c>
      <c r="L108" s="6">
        <v>1184.99</v>
      </c>
      <c r="M108" s="6">
        <v>1154.3399999999999</v>
      </c>
      <c r="N108" s="6">
        <f t="shared" si="18"/>
        <v>1154.3399999999999</v>
      </c>
      <c r="O108" s="6" t="str">
        <f t="shared" si="32"/>
        <v>Middle</v>
      </c>
      <c r="P108" s="6">
        <v>2.8000000000000001E-2</v>
      </c>
      <c r="Q108" s="6">
        <f t="shared" si="19"/>
        <v>2.8000000000000001E-2</v>
      </c>
      <c r="R108" s="6">
        <v>5</v>
      </c>
      <c r="S108" s="6" t="str">
        <f t="shared" si="20"/>
        <v>OK</v>
      </c>
      <c r="T108" s="4">
        <f t="shared" si="21"/>
        <v>45266</v>
      </c>
      <c r="U108" s="11">
        <f t="shared" si="22"/>
        <v>21</v>
      </c>
      <c r="V108" s="6">
        <f t="shared" si="23"/>
        <v>5610.0923999999995</v>
      </c>
      <c r="W108" s="6">
        <f t="shared" si="24"/>
        <v>5924.95</v>
      </c>
      <c r="X108" s="6">
        <f t="shared" si="25"/>
        <v>-314.85760000000028</v>
      </c>
      <c r="Y108" s="6">
        <f t="shared" si="26"/>
        <v>-5.6123424990290764E-2</v>
      </c>
      <c r="Z108" s="4" t="str">
        <f t="shared" si="27"/>
        <v>Q4-2023</v>
      </c>
      <c r="AA108" t="str">
        <f t="shared" si="28"/>
        <v>Accessories</v>
      </c>
      <c r="AB108" t="str">
        <f t="shared" si="29"/>
        <v>Accessories</v>
      </c>
      <c r="AC108" t="str">
        <f t="shared" si="30"/>
        <v>Compliant</v>
      </c>
      <c r="AD108" t="str">
        <f t="shared" si="31"/>
        <v>Late</v>
      </c>
      <c r="AE108" s="8">
        <f>MIN(Q108,Scenario!$B$2)</f>
        <v>2.8000000000000001E-2</v>
      </c>
      <c r="AF108" s="33">
        <f>L108*(1+Scenario!$B$3)</f>
        <v>1362.7384999999999</v>
      </c>
      <c r="AG108" s="6">
        <f>R108*(1+Scenario!$B$4)</f>
        <v>6</v>
      </c>
      <c r="AH108" s="33">
        <f t="shared" si="33"/>
        <v>6732.1108799999993</v>
      </c>
      <c r="AI108" s="33">
        <f t="shared" si="34"/>
        <v>8176.4309999999996</v>
      </c>
      <c r="AJ108" s="33">
        <f t="shared" si="35"/>
        <v>-1444.3201200000003</v>
      </c>
    </row>
    <row r="109" spans="1:36" hidden="1" x14ac:dyDescent="0.25">
      <c r="A109" s="12" t="s">
        <v>331</v>
      </c>
      <c r="B109" s="27">
        <v>45244</v>
      </c>
      <c r="C109" s="4">
        <v>45260</v>
      </c>
      <c r="D109" s="12" t="s">
        <v>648</v>
      </c>
      <c r="E109" s="12" t="s">
        <v>655</v>
      </c>
      <c r="F109" s="12" t="s">
        <v>670</v>
      </c>
      <c r="G109" s="12" t="s">
        <v>706</v>
      </c>
      <c r="H109" s="12" t="s">
        <v>711</v>
      </c>
      <c r="I109" s="12" t="s">
        <v>723</v>
      </c>
      <c r="J109" s="12" t="s">
        <v>729</v>
      </c>
      <c r="K109" s="12" t="s">
        <v>1051</v>
      </c>
      <c r="L109" s="6">
        <v>1017.92</v>
      </c>
      <c r="M109" s="6">
        <v>1175.25</v>
      </c>
      <c r="N109" s="6">
        <f t="shared" si="18"/>
        <v>1175.25</v>
      </c>
      <c r="O109" s="6" t="str">
        <f t="shared" si="32"/>
        <v>Middle</v>
      </c>
      <c r="P109" s="6">
        <v>7.4999999999999997E-2</v>
      </c>
      <c r="Q109" s="6">
        <f t="shared" si="19"/>
        <v>7.4999999999999997E-2</v>
      </c>
      <c r="R109" s="6">
        <v>15</v>
      </c>
      <c r="S109" s="6" t="str">
        <f t="shared" si="20"/>
        <v>OK</v>
      </c>
      <c r="T109" s="4">
        <f t="shared" si="21"/>
        <v>45260</v>
      </c>
      <c r="U109" s="11">
        <f t="shared" si="22"/>
        <v>16</v>
      </c>
      <c r="V109" s="6">
        <f t="shared" si="23"/>
        <v>16306.59375</v>
      </c>
      <c r="W109" s="6">
        <f t="shared" si="24"/>
        <v>15268.8</v>
      </c>
      <c r="X109" s="6">
        <f t="shared" si="25"/>
        <v>1037.7937500000007</v>
      </c>
      <c r="Y109" s="6">
        <f t="shared" si="26"/>
        <v>6.3642583234159542E-2</v>
      </c>
      <c r="Z109" s="4" t="str">
        <f t="shared" si="27"/>
        <v>Q4-2023</v>
      </c>
      <c r="AA109" t="str">
        <f t="shared" si="28"/>
        <v>Networking</v>
      </c>
      <c r="AB109" t="str">
        <f t="shared" si="29"/>
        <v>Networking</v>
      </c>
      <c r="AC109" t="str">
        <f t="shared" si="30"/>
        <v>Compliant</v>
      </c>
      <c r="AD109" t="str">
        <f t="shared" si="31"/>
        <v>Late</v>
      </c>
      <c r="AE109" s="8">
        <f>MIN(Q109,Scenario!$B$2)</f>
        <v>7.4999999999999997E-2</v>
      </c>
      <c r="AF109" s="33">
        <f>L109*(1+Scenario!$B$3)</f>
        <v>1170.6079999999999</v>
      </c>
      <c r="AG109" s="6">
        <f>R109*(1+Scenario!$B$4)</f>
        <v>18</v>
      </c>
      <c r="AH109" s="33">
        <f t="shared" si="33"/>
        <v>19567.912500000002</v>
      </c>
      <c r="AI109" s="33">
        <f t="shared" si="34"/>
        <v>21070.944</v>
      </c>
      <c r="AJ109" s="33">
        <f t="shared" si="35"/>
        <v>-1503.0314999999973</v>
      </c>
    </row>
    <row r="110" spans="1:36" hidden="1" x14ac:dyDescent="0.25">
      <c r="A110" s="12" t="s">
        <v>644</v>
      </c>
      <c r="B110" s="27">
        <v>45249</v>
      </c>
      <c r="C110" s="4">
        <v>45279</v>
      </c>
      <c r="D110" s="12" t="s">
        <v>647</v>
      </c>
      <c r="E110" s="12" t="s">
        <v>652</v>
      </c>
      <c r="F110" s="12" t="s">
        <v>694</v>
      </c>
      <c r="G110" s="12" t="s">
        <v>704</v>
      </c>
      <c r="H110" s="12" t="s">
        <v>707</v>
      </c>
      <c r="I110" s="14" t="s">
        <v>1368</v>
      </c>
      <c r="J110" s="12" t="s">
        <v>730</v>
      </c>
      <c r="K110" s="12" t="s">
        <v>1362</v>
      </c>
      <c r="L110" s="6">
        <v>807.11</v>
      </c>
      <c r="M110" s="6">
        <v>1853.86</v>
      </c>
      <c r="N110" s="6">
        <f t="shared" si="18"/>
        <v>1853.86</v>
      </c>
      <c r="O110" s="6" t="str">
        <f t="shared" si="32"/>
        <v>High</v>
      </c>
      <c r="P110" s="6">
        <v>0.13900000000000001</v>
      </c>
      <c r="Q110" s="6">
        <f t="shared" si="19"/>
        <v>0.13900000000000001</v>
      </c>
      <c r="R110" s="6">
        <v>8</v>
      </c>
      <c r="S110" s="6" t="str">
        <f t="shared" si="20"/>
        <v>OK</v>
      </c>
      <c r="T110" s="4">
        <f t="shared" si="21"/>
        <v>45279</v>
      </c>
      <c r="U110" s="11">
        <f t="shared" si="22"/>
        <v>30</v>
      </c>
      <c r="V110" s="6">
        <f t="shared" si="23"/>
        <v>12769.38768</v>
      </c>
      <c r="W110" s="6">
        <f t="shared" si="24"/>
        <v>6456.88</v>
      </c>
      <c r="X110" s="6">
        <f t="shared" si="25"/>
        <v>6312.5076799999997</v>
      </c>
      <c r="Y110" s="6">
        <f t="shared" si="26"/>
        <v>0.49434693645388639</v>
      </c>
      <c r="Z110" s="4" t="str">
        <f t="shared" si="27"/>
        <v>Q4-2023</v>
      </c>
      <c r="AA110" t="str">
        <f t="shared" si="28"/>
        <v>Phones</v>
      </c>
      <c r="AB110" t="str">
        <f t="shared" si="29"/>
        <v>Phones</v>
      </c>
      <c r="AC110" t="str">
        <f t="shared" si="30"/>
        <v>Compliant</v>
      </c>
      <c r="AD110" t="str">
        <f t="shared" si="31"/>
        <v>Late</v>
      </c>
      <c r="AE110" s="8">
        <f>MIN(Q110,Scenario!$B$2)</f>
        <v>0.13900000000000001</v>
      </c>
      <c r="AF110" s="33">
        <f>L110*(1+Scenario!$B$3)</f>
        <v>928.17649999999992</v>
      </c>
      <c r="AG110" s="6">
        <f>R110*(1+Scenario!$B$4)</f>
        <v>9.6</v>
      </c>
      <c r="AH110" s="33">
        <f t="shared" si="33"/>
        <v>15323.265215999998</v>
      </c>
      <c r="AI110" s="33">
        <f t="shared" si="34"/>
        <v>8910.4943999999996</v>
      </c>
      <c r="AJ110" s="33">
        <f t="shared" si="35"/>
        <v>6412.7708159999984</v>
      </c>
    </row>
    <row r="111" spans="1:36" hidden="1" x14ac:dyDescent="0.25">
      <c r="A111" s="12" t="s">
        <v>639</v>
      </c>
      <c r="B111" s="27">
        <v>45249</v>
      </c>
      <c r="C111" s="4">
        <v>45272</v>
      </c>
      <c r="D111" s="12" t="s">
        <v>647</v>
      </c>
      <c r="E111" s="12" t="s">
        <v>654</v>
      </c>
      <c r="F111" s="12" t="s">
        <v>680</v>
      </c>
      <c r="G111" s="12" t="s">
        <v>705</v>
      </c>
      <c r="H111" s="12" t="s">
        <v>711</v>
      </c>
      <c r="I111" s="12" t="s">
        <v>712</v>
      </c>
      <c r="J111" s="12" t="s">
        <v>729</v>
      </c>
      <c r="K111" s="12" t="s">
        <v>1357</v>
      </c>
      <c r="L111" s="6">
        <v>1349.04</v>
      </c>
      <c r="M111" s="6">
        <v>2636.6</v>
      </c>
      <c r="N111" s="6">
        <f t="shared" si="18"/>
        <v>2636.6</v>
      </c>
      <c r="O111" s="6" t="str">
        <f t="shared" si="32"/>
        <v>High</v>
      </c>
      <c r="P111" s="6">
        <v>0.114</v>
      </c>
      <c r="Q111" s="6">
        <f t="shared" si="19"/>
        <v>0.114</v>
      </c>
      <c r="R111" s="6">
        <v>14</v>
      </c>
      <c r="S111" s="6" t="str">
        <f t="shared" si="20"/>
        <v>OK</v>
      </c>
      <c r="T111" s="4">
        <f t="shared" si="21"/>
        <v>45272</v>
      </c>
      <c r="U111" s="11">
        <f t="shared" si="22"/>
        <v>23</v>
      </c>
      <c r="V111" s="6">
        <f t="shared" si="23"/>
        <v>32704.386400000003</v>
      </c>
      <c r="W111" s="6">
        <f t="shared" si="24"/>
        <v>18886.559999999998</v>
      </c>
      <c r="X111" s="6">
        <f t="shared" si="25"/>
        <v>13817.826400000005</v>
      </c>
      <c r="Y111" s="6">
        <f t="shared" si="26"/>
        <v>0.42250682312143928</v>
      </c>
      <c r="Z111" s="4" t="str">
        <f t="shared" si="27"/>
        <v>Q4-2023</v>
      </c>
      <c r="AA111" t="str">
        <f t="shared" si="28"/>
        <v>Networking</v>
      </c>
      <c r="AB111" t="str">
        <f t="shared" si="29"/>
        <v>Networking</v>
      </c>
      <c r="AC111" t="str">
        <f t="shared" si="30"/>
        <v>Compliant</v>
      </c>
      <c r="AD111" t="str">
        <f t="shared" si="31"/>
        <v>Late</v>
      </c>
      <c r="AE111" s="8">
        <f>MIN(Q111,Scenario!$B$2)</f>
        <v>0.114</v>
      </c>
      <c r="AF111" s="33">
        <f>L111*(1+Scenario!$B$3)</f>
        <v>1551.3959999999997</v>
      </c>
      <c r="AG111" s="6">
        <f>R111*(1+Scenario!$B$4)</f>
        <v>16.8</v>
      </c>
      <c r="AH111" s="33">
        <f t="shared" si="33"/>
        <v>39245.263679999996</v>
      </c>
      <c r="AI111" s="33">
        <f t="shared" si="34"/>
        <v>26063.452799999995</v>
      </c>
      <c r="AJ111" s="33">
        <f t="shared" si="35"/>
        <v>13181.810880000001</v>
      </c>
    </row>
    <row r="112" spans="1:36" x14ac:dyDescent="0.25">
      <c r="A112" s="12" t="s">
        <v>136</v>
      </c>
      <c r="B112" s="27">
        <v>45249</v>
      </c>
      <c r="C112" s="4">
        <v>45273</v>
      </c>
      <c r="D112" s="12" t="s">
        <v>649</v>
      </c>
      <c r="E112" s="12" t="s">
        <v>657</v>
      </c>
      <c r="F112" s="12" t="s">
        <v>679</v>
      </c>
      <c r="G112" s="12" t="s">
        <v>703</v>
      </c>
      <c r="H112" s="12" t="s">
        <v>711</v>
      </c>
      <c r="I112" s="12" t="s">
        <v>722</v>
      </c>
      <c r="J112" s="12" t="s">
        <v>732</v>
      </c>
      <c r="K112" s="12" t="s">
        <v>855</v>
      </c>
      <c r="L112" s="6">
        <v>1297.42</v>
      </c>
      <c r="M112" s="6">
        <v>2742.97</v>
      </c>
      <c r="N112" s="6">
        <f t="shared" si="18"/>
        <v>2742.97</v>
      </c>
      <c r="O112" s="6" t="str">
        <f t="shared" si="32"/>
        <v>High</v>
      </c>
      <c r="P112" s="6">
        <v>6.9000000000000006E-2</v>
      </c>
      <c r="Q112" s="6">
        <f t="shared" si="19"/>
        <v>6.9000000000000006E-2</v>
      </c>
      <c r="R112" s="6">
        <v>9</v>
      </c>
      <c r="S112" s="6" t="str">
        <f t="shared" si="20"/>
        <v>OK</v>
      </c>
      <c r="T112" s="4">
        <f t="shared" si="21"/>
        <v>45273</v>
      </c>
      <c r="U112" s="11">
        <f t="shared" si="22"/>
        <v>24</v>
      </c>
      <c r="V112" s="6">
        <f t="shared" si="23"/>
        <v>22983.34563</v>
      </c>
      <c r="W112" s="6">
        <f t="shared" si="24"/>
        <v>11676.78</v>
      </c>
      <c r="X112" s="6">
        <f t="shared" si="25"/>
        <v>11306.565629999999</v>
      </c>
      <c r="Y112" s="6">
        <f t="shared" si="26"/>
        <v>0.49194602961727291</v>
      </c>
      <c r="Z112" s="4" t="str">
        <f t="shared" si="27"/>
        <v>Q4-2023</v>
      </c>
      <c r="AA112" t="str">
        <f t="shared" si="28"/>
        <v>Monitors</v>
      </c>
      <c r="AB112" t="str">
        <f t="shared" si="29"/>
        <v>Monitors</v>
      </c>
      <c r="AC112" t="str">
        <f t="shared" si="30"/>
        <v>Compliant</v>
      </c>
      <c r="AD112" t="str">
        <f t="shared" si="31"/>
        <v>Late</v>
      </c>
      <c r="AE112" s="8">
        <f>MIN(Q112,Scenario!$B$2)</f>
        <v>6.9000000000000006E-2</v>
      </c>
      <c r="AF112" s="33">
        <f>L112*(1+Scenario!$B$3)</f>
        <v>1492.0329999999999</v>
      </c>
      <c r="AG112" s="6">
        <f>R112*(1+Scenario!$B$4)</f>
        <v>10.799999999999999</v>
      </c>
      <c r="AH112" s="33">
        <f t="shared" si="33"/>
        <v>27580.014755999997</v>
      </c>
      <c r="AI112" s="33">
        <f t="shared" si="34"/>
        <v>16113.956399999997</v>
      </c>
      <c r="AJ112" s="33">
        <f t="shared" si="35"/>
        <v>11466.058356</v>
      </c>
    </row>
    <row r="113" spans="1:36" hidden="1" x14ac:dyDescent="0.25">
      <c r="A113" s="12" t="s">
        <v>531</v>
      </c>
      <c r="B113" s="27">
        <v>45794</v>
      </c>
      <c r="C113" s="4">
        <v>45807</v>
      </c>
      <c r="D113" s="12" t="s">
        <v>646</v>
      </c>
      <c r="E113" s="12" t="s">
        <v>651</v>
      </c>
      <c r="F113" s="12" t="s">
        <v>665</v>
      </c>
      <c r="G113" s="12" t="s">
        <v>704</v>
      </c>
      <c r="H113" s="12" t="s">
        <v>710</v>
      </c>
      <c r="I113" s="12" t="s">
        <v>721</v>
      </c>
      <c r="J113" s="12" t="s">
        <v>733</v>
      </c>
      <c r="K113" s="12" t="s">
        <v>1250</v>
      </c>
      <c r="L113" s="6">
        <v>66.400000000000006</v>
      </c>
      <c r="M113" s="6">
        <v>141.43</v>
      </c>
      <c r="N113" s="6">
        <f t="shared" si="18"/>
        <v>141.43</v>
      </c>
      <c r="O113" s="6" t="str">
        <f t="shared" si="32"/>
        <v>Low</v>
      </c>
      <c r="P113" s="6">
        <v>0.107</v>
      </c>
      <c r="Q113" s="6">
        <f t="shared" si="19"/>
        <v>0.107</v>
      </c>
      <c r="R113" s="6">
        <v>8</v>
      </c>
      <c r="S113" s="6" t="str">
        <f t="shared" si="20"/>
        <v>OK</v>
      </c>
      <c r="T113" s="4">
        <f t="shared" si="21"/>
        <v>45807</v>
      </c>
      <c r="U113" s="11">
        <f t="shared" si="22"/>
        <v>13</v>
      </c>
      <c r="V113" s="6">
        <f t="shared" si="23"/>
        <v>1010.3759200000001</v>
      </c>
      <c r="W113" s="6">
        <f t="shared" si="24"/>
        <v>531.20000000000005</v>
      </c>
      <c r="X113" s="6">
        <f t="shared" si="25"/>
        <v>479.17592000000002</v>
      </c>
      <c r="Y113" s="6">
        <f t="shared" si="26"/>
        <v>0.47425508715607551</v>
      </c>
      <c r="Z113" s="4" t="str">
        <f t="shared" si="27"/>
        <v>Q2-2025</v>
      </c>
      <c r="AA113" t="str">
        <f t="shared" si="28"/>
        <v>Accessories</v>
      </c>
      <c r="AB113" t="str">
        <f t="shared" si="29"/>
        <v>Accessories</v>
      </c>
      <c r="AC113" t="str">
        <f t="shared" si="30"/>
        <v>Compliant</v>
      </c>
      <c r="AD113" t="str">
        <f t="shared" si="31"/>
        <v>Late</v>
      </c>
      <c r="AE113" s="8">
        <f>MIN(Q113,Scenario!$B$2)</f>
        <v>0.107</v>
      </c>
      <c r="AF113" s="33">
        <f>L113*(1+Scenario!$B$3)</f>
        <v>76.36</v>
      </c>
      <c r="AG113" s="6">
        <f>R113*(1+Scenario!$B$4)</f>
        <v>9.6</v>
      </c>
      <c r="AH113" s="33">
        <f t="shared" si="33"/>
        <v>1212.451104</v>
      </c>
      <c r="AI113" s="33">
        <f t="shared" si="34"/>
        <v>733.05599999999993</v>
      </c>
      <c r="AJ113" s="33">
        <f t="shared" si="35"/>
        <v>479.39510400000006</v>
      </c>
    </row>
    <row r="114" spans="1:36" x14ac:dyDescent="0.25">
      <c r="A114" s="12" t="s">
        <v>97</v>
      </c>
      <c r="B114" s="27">
        <v>45791</v>
      </c>
      <c r="C114" s="4">
        <v>45801</v>
      </c>
      <c r="D114" s="12" t="s">
        <v>649</v>
      </c>
      <c r="E114" s="12" t="s">
        <v>657</v>
      </c>
      <c r="F114" s="12" t="s">
        <v>690</v>
      </c>
      <c r="G114" s="12" t="s">
        <v>705</v>
      </c>
      <c r="H114" s="12" t="s">
        <v>709</v>
      </c>
      <c r="I114" s="12" t="s">
        <v>723</v>
      </c>
      <c r="J114" s="12" t="s">
        <v>727</v>
      </c>
      <c r="K114" s="12" t="s">
        <v>816</v>
      </c>
      <c r="L114" s="6">
        <v>170.39</v>
      </c>
      <c r="M114" s="6">
        <v>388.04</v>
      </c>
      <c r="N114" s="6">
        <f t="shared" si="18"/>
        <v>388.04</v>
      </c>
      <c r="O114" s="6" t="str">
        <f t="shared" si="32"/>
        <v>Low</v>
      </c>
      <c r="P114" s="6">
        <v>8.4000000000000005E-2</v>
      </c>
      <c r="Q114" s="6">
        <f t="shared" si="19"/>
        <v>8.4000000000000005E-2</v>
      </c>
      <c r="R114" s="6">
        <v>15</v>
      </c>
      <c r="S114" s="6" t="str">
        <f t="shared" si="20"/>
        <v>OK</v>
      </c>
      <c r="T114" s="4">
        <f t="shared" si="21"/>
        <v>45801</v>
      </c>
      <c r="U114" s="11">
        <f t="shared" si="22"/>
        <v>10</v>
      </c>
      <c r="V114" s="6">
        <f t="shared" si="23"/>
        <v>5331.6696000000002</v>
      </c>
      <c r="W114" s="6">
        <f t="shared" si="24"/>
        <v>2555.85</v>
      </c>
      <c r="X114" s="6">
        <f t="shared" si="25"/>
        <v>2775.8196000000003</v>
      </c>
      <c r="Y114" s="6">
        <f t="shared" si="26"/>
        <v>0.52062858508711796</v>
      </c>
      <c r="Z114" s="4" t="str">
        <f t="shared" si="27"/>
        <v>Q2-2025</v>
      </c>
      <c r="AA114" t="str">
        <f t="shared" si="28"/>
        <v>Components</v>
      </c>
      <c r="AB114" t="str">
        <f t="shared" si="29"/>
        <v>Components</v>
      </c>
      <c r="AC114" t="str">
        <f t="shared" si="30"/>
        <v>Compliant</v>
      </c>
      <c r="AD114" t="str">
        <f t="shared" si="31"/>
        <v>Late</v>
      </c>
      <c r="AE114" s="8">
        <f>MIN(Q114,Scenario!$B$2)</f>
        <v>8.4000000000000005E-2</v>
      </c>
      <c r="AF114" s="33">
        <f>L114*(1+Scenario!$B$3)</f>
        <v>195.94849999999997</v>
      </c>
      <c r="AG114" s="6">
        <f>R114*(1+Scenario!$B$4)</f>
        <v>18</v>
      </c>
      <c r="AH114" s="33">
        <f t="shared" si="33"/>
        <v>6398.0035200000002</v>
      </c>
      <c r="AI114" s="33">
        <f t="shared" si="34"/>
        <v>3527.0729999999994</v>
      </c>
      <c r="AJ114" s="33">
        <f t="shared" si="35"/>
        <v>2870.9305200000008</v>
      </c>
    </row>
    <row r="115" spans="1:36" hidden="1" x14ac:dyDescent="0.25">
      <c r="A115" s="12" t="s">
        <v>321</v>
      </c>
      <c r="B115" s="27">
        <v>45795</v>
      </c>
      <c r="C115" s="4">
        <v>45817</v>
      </c>
      <c r="D115" s="12" t="s">
        <v>648</v>
      </c>
      <c r="E115" s="12" t="s">
        <v>660</v>
      </c>
      <c r="F115" s="12" t="s">
        <v>700</v>
      </c>
      <c r="G115" s="12" t="s">
        <v>704</v>
      </c>
      <c r="H115" s="12" t="s">
        <v>707</v>
      </c>
      <c r="I115" s="12" t="s">
        <v>722</v>
      </c>
      <c r="J115" s="12" t="s">
        <v>729</v>
      </c>
      <c r="K115" s="12" t="s">
        <v>1041</v>
      </c>
      <c r="L115" s="6">
        <v>382.96</v>
      </c>
      <c r="M115" s="6">
        <v>552.84</v>
      </c>
      <c r="N115" s="6">
        <f t="shared" si="18"/>
        <v>552.84</v>
      </c>
      <c r="O115" s="6" t="str">
        <f t="shared" si="32"/>
        <v>Low</v>
      </c>
      <c r="P115" s="6">
        <v>0.17599999999999999</v>
      </c>
      <c r="Q115" s="6">
        <f t="shared" si="19"/>
        <v>0.17599999999999999</v>
      </c>
      <c r="R115" s="6">
        <v>8</v>
      </c>
      <c r="S115" s="6" t="str">
        <f t="shared" si="20"/>
        <v>OK</v>
      </c>
      <c r="T115" s="4">
        <f t="shared" si="21"/>
        <v>45817</v>
      </c>
      <c r="U115" s="11">
        <f t="shared" si="22"/>
        <v>22</v>
      </c>
      <c r="V115" s="6">
        <f t="shared" si="23"/>
        <v>3644.3212800000006</v>
      </c>
      <c r="W115" s="6">
        <f t="shared" si="24"/>
        <v>3063.68</v>
      </c>
      <c r="X115" s="6">
        <f t="shared" si="25"/>
        <v>580.64128000000073</v>
      </c>
      <c r="Y115" s="6">
        <f t="shared" si="26"/>
        <v>0.15932768693763483</v>
      </c>
      <c r="Z115" s="4" t="str">
        <f t="shared" si="27"/>
        <v>Q2-2025</v>
      </c>
      <c r="AA115" t="str">
        <f t="shared" si="28"/>
        <v>Networking</v>
      </c>
      <c r="AB115" t="str">
        <f t="shared" si="29"/>
        <v>Networking</v>
      </c>
      <c r="AC115" t="str">
        <f t="shared" si="30"/>
        <v>Compliant</v>
      </c>
      <c r="AD115" t="str">
        <f t="shared" si="31"/>
        <v>Late</v>
      </c>
      <c r="AE115" s="8">
        <f>MIN(Q115,Scenario!$B$2)</f>
        <v>0.17599999999999999</v>
      </c>
      <c r="AF115" s="33">
        <f>L115*(1+Scenario!$B$3)</f>
        <v>440.40399999999994</v>
      </c>
      <c r="AG115" s="6">
        <f>R115*(1+Scenario!$B$4)</f>
        <v>9.6</v>
      </c>
      <c r="AH115" s="33">
        <f t="shared" si="33"/>
        <v>4373.1855360000009</v>
      </c>
      <c r="AI115" s="33">
        <f t="shared" si="34"/>
        <v>4227.8783999999996</v>
      </c>
      <c r="AJ115" s="33">
        <f t="shared" si="35"/>
        <v>145.30713600000126</v>
      </c>
    </row>
    <row r="116" spans="1:36" hidden="1" x14ac:dyDescent="0.25">
      <c r="A116" s="12" t="s">
        <v>400</v>
      </c>
      <c r="B116" s="27">
        <v>45789</v>
      </c>
      <c r="C116" s="4">
        <v>45803</v>
      </c>
      <c r="D116" s="12" t="s">
        <v>647</v>
      </c>
      <c r="E116" s="12" t="s">
        <v>654</v>
      </c>
      <c r="F116" s="12" t="s">
        <v>696</v>
      </c>
      <c r="G116" s="12" t="s">
        <v>701</v>
      </c>
      <c r="H116" s="12" t="s">
        <v>709</v>
      </c>
      <c r="I116" s="12" t="s">
        <v>715</v>
      </c>
      <c r="J116" s="12" t="s">
        <v>728</v>
      </c>
      <c r="K116" s="12" t="s">
        <v>1119</v>
      </c>
      <c r="L116" s="6">
        <v>320.12</v>
      </c>
      <c r="M116" s="6">
        <v>594.41999999999996</v>
      </c>
      <c r="N116" s="6">
        <f t="shared" si="18"/>
        <v>594.41999999999996</v>
      </c>
      <c r="O116" s="6" t="str">
        <f t="shared" si="32"/>
        <v>Low</v>
      </c>
      <c r="P116" s="6">
        <v>0.104</v>
      </c>
      <c r="Q116" s="6">
        <f t="shared" si="19"/>
        <v>0.104</v>
      </c>
      <c r="R116" s="6">
        <v>18</v>
      </c>
      <c r="S116" s="6" t="str">
        <f t="shared" si="20"/>
        <v>OK</v>
      </c>
      <c r="T116" s="4">
        <f t="shared" si="21"/>
        <v>45803</v>
      </c>
      <c r="U116" s="11">
        <f t="shared" si="22"/>
        <v>14</v>
      </c>
      <c r="V116" s="6">
        <f t="shared" si="23"/>
        <v>9586.8057599999993</v>
      </c>
      <c r="W116" s="6">
        <f t="shared" si="24"/>
        <v>5762.16</v>
      </c>
      <c r="X116" s="6">
        <f t="shared" si="25"/>
        <v>3824.6457599999994</v>
      </c>
      <c r="Y116" s="6">
        <f t="shared" si="26"/>
        <v>0.39894891538931104</v>
      </c>
      <c r="Z116" s="4" t="str">
        <f t="shared" si="27"/>
        <v>Q2-2025</v>
      </c>
      <c r="AA116" t="str">
        <f t="shared" si="28"/>
        <v>Printers</v>
      </c>
      <c r="AB116" t="str">
        <f t="shared" si="29"/>
        <v>Printers</v>
      </c>
      <c r="AC116" t="str">
        <f t="shared" si="30"/>
        <v>Compliant</v>
      </c>
      <c r="AD116" t="str">
        <f t="shared" si="31"/>
        <v>Late</v>
      </c>
      <c r="AE116" s="8">
        <f>MIN(Q116,Scenario!$B$2)</f>
        <v>0.104</v>
      </c>
      <c r="AF116" s="33">
        <f>L116*(1+Scenario!$B$3)</f>
        <v>368.13799999999998</v>
      </c>
      <c r="AG116" s="6">
        <f>R116*(1+Scenario!$B$4)</f>
        <v>21.599999999999998</v>
      </c>
      <c r="AH116" s="33">
        <f t="shared" si="33"/>
        <v>11504.166911999999</v>
      </c>
      <c r="AI116" s="33">
        <f t="shared" si="34"/>
        <v>7951.7807999999986</v>
      </c>
      <c r="AJ116" s="33">
        <f t="shared" si="35"/>
        <v>3552.3861120000001</v>
      </c>
    </row>
    <row r="117" spans="1:36" hidden="1" x14ac:dyDescent="0.25">
      <c r="A117" s="12" t="s">
        <v>409</v>
      </c>
      <c r="B117" s="27">
        <v>45804</v>
      </c>
      <c r="C117" s="4">
        <v>45816</v>
      </c>
      <c r="D117" s="12" t="s">
        <v>647</v>
      </c>
      <c r="E117" s="12" t="s">
        <v>652</v>
      </c>
      <c r="F117" s="12" t="s">
        <v>666</v>
      </c>
      <c r="G117" s="12" t="s">
        <v>701</v>
      </c>
      <c r="H117" s="12" t="s">
        <v>707</v>
      </c>
      <c r="I117" s="12" t="s">
        <v>722</v>
      </c>
      <c r="J117" s="12" t="s">
        <v>733</v>
      </c>
      <c r="K117" s="12" t="s">
        <v>1128</v>
      </c>
      <c r="L117" s="6">
        <v>653.6</v>
      </c>
      <c r="M117" s="6">
        <v>842.09</v>
      </c>
      <c r="N117" s="6">
        <f t="shared" si="18"/>
        <v>842.09</v>
      </c>
      <c r="O117" s="6" t="str">
        <f t="shared" si="32"/>
        <v>Middle</v>
      </c>
      <c r="P117" s="6">
        <v>9.8000000000000004E-2</v>
      </c>
      <c r="Q117" s="6">
        <f t="shared" si="19"/>
        <v>9.8000000000000004E-2</v>
      </c>
      <c r="R117" s="6">
        <v>19</v>
      </c>
      <c r="S117" s="6" t="str">
        <f t="shared" si="20"/>
        <v>OK</v>
      </c>
      <c r="T117" s="4">
        <f t="shared" si="21"/>
        <v>45816</v>
      </c>
      <c r="U117" s="11">
        <f t="shared" si="22"/>
        <v>12</v>
      </c>
      <c r="V117" s="6">
        <f t="shared" si="23"/>
        <v>14431.738420000001</v>
      </c>
      <c r="W117" s="6">
        <f t="shared" si="24"/>
        <v>12418.4</v>
      </c>
      <c r="X117" s="6">
        <f t="shared" si="25"/>
        <v>2013.3384200000019</v>
      </c>
      <c r="Y117" s="6">
        <f t="shared" si="26"/>
        <v>0.13950768517324622</v>
      </c>
      <c r="Z117" s="4" t="str">
        <f t="shared" si="27"/>
        <v>Q2-2025</v>
      </c>
      <c r="AA117" t="str">
        <f t="shared" si="28"/>
        <v>Accessories</v>
      </c>
      <c r="AB117" t="str">
        <f t="shared" si="29"/>
        <v>Accessories</v>
      </c>
      <c r="AC117" t="str">
        <f t="shared" si="30"/>
        <v>Compliant</v>
      </c>
      <c r="AD117" t="str">
        <f t="shared" si="31"/>
        <v>Late</v>
      </c>
      <c r="AE117" s="8">
        <f>MIN(Q117,Scenario!$B$2)</f>
        <v>9.8000000000000004E-2</v>
      </c>
      <c r="AF117" s="33">
        <f>L117*(1+Scenario!$B$3)</f>
        <v>751.64</v>
      </c>
      <c r="AG117" s="6">
        <f>R117*(1+Scenario!$B$4)</f>
        <v>22.8</v>
      </c>
      <c r="AH117" s="33">
        <f t="shared" si="33"/>
        <v>17318.086104000002</v>
      </c>
      <c r="AI117" s="33">
        <f t="shared" si="34"/>
        <v>17137.392</v>
      </c>
      <c r="AJ117" s="33">
        <f t="shared" si="35"/>
        <v>180.69410400000197</v>
      </c>
    </row>
    <row r="118" spans="1:36" hidden="1" x14ac:dyDescent="0.25">
      <c r="A118" s="12" t="s">
        <v>342</v>
      </c>
      <c r="B118" s="27">
        <v>45796</v>
      </c>
      <c r="C118" s="4">
        <v>45794</v>
      </c>
      <c r="D118" s="12" t="s">
        <v>648</v>
      </c>
      <c r="E118" s="12" t="s">
        <v>655</v>
      </c>
      <c r="F118" s="12" t="s">
        <v>670</v>
      </c>
      <c r="G118" s="12" t="s">
        <v>705</v>
      </c>
      <c r="H118" s="12" t="s">
        <v>710</v>
      </c>
      <c r="I118" s="12" t="s">
        <v>716</v>
      </c>
      <c r="J118" s="12" t="s">
        <v>732</v>
      </c>
      <c r="K118" s="12" t="s">
        <v>1062</v>
      </c>
      <c r="L118" s="6">
        <v>383.77</v>
      </c>
      <c r="M118" s="6">
        <v>952.56</v>
      </c>
      <c r="N118" s="6">
        <f t="shared" si="18"/>
        <v>952.56</v>
      </c>
      <c r="O118" s="6" t="str">
        <f t="shared" si="32"/>
        <v>Middle</v>
      </c>
      <c r="P118" s="6">
        <v>0.34599999999999997</v>
      </c>
      <c r="Q118" s="6">
        <f t="shared" si="19"/>
        <v>0.3</v>
      </c>
      <c r="R118" s="6">
        <v>10</v>
      </c>
      <c r="S118" s="6" t="str">
        <f t="shared" si="20"/>
        <v>Correct</v>
      </c>
      <c r="T118" s="4">
        <f t="shared" si="21"/>
        <v>45803</v>
      </c>
      <c r="U118" s="11">
        <f t="shared" si="22"/>
        <v>7</v>
      </c>
      <c r="V118" s="6">
        <f t="shared" si="23"/>
        <v>6667.9199999999983</v>
      </c>
      <c r="W118" s="6">
        <f t="shared" si="24"/>
        <v>3837.7</v>
      </c>
      <c r="X118" s="6">
        <f t="shared" si="25"/>
        <v>2830.2199999999984</v>
      </c>
      <c r="Y118" s="6">
        <f t="shared" si="26"/>
        <v>0.42445320279787385</v>
      </c>
      <c r="Z118" s="4" t="str">
        <f t="shared" si="27"/>
        <v>Q2-2025</v>
      </c>
      <c r="AA118" t="str">
        <f t="shared" si="28"/>
        <v>Monitors</v>
      </c>
      <c r="AB118" t="str">
        <f t="shared" si="29"/>
        <v>Monitors</v>
      </c>
      <c r="AC118" t="str">
        <f t="shared" si="30"/>
        <v>Non-compliant</v>
      </c>
      <c r="AD118" t="str">
        <f t="shared" si="31"/>
        <v>On-time</v>
      </c>
      <c r="AE118" s="8">
        <f>MIN(Q118,Scenario!$B$2)</f>
        <v>0.2</v>
      </c>
      <c r="AF118" s="33">
        <f>L118*(1+Scenario!$B$3)</f>
        <v>441.33549999999997</v>
      </c>
      <c r="AG118" s="6">
        <f>R118*(1+Scenario!$B$4)</f>
        <v>12</v>
      </c>
      <c r="AH118" s="33">
        <f t="shared" si="33"/>
        <v>9144.5759999999991</v>
      </c>
      <c r="AI118" s="33">
        <f t="shared" si="34"/>
        <v>5296.0259999999998</v>
      </c>
      <c r="AJ118" s="33">
        <f t="shared" si="35"/>
        <v>3848.5499999999993</v>
      </c>
    </row>
    <row r="119" spans="1:36" hidden="1" x14ac:dyDescent="0.25">
      <c r="A119" s="12" t="s">
        <v>297</v>
      </c>
      <c r="B119" s="27">
        <v>45794</v>
      </c>
      <c r="C119" s="4">
        <v>45805</v>
      </c>
      <c r="D119" s="12" t="s">
        <v>647</v>
      </c>
      <c r="E119" s="12" t="s">
        <v>654</v>
      </c>
      <c r="F119" s="12" t="s">
        <v>668</v>
      </c>
      <c r="G119" s="12" t="s">
        <v>701</v>
      </c>
      <c r="H119" s="12" t="s">
        <v>710</v>
      </c>
      <c r="I119" s="12" t="s">
        <v>717</v>
      </c>
      <c r="J119" s="12" t="s">
        <v>731</v>
      </c>
      <c r="K119" s="12" t="s">
        <v>1017</v>
      </c>
      <c r="L119" s="6">
        <v>623.4</v>
      </c>
      <c r="M119" s="6">
        <v>1100.0899999999999</v>
      </c>
      <c r="N119" s="6">
        <f t="shared" si="18"/>
        <v>1100.0899999999999</v>
      </c>
      <c r="O119" s="6" t="str">
        <f t="shared" si="32"/>
        <v>Middle</v>
      </c>
      <c r="P119" s="6">
        <v>0.114</v>
      </c>
      <c r="Q119" s="6">
        <f t="shared" si="19"/>
        <v>0.114</v>
      </c>
      <c r="R119" s="6">
        <v>12</v>
      </c>
      <c r="S119" s="6" t="str">
        <f t="shared" si="20"/>
        <v>OK</v>
      </c>
      <c r="T119" s="4">
        <f t="shared" si="21"/>
        <v>45805</v>
      </c>
      <c r="U119" s="11">
        <f t="shared" si="22"/>
        <v>11</v>
      </c>
      <c r="V119" s="6">
        <f t="shared" si="23"/>
        <v>11696.156879999999</v>
      </c>
      <c r="W119" s="6">
        <f t="shared" si="24"/>
        <v>7480.7999999999993</v>
      </c>
      <c r="X119" s="6">
        <f t="shared" si="25"/>
        <v>4215.3568799999994</v>
      </c>
      <c r="Y119" s="6">
        <f t="shared" si="26"/>
        <v>0.36040529579490388</v>
      </c>
      <c r="Z119" s="4" t="str">
        <f t="shared" si="27"/>
        <v>Q2-2025</v>
      </c>
      <c r="AA119" t="str">
        <f t="shared" si="28"/>
        <v>Laptops</v>
      </c>
      <c r="AB119" t="str">
        <f t="shared" si="29"/>
        <v>Laptops</v>
      </c>
      <c r="AC119" t="str">
        <f t="shared" si="30"/>
        <v>Compliant</v>
      </c>
      <c r="AD119" t="str">
        <f t="shared" si="31"/>
        <v>Late</v>
      </c>
      <c r="AE119" s="8">
        <f>MIN(Q119,Scenario!$B$2)</f>
        <v>0.114</v>
      </c>
      <c r="AF119" s="33">
        <f>L119*(1+Scenario!$B$3)</f>
        <v>716.91</v>
      </c>
      <c r="AG119" s="6">
        <f>R119*(1+Scenario!$B$4)</f>
        <v>14.399999999999999</v>
      </c>
      <c r="AH119" s="33">
        <f t="shared" si="33"/>
        <v>14035.388255999997</v>
      </c>
      <c r="AI119" s="33">
        <f t="shared" si="34"/>
        <v>10323.503999999999</v>
      </c>
      <c r="AJ119" s="33">
        <f t="shared" si="35"/>
        <v>3711.8842559999975</v>
      </c>
    </row>
    <row r="120" spans="1:36" x14ac:dyDescent="0.25">
      <c r="A120" s="12" t="s">
        <v>58</v>
      </c>
      <c r="B120" s="27">
        <v>45806</v>
      </c>
      <c r="C120" s="4">
        <v>45828</v>
      </c>
      <c r="D120" s="12" t="s">
        <v>649</v>
      </c>
      <c r="E120" s="12" t="s">
        <v>656</v>
      </c>
      <c r="F120" s="12" t="s">
        <v>671</v>
      </c>
      <c r="G120" s="12" t="s">
        <v>701</v>
      </c>
      <c r="H120" s="12" t="s">
        <v>711</v>
      </c>
      <c r="I120" s="12" t="s">
        <v>720</v>
      </c>
      <c r="J120" s="12" t="s">
        <v>728</v>
      </c>
      <c r="K120" s="12" t="s">
        <v>777</v>
      </c>
      <c r="L120" s="6">
        <v>483.47</v>
      </c>
      <c r="M120" s="6">
        <v>1135.43</v>
      </c>
      <c r="N120" s="6">
        <f t="shared" si="18"/>
        <v>1135.43</v>
      </c>
      <c r="O120" s="6" t="str">
        <f t="shared" si="32"/>
        <v>Middle</v>
      </c>
      <c r="P120" s="6">
        <v>0.14599999999999999</v>
      </c>
      <c r="Q120" s="6">
        <f t="shared" si="19"/>
        <v>0.14599999999999999</v>
      </c>
      <c r="R120" s="6">
        <v>11</v>
      </c>
      <c r="S120" s="6" t="str">
        <f t="shared" si="20"/>
        <v>OK</v>
      </c>
      <c r="T120" s="4">
        <f t="shared" si="21"/>
        <v>45828</v>
      </c>
      <c r="U120" s="11">
        <f t="shared" si="22"/>
        <v>22</v>
      </c>
      <c r="V120" s="6">
        <f t="shared" si="23"/>
        <v>10666.229420000001</v>
      </c>
      <c r="W120" s="6">
        <f t="shared" si="24"/>
        <v>5318.17</v>
      </c>
      <c r="X120" s="6">
        <f t="shared" si="25"/>
        <v>5348.0594200000014</v>
      </c>
      <c r="Y120" s="6">
        <f t="shared" si="26"/>
        <v>0.50140112399719983</v>
      </c>
      <c r="Z120" s="4" t="str">
        <f t="shared" si="27"/>
        <v>Q2-2025</v>
      </c>
      <c r="AA120" t="str">
        <f t="shared" si="28"/>
        <v>Printers</v>
      </c>
      <c r="AB120" t="str">
        <f t="shared" si="29"/>
        <v>Printers</v>
      </c>
      <c r="AC120" t="str">
        <f t="shared" si="30"/>
        <v>Compliant</v>
      </c>
      <c r="AD120" t="str">
        <f t="shared" si="31"/>
        <v>Late</v>
      </c>
      <c r="AE120" s="8">
        <f>MIN(Q120,Scenario!$B$2)</f>
        <v>0.14599999999999999</v>
      </c>
      <c r="AF120" s="33">
        <f>L120*(1+Scenario!$B$3)</f>
        <v>555.9905</v>
      </c>
      <c r="AG120" s="6">
        <f>R120*(1+Scenario!$B$4)</f>
        <v>13.2</v>
      </c>
      <c r="AH120" s="33">
        <f t="shared" si="33"/>
        <v>12799.475304</v>
      </c>
      <c r="AI120" s="33">
        <f t="shared" si="34"/>
        <v>7339.0745999999999</v>
      </c>
      <c r="AJ120" s="33">
        <f t="shared" si="35"/>
        <v>5460.4007039999997</v>
      </c>
    </row>
    <row r="121" spans="1:36" hidden="1" x14ac:dyDescent="0.25">
      <c r="A121" s="12" t="s">
        <v>255</v>
      </c>
      <c r="B121" s="27">
        <v>45793</v>
      </c>
      <c r="C121" s="4">
        <v>45804</v>
      </c>
      <c r="D121" s="12" t="s">
        <v>647</v>
      </c>
      <c r="E121" s="12" t="s">
        <v>659</v>
      </c>
      <c r="F121" s="12" t="s">
        <v>699</v>
      </c>
      <c r="G121" s="12" t="s">
        <v>706</v>
      </c>
      <c r="H121" s="12" t="s">
        <v>708</v>
      </c>
      <c r="I121" s="12" t="s">
        <v>721</v>
      </c>
      <c r="J121" s="12" t="s">
        <v>730</v>
      </c>
      <c r="K121" s="12" t="s">
        <v>975</v>
      </c>
      <c r="L121" s="6">
        <v>918.12</v>
      </c>
      <c r="M121" s="6">
        <v>1337.69</v>
      </c>
      <c r="N121" s="6">
        <f t="shared" si="18"/>
        <v>1337.69</v>
      </c>
      <c r="O121" s="6" t="str">
        <f t="shared" si="32"/>
        <v>High</v>
      </c>
      <c r="P121" s="6">
        <v>9.5000000000000001E-2</v>
      </c>
      <c r="Q121" s="6">
        <f t="shared" si="19"/>
        <v>9.5000000000000001E-2</v>
      </c>
      <c r="R121" s="6">
        <v>8</v>
      </c>
      <c r="S121" s="6" t="str">
        <f t="shared" si="20"/>
        <v>OK</v>
      </c>
      <c r="T121" s="4">
        <f t="shared" si="21"/>
        <v>45804</v>
      </c>
      <c r="U121" s="11">
        <f t="shared" si="22"/>
        <v>11</v>
      </c>
      <c r="V121" s="6">
        <f t="shared" si="23"/>
        <v>9684.8756000000012</v>
      </c>
      <c r="W121" s="6">
        <f t="shared" si="24"/>
        <v>7344.96</v>
      </c>
      <c r="X121" s="6">
        <f t="shared" si="25"/>
        <v>2339.9156000000012</v>
      </c>
      <c r="Y121" s="6">
        <f t="shared" si="26"/>
        <v>0.24160512707050164</v>
      </c>
      <c r="Z121" s="4" t="str">
        <f t="shared" si="27"/>
        <v>Q2-2025</v>
      </c>
      <c r="AA121" t="str">
        <f t="shared" si="28"/>
        <v>Phones</v>
      </c>
      <c r="AB121" t="str">
        <f t="shared" si="29"/>
        <v>Phones</v>
      </c>
      <c r="AC121" t="str">
        <f t="shared" si="30"/>
        <v>Compliant</v>
      </c>
      <c r="AD121" t="str">
        <f t="shared" si="31"/>
        <v>Late</v>
      </c>
      <c r="AE121" s="8">
        <f>MIN(Q121,Scenario!$B$2)</f>
        <v>9.5000000000000001E-2</v>
      </c>
      <c r="AF121" s="33">
        <f>L121*(1+Scenario!$B$3)</f>
        <v>1055.838</v>
      </c>
      <c r="AG121" s="6">
        <f>R121*(1+Scenario!$B$4)</f>
        <v>9.6</v>
      </c>
      <c r="AH121" s="33">
        <f t="shared" si="33"/>
        <v>11621.85072</v>
      </c>
      <c r="AI121" s="33">
        <f t="shared" si="34"/>
        <v>10136.0448</v>
      </c>
      <c r="AJ121" s="33">
        <f t="shared" si="35"/>
        <v>1485.8059200000007</v>
      </c>
    </row>
    <row r="122" spans="1:36" hidden="1" x14ac:dyDescent="0.25">
      <c r="A122" s="12" t="s">
        <v>314</v>
      </c>
      <c r="B122" s="27">
        <v>45787</v>
      </c>
      <c r="C122" s="4">
        <v>45804</v>
      </c>
      <c r="D122" s="12" t="s">
        <v>648</v>
      </c>
      <c r="E122" s="12" t="s">
        <v>653</v>
      </c>
      <c r="F122" s="12" t="s">
        <v>688</v>
      </c>
      <c r="G122" s="12" t="s">
        <v>702</v>
      </c>
      <c r="H122" s="12" t="s">
        <v>711</v>
      </c>
      <c r="I122" s="12" t="s">
        <v>712</v>
      </c>
      <c r="J122" s="12" t="s">
        <v>727</v>
      </c>
      <c r="K122" s="12" t="s">
        <v>1034</v>
      </c>
      <c r="L122" s="6">
        <v>862.89</v>
      </c>
      <c r="M122" s="6">
        <v>1426.03</v>
      </c>
      <c r="N122" s="6">
        <f t="shared" si="18"/>
        <v>1426.03</v>
      </c>
      <c r="O122" s="6" t="str">
        <f t="shared" si="32"/>
        <v>High</v>
      </c>
      <c r="P122" s="6">
        <v>5.6000000000000001E-2</v>
      </c>
      <c r="Q122" s="6">
        <f t="shared" si="19"/>
        <v>5.6000000000000001E-2</v>
      </c>
      <c r="R122" s="6">
        <v>19</v>
      </c>
      <c r="S122" s="6" t="str">
        <f t="shared" si="20"/>
        <v>OK</v>
      </c>
      <c r="T122" s="4">
        <f t="shared" si="21"/>
        <v>45804</v>
      </c>
      <c r="U122" s="11">
        <f t="shared" si="22"/>
        <v>17</v>
      </c>
      <c r="V122" s="6">
        <f t="shared" si="23"/>
        <v>25577.274079999999</v>
      </c>
      <c r="W122" s="6">
        <f t="shared" si="24"/>
        <v>16394.91</v>
      </c>
      <c r="X122" s="6">
        <f t="shared" si="25"/>
        <v>9182.3640799999994</v>
      </c>
      <c r="Y122" s="6">
        <f t="shared" si="26"/>
        <v>0.35900479665188778</v>
      </c>
      <c r="Z122" s="4" t="str">
        <f t="shared" si="27"/>
        <v>Q2-2025</v>
      </c>
      <c r="AA122" t="str">
        <f t="shared" si="28"/>
        <v>Components</v>
      </c>
      <c r="AB122" t="str">
        <f t="shared" si="29"/>
        <v>Components</v>
      </c>
      <c r="AC122" t="str">
        <f t="shared" si="30"/>
        <v>Compliant</v>
      </c>
      <c r="AD122" t="str">
        <f t="shared" si="31"/>
        <v>Late</v>
      </c>
      <c r="AE122" s="8">
        <f>MIN(Q122,Scenario!$B$2)</f>
        <v>5.6000000000000001E-2</v>
      </c>
      <c r="AF122" s="33">
        <f>L122*(1+Scenario!$B$3)</f>
        <v>992.32349999999985</v>
      </c>
      <c r="AG122" s="6">
        <f>R122*(1+Scenario!$B$4)</f>
        <v>22.8</v>
      </c>
      <c r="AH122" s="33">
        <f t="shared" si="33"/>
        <v>30692.728896000001</v>
      </c>
      <c r="AI122" s="33">
        <f t="shared" si="34"/>
        <v>22624.975799999997</v>
      </c>
      <c r="AJ122" s="33">
        <f t="shared" si="35"/>
        <v>8067.753096000004</v>
      </c>
    </row>
    <row r="123" spans="1:36" hidden="1" x14ac:dyDescent="0.25">
      <c r="A123" s="12" t="s">
        <v>74</v>
      </c>
      <c r="B123" s="27">
        <v>45779</v>
      </c>
      <c r="C123" s="4">
        <v>45790</v>
      </c>
      <c r="D123" s="12" t="s">
        <v>646</v>
      </c>
      <c r="E123" s="12" t="s">
        <v>650</v>
      </c>
      <c r="F123" s="12" t="s">
        <v>678</v>
      </c>
      <c r="G123" s="12" t="s">
        <v>705</v>
      </c>
      <c r="H123" s="12" t="s">
        <v>708</v>
      </c>
      <c r="I123" s="12" t="s">
        <v>720</v>
      </c>
      <c r="J123" s="12" t="s">
        <v>733</v>
      </c>
      <c r="K123" s="12" t="s">
        <v>793</v>
      </c>
      <c r="L123" s="6">
        <v>1057.5999999999999</v>
      </c>
      <c r="M123" s="6">
        <v>1437.06</v>
      </c>
      <c r="N123" s="6">
        <f t="shared" si="18"/>
        <v>1437.06</v>
      </c>
      <c r="O123" s="6" t="str">
        <f t="shared" si="32"/>
        <v>High</v>
      </c>
      <c r="P123" s="6">
        <v>0.20499999999999999</v>
      </c>
      <c r="Q123" s="6">
        <f t="shared" si="19"/>
        <v>0.20499999999999999</v>
      </c>
      <c r="R123" s="6">
        <v>4</v>
      </c>
      <c r="S123" s="6" t="str">
        <f t="shared" si="20"/>
        <v>OK</v>
      </c>
      <c r="T123" s="4">
        <f t="shared" si="21"/>
        <v>45790</v>
      </c>
      <c r="U123" s="11">
        <f t="shared" si="22"/>
        <v>11</v>
      </c>
      <c r="V123" s="6">
        <f t="shared" si="23"/>
        <v>4569.8508000000002</v>
      </c>
      <c r="W123" s="6">
        <f t="shared" si="24"/>
        <v>4230.3999999999996</v>
      </c>
      <c r="X123" s="6">
        <f t="shared" si="25"/>
        <v>339.45080000000053</v>
      </c>
      <c r="Y123" s="6">
        <f t="shared" si="26"/>
        <v>7.4280499485891424E-2</v>
      </c>
      <c r="Z123" s="4" t="str">
        <f t="shared" si="27"/>
        <v>Q2-2025</v>
      </c>
      <c r="AA123" t="str">
        <f t="shared" si="28"/>
        <v>Accessories</v>
      </c>
      <c r="AB123" t="str">
        <f t="shared" si="29"/>
        <v>Accessories</v>
      </c>
      <c r="AC123" t="str">
        <f t="shared" si="30"/>
        <v>Non-compliant</v>
      </c>
      <c r="AD123" t="str">
        <f t="shared" si="31"/>
        <v>Late</v>
      </c>
      <c r="AE123" s="8">
        <f>MIN(Q123,Scenario!$B$2)</f>
        <v>0.2</v>
      </c>
      <c r="AF123" s="33">
        <f>L123*(1+Scenario!$B$3)</f>
        <v>1216.2399999999998</v>
      </c>
      <c r="AG123" s="6">
        <f>R123*(1+Scenario!$B$4)</f>
        <v>4.8</v>
      </c>
      <c r="AH123" s="33">
        <f t="shared" si="33"/>
        <v>5518.3104000000003</v>
      </c>
      <c r="AI123" s="33">
        <f t="shared" si="34"/>
        <v>5837.9519999999984</v>
      </c>
      <c r="AJ123" s="33">
        <f t="shared" si="35"/>
        <v>-319.64159999999811</v>
      </c>
    </row>
    <row r="124" spans="1:36" hidden="1" x14ac:dyDescent="0.25">
      <c r="A124" s="12" t="s">
        <v>571</v>
      </c>
      <c r="B124" s="27">
        <v>45791</v>
      </c>
      <c r="C124" s="4">
        <v>45789</v>
      </c>
      <c r="D124" s="12" t="s">
        <v>648</v>
      </c>
      <c r="E124" s="12" t="s">
        <v>653</v>
      </c>
      <c r="F124" s="12" t="s">
        <v>688</v>
      </c>
      <c r="G124" s="12" t="s">
        <v>703</v>
      </c>
      <c r="H124" s="12" t="s">
        <v>710</v>
      </c>
      <c r="I124" s="12" t="s">
        <v>721</v>
      </c>
      <c r="J124" s="12" t="s">
        <v>728</v>
      </c>
      <c r="K124" s="12" t="s">
        <v>1289</v>
      </c>
      <c r="L124" s="6">
        <v>883.5</v>
      </c>
      <c r="M124" s="6">
        <v>1978.91</v>
      </c>
      <c r="N124" s="6">
        <f t="shared" si="18"/>
        <v>1978.91</v>
      </c>
      <c r="O124" s="6" t="str">
        <f t="shared" si="32"/>
        <v>High</v>
      </c>
      <c r="P124" s="6">
        <v>5.3999999999999999E-2</v>
      </c>
      <c r="Q124" s="6">
        <f t="shared" si="19"/>
        <v>5.3999999999999999E-2</v>
      </c>
      <c r="R124" s="6">
        <v>27</v>
      </c>
      <c r="S124" s="6" t="str">
        <f t="shared" si="20"/>
        <v>Correct</v>
      </c>
      <c r="T124" s="4">
        <f t="shared" si="21"/>
        <v>45798</v>
      </c>
      <c r="U124" s="11">
        <f t="shared" si="22"/>
        <v>7</v>
      </c>
      <c r="V124" s="6">
        <f t="shared" si="23"/>
        <v>50545.319219999998</v>
      </c>
      <c r="W124" s="6">
        <f t="shared" si="24"/>
        <v>23854.5</v>
      </c>
      <c r="X124" s="6">
        <f t="shared" si="25"/>
        <v>26690.819219999998</v>
      </c>
      <c r="Y124" s="6">
        <f t="shared" si="26"/>
        <v>0.52805718970390547</v>
      </c>
      <c r="Z124" s="4" t="str">
        <f t="shared" si="27"/>
        <v>Q2-2025</v>
      </c>
      <c r="AA124" t="str">
        <f t="shared" si="28"/>
        <v>Printers</v>
      </c>
      <c r="AB124" t="str">
        <f t="shared" si="29"/>
        <v>Printers</v>
      </c>
      <c r="AC124" t="str">
        <f t="shared" si="30"/>
        <v>Compliant</v>
      </c>
      <c r="AD124" t="str">
        <f t="shared" si="31"/>
        <v>On-time</v>
      </c>
      <c r="AE124" s="8">
        <f>MIN(Q124,Scenario!$B$2)</f>
        <v>5.3999999999999999E-2</v>
      </c>
      <c r="AF124" s="33">
        <f>L124*(1+Scenario!$B$3)</f>
        <v>1016.025</v>
      </c>
      <c r="AG124" s="6">
        <f>R124*(1+Scenario!$B$4)</f>
        <v>32.4</v>
      </c>
      <c r="AH124" s="33">
        <f t="shared" si="33"/>
        <v>60654.383064000001</v>
      </c>
      <c r="AI124" s="33">
        <f t="shared" si="34"/>
        <v>32919.21</v>
      </c>
      <c r="AJ124" s="33">
        <f t="shared" si="35"/>
        <v>27735.173064000002</v>
      </c>
    </row>
    <row r="125" spans="1:36" hidden="1" x14ac:dyDescent="0.25">
      <c r="A125" s="12" t="s">
        <v>443</v>
      </c>
      <c r="B125" s="27">
        <v>45784</v>
      </c>
      <c r="C125" s="4">
        <v>45790</v>
      </c>
      <c r="D125" s="12" t="s">
        <v>647</v>
      </c>
      <c r="E125" s="12" t="s">
        <v>654</v>
      </c>
      <c r="F125" s="12" t="s">
        <v>668</v>
      </c>
      <c r="G125" s="12" t="s">
        <v>706</v>
      </c>
      <c r="H125" s="12" t="s">
        <v>711</v>
      </c>
      <c r="I125" s="12" t="s">
        <v>713</v>
      </c>
      <c r="J125" s="12" t="s">
        <v>730</v>
      </c>
      <c r="K125" s="12" t="s">
        <v>1162</v>
      </c>
      <c r="L125" s="6">
        <v>935.98</v>
      </c>
      <c r="M125" s="6">
        <v>2077.69</v>
      </c>
      <c r="N125" s="6">
        <f t="shared" si="18"/>
        <v>2077.69</v>
      </c>
      <c r="O125" s="6" t="str">
        <f t="shared" si="32"/>
        <v>High</v>
      </c>
      <c r="P125" s="6">
        <v>0.17499999999999999</v>
      </c>
      <c r="Q125" s="6">
        <f t="shared" si="19"/>
        <v>0.17499999999999999</v>
      </c>
      <c r="R125" s="6">
        <v>24</v>
      </c>
      <c r="S125" s="6" t="str">
        <f t="shared" si="20"/>
        <v>OK</v>
      </c>
      <c r="T125" s="4">
        <f t="shared" si="21"/>
        <v>45790</v>
      </c>
      <c r="U125" s="11">
        <f t="shared" si="22"/>
        <v>6</v>
      </c>
      <c r="V125" s="6">
        <f t="shared" si="23"/>
        <v>41138.261999999995</v>
      </c>
      <c r="W125" s="6">
        <f t="shared" si="24"/>
        <v>22463.52</v>
      </c>
      <c r="X125" s="6">
        <f t="shared" si="25"/>
        <v>18674.741999999995</v>
      </c>
      <c r="Y125" s="6">
        <f t="shared" si="26"/>
        <v>0.45395067978321491</v>
      </c>
      <c r="Z125" s="4" t="str">
        <f t="shared" si="27"/>
        <v>Q2-2025</v>
      </c>
      <c r="AA125" t="str">
        <f t="shared" si="28"/>
        <v>Phones</v>
      </c>
      <c r="AB125" t="str">
        <f t="shared" si="29"/>
        <v>Phones</v>
      </c>
      <c r="AC125" t="str">
        <f t="shared" si="30"/>
        <v>Compliant</v>
      </c>
      <c r="AD125" t="str">
        <f t="shared" si="31"/>
        <v>On-time</v>
      </c>
      <c r="AE125" s="8">
        <f>MIN(Q125,Scenario!$B$2)</f>
        <v>0.17499999999999999</v>
      </c>
      <c r="AF125" s="33">
        <f>L125*(1+Scenario!$B$3)</f>
        <v>1076.377</v>
      </c>
      <c r="AG125" s="6">
        <f>R125*(1+Scenario!$B$4)</f>
        <v>28.799999999999997</v>
      </c>
      <c r="AH125" s="33">
        <f t="shared" si="33"/>
        <v>49365.914399999994</v>
      </c>
      <c r="AI125" s="33">
        <f t="shared" si="34"/>
        <v>30999.657599999995</v>
      </c>
      <c r="AJ125" s="33">
        <f t="shared" si="35"/>
        <v>18366.256799999999</v>
      </c>
    </row>
    <row r="126" spans="1:36" x14ac:dyDescent="0.25">
      <c r="A126" s="12" t="s">
        <v>34</v>
      </c>
      <c r="B126" s="27">
        <v>45798</v>
      </c>
      <c r="C126" s="4">
        <v>45796</v>
      </c>
      <c r="D126" s="12" t="s">
        <v>649</v>
      </c>
      <c r="E126" s="12" t="s">
        <v>658</v>
      </c>
      <c r="F126" s="12" t="s">
        <v>674</v>
      </c>
      <c r="G126" s="12" t="s">
        <v>706</v>
      </c>
      <c r="H126" s="12" t="s">
        <v>708</v>
      </c>
      <c r="I126" s="12" t="s">
        <v>724</v>
      </c>
      <c r="J126" s="12" t="s">
        <v>731</v>
      </c>
      <c r="K126" s="12" t="s">
        <v>753</v>
      </c>
      <c r="L126" s="6">
        <v>1015.16</v>
      </c>
      <c r="M126" s="6">
        <v>2148.14</v>
      </c>
      <c r="N126" s="6">
        <f t="shared" si="18"/>
        <v>2148.14</v>
      </c>
      <c r="O126" s="6" t="str">
        <f t="shared" si="32"/>
        <v>High</v>
      </c>
      <c r="P126" s="6">
        <v>3.7999999999999999E-2</v>
      </c>
      <c r="Q126" s="6">
        <f t="shared" si="19"/>
        <v>3.7999999999999999E-2</v>
      </c>
      <c r="R126" s="6">
        <v>19</v>
      </c>
      <c r="S126" s="6" t="str">
        <f t="shared" si="20"/>
        <v>Correct</v>
      </c>
      <c r="T126" s="4">
        <f t="shared" si="21"/>
        <v>45805</v>
      </c>
      <c r="U126" s="11">
        <f t="shared" si="22"/>
        <v>7</v>
      </c>
      <c r="V126" s="6">
        <f t="shared" si="23"/>
        <v>39263.702919999996</v>
      </c>
      <c r="W126" s="6">
        <f t="shared" si="24"/>
        <v>19288.04</v>
      </c>
      <c r="X126" s="6">
        <f t="shared" si="25"/>
        <v>19975.662919999995</v>
      </c>
      <c r="Y126" s="6">
        <f t="shared" si="26"/>
        <v>0.50875647059322227</v>
      </c>
      <c r="Z126" s="4" t="str">
        <f t="shared" si="27"/>
        <v>Q2-2025</v>
      </c>
      <c r="AA126" t="str">
        <f t="shared" si="28"/>
        <v>Laptops</v>
      </c>
      <c r="AB126" t="str">
        <f t="shared" si="29"/>
        <v>Laptops</v>
      </c>
      <c r="AC126" t="str">
        <f t="shared" si="30"/>
        <v>Compliant</v>
      </c>
      <c r="AD126" t="str">
        <f t="shared" si="31"/>
        <v>On-time</v>
      </c>
      <c r="AE126" s="8">
        <f>MIN(Q126,Scenario!$B$2)</f>
        <v>3.7999999999999999E-2</v>
      </c>
      <c r="AF126" s="33">
        <f>L126*(1+Scenario!$B$3)</f>
        <v>1167.434</v>
      </c>
      <c r="AG126" s="6">
        <f>R126*(1+Scenario!$B$4)</f>
        <v>22.8</v>
      </c>
      <c r="AH126" s="33">
        <f t="shared" si="33"/>
        <v>47116.443503999995</v>
      </c>
      <c r="AI126" s="33">
        <f t="shared" si="34"/>
        <v>26617.495200000001</v>
      </c>
      <c r="AJ126" s="33">
        <f t="shared" si="35"/>
        <v>20498.948303999994</v>
      </c>
    </row>
    <row r="127" spans="1:36" hidden="1" x14ac:dyDescent="0.25">
      <c r="A127" s="12" t="s">
        <v>188</v>
      </c>
      <c r="B127" s="27">
        <v>45798</v>
      </c>
      <c r="C127" s="4">
        <v>45796</v>
      </c>
      <c r="D127" s="12" t="s">
        <v>646</v>
      </c>
      <c r="E127" s="12" t="s">
        <v>661</v>
      </c>
      <c r="F127" s="12" t="s">
        <v>682</v>
      </c>
      <c r="G127" s="12" t="s">
        <v>703</v>
      </c>
      <c r="H127" s="12" t="s">
        <v>710</v>
      </c>
      <c r="I127" s="12" t="s">
        <v>719</v>
      </c>
      <c r="J127" s="12" t="s">
        <v>731</v>
      </c>
      <c r="K127" s="12" t="s">
        <v>907</v>
      </c>
      <c r="L127" s="6">
        <v>1263.8399999999999</v>
      </c>
      <c r="M127" s="6">
        <v>2281.7199999999998</v>
      </c>
      <c r="N127" s="6">
        <f t="shared" si="18"/>
        <v>2281.7199999999998</v>
      </c>
      <c r="O127" s="6" t="str">
        <f t="shared" si="32"/>
        <v>High</v>
      </c>
      <c r="P127" s="6">
        <v>7.8E-2</v>
      </c>
      <c r="Q127" s="6">
        <f t="shared" si="19"/>
        <v>7.8E-2</v>
      </c>
      <c r="R127" s="6">
        <v>15</v>
      </c>
      <c r="S127" s="6" t="str">
        <f t="shared" si="20"/>
        <v>Correct</v>
      </c>
      <c r="T127" s="4">
        <f t="shared" si="21"/>
        <v>45805</v>
      </c>
      <c r="U127" s="11">
        <f t="shared" si="22"/>
        <v>7</v>
      </c>
      <c r="V127" s="6">
        <f t="shared" si="23"/>
        <v>31556.187599999997</v>
      </c>
      <c r="W127" s="6">
        <f t="shared" si="24"/>
        <v>18957.599999999999</v>
      </c>
      <c r="X127" s="6">
        <f t="shared" si="25"/>
        <v>12598.587599999999</v>
      </c>
      <c r="Y127" s="6">
        <f t="shared" si="26"/>
        <v>0.39924301882398494</v>
      </c>
      <c r="Z127" s="4" t="str">
        <f t="shared" si="27"/>
        <v>Q2-2025</v>
      </c>
      <c r="AA127" t="str">
        <f t="shared" si="28"/>
        <v>Laptops</v>
      </c>
      <c r="AB127" t="str">
        <f t="shared" si="29"/>
        <v>Laptops</v>
      </c>
      <c r="AC127" t="str">
        <f t="shared" si="30"/>
        <v>Compliant</v>
      </c>
      <c r="AD127" t="str">
        <f t="shared" si="31"/>
        <v>On-time</v>
      </c>
      <c r="AE127" s="8">
        <f>MIN(Q127,Scenario!$B$2)</f>
        <v>7.8E-2</v>
      </c>
      <c r="AF127" s="33">
        <f>L127*(1+Scenario!$B$3)</f>
        <v>1453.4159999999997</v>
      </c>
      <c r="AG127" s="6">
        <f>R127*(1+Scenario!$B$4)</f>
        <v>18</v>
      </c>
      <c r="AH127" s="33">
        <f t="shared" si="33"/>
        <v>37867.42512</v>
      </c>
      <c r="AI127" s="33">
        <f t="shared" si="34"/>
        <v>26161.487999999994</v>
      </c>
      <c r="AJ127" s="33">
        <f t="shared" si="35"/>
        <v>11705.937120000006</v>
      </c>
    </row>
    <row r="128" spans="1:36" hidden="1" x14ac:dyDescent="0.25">
      <c r="A128" s="12" t="s">
        <v>24</v>
      </c>
      <c r="B128" s="27">
        <v>45798</v>
      </c>
      <c r="C128" s="4">
        <v>45817</v>
      </c>
      <c r="D128" s="12" t="s">
        <v>648</v>
      </c>
      <c r="E128" s="12" t="s">
        <v>655</v>
      </c>
      <c r="F128" s="12" t="s">
        <v>670</v>
      </c>
      <c r="G128" s="12" t="s">
        <v>703</v>
      </c>
      <c r="H128" s="12" t="s">
        <v>708</v>
      </c>
      <c r="I128" s="12" t="s">
        <v>720</v>
      </c>
      <c r="J128" s="12" t="s">
        <v>727</v>
      </c>
      <c r="K128" s="12" t="s">
        <v>743</v>
      </c>
      <c r="L128" s="6">
        <v>1331.38</v>
      </c>
      <c r="M128" s="6">
        <v>2309.56</v>
      </c>
      <c r="N128" s="6">
        <f t="shared" si="18"/>
        <v>2309.56</v>
      </c>
      <c r="O128" s="6" t="str">
        <f t="shared" si="32"/>
        <v>High</v>
      </c>
      <c r="P128" s="6">
        <v>0.14899999999999999</v>
      </c>
      <c r="Q128" s="6">
        <f t="shared" si="19"/>
        <v>0.14899999999999999</v>
      </c>
      <c r="R128" s="6">
        <v>31</v>
      </c>
      <c r="S128" s="6" t="str">
        <f t="shared" si="20"/>
        <v>OK</v>
      </c>
      <c r="T128" s="4">
        <f t="shared" si="21"/>
        <v>45817</v>
      </c>
      <c r="U128" s="11">
        <f t="shared" si="22"/>
        <v>19</v>
      </c>
      <c r="V128" s="6">
        <f t="shared" si="23"/>
        <v>60928.502359999999</v>
      </c>
      <c r="W128" s="6">
        <f t="shared" si="24"/>
        <v>41272.780000000006</v>
      </c>
      <c r="X128" s="6">
        <f t="shared" si="25"/>
        <v>19655.722359999992</v>
      </c>
      <c r="Y128" s="6">
        <f t="shared" si="26"/>
        <v>0.32260307735553528</v>
      </c>
      <c r="Z128" s="4" t="str">
        <f t="shared" si="27"/>
        <v>Q2-2025</v>
      </c>
      <c r="AA128" t="str">
        <f t="shared" si="28"/>
        <v>Components</v>
      </c>
      <c r="AB128" t="str">
        <f t="shared" si="29"/>
        <v>Components</v>
      </c>
      <c r="AC128" t="str">
        <f t="shared" si="30"/>
        <v>Compliant</v>
      </c>
      <c r="AD128" t="str">
        <f t="shared" si="31"/>
        <v>Late</v>
      </c>
      <c r="AE128" s="8">
        <f>MIN(Q128,Scenario!$B$2)</f>
        <v>0.14899999999999999</v>
      </c>
      <c r="AF128" s="33">
        <f>L128*(1+Scenario!$B$3)</f>
        <v>1531.087</v>
      </c>
      <c r="AG128" s="6">
        <f>R128*(1+Scenario!$B$4)</f>
        <v>37.199999999999996</v>
      </c>
      <c r="AH128" s="33">
        <f t="shared" si="33"/>
        <v>73114.202831999981</v>
      </c>
      <c r="AI128" s="33">
        <f t="shared" si="34"/>
        <v>56956.436399999991</v>
      </c>
      <c r="AJ128" s="33">
        <f t="shared" si="35"/>
        <v>16157.766431999989</v>
      </c>
    </row>
    <row r="129" spans="1:36" hidden="1" x14ac:dyDescent="0.25">
      <c r="A129" s="12" t="s">
        <v>617</v>
      </c>
      <c r="B129" s="27">
        <v>45793</v>
      </c>
      <c r="C129" s="4">
        <v>45795</v>
      </c>
      <c r="D129" s="12" t="s">
        <v>647</v>
      </c>
      <c r="E129" s="12" t="s">
        <v>652</v>
      </c>
      <c r="F129" s="12" t="s">
        <v>689</v>
      </c>
      <c r="G129" s="12" t="s">
        <v>706</v>
      </c>
      <c r="H129" s="12" t="s">
        <v>707</v>
      </c>
      <c r="I129" s="12" t="s">
        <v>713</v>
      </c>
      <c r="J129" s="12" t="s">
        <v>728</v>
      </c>
      <c r="K129" s="12" t="s">
        <v>1335</v>
      </c>
      <c r="L129" s="6">
        <v>1144.3800000000001</v>
      </c>
      <c r="M129" s="6">
        <v>2755.04</v>
      </c>
      <c r="N129" s="6">
        <f t="shared" si="18"/>
        <v>2755.04</v>
      </c>
      <c r="O129" s="6" t="str">
        <f t="shared" si="32"/>
        <v>High</v>
      </c>
      <c r="P129" s="6">
        <v>0.15</v>
      </c>
      <c r="Q129" s="6">
        <f t="shared" si="19"/>
        <v>0.15</v>
      </c>
      <c r="R129" s="6">
        <v>17</v>
      </c>
      <c r="S129" s="6" t="str">
        <f t="shared" si="20"/>
        <v>OK</v>
      </c>
      <c r="T129" s="4">
        <f t="shared" si="21"/>
        <v>45795</v>
      </c>
      <c r="U129" s="11">
        <f t="shared" si="22"/>
        <v>2</v>
      </c>
      <c r="V129" s="6">
        <f t="shared" si="23"/>
        <v>39810.328000000001</v>
      </c>
      <c r="W129" s="6">
        <f t="shared" si="24"/>
        <v>19454.460000000003</v>
      </c>
      <c r="X129" s="6">
        <f t="shared" si="25"/>
        <v>20355.867999999999</v>
      </c>
      <c r="Y129" s="6">
        <f t="shared" si="26"/>
        <v>0.51132128326096682</v>
      </c>
      <c r="Z129" s="4" t="str">
        <f t="shared" si="27"/>
        <v>Q2-2025</v>
      </c>
      <c r="AA129" t="str">
        <f t="shared" si="28"/>
        <v>Printers</v>
      </c>
      <c r="AB129" t="str">
        <f t="shared" si="29"/>
        <v>Printers</v>
      </c>
      <c r="AC129" t="str">
        <f t="shared" si="30"/>
        <v>Compliant</v>
      </c>
      <c r="AD129" t="str">
        <f t="shared" si="31"/>
        <v>On-time</v>
      </c>
      <c r="AE129" s="8">
        <f>MIN(Q129,Scenario!$B$2)</f>
        <v>0.15</v>
      </c>
      <c r="AF129" s="33">
        <f>L129*(1+Scenario!$B$3)</f>
        <v>1316.037</v>
      </c>
      <c r="AG129" s="6">
        <f>R129*(1+Scenario!$B$4)</f>
        <v>20.399999999999999</v>
      </c>
      <c r="AH129" s="33">
        <f t="shared" si="33"/>
        <v>47772.393599999996</v>
      </c>
      <c r="AI129" s="33">
        <f t="shared" si="34"/>
        <v>26847.1548</v>
      </c>
      <c r="AJ129" s="33">
        <f t="shared" si="35"/>
        <v>20925.238799999996</v>
      </c>
    </row>
    <row r="130" spans="1:36" hidden="1" x14ac:dyDescent="0.25">
      <c r="A130" s="12" t="s">
        <v>503</v>
      </c>
      <c r="B130" s="27">
        <v>45792</v>
      </c>
      <c r="C130" s="4">
        <v>45813</v>
      </c>
      <c r="D130" s="12" t="s">
        <v>647</v>
      </c>
      <c r="E130" s="12" t="s">
        <v>652</v>
      </c>
      <c r="F130" s="12" t="s">
        <v>666</v>
      </c>
      <c r="G130" s="12" t="s">
        <v>706</v>
      </c>
      <c r="H130" s="12" t="s">
        <v>711</v>
      </c>
      <c r="I130" s="12" t="s">
        <v>722</v>
      </c>
      <c r="J130" s="12" t="s">
        <v>730</v>
      </c>
      <c r="K130" s="12" t="s">
        <v>1222</v>
      </c>
      <c r="L130" s="6">
        <v>1466.5</v>
      </c>
      <c r="M130" s="6">
        <v>2778.74</v>
      </c>
      <c r="N130" s="6">
        <f t="shared" ref="N130:N193" si="36">ABS(M130)</f>
        <v>2778.74</v>
      </c>
      <c r="O130" s="6" t="str">
        <f t="shared" si="32"/>
        <v>High</v>
      </c>
      <c r="P130" s="6">
        <v>0.13500000000000001</v>
      </c>
      <c r="Q130" s="6">
        <f t="shared" ref="Q130:Q193" si="37">IF(P130&gt;0.3, 0.3, P130)</f>
        <v>0.13500000000000001</v>
      </c>
      <c r="R130" s="6">
        <v>4</v>
      </c>
      <c r="S130" s="6" t="str">
        <f t="shared" ref="S130:S193" si="38">IFERROR(IF(C130&lt;B130,"Correct", "OK"), "Error")</f>
        <v>OK</v>
      </c>
      <c r="T130" s="4">
        <f t="shared" ref="T130:T193" si="39">IF(C130&lt;B130,B130+7,C130)</f>
        <v>45813</v>
      </c>
      <c r="U130" s="11">
        <f t="shared" ref="U130:U193" si="40">T130-B130</f>
        <v>21</v>
      </c>
      <c r="V130" s="6">
        <f t="shared" ref="V130:V193" si="41">N130*R130*(1-Q130)</f>
        <v>9614.4403999999995</v>
      </c>
      <c r="W130" s="6">
        <f t="shared" ref="W130:W193" si="42">L130*R130</f>
        <v>5866</v>
      </c>
      <c r="X130" s="6">
        <f t="shared" ref="X130:X193" si="43">V130-W130</f>
        <v>3748.4403999999995</v>
      </c>
      <c r="Y130" s="6">
        <f t="shared" ref="Y130:Y193" si="44">IF(V130=0, 0, X130/V130)</f>
        <v>0.38987608680792279</v>
      </c>
      <c r="Z130" s="4" t="str">
        <f t="shared" ref="Z130:Z193" si="45">"Q"&amp;ROUNDUP(MONTH(B130)/3,0)&amp;"-"&amp;YEAR(B130)</f>
        <v>Q2-2025</v>
      </c>
      <c r="AA130" t="str">
        <f t="shared" ref="AA130:AA193" si="46">PROPER(J130)</f>
        <v>Phones</v>
      </c>
      <c r="AB130" t="str">
        <f t="shared" ref="AB130:AB193" si="47">TRIM(J130)</f>
        <v>Phones</v>
      </c>
      <c r="AC130" t="str">
        <f t="shared" ref="AC130:AC193" si="48">IF(Q130&gt;20%, "Non-compliant","Compliant")</f>
        <v>Compliant</v>
      </c>
      <c r="AD130" t="str">
        <f t="shared" ref="AD130:AD193" si="49">IF(U130&lt;=7,"On-time","Late")</f>
        <v>Late</v>
      </c>
      <c r="AE130" s="8">
        <f>MIN(Q130,Scenario!$B$2)</f>
        <v>0.13500000000000001</v>
      </c>
      <c r="AF130" s="33">
        <f>L130*(1+Scenario!$B$3)</f>
        <v>1686.4749999999999</v>
      </c>
      <c r="AG130" s="6">
        <f>R130*(1+Scenario!$B$4)</f>
        <v>4.8</v>
      </c>
      <c r="AH130" s="33">
        <f t="shared" si="33"/>
        <v>11537.32848</v>
      </c>
      <c r="AI130" s="33">
        <f t="shared" si="34"/>
        <v>8095.079999999999</v>
      </c>
      <c r="AJ130" s="33">
        <f t="shared" si="35"/>
        <v>3442.2484800000011</v>
      </c>
    </row>
    <row r="131" spans="1:36" hidden="1" x14ac:dyDescent="0.25">
      <c r="A131" s="12" t="s">
        <v>325</v>
      </c>
      <c r="B131" s="27">
        <v>45435</v>
      </c>
      <c r="C131" s="4">
        <v>45449</v>
      </c>
      <c r="D131" s="12" t="s">
        <v>648</v>
      </c>
      <c r="E131" s="12" t="s">
        <v>655</v>
      </c>
      <c r="F131" s="12" t="s">
        <v>692</v>
      </c>
      <c r="G131" s="12" t="s">
        <v>703</v>
      </c>
      <c r="H131" s="12" t="s">
        <v>708</v>
      </c>
      <c r="I131" s="12" t="s">
        <v>714</v>
      </c>
      <c r="J131" s="12" t="s">
        <v>729</v>
      </c>
      <c r="K131" s="12" t="s">
        <v>1045</v>
      </c>
      <c r="L131" s="6">
        <v>51.13</v>
      </c>
      <c r="M131" s="6">
        <v>57.53</v>
      </c>
      <c r="N131" s="6">
        <f t="shared" si="36"/>
        <v>57.53</v>
      </c>
      <c r="O131" s="6" t="str">
        <f t="shared" ref="O131:O194" si="50">IF(N131&lt;=QUARTILE(N131:N761,1), "Low", IF(N131&lt;=QUARTILE(N131:N761,2),"Middle", "High"))</f>
        <v>Low</v>
      </c>
      <c r="P131" s="6">
        <v>4.4999999999999998E-2</v>
      </c>
      <c r="Q131" s="6">
        <f t="shared" si="37"/>
        <v>4.4999999999999998E-2</v>
      </c>
      <c r="R131" s="6">
        <v>16</v>
      </c>
      <c r="S131" s="6" t="str">
        <f t="shared" si="38"/>
        <v>OK</v>
      </c>
      <c r="T131" s="4">
        <f t="shared" si="39"/>
        <v>45449</v>
      </c>
      <c r="U131" s="11">
        <f t="shared" si="40"/>
        <v>14</v>
      </c>
      <c r="V131" s="6">
        <f t="shared" si="41"/>
        <v>879.05840000000001</v>
      </c>
      <c r="W131" s="6">
        <f t="shared" si="42"/>
        <v>818.08</v>
      </c>
      <c r="X131" s="6">
        <f t="shared" si="43"/>
        <v>60.978399999999965</v>
      </c>
      <c r="Y131" s="6">
        <f t="shared" si="44"/>
        <v>6.9367859973808302E-2</v>
      </c>
      <c r="Z131" s="4" t="str">
        <f t="shared" si="45"/>
        <v>Q2-2024</v>
      </c>
      <c r="AA131" t="str">
        <f t="shared" si="46"/>
        <v>Networking</v>
      </c>
      <c r="AB131" t="str">
        <f t="shared" si="47"/>
        <v>Networking</v>
      </c>
      <c r="AC131" t="str">
        <f t="shared" si="48"/>
        <v>Compliant</v>
      </c>
      <c r="AD131" t="str">
        <f t="shared" si="49"/>
        <v>Late</v>
      </c>
      <c r="AE131" s="8">
        <f>MIN(Q131,Scenario!$B$2)</f>
        <v>4.4999999999999998E-2</v>
      </c>
      <c r="AF131" s="33">
        <f>L131*(1+Scenario!$B$3)</f>
        <v>58.799500000000002</v>
      </c>
      <c r="AG131" s="6">
        <f>R131*(1+Scenario!$B$4)</f>
        <v>19.2</v>
      </c>
      <c r="AH131" s="33">
        <f t="shared" ref="AH131:AH194" si="51">N131*AG131*(1-AE131)</f>
        <v>1054.8700799999999</v>
      </c>
      <c r="AI131" s="33">
        <f t="shared" ref="AI131:AI194" si="52">AF131*AG131</f>
        <v>1128.9503999999999</v>
      </c>
      <c r="AJ131" s="33">
        <f t="shared" ref="AJ131:AJ194" si="53">AH131-AI131</f>
        <v>-74.080320000000029</v>
      </c>
    </row>
    <row r="132" spans="1:36" x14ac:dyDescent="0.25">
      <c r="A132" s="12" t="s">
        <v>502</v>
      </c>
      <c r="B132" s="27">
        <v>45424</v>
      </c>
      <c r="C132" s="4">
        <v>45436</v>
      </c>
      <c r="D132" s="12" t="s">
        <v>649</v>
      </c>
      <c r="E132" s="12" t="s">
        <v>658</v>
      </c>
      <c r="F132" s="12" t="s">
        <v>693</v>
      </c>
      <c r="G132" s="12" t="s">
        <v>702</v>
      </c>
      <c r="H132" s="12" t="s">
        <v>709</v>
      </c>
      <c r="I132" s="12" t="s">
        <v>723</v>
      </c>
      <c r="J132" s="12" t="s">
        <v>728</v>
      </c>
      <c r="K132" s="12" t="s">
        <v>1221</v>
      </c>
      <c r="L132" s="6">
        <v>111.02</v>
      </c>
      <c r="M132" s="6">
        <v>172.88</v>
      </c>
      <c r="N132" s="6">
        <f t="shared" si="36"/>
        <v>172.88</v>
      </c>
      <c r="O132" s="6" t="str">
        <f t="shared" si="50"/>
        <v>Low</v>
      </c>
      <c r="P132" s="6">
        <v>0.19700000000000001</v>
      </c>
      <c r="Q132" s="6">
        <f t="shared" si="37"/>
        <v>0.19700000000000001</v>
      </c>
      <c r="R132" s="6">
        <v>29</v>
      </c>
      <c r="S132" s="6" t="str">
        <f t="shared" si="38"/>
        <v>OK</v>
      </c>
      <c r="T132" s="4">
        <f t="shared" si="39"/>
        <v>45436</v>
      </c>
      <c r="U132" s="11">
        <f t="shared" si="40"/>
        <v>12</v>
      </c>
      <c r="V132" s="6">
        <f t="shared" si="41"/>
        <v>4025.8565599999993</v>
      </c>
      <c r="W132" s="6">
        <f t="shared" si="42"/>
        <v>3219.58</v>
      </c>
      <c r="X132" s="6">
        <f t="shared" si="43"/>
        <v>806.27655999999934</v>
      </c>
      <c r="Y132" s="6">
        <f t="shared" si="44"/>
        <v>0.20027453735212053</v>
      </c>
      <c r="Z132" s="4" t="str">
        <f t="shared" si="45"/>
        <v>Q2-2024</v>
      </c>
      <c r="AA132" t="str">
        <f t="shared" si="46"/>
        <v>Printers</v>
      </c>
      <c r="AB132" t="str">
        <f t="shared" si="47"/>
        <v>Printers</v>
      </c>
      <c r="AC132" t="str">
        <f t="shared" si="48"/>
        <v>Compliant</v>
      </c>
      <c r="AD132" t="str">
        <f t="shared" si="49"/>
        <v>Late</v>
      </c>
      <c r="AE132" s="8">
        <f>MIN(Q132,Scenario!$B$2)</f>
        <v>0.19700000000000001</v>
      </c>
      <c r="AF132" s="33">
        <f>L132*(1+Scenario!$B$3)</f>
        <v>127.67299999999999</v>
      </c>
      <c r="AG132" s="6">
        <f>R132*(1+Scenario!$B$4)</f>
        <v>34.799999999999997</v>
      </c>
      <c r="AH132" s="33">
        <f t="shared" si="51"/>
        <v>4831.0278719999988</v>
      </c>
      <c r="AI132" s="33">
        <f t="shared" si="52"/>
        <v>4443.0203999999994</v>
      </c>
      <c r="AJ132" s="33">
        <f t="shared" si="53"/>
        <v>388.00747199999932</v>
      </c>
    </row>
    <row r="133" spans="1:36" x14ac:dyDescent="0.25">
      <c r="A133" s="12" t="s">
        <v>490</v>
      </c>
      <c r="B133" s="27">
        <v>45422</v>
      </c>
      <c r="C133" s="4">
        <v>45428</v>
      </c>
      <c r="D133" s="12" t="s">
        <v>649</v>
      </c>
      <c r="E133" s="12" t="s">
        <v>658</v>
      </c>
      <c r="F133" s="12" t="s">
        <v>674</v>
      </c>
      <c r="G133" s="12" t="s">
        <v>703</v>
      </c>
      <c r="H133" s="12" t="s">
        <v>711</v>
      </c>
      <c r="I133" s="12" t="s">
        <v>715</v>
      </c>
      <c r="J133" s="12" t="s">
        <v>731</v>
      </c>
      <c r="K133" s="12" t="s">
        <v>1209</v>
      </c>
      <c r="L133" s="6">
        <v>210.76</v>
      </c>
      <c r="M133" s="6">
        <v>221.58</v>
      </c>
      <c r="N133" s="6">
        <f t="shared" si="36"/>
        <v>221.58</v>
      </c>
      <c r="O133" s="6" t="str">
        <f t="shared" si="50"/>
        <v>Low</v>
      </c>
      <c r="P133" s="6">
        <v>8.8999999999999996E-2</v>
      </c>
      <c r="Q133" s="6">
        <f t="shared" si="37"/>
        <v>8.8999999999999996E-2</v>
      </c>
      <c r="R133" s="6">
        <v>5</v>
      </c>
      <c r="S133" s="6" t="str">
        <f t="shared" si="38"/>
        <v>OK</v>
      </c>
      <c r="T133" s="4">
        <f t="shared" si="39"/>
        <v>45428</v>
      </c>
      <c r="U133" s="11">
        <f t="shared" si="40"/>
        <v>6</v>
      </c>
      <c r="V133" s="6">
        <f t="shared" si="41"/>
        <v>1009.2969000000002</v>
      </c>
      <c r="W133" s="6">
        <f t="shared" si="42"/>
        <v>1053.8</v>
      </c>
      <c r="X133" s="6">
        <f t="shared" si="43"/>
        <v>-44.50309999999979</v>
      </c>
      <c r="Y133" s="6">
        <f t="shared" si="44"/>
        <v>-4.4093170205912434E-2</v>
      </c>
      <c r="Z133" s="4" t="str">
        <f t="shared" si="45"/>
        <v>Q2-2024</v>
      </c>
      <c r="AA133" t="str">
        <f t="shared" si="46"/>
        <v>Laptops</v>
      </c>
      <c r="AB133" t="str">
        <f t="shared" si="47"/>
        <v>Laptops</v>
      </c>
      <c r="AC133" t="str">
        <f t="shared" si="48"/>
        <v>Compliant</v>
      </c>
      <c r="AD133" t="str">
        <f t="shared" si="49"/>
        <v>On-time</v>
      </c>
      <c r="AE133" s="8">
        <f>MIN(Q133,Scenario!$B$2)</f>
        <v>8.8999999999999996E-2</v>
      </c>
      <c r="AF133" s="33">
        <f>L133*(1+Scenario!$B$3)</f>
        <v>242.37399999999997</v>
      </c>
      <c r="AG133" s="6">
        <f>R133*(1+Scenario!$B$4)</f>
        <v>6</v>
      </c>
      <c r="AH133" s="33">
        <f t="shared" si="51"/>
        <v>1211.1562800000002</v>
      </c>
      <c r="AI133" s="33">
        <f t="shared" si="52"/>
        <v>1454.2439999999997</v>
      </c>
      <c r="AJ133" s="33">
        <f t="shared" si="53"/>
        <v>-243.08771999999954</v>
      </c>
    </row>
    <row r="134" spans="1:36" hidden="1" x14ac:dyDescent="0.25">
      <c r="A134" s="12" t="s">
        <v>189</v>
      </c>
      <c r="B134" s="27">
        <v>45435</v>
      </c>
      <c r="C134" s="4">
        <v>45446</v>
      </c>
      <c r="D134" s="12" t="s">
        <v>646</v>
      </c>
      <c r="E134" s="12" t="s">
        <v>661</v>
      </c>
      <c r="F134" s="12" t="s">
        <v>682</v>
      </c>
      <c r="G134" s="12" t="s">
        <v>705</v>
      </c>
      <c r="H134" s="12" t="s">
        <v>710</v>
      </c>
      <c r="I134" s="12" t="s">
        <v>721</v>
      </c>
      <c r="J134" s="12" t="s">
        <v>728</v>
      </c>
      <c r="K134" s="12" t="s">
        <v>908</v>
      </c>
      <c r="L134" s="6">
        <v>180.89</v>
      </c>
      <c r="M134" s="6">
        <v>249.57</v>
      </c>
      <c r="N134" s="6">
        <f t="shared" si="36"/>
        <v>249.57</v>
      </c>
      <c r="O134" s="6" t="str">
        <f t="shared" si="50"/>
        <v>Low</v>
      </c>
      <c r="P134" s="6">
        <v>2.1999999999999999E-2</v>
      </c>
      <c r="Q134" s="6">
        <f t="shared" si="37"/>
        <v>2.1999999999999999E-2</v>
      </c>
      <c r="R134" s="6">
        <v>8</v>
      </c>
      <c r="S134" s="6" t="str">
        <f t="shared" si="38"/>
        <v>OK</v>
      </c>
      <c r="T134" s="4">
        <f t="shared" si="39"/>
        <v>45446</v>
      </c>
      <c r="U134" s="11">
        <f t="shared" si="40"/>
        <v>11</v>
      </c>
      <c r="V134" s="6">
        <f t="shared" si="41"/>
        <v>1952.6356799999999</v>
      </c>
      <c r="W134" s="6">
        <f t="shared" si="42"/>
        <v>1447.12</v>
      </c>
      <c r="X134" s="6">
        <f t="shared" si="43"/>
        <v>505.51567999999997</v>
      </c>
      <c r="Y134" s="6">
        <f t="shared" si="44"/>
        <v>0.25888888806948362</v>
      </c>
      <c r="Z134" s="4" t="str">
        <f t="shared" si="45"/>
        <v>Q2-2024</v>
      </c>
      <c r="AA134" t="str">
        <f t="shared" si="46"/>
        <v>Printers</v>
      </c>
      <c r="AB134" t="str">
        <f t="shared" si="47"/>
        <v>Printers</v>
      </c>
      <c r="AC134" t="str">
        <f t="shared" si="48"/>
        <v>Compliant</v>
      </c>
      <c r="AD134" t="str">
        <f t="shared" si="49"/>
        <v>Late</v>
      </c>
      <c r="AE134" s="8">
        <f>MIN(Q134,Scenario!$B$2)</f>
        <v>2.1999999999999999E-2</v>
      </c>
      <c r="AF134" s="33">
        <f>L134*(1+Scenario!$B$3)</f>
        <v>208.02349999999996</v>
      </c>
      <c r="AG134" s="6">
        <f>R134*(1+Scenario!$B$4)</f>
        <v>9.6</v>
      </c>
      <c r="AH134" s="33">
        <f t="shared" si="51"/>
        <v>2343.162816</v>
      </c>
      <c r="AI134" s="33">
        <f t="shared" si="52"/>
        <v>1997.0255999999995</v>
      </c>
      <c r="AJ134" s="33">
        <f t="shared" si="53"/>
        <v>346.13721600000054</v>
      </c>
    </row>
    <row r="135" spans="1:36" hidden="1" x14ac:dyDescent="0.25">
      <c r="A135" s="12" t="s">
        <v>143</v>
      </c>
      <c r="B135" s="27">
        <v>45442</v>
      </c>
      <c r="C135" s="4">
        <v>45456</v>
      </c>
      <c r="D135" s="12" t="s">
        <v>648</v>
      </c>
      <c r="E135" s="12" t="s">
        <v>660</v>
      </c>
      <c r="F135" s="12" t="s">
        <v>686</v>
      </c>
      <c r="G135" s="12" t="s">
        <v>705</v>
      </c>
      <c r="H135" s="12" t="s">
        <v>707</v>
      </c>
      <c r="I135" s="12" t="s">
        <v>721</v>
      </c>
      <c r="J135" s="12" t="s">
        <v>730</v>
      </c>
      <c r="K135" s="12" t="s">
        <v>862</v>
      </c>
      <c r="L135" s="6">
        <v>157.78</v>
      </c>
      <c r="M135" s="6">
        <v>361.1</v>
      </c>
      <c r="N135" s="6">
        <f t="shared" si="36"/>
        <v>361.1</v>
      </c>
      <c r="O135" s="6" t="str">
        <f t="shared" si="50"/>
        <v>Low</v>
      </c>
      <c r="P135" s="6">
        <v>0.187</v>
      </c>
      <c r="Q135" s="6">
        <f t="shared" si="37"/>
        <v>0.187</v>
      </c>
      <c r="R135" s="6">
        <v>9</v>
      </c>
      <c r="S135" s="6" t="str">
        <f t="shared" si="38"/>
        <v>OK</v>
      </c>
      <c r="T135" s="4">
        <f t="shared" si="39"/>
        <v>45456</v>
      </c>
      <c r="U135" s="11">
        <f t="shared" si="40"/>
        <v>14</v>
      </c>
      <c r="V135" s="6">
        <f t="shared" si="41"/>
        <v>2642.1686999999997</v>
      </c>
      <c r="W135" s="6">
        <f t="shared" si="42"/>
        <v>1420.02</v>
      </c>
      <c r="X135" s="6">
        <f t="shared" si="43"/>
        <v>1222.1486999999997</v>
      </c>
      <c r="Y135" s="6">
        <f t="shared" si="44"/>
        <v>0.46255513510549112</v>
      </c>
      <c r="Z135" s="4" t="str">
        <f t="shared" si="45"/>
        <v>Q2-2024</v>
      </c>
      <c r="AA135" t="str">
        <f t="shared" si="46"/>
        <v>Phones</v>
      </c>
      <c r="AB135" t="str">
        <f t="shared" si="47"/>
        <v>Phones</v>
      </c>
      <c r="AC135" t="str">
        <f t="shared" si="48"/>
        <v>Compliant</v>
      </c>
      <c r="AD135" t="str">
        <f t="shared" si="49"/>
        <v>Late</v>
      </c>
      <c r="AE135" s="8">
        <f>MIN(Q135,Scenario!$B$2)</f>
        <v>0.187</v>
      </c>
      <c r="AF135" s="33">
        <f>L135*(1+Scenario!$B$3)</f>
        <v>181.44699999999997</v>
      </c>
      <c r="AG135" s="6">
        <f>R135*(1+Scenario!$B$4)</f>
        <v>10.799999999999999</v>
      </c>
      <c r="AH135" s="33">
        <f t="shared" si="51"/>
        <v>3170.6024399999997</v>
      </c>
      <c r="AI135" s="33">
        <f t="shared" si="52"/>
        <v>1959.6275999999996</v>
      </c>
      <c r="AJ135" s="33">
        <f t="shared" si="53"/>
        <v>1210.9748400000001</v>
      </c>
    </row>
    <row r="136" spans="1:36" hidden="1" x14ac:dyDescent="0.25">
      <c r="A136" s="12" t="s">
        <v>508</v>
      </c>
      <c r="B136" s="27">
        <v>45439</v>
      </c>
      <c r="C136" s="4">
        <v>45460</v>
      </c>
      <c r="D136" s="12" t="s">
        <v>647</v>
      </c>
      <c r="E136" s="12" t="s">
        <v>654</v>
      </c>
      <c r="F136" s="12" t="s">
        <v>680</v>
      </c>
      <c r="G136" s="12" t="s">
        <v>705</v>
      </c>
      <c r="H136" s="12" t="s">
        <v>708</v>
      </c>
      <c r="I136" s="12" t="s">
        <v>722</v>
      </c>
      <c r="J136" s="12" t="s">
        <v>733</v>
      </c>
      <c r="K136" s="12" t="s">
        <v>1227</v>
      </c>
      <c r="L136" s="6">
        <v>465.02</v>
      </c>
      <c r="M136" s="6">
        <v>651.55999999999995</v>
      </c>
      <c r="N136" s="6">
        <f t="shared" si="36"/>
        <v>651.55999999999995</v>
      </c>
      <c r="O136" s="6" t="str">
        <f t="shared" si="50"/>
        <v>Middle</v>
      </c>
      <c r="P136" s="6">
        <v>4.2000000000000003E-2</v>
      </c>
      <c r="Q136" s="6">
        <f t="shared" si="37"/>
        <v>4.2000000000000003E-2</v>
      </c>
      <c r="R136" s="6">
        <v>19</v>
      </c>
      <c r="S136" s="6" t="str">
        <f t="shared" si="38"/>
        <v>OK</v>
      </c>
      <c r="T136" s="4">
        <f t="shared" si="39"/>
        <v>45460</v>
      </c>
      <c r="U136" s="11">
        <f t="shared" si="40"/>
        <v>21</v>
      </c>
      <c r="V136" s="6">
        <f t="shared" si="41"/>
        <v>11859.695119999998</v>
      </c>
      <c r="W136" s="6">
        <f t="shared" si="42"/>
        <v>8835.3799999999992</v>
      </c>
      <c r="X136" s="6">
        <f t="shared" si="43"/>
        <v>3024.3151199999993</v>
      </c>
      <c r="Y136" s="6">
        <f t="shared" si="44"/>
        <v>0.25500783025187918</v>
      </c>
      <c r="Z136" s="4" t="str">
        <f t="shared" si="45"/>
        <v>Q2-2024</v>
      </c>
      <c r="AA136" t="str">
        <f t="shared" si="46"/>
        <v>Accessories</v>
      </c>
      <c r="AB136" t="str">
        <f t="shared" si="47"/>
        <v>Accessories</v>
      </c>
      <c r="AC136" t="str">
        <f t="shared" si="48"/>
        <v>Compliant</v>
      </c>
      <c r="AD136" t="str">
        <f t="shared" si="49"/>
        <v>Late</v>
      </c>
      <c r="AE136" s="8">
        <f>MIN(Q136,Scenario!$B$2)</f>
        <v>4.2000000000000003E-2</v>
      </c>
      <c r="AF136" s="33">
        <f>L136*(1+Scenario!$B$3)</f>
        <v>534.77299999999991</v>
      </c>
      <c r="AG136" s="6">
        <f>R136*(1+Scenario!$B$4)</f>
        <v>22.8</v>
      </c>
      <c r="AH136" s="33">
        <f t="shared" si="51"/>
        <v>14231.634144</v>
      </c>
      <c r="AI136" s="33">
        <f t="shared" si="52"/>
        <v>12192.824399999998</v>
      </c>
      <c r="AJ136" s="33">
        <f t="shared" si="53"/>
        <v>2038.809744000002</v>
      </c>
    </row>
    <row r="137" spans="1:36" x14ac:dyDescent="0.25">
      <c r="A137" s="12" t="s">
        <v>425</v>
      </c>
      <c r="B137" s="27">
        <v>45430</v>
      </c>
      <c r="C137" s="4">
        <v>45433</v>
      </c>
      <c r="D137" s="12" t="s">
        <v>649</v>
      </c>
      <c r="E137" s="12" t="s">
        <v>657</v>
      </c>
      <c r="F137" s="12" t="s">
        <v>673</v>
      </c>
      <c r="G137" s="12" t="s">
        <v>703</v>
      </c>
      <c r="H137" s="12" t="s">
        <v>709</v>
      </c>
      <c r="I137" s="12" t="s">
        <v>726</v>
      </c>
      <c r="J137" s="12" t="s">
        <v>728</v>
      </c>
      <c r="K137" s="12" t="s">
        <v>1144</v>
      </c>
      <c r="L137" s="6">
        <v>663.66</v>
      </c>
      <c r="M137" s="6">
        <v>824.26</v>
      </c>
      <c r="N137" s="6">
        <f t="shared" si="36"/>
        <v>824.26</v>
      </c>
      <c r="O137" s="6" t="str">
        <f t="shared" si="50"/>
        <v>Middle</v>
      </c>
      <c r="P137" s="6">
        <v>0.23899999999999999</v>
      </c>
      <c r="Q137" s="6">
        <f t="shared" si="37"/>
        <v>0.23899999999999999</v>
      </c>
      <c r="R137" s="6">
        <v>11</v>
      </c>
      <c r="S137" s="6" t="str">
        <f t="shared" si="38"/>
        <v>OK</v>
      </c>
      <c r="T137" s="4">
        <f t="shared" si="39"/>
        <v>45433</v>
      </c>
      <c r="U137" s="11">
        <f t="shared" si="40"/>
        <v>3</v>
      </c>
      <c r="V137" s="6">
        <f t="shared" si="41"/>
        <v>6899.8804600000003</v>
      </c>
      <c r="W137" s="6">
        <f t="shared" si="42"/>
        <v>7300.2599999999993</v>
      </c>
      <c r="X137" s="6">
        <f t="shared" si="43"/>
        <v>-400.379539999999</v>
      </c>
      <c r="Y137" s="6">
        <f t="shared" si="44"/>
        <v>-5.8027025587048933E-2</v>
      </c>
      <c r="Z137" s="4" t="str">
        <f t="shared" si="45"/>
        <v>Q2-2024</v>
      </c>
      <c r="AA137" t="str">
        <f t="shared" si="46"/>
        <v>Printers</v>
      </c>
      <c r="AB137" t="str">
        <f t="shared" si="47"/>
        <v>Printers</v>
      </c>
      <c r="AC137" t="str">
        <f t="shared" si="48"/>
        <v>Non-compliant</v>
      </c>
      <c r="AD137" t="str">
        <f t="shared" si="49"/>
        <v>On-time</v>
      </c>
      <c r="AE137" s="8">
        <f>MIN(Q137,Scenario!$B$2)</f>
        <v>0.2</v>
      </c>
      <c r="AF137" s="33">
        <f>L137*(1+Scenario!$B$3)</f>
        <v>763.20899999999995</v>
      </c>
      <c r="AG137" s="6">
        <f>R137*(1+Scenario!$B$4)</f>
        <v>13.2</v>
      </c>
      <c r="AH137" s="33">
        <f t="shared" si="51"/>
        <v>8704.1856000000007</v>
      </c>
      <c r="AI137" s="33">
        <f t="shared" si="52"/>
        <v>10074.358799999998</v>
      </c>
      <c r="AJ137" s="33">
        <f t="shared" si="53"/>
        <v>-1370.1731999999975</v>
      </c>
    </row>
    <row r="138" spans="1:36" hidden="1" x14ac:dyDescent="0.25">
      <c r="A138" s="12" t="s">
        <v>59</v>
      </c>
      <c r="B138" s="27">
        <v>45432</v>
      </c>
      <c r="C138" s="4">
        <v>45445</v>
      </c>
      <c r="D138" s="12" t="s">
        <v>648</v>
      </c>
      <c r="E138" s="12" t="s">
        <v>653</v>
      </c>
      <c r="F138" s="12" t="s">
        <v>688</v>
      </c>
      <c r="G138" s="12" t="s">
        <v>706</v>
      </c>
      <c r="H138" s="12" t="s">
        <v>709</v>
      </c>
      <c r="I138" s="12" t="s">
        <v>723</v>
      </c>
      <c r="J138" s="12" t="s">
        <v>727</v>
      </c>
      <c r="K138" s="12" t="s">
        <v>778</v>
      </c>
      <c r="L138" s="6">
        <v>675.43</v>
      </c>
      <c r="M138" s="6">
        <v>996.36</v>
      </c>
      <c r="N138" s="6">
        <f t="shared" si="36"/>
        <v>996.36</v>
      </c>
      <c r="O138" s="6" t="str">
        <f t="shared" si="50"/>
        <v>Middle</v>
      </c>
      <c r="P138" s="6">
        <v>0.182</v>
      </c>
      <c r="Q138" s="6">
        <f t="shared" si="37"/>
        <v>0.182</v>
      </c>
      <c r="R138" s="6">
        <v>22</v>
      </c>
      <c r="S138" s="6" t="str">
        <f t="shared" si="38"/>
        <v>OK</v>
      </c>
      <c r="T138" s="4">
        <f t="shared" si="39"/>
        <v>45445</v>
      </c>
      <c r="U138" s="11">
        <f t="shared" si="40"/>
        <v>13</v>
      </c>
      <c r="V138" s="6">
        <f t="shared" si="41"/>
        <v>17930.494560000003</v>
      </c>
      <c r="W138" s="6">
        <f t="shared" si="42"/>
        <v>14859.46</v>
      </c>
      <c r="X138" s="6">
        <f t="shared" si="43"/>
        <v>3071.0345600000037</v>
      </c>
      <c r="Y138" s="6">
        <f t="shared" si="44"/>
        <v>0.17127439233332575</v>
      </c>
      <c r="Z138" s="4" t="str">
        <f t="shared" si="45"/>
        <v>Q2-2024</v>
      </c>
      <c r="AA138" t="str">
        <f t="shared" si="46"/>
        <v>Components</v>
      </c>
      <c r="AB138" t="str">
        <f t="shared" si="47"/>
        <v>Components</v>
      </c>
      <c r="AC138" t="str">
        <f t="shared" si="48"/>
        <v>Compliant</v>
      </c>
      <c r="AD138" t="str">
        <f t="shared" si="49"/>
        <v>Late</v>
      </c>
      <c r="AE138" s="8">
        <f>MIN(Q138,Scenario!$B$2)</f>
        <v>0.182</v>
      </c>
      <c r="AF138" s="33">
        <f>L138*(1+Scenario!$B$3)</f>
        <v>776.7444999999999</v>
      </c>
      <c r="AG138" s="6">
        <f>R138*(1+Scenario!$B$4)</f>
        <v>26.4</v>
      </c>
      <c r="AH138" s="33">
        <f t="shared" si="51"/>
        <v>21516.593472</v>
      </c>
      <c r="AI138" s="33">
        <f t="shared" si="52"/>
        <v>20506.054799999998</v>
      </c>
      <c r="AJ138" s="33">
        <f t="shared" si="53"/>
        <v>1010.5386720000024</v>
      </c>
    </row>
    <row r="139" spans="1:36" hidden="1" x14ac:dyDescent="0.25">
      <c r="A139" s="12" t="s">
        <v>82</v>
      </c>
      <c r="B139" s="27">
        <v>45434</v>
      </c>
      <c r="C139" s="4">
        <v>45449</v>
      </c>
      <c r="D139" s="12" t="s">
        <v>647</v>
      </c>
      <c r="E139" s="12" t="s">
        <v>652</v>
      </c>
      <c r="F139" s="12" t="s">
        <v>694</v>
      </c>
      <c r="G139" s="12" t="s">
        <v>701</v>
      </c>
      <c r="H139" s="12" t="s">
        <v>710</v>
      </c>
      <c r="I139" s="12" t="s">
        <v>712</v>
      </c>
      <c r="J139" s="12" t="s">
        <v>732</v>
      </c>
      <c r="K139" s="12" t="s">
        <v>801</v>
      </c>
      <c r="L139" s="6">
        <v>673.88</v>
      </c>
      <c r="M139" s="6">
        <v>1228.01</v>
      </c>
      <c r="N139" s="6">
        <f t="shared" si="36"/>
        <v>1228.01</v>
      </c>
      <c r="O139" s="6" t="str">
        <f t="shared" si="50"/>
        <v>High</v>
      </c>
      <c r="P139" s="6">
        <v>0.105</v>
      </c>
      <c r="Q139" s="6">
        <f t="shared" si="37"/>
        <v>0.105</v>
      </c>
      <c r="R139" s="6">
        <v>13</v>
      </c>
      <c r="S139" s="6" t="str">
        <f t="shared" si="38"/>
        <v>OK</v>
      </c>
      <c r="T139" s="4">
        <f t="shared" si="39"/>
        <v>45449</v>
      </c>
      <c r="U139" s="11">
        <f t="shared" si="40"/>
        <v>15</v>
      </c>
      <c r="V139" s="6">
        <f t="shared" si="41"/>
        <v>14287.896349999999</v>
      </c>
      <c r="W139" s="6">
        <f t="shared" si="42"/>
        <v>8760.44</v>
      </c>
      <c r="X139" s="6">
        <f t="shared" si="43"/>
        <v>5527.4563499999986</v>
      </c>
      <c r="Y139" s="6">
        <f t="shared" si="44"/>
        <v>0.38686285332689996</v>
      </c>
      <c r="Z139" s="4" t="str">
        <f t="shared" si="45"/>
        <v>Q2-2024</v>
      </c>
      <c r="AA139" t="str">
        <f t="shared" si="46"/>
        <v>Monitors</v>
      </c>
      <c r="AB139" t="str">
        <f t="shared" si="47"/>
        <v>Monitors</v>
      </c>
      <c r="AC139" t="str">
        <f t="shared" si="48"/>
        <v>Compliant</v>
      </c>
      <c r="AD139" t="str">
        <f t="shared" si="49"/>
        <v>Late</v>
      </c>
      <c r="AE139" s="8">
        <f>MIN(Q139,Scenario!$B$2)</f>
        <v>0.105</v>
      </c>
      <c r="AF139" s="33">
        <f>L139*(1+Scenario!$B$3)</f>
        <v>774.96199999999999</v>
      </c>
      <c r="AG139" s="6">
        <f>R139*(1+Scenario!$B$4)</f>
        <v>15.6</v>
      </c>
      <c r="AH139" s="33">
        <f t="shared" si="51"/>
        <v>17145.475619999997</v>
      </c>
      <c r="AI139" s="33">
        <f t="shared" si="52"/>
        <v>12089.4072</v>
      </c>
      <c r="AJ139" s="33">
        <f t="shared" si="53"/>
        <v>5056.0684199999978</v>
      </c>
    </row>
    <row r="140" spans="1:36" hidden="1" x14ac:dyDescent="0.25">
      <c r="A140" s="12" t="s">
        <v>203</v>
      </c>
      <c r="B140" s="27">
        <v>45431</v>
      </c>
      <c r="C140" s="4">
        <v>45451</v>
      </c>
      <c r="D140" s="12" t="s">
        <v>648</v>
      </c>
      <c r="E140" s="12" t="s">
        <v>655</v>
      </c>
      <c r="F140" s="12" t="s">
        <v>672</v>
      </c>
      <c r="G140" s="12" t="s">
        <v>705</v>
      </c>
      <c r="H140" s="12" t="s">
        <v>707</v>
      </c>
      <c r="I140" s="12" t="s">
        <v>718</v>
      </c>
      <c r="J140" s="12" t="s">
        <v>732</v>
      </c>
      <c r="K140" s="12" t="s">
        <v>923</v>
      </c>
      <c r="L140" s="6">
        <v>1075.9000000000001</v>
      </c>
      <c r="M140" s="6">
        <v>1242.1500000000001</v>
      </c>
      <c r="N140" s="6">
        <f t="shared" si="36"/>
        <v>1242.1500000000001</v>
      </c>
      <c r="O140" s="6" t="str">
        <f t="shared" si="50"/>
        <v>High</v>
      </c>
      <c r="P140" s="6">
        <v>1.2E-2</v>
      </c>
      <c r="Q140" s="6">
        <f t="shared" si="37"/>
        <v>1.2E-2</v>
      </c>
      <c r="R140" s="6">
        <v>7</v>
      </c>
      <c r="S140" s="6" t="str">
        <f t="shared" si="38"/>
        <v>OK</v>
      </c>
      <c r="T140" s="4">
        <f t="shared" si="39"/>
        <v>45451</v>
      </c>
      <c r="U140" s="11">
        <f t="shared" si="40"/>
        <v>20</v>
      </c>
      <c r="V140" s="6">
        <f t="shared" si="41"/>
        <v>8590.7094000000016</v>
      </c>
      <c r="W140" s="6">
        <f t="shared" si="42"/>
        <v>7531.3000000000011</v>
      </c>
      <c r="X140" s="6">
        <f t="shared" si="43"/>
        <v>1059.4094000000005</v>
      </c>
      <c r="Y140" s="6">
        <f t="shared" si="44"/>
        <v>0.12332036280961853</v>
      </c>
      <c r="Z140" s="4" t="str">
        <f t="shared" si="45"/>
        <v>Q2-2024</v>
      </c>
      <c r="AA140" t="str">
        <f t="shared" si="46"/>
        <v>Monitors</v>
      </c>
      <c r="AB140" t="str">
        <f t="shared" si="47"/>
        <v>Monitors</v>
      </c>
      <c r="AC140" t="str">
        <f t="shared" si="48"/>
        <v>Compliant</v>
      </c>
      <c r="AD140" t="str">
        <f t="shared" si="49"/>
        <v>Late</v>
      </c>
      <c r="AE140" s="8">
        <f>MIN(Q140,Scenario!$B$2)</f>
        <v>1.2E-2</v>
      </c>
      <c r="AF140" s="33">
        <f>L140*(1+Scenario!$B$3)</f>
        <v>1237.2850000000001</v>
      </c>
      <c r="AG140" s="6">
        <f>R140*(1+Scenario!$B$4)</f>
        <v>8.4</v>
      </c>
      <c r="AH140" s="33">
        <f t="shared" si="51"/>
        <v>10308.851280000001</v>
      </c>
      <c r="AI140" s="33">
        <f t="shared" si="52"/>
        <v>10393.194000000001</v>
      </c>
      <c r="AJ140" s="33">
        <f t="shared" si="53"/>
        <v>-84.342720000000554</v>
      </c>
    </row>
    <row r="141" spans="1:36" hidden="1" x14ac:dyDescent="0.25">
      <c r="A141" s="12" t="s">
        <v>120</v>
      </c>
      <c r="B141" s="27">
        <v>45433</v>
      </c>
      <c r="C141" s="4">
        <v>45439</v>
      </c>
      <c r="D141" s="12" t="s">
        <v>646</v>
      </c>
      <c r="E141" s="12" t="s">
        <v>661</v>
      </c>
      <c r="F141" s="12" t="s">
        <v>682</v>
      </c>
      <c r="G141" s="12" t="s">
        <v>703</v>
      </c>
      <c r="H141" s="12" t="s">
        <v>708</v>
      </c>
      <c r="I141" s="12" t="s">
        <v>724</v>
      </c>
      <c r="J141" s="12" t="s">
        <v>727</v>
      </c>
      <c r="K141" s="12" t="s">
        <v>839</v>
      </c>
      <c r="L141" s="6">
        <v>1157.51</v>
      </c>
      <c r="M141" s="6">
        <v>1394.3</v>
      </c>
      <c r="N141" s="6">
        <f t="shared" si="36"/>
        <v>1394.3</v>
      </c>
      <c r="O141" s="6" t="str">
        <f t="shared" si="50"/>
        <v>High</v>
      </c>
      <c r="P141" s="6">
        <v>0.27800000000000002</v>
      </c>
      <c r="Q141" s="6">
        <f t="shared" si="37"/>
        <v>0.27800000000000002</v>
      </c>
      <c r="R141" s="6">
        <v>12</v>
      </c>
      <c r="S141" s="6" t="str">
        <f t="shared" si="38"/>
        <v>OK</v>
      </c>
      <c r="T141" s="4">
        <f t="shared" si="39"/>
        <v>45439</v>
      </c>
      <c r="U141" s="11">
        <f t="shared" si="40"/>
        <v>6</v>
      </c>
      <c r="V141" s="6">
        <f t="shared" si="41"/>
        <v>12080.215199999999</v>
      </c>
      <c r="W141" s="6">
        <f t="shared" si="42"/>
        <v>13890.119999999999</v>
      </c>
      <c r="X141" s="6">
        <f t="shared" si="43"/>
        <v>-1809.9048000000003</v>
      </c>
      <c r="Y141" s="6">
        <f t="shared" si="44"/>
        <v>-0.14982388724333326</v>
      </c>
      <c r="Z141" s="4" t="str">
        <f t="shared" si="45"/>
        <v>Q2-2024</v>
      </c>
      <c r="AA141" t="str">
        <f t="shared" si="46"/>
        <v>Components</v>
      </c>
      <c r="AB141" t="str">
        <f t="shared" si="47"/>
        <v>Components</v>
      </c>
      <c r="AC141" t="str">
        <f t="shared" si="48"/>
        <v>Non-compliant</v>
      </c>
      <c r="AD141" t="str">
        <f t="shared" si="49"/>
        <v>On-time</v>
      </c>
      <c r="AE141" s="8">
        <f>MIN(Q141,Scenario!$B$2)</f>
        <v>0.2</v>
      </c>
      <c r="AF141" s="33">
        <f>L141*(1+Scenario!$B$3)</f>
        <v>1331.1364999999998</v>
      </c>
      <c r="AG141" s="6">
        <f>R141*(1+Scenario!$B$4)</f>
        <v>14.399999999999999</v>
      </c>
      <c r="AH141" s="33">
        <f t="shared" si="51"/>
        <v>16062.335999999999</v>
      </c>
      <c r="AI141" s="33">
        <f t="shared" si="52"/>
        <v>19168.365599999997</v>
      </c>
      <c r="AJ141" s="33">
        <f t="shared" si="53"/>
        <v>-3106.029599999998</v>
      </c>
    </row>
    <row r="142" spans="1:36" hidden="1" x14ac:dyDescent="0.25">
      <c r="A142" s="12" t="s">
        <v>401</v>
      </c>
      <c r="B142" s="27">
        <v>45419</v>
      </c>
      <c r="C142" s="4">
        <v>45424</v>
      </c>
      <c r="D142" s="12" t="s">
        <v>646</v>
      </c>
      <c r="E142" s="12" t="s">
        <v>651</v>
      </c>
      <c r="F142" s="12" t="s">
        <v>669</v>
      </c>
      <c r="G142" s="12" t="s">
        <v>703</v>
      </c>
      <c r="H142" s="12" t="s">
        <v>710</v>
      </c>
      <c r="I142" s="12" t="s">
        <v>716</v>
      </c>
      <c r="J142" s="12" t="s">
        <v>731</v>
      </c>
      <c r="K142" s="12" t="s">
        <v>1120</v>
      </c>
      <c r="L142" s="6">
        <v>1163.99</v>
      </c>
      <c r="M142" s="6">
        <v>1617.85</v>
      </c>
      <c r="N142" s="6">
        <f t="shared" si="36"/>
        <v>1617.85</v>
      </c>
      <c r="O142" s="6" t="str">
        <f t="shared" si="50"/>
        <v>High</v>
      </c>
      <c r="P142" s="6">
        <v>0.127</v>
      </c>
      <c r="Q142" s="6">
        <f t="shared" si="37"/>
        <v>0.127</v>
      </c>
      <c r="R142" s="6">
        <v>14</v>
      </c>
      <c r="S142" s="6" t="str">
        <f t="shared" si="38"/>
        <v>OK</v>
      </c>
      <c r="T142" s="4">
        <f t="shared" si="39"/>
        <v>45424</v>
      </c>
      <c r="U142" s="11">
        <f t="shared" si="40"/>
        <v>5</v>
      </c>
      <c r="V142" s="6">
        <f t="shared" si="41"/>
        <v>19773.362699999998</v>
      </c>
      <c r="W142" s="6">
        <f t="shared" si="42"/>
        <v>16295.86</v>
      </c>
      <c r="X142" s="6">
        <f t="shared" si="43"/>
        <v>3477.5026999999973</v>
      </c>
      <c r="Y142" s="6">
        <f t="shared" si="44"/>
        <v>0.17586804797749436</v>
      </c>
      <c r="Z142" s="4" t="str">
        <f t="shared" si="45"/>
        <v>Q2-2024</v>
      </c>
      <c r="AA142" t="str">
        <f t="shared" si="46"/>
        <v>Laptops</v>
      </c>
      <c r="AB142" t="str">
        <f t="shared" si="47"/>
        <v>Laptops</v>
      </c>
      <c r="AC142" t="str">
        <f t="shared" si="48"/>
        <v>Compliant</v>
      </c>
      <c r="AD142" t="str">
        <f t="shared" si="49"/>
        <v>On-time</v>
      </c>
      <c r="AE142" s="8">
        <f>MIN(Q142,Scenario!$B$2)</f>
        <v>0.127</v>
      </c>
      <c r="AF142" s="33">
        <f>L142*(1+Scenario!$B$3)</f>
        <v>1338.5884999999998</v>
      </c>
      <c r="AG142" s="6">
        <f>R142*(1+Scenario!$B$4)</f>
        <v>16.8</v>
      </c>
      <c r="AH142" s="33">
        <f t="shared" si="51"/>
        <v>23728.035240000001</v>
      </c>
      <c r="AI142" s="33">
        <f t="shared" si="52"/>
        <v>22488.286799999998</v>
      </c>
      <c r="AJ142" s="33">
        <f t="shared" si="53"/>
        <v>1239.748440000003</v>
      </c>
    </row>
    <row r="143" spans="1:36" x14ac:dyDescent="0.25">
      <c r="A143" s="12" t="s">
        <v>532</v>
      </c>
      <c r="B143" s="27">
        <v>45413</v>
      </c>
      <c r="C143" s="4">
        <v>45438</v>
      </c>
      <c r="D143" s="12" t="s">
        <v>649</v>
      </c>
      <c r="E143" s="12" t="s">
        <v>656</v>
      </c>
      <c r="F143" s="12" t="s">
        <v>671</v>
      </c>
      <c r="G143" s="12" t="s">
        <v>703</v>
      </c>
      <c r="H143" s="12" t="s">
        <v>707</v>
      </c>
      <c r="I143" s="12" t="s">
        <v>717</v>
      </c>
      <c r="J143" s="12" t="s">
        <v>729</v>
      </c>
      <c r="K143" s="12" t="s">
        <v>1251</v>
      </c>
      <c r="L143" s="6">
        <v>930.71</v>
      </c>
      <c r="M143" s="6">
        <v>1625.42</v>
      </c>
      <c r="N143" s="6">
        <f t="shared" si="36"/>
        <v>1625.42</v>
      </c>
      <c r="O143" s="6" t="str">
        <f t="shared" si="50"/>
        <v>High</v>
      </c>
      <c r="P143" s="6">
        <v>0.13800000000000001</v>
      </c>
      <c r="Q143" s="6">
        <f t="shared" si="37"/>
        <v>0.13800000000000001</v>
      </c>
      <c r="R143" s="6">
        <v>7</v>
      </c>
      <c r="S143" s="6" t="str">
        <f t="shared" si="38"/>
        <v>OK</v>
      </c>
      <c r="T143" s="4">
        <f t="shared" si="39"/>
        <v>45438</v>
      </c>
      <c r="U143" s="11">
        <f t="shared" si="40"/>
        <v>25</v>
      </c>
      <c r="V143" s="6">
        <f t="shared" si="41"/>
        <v>9807.7842799999999</v>
      </c>
      <c r="W143" s="6">
        <f t="shared" si="42"/>
        <v>6514.97</v>
      </c>
      <c r="X143" s="6">
        <f t="shared" si="43"/>
        <v>3292.8142799999996</v>
      </c>
      <c r="Y143" s="6">
        <f t="shared" si="44"/>
        <v>0.33573477821231196</v>
      </c>
      <c r="Z143" s="4" t="str">
        <f t="shared" si="45"/>
        <v>Q2-2024</v>
      </c>
      <c r="AA143" t="str">
        <f t="shared" si="46"/>
        <v>Networking</v>
      </c>
      <c r="AB143" t="str">
        <f t="shared" si="47"/>
        <v>Networking</v>
      </c>
      <c r="AC143" t="str">
        <f t="shared" si="48"/>
        <v>Compliant</v>
      </c>
      <c r="AD143" t="str">
        <f t="shared" si="49"/>
        <v>Late</v>
      </c>
      <c r="AE143" s="8">
        <f>MIN(Q143,Scenario!$B$2)</f>
        <v>0.13800000000000001</v>
      </c>
      <c r="AF143" s="33">
        <f>L143*(1+Scenario!$B$3)</f>
        <v>1070.3164999999999</v>
      </c>
      <c r="AG143" s="6">
        <f>R143*(1+Scenario!$B$4)</f>
        <v>8.4</v>
      </c>
      <c r="AH143" s="33">
        <f t="shared" si="51"/>
        <v>11769.341136000001</v>
      </c>
      <c r="AI143" s="33">
        <f t="shared" si="52"/>
        <v>8990.6585999999988</v>
      </c>
      <c r="AJ143" s="33">
        <f t="shared" si="53"/>
        <v>2778.6825360000021</v>
      </c>
    </row>
    <row r="144" spans="1:36" hidden="1" x14ac:dyDescent="0.25">
      <c r="A144" s="12" t="s">
        <v>573</v>
      </c>
      <c r="B144" s="27">
        <v>45430</v>
      </c>
      <c r="C144" s="4">
        <v>45434</v>
      </c>
      <c r="D144" s="12" t="s">
        <v>646</v>
      </c>
      <c r="E144" s="12" t="s">
        <v>650</v>
      </c>
      <c r="F144" s="12" t="s">
        <v>664</v>
      </c>
      <c r="G144" s="12" t="s">
        <v>701</v>
      </c>
      <c r="H144" s="12" t="s">
        <v>711</v>
      </c>
      <c r="I144" s="12" t="s">
        <v>722</v>
      </c>
      <c r="J144" s="12" t="s">
        <v>733</v>
      </c>
      <c r="K144" s="12" t="s">
        <v>1291</v>
      </c>
      <c r="L144" s="6">
        <v>857.42</v>
      </c>
      <c r="M144" s="6">
        <v>1658.92</v>
      </c>
      <c r="N144" s="6">
        <f t="shared" si="36"/>
        <v>1658.92</v>
      </c>
      <c r="O144" s="6" t="str">
        <f t="shared" si="50"/>
        <v>High</v>
      </c>
      <c r="P144" s="6">
        <v>0.122</v>
      </c>
      <c r="Q144" s="6">
        <f t="shared" si="37"/>
        <v>0.122</v>
      </c>
      <c r="R144" s="6">
        <v>9</v>
      </c>
      <c r="S144" s="6" t="str">
        <f t="shared" si="38"/>
        <v>OK</v>
      </c>
      <c r="T144" s="4">
        <f t="shared" si="39"/>
        <v>45434</v>
      </c>
      <c r="U144" s="11">
        <f t="shared" si="40"/>
        <v>4</v>
      </c>
      <c r="V144" s="6">
        <f t="shared" si="41"/>
        <v>13108.78584</v>
      </c>
      <c r="W144" s="6">
        <f t="shared" si="42"/>
        <v>7716.78</v>
      </c>
      <c r="X144" s="6">
        <f t="shared" si="43"/>
        <v>5392.0058400000007</v>
      </c>
      <c r="Y144" s="6">
        <f t="shared" si="44"/>
        <v>0.41132763215544305</v>
      </c>
      <c r="Z144" s="4" t="str">
        <f t="shared" si="45"/>
        <v>Q2-2024</v>
      </c>
      <c r="AA144" t="str">
        <f t="shared" si="46"/>
        <v>Accessories</v>
      </c>
      <c r="AB144" t="str">
        <f t="shared" si="47"/>
        <v>Accessories</v>
      </c>
      <c r="AC144" t="str">
        <f t="shared" si="48"/>
        <v>Compliant</v>
      </c>
      <c r="AD144" t="str">
        <f t="shared" si="49"/>
        <v>On-time</v>
      </c>
      <c r="AE144" s="8">
        <f>MIN(Q144,Scenario!$B$2)</f>
        <v>0.122</v>
      </c>
      <c r="AF144" s="33">
        <f>L144*(1+Scenario!$B$3)</f>
        <v>986.0329999999999</v>
      </c>
      <c r="AG144" s="6">
        <f>R144*(1+Scenario!$B$4)</f>
        <v>10.799999999999999</v>
      </c>
      <c r="AH144" s="33">
        <f t="shared" si="51"/>
        <v>15730.543007999999</v>
      </c>
      <c r="AI144" s="33">
        <f t="shared" si="52"/>
        <v>10649.156399999998</v>
      </c>
      <c r="AJ144" s="33">
        <f t="shared" si="53"/>
        <v>5081.3866080000007</v>
      </c>
    </row>
    <row r="145" spans="1:36" x14ac:dyDescent="0.25">
      <c r="A145" s="12" t="s">
        <v>182</v>
      </c>
      <c r="B145" s="27">
        <v>45435</v>
      </c>
      <c r="C145" s="4">
        <v>45457</v>
      </c>
      <c r="D145" s="12" t="s">
        <v>649</v>
      </c>
      <c r="E145" s="12" t="s">
        <v>657</v>
      </c>
      <c r="F145" s="12" t="s">
        <v>673</v>
      </c>
      <c r="G145" s="12" t="s">
        <v>705</v>
      </c>
      <c r="H145" s="12" t="s">
        <v>708</v>
      </c>
      <c r="I145" s="12" t="s">
        <v>725</v>
      </c>
      <c r="J145" s="12" t="s">
        <v>732</v>
      </c>
      <c r="K145" s="12" t="s">
        <v>901</v>
      </c>
      <c r="L145" s="6">
        <v>1481.74</v>
      </c>
      <c r="M145" s="6">
        <v>1848.97</v>
      </c>
      <c r="N145" s="6">
        <f t="shared" si="36"/>
        <v>1848.97</v>
      </c>
      <c r="O145" s="6" t="str">
        <f t="shared" si="50"/>
        <v>High</v>
      </c>
      <c r="P145" s="6">
        <v>0.254</v>
      </c>
      <c r="Q145" s="6">
        <f t="shared" si="37"/>
        <v>0.254</v>
      </c>
      <c r="R145" s="6">
        <v>9</v>
      </c>
      <c r="S145" s="6" t="str">
        <f t="shared" si="38"/>
        <v>OK</v>
      </c>
      <c r="T145" s="4">
        <f t="shared" si="39"/>
        <v>45457</v>
      </c>
      <c r="U145" s="11">
        <f t="shared" si="40"/>
        <v>22</v>
      </c>
      <c r="V145" s="6">
        <f t="shared" si="41"/>
        <v>12413.98458</v>
      </c>
      <c r="W145" s="6">
        <f t="shared" si="42"/>
        <v>13335.66</v>
      </c>
      <c r="X145" s="6">
        <f t="shared" si="43"/>
        <v>-921.67541999999958</v>
      </c>
      <c r="Y145" s="6">
        <f t="shared" si="44"/>
        <v>-7.4244930309072407E-2</v>
      </c>
      <c r="Z145" s="4" t="str">
        <f t="shared" si="45"/>
        <v>Q2-2024</v>
      </c>
      <c r="AA145" t="str">
        <f t="shared" si="46"/>
        <v>Monitors</v>
      </c>
      <c r="AB145" t="str">
        <f t="shared" si="47"/>
        <v>Monitors</v>
      </c>
      <c r="AC145" t="str">
        <f t="shared" si="48"/>
        <v>Non-compliant</v>
      </c>
      <c r="AD145" t="str">
        <f t="shared" si="49"/>
        <v>Late</v>
      </c>
      <c r="AE145" s="8">
        <f>MIN(Q145,Scenario!$B$2)</f>
        <v>0.2</v>
      </c>
      <c r="AF145" s="33">
        <f>L145*(1+Scenario!$B$3)</f>
        <v>1704.001</v>
      </c>
      <c r="AG145" s="6">
        <f>R145*(1+Scenario!$B$4)</f>
        <v>10.799999999999999</v>
      </c>
      <c r="AH145" s="33">
        <f t="shared" si="51"/>
        <v>15975.100799999998</v>
      </c>
      <c r="AI145" s="33">
        <f t="shared" si="52"/>
        <v>18403.210799999997</v>
      </c>
      <c r="AJ145" s="33">
        <f t="shared" si="53"/>
        <v>-2428.1099999999988</v>
      </c>
    </row>
    <row r="146" spans="1:36" x14ac:dyDescent="0.25">
      <c r="A146" s="12" t="s">
        <v>473</v>
      </c>
      <c r="B146" s="27">
        <v>45417</v>
      </c>
      <c r="C146" s="4">
        <v>45430</v>
      </c>
      <c r="D146" s="12" t="s">
        <v>649</v>
      </c>
      <c r="E146" s="12" t="s">
        <v>657</v>
      </c>
      <c r="F146" s="12" t="s">
        <v>673</v>
      </c>
      <c r="G146" s="12" t="s">
        <v>701</v>
      </c>
      <c r="H146" s="12" t="s">
        <v>709</v>
      </c>
      <c r="I146" s="12" t="s">
        <v>720</v>
      </c>
      <c r="J146" s="12" t="s">
        <v>727</v>
      </c>
      <c r="K146" s="12" t="s">
        <v>1192</v>
      </c>
      <c r="L146" s="6">
        <v>1264.04</v>
      </c>
      <c r="M146" s="6">
        <v>1870.89</v>
      </c>
      <c r="N146" s="6">
        <f t="shared" si="36"/>
        <v>1870.89</v>
      </c>
      <c r="O146" s="6" t="str">
        <f t="shared" si="50"/>
        <v>High</v>
      </c>
      <c r="P146" s="6">
        <v>0</v>
      </c>
      <c r="Q146" s="6">
        <f t="shared" si="37"/>
        <v>0</v>
      </c>
      <c r="R146" s="6">
        <v>13</v>
      </c>
      <c r="S146" s="6" t="str">
        <f t="shared" si="38"/>
        <v>OK</v>
      </c>
      <c r="T146" s="4">
        <f t="shared" si="39"/>
        <v>45430</v>
      </c>
      <c r="U146" s="11">
        <f t="shared" si="40"/>
        <v>13</v>
      </c>
      <c r="V146" s="6">
        <f t="shared" si="41"/>
        <v>24321.57</v>
      </c>
      <c r="W146" s="6">
        <f t="shared" si="42"/>
        <v>16432.52</v>
      </c>
      <c r="X146" s="6">
        <f t="shared" si="43"/>
        <v>7889.0499999999993</v>
      </c>
      <c r="Y146" s="6">
        <f t="shared" si="44"/>
        <v>0.32436433996653996</v>
      </c>
      <c r="Z146" s="4" t="str">
        <f t="shared" si="45"/>
        <v>Q2-2024</v>
      </c>
      <c r="AA146" t="str">
        <f t="shared" si="46"/>
        <v>Components</v>
      </c>
      <c r="AB146" t="str">
        <f t="shared" si="47"/>
        <v>Components</v>
      </c>
      <c r="AC146" t="str">
        <f t="shared" si="48"/>
        <v>Compliant</v>
      </c>
      <c r="AD146" t="str">
        <f t="shared" si="49"/>
        <v>Late</v>
      </c>
      <c r="AE146" s="8">
        <f>MIN(Q146,Scenario!$B$2)</f>
        <v>0</v>
      </c>
      <c r="AF146" s="33">
        <f>L146*(1+Scenario!$B$3)</f>
        <v>1453.646</v>
      </c>
      <c r="AG146" s="6">
        <f>R146*(1+Scenario!$B$4)</f>
        <v>15.6</v>
      </c>
      <c r="AH146" s="33">
        <f t="shared" si="51"/>
        <v>29185.884000000002</v>
      </c>
      <c r="AI146" s="33">
        <f t="shared" si="52"/>
        <v>22676.8776</v>
      </c>
      <c r="AJ146" s="33">
        <f t="shared" si="53"/>
        <v>6509.006400000002</v>
      </c>
    </row>
    <row r="147" spans="1:36" hidden="1" x14ac:dyDescent="0.25">
      <c r="A147" s="12" t="s">
        <v>112</v>
      </c>
      <c r="B147" s="27">
        <v>45440</v>
      </c>
      <c r="C147" s="4">
        <v>45438</v>
      </c>
      <c r="D147" s="12" t="s">
        <v>646</v>
      </c>
      <c r="E147" s="12" t="s">
        <v>651</v>
      </c>
      <c r="F147" s="12" t="s">
        <v>669</v>
      </c>
      <c r="G147" s="12" t="s">
        <v>706</v>
      </c>
      <c r="H147" s="12" t="s">
        <v>708</v>
      </c>
      <c r="I147" s="12" t="s">
        <v>721</v>
      </c>
      <c r="J147" s="12" t="s">
        <v>733</v>
      </c>
      <c r="K147" s="12" t="s">
        <v>831</v>
      </c>
      <c r="L147" s="6">
        <v>1227.08</v>
      </c>
      <c r="M147" s="6">
        <v>1896.62</v>
      </c>
      <c r="N147" s="6">
        <f t="shared" si="36"/>
        <v>1896.62</v>
      </c>
      <c r="O147" s="6" t="str">
        <f t="shared" si="50"/>
        <v>High</v>
      </c>
      <c r="P147" s="6">
        <v>0</v>
      </c>
      <c r="Q147" s="6">
        <f t="shared" si="37"/>
        <v>0</v>
      </c>
      <c r="R147" s="6">
        <v>18</v>
      </c>
      <c r="S147" s="6" t="str">
        <f t="shared" si="38"/>
        <v>Correct</v>
      </c>
      <c r="T147" s="4">
        <f t="shared" si="39"/>
        <v>45447</v>
      </c>
      <c r="U147" s="11">
        <f t="shared" si="40"/>
        <v>7</v>
      </c>
      <c r="V147" s="6">
        <f t="shared" si="41"/>
        <v>34139.159999999996</v>
      </c>
      <c r="W147" s="6">
        <f t="shared" si="42"/>
        <v>22087.439999999999</v>
      </c>
      <c r="X147" s="6">
        <f t="shared" si="43"/>
        <v>12051.719999999998</v>
      </c>
      <c r="Y147" s="6">
        <f t="shared" si="44"/>
        <v>0.353017473189147</v>
      </c>
      <c r="Z147" s="4" t="str">
        <f t="shared" si="45"/>
        <v>Q2-2024</v>
      </c>
      <c r="AA147" t="str">
        <f t="shared" si="46"/>
        <v>Accessories</v>
      </c>
      <c r="AB147" t="str">
        <f t="shared" si="47"/>
        <v>Accessories</v>
      </c>
      <c r="AC147" t="str">
        <f t="shared" si="48"/>
        <v>Compliant</v>
      </c>
      <c r="AD147" t="str">
        <f t="shared" si="49"/>
        <v>On-time</v>
      </c>
      <c r="AE147" s="8">
        <f>MIN(Q147,Scenario!$B$2)</f>
        <v>0</v>
      </c>
      <c r="AF147" s="33">
        <f>L147*(1+Scenario!$B$3)</f>
        <v>1411.1419999999998</v>
      </c>
      <c r="AG147" s="6">
        <f>R147*(1+Scenario!$B$4)</f>
        <v>21.599999999999998</v>
      </c>
      <c r="AH147" s="33">
        <f t="shared" si="51"/>
        <v>40966.991999999991</v>
      </c>
      <c r="AI147" s="33">
        <f t="shared" si="52"/>
        <v>30480.667199999993</v>
      </c>
      <c r="AJ147" s="33">
        <f t="shared" si="53"/>
        <v>10486.324799999999</v>
      </c>
    </row>
    <row r="148" spans="1:36" hidden="1" x14ac:dyDescent="0.25">
      <c r="A148" s="12" t="s">
        <v>466</v>
      </c>
      <c r="B148" s="27">
        <v>45413</v>
      </c>
      <c r="C148" s="4">
        <v>45428</v>
      </c>
      <c r="D148" s="12" t="s">
        <v>647</v>
      </c>
      <c r="E148" s="12" t="s">
        <v>654</v>
      </c>
      <c r="F148" s="12" t="s">
        <v>668</v>
      </c>
      <c r="G148" s="12" t="s">
        <v>705</v>
      </c>
      <c r="H148" s="12" t="s">
        <v>707</v>
      </c>
      <c r="I148" s="12" t="s">
        <v>716</v>
      </c>
      <c r="J148" s="12" t="s">
        <v>727</v>
      </c>
      <c r="K148" s="12" t="s">
        <v>1185</v>
      </c>
      <c r="L148" s="6">
        <v>901.19</v>
      </c>
      <c r="M148" s="6">
        <v>2125.44</v>
      </c>
      <c r="N148" s="6">
        <f t="shared" si="36"/>
        <v>2125.44</v>
      </c>
      <c r="O148" s="6" t="str">
        <f t="shared" si="50"/>
        <v>High</v>
      </c>
      <c r="P148" s="6">
        <v>7.0999999999999994E-2</v>
      </c>
      <c r="Q148" s="6">
        <f t="shared" si="37"/>
        <v>7.0999999999999994E-2</v>
      </c>
      <c r="R148" s="6">
        <v>12</v>
      </c>
      <c r="S148" s="6" t="str">
        <f t="shared" si="38"/>
        <v>OK</v>
      </c>
      <c r="T148" s="4">
        <f t="shared" si="39"/>
        <v>45428</v>
      </c>
      <c r="U148" s="11">
        <f t="shared" si="40"/>
        <v>15</v>
      </c>
      <c r="V148" s="6">
        <f t="shared" si="41"/>
        <v>23694.405119999999</v>
      </c>
      <c r="W148" s="6">
        <f t="shared" si="42"/>
        <v>10814.28</v>
      </c>
      <c r="X148" s="6">
        <f t="shared" si="43"/>
        <v>12880.125119999999</v>
      </c>
      <c r="Y148" s="6">
        <f t="shared" si="44"/>
        <v>0.54359352154100415</v>
      </c>
      <c r="Z148" s="4" t="str">
        <f t="shared" si="45"/>
        <v>Q2-2024</v>
      </c>
      <c r="AA148" t="str">
        <f t="shared" si="46"/>
        <v>Components</v>
      </c>
      <c r="AB148" t="str">
        <f t="shared" si="47"/>
        <v>Components</v>
      </c>
      <c r="AC148" t="str">
        <f t="shared" si="48"/>
        <v>Compliant</v>
      </c>
      <c r="AD148" t="str">
        <f t="shared" si="49"/>
        <v>Late</v>
      </c>
      <c r="AE148" s="8">
        <f>MIN(Q148,Scenario!$B$2)</f>
        <v>7.0999999999999994E-2</v>
      </c>
      <c r="AF148" s="33">
        <f>L148*(1+Scenario!$B$3)</f>
        <v>1036.3685</v>
      </c>
      <c r="AG148" s="6">
        <f>R148*(1+Scenario!$B$4)</f>
        <v>14.399999999999999</v>
      </c>
      <c r="AH148" s="33">
        <f t="shared" si="51"/>
        <v>28433.286144000002</v>
      </c>
      <c r="AI148" s="33">
        <f t="shared" si="52"/>
        <v>14923.706399999999</v>
      </c>
      <c r="AJ148" s="33">
        <f t="shared" si="53"/>
        <v>13509.579744000002</v>
      </c>
    </row>
    <row r="149" spans="1:36" x14ac:dyDescent="0.25">
      <c r="A149" s="12" t="s">
        <v>334</v>
      </c>
      <c r="B149" s="27">
        <v>45440</v>
      </c>
      <c r="C149" s="4">
        <v>45461</v>
      </c>
      <c r="D149" s="12" t="s">
        <v>649</v>
      </c>
      <c r="E149" s="12" t="s">
        <v>656</v>
      </c>
      <c r="F149" s="12" t="s">
        <v>698</v>
      </c>
      <c r="G149" s="12" t="s">
        <v>705</v>
      </c>
      <c r="H149" s="12" t="s">
        <v>708</v>
      </c>
      <c r="I149" s="12" t="s">
        <v>718</v>
      </c>
      <c r="J149" s="12" t="s">
        <v>730</v>
      </c>
      <c r="K149" s="12" t="s">
        <v>1054</v>
      </c>
      <c r="L149" s="6">
        <v>986.85</v>
      </c>
      <c r="M149" s="6">
        <v>2422.1</v>
      </c>
      <c r="N149" s="6">
        <f t="shared" si="36"/>
        <v>2422.1</v>
      </c>
      <c r="O149" s="6" t="str">
        <f t="shared" si="50"/>
        <v>High</v>
      </c>
      <c r="P149" s="6">
        <v>7.5999999999999998E-2</v>
      </c>
      <c r="Q149" s="6">
        <f t="shared" si="37"/>
        <v>7.5999999999999998E-2</v>
      </c>
      <c r="R149" s="6">
        <v>10</v>
      </c>
      <c r="S149" s="6" t="str">
        <f t="shared" si="38"/>
        <v>OK</v>
      </c>
      <c r="T149" s="4">
        <f t="shared" si="39"/>
        <v>45461</v>
      </c>
      <c r="U149" s="11">
        <f t="shared" si="40"/>
        <v>21</v>
      </c>
      <c r="V149" s="6">
        <f t="shared" si="41"/>
        <v>22380.204000000002</v>
      </c>
      <c r="W149" s="6">
        <f t="shared" si="42"/>
        <v>9868.5</v>
      </c>
      <c r="X149" s="6">
        <f t="shared" si="43"/>
        <v>12511.704000000002</v>
      </c>
      <c r="Y149" s="6">
        <f t="shared" si="44"/>
        <v>0.55905227673527913</v>
      </c>
      <c r="Z149" s="4" t="str">
        <f t="shared" si="45"/>
        <v>Q2-2024</v>
      </c>
      <c r="AA149" t="str">
        <f t="shared" si="46"/>
        <v>Phones</v>
      </c>
      <c r="AB149" t="str">
        <f t="shared" si="47"/>
        <v>Phones</v>
      </c>
      <c r="AC149" t="str">
        <f t="shared" si="48"/>
        <v>Compliant</v>
      </c>
      <c r="AD149" t="str">
        <f t="shared" si="49"/>
        <v>Late</v>
      </c>
      <c r="AE149" s="8">
        <f>MIN(Q149,Scenario!$B$2)</f>
        <v>7.5999999999999998E-2</v>
      </c>
      <c r="AF149" s="33">
        <f>L149*(1+Scenario!$B$3)</f>
        <v>1134.8774999999998</v>
      </c>
      <c r="AG149" s="6">
        <f>R149*(1+Scenario!$B$4)</f>
        <v>12</v>
      </c>
      <c r="AH149" s="33">
        <f t="shared" si="51"/>
        <v>26856.244799999997</v>
      </c>
      <c r="AI149" s="33">
        <f t="shared" si="52"/>
        <v>13618.529999999999</v>
      </c>
      <c r="AJ149" s="33">
        <f t="shared" si="53"/>
        <v>13237.714799999998</v>
      </c>
    </row>
    <row r="150" spans="1:36" hidden="1" x14ac:dyDescent="0.25">
      <c r="A150" s="12" t="s">
        <v>23</v>
      </c>
      <c r="B150" s="27">
        <v>45416</v>
      </c>
      <c r="C150" s="4">
        <v>45441</v>
      </c>
      <c r="D150" s="12" t="s">
        <v>646</v>
      </c>
      <c r="E150" s="12" t="s">
        <v>651</v>
      </c>
      <c r="F150" s="12" t="s">
        <v>669</v>
      </c>
      <c r="G150" s="12" t="s">
        <v>703</v>
      </c>
      <c r="H150" s="12" t="s">
        <v>709</v>
      </c>
      <c r="I150" s="12" t="s">
        <v>719</v>
      </c>
      <c r="J150" s="12" t="s">
        <v>732</v>
      </c>
      <c r="K150" s="12" t="s">
        <v>742</v>
      </c>
      <c r="L150" s="6">
        <v>1295.3399999999999</v>
      </c>
      <c r="M150" s="6">
        <v>2530.81</v>
      </c>
      <c r="N150" s="6">
        <f t="shared" si="36"/>
        <v>2530.81</v>
      </c>
      <c r="O150" s="6" t="str">
        <f t="shared" si="50"/>
        <v>High</v>
      </c>
      <c r="P150" s="6">
        <v>3.1E-2</v>
      </c>
      <c r="Q150" s="6">
        <f t="shared" si="37"/>
        <v>3.1E-2</v>
      </c>
      <c r="R150" s="6">
        <v>6</v>
      </c>
      <c r="S150" s="6" t="str">
        <f t="shared" si="38"/>
        <v>OK</v>
      </c>
      <c r="T150" s="4">
        <f t="shared" si="39"/>
        <v>45441</v>
      </c>
      <c r="U150" s="11">
        <f t="shared" si="40"/>
        <v>25</v>
      </c>
      <c r="V150" s="6">
        <f t="shared" si="41"/>
        <v>14714.12934</v>
      </c>
      <c r="W150" s="6">
        <f t="shared" si="42"/>
        <v>7772.0399999999991</v>
      </c>
      <c r="X150" s="6">
        <f t="shared" si="43"/>
        <v>6942.0893400000004</v>
      </c>
      <c r="Y150" s="6">
        <f t="shared" si="44"/>
        <v>0.4717974933880798</v>
      </c>
      <c r="Z150" s="4" t="str">
        <f t="shared" si="45"/>
        <v>Q2-2024</v>
      </c>
      <c r="AA150" t="str">
        <f t="shared" si="46"/>
        <v>Monitors</v>
      </c>
      <c r="AB150" t="str">
        <f t="shared" si="47"/>
        <v>Monitors</v>
      </c>
      <c r="AC150" t="str">
        <f t="shared" si="48"/>
        <v>Compliant</v>
      </c>
      <c r="AD150" t="str">
        <f t="shared" si="49"/>
        <v>Late</v>
      </c>
      <c r="AE150" s="8">
        <f>MIN(Q150,Scenario!$B$2)</f>
        <v>3.1E-2</v>
      </c>
      <c r="AF150" s="33">
        <f>L150*(1+Scenario!$B$3)</f>
        <v>1489.6409999999998</v>
      </c>
      <c r="AG150" s="6">
        <f>R150*(1+Scenario!$B$4)</f>
        <v>7.1999999999999993</v>
      </c>
      <c r="AH150" s="33">
        <f t="shared" si="51"/>
        <v>17656.955207999999</v>
      </c>
      <c r="AI150" s="33">
        <f t="shared" si="52"/>
        <v>10725.415199999998</v>
      </c>
      <c r="AJ150" s="33">
        <f t="shared" si="53"/>
        <v>6931.5400080000018</v>
      </c>
    </row>
    <row r="151" spans="1:36" hidden="1" x14ac:dyDescent="0.25">
      <c r="A151" s="12" t="s">
        <v>38</v>
      </c>
      <c r="B151" s="27">
        <v>45430</v>
      </c>
      <c r="C151" s="4">
        <v>45435</v>
      </c>
      <c r="D151" s="12" t="s">
        <v>648</v>
      </c>
      <c r="E151" s="12" t="s">
        <v>660</v>
      </c>
      <c r="F151" s="12" t="s">
        <v>677</v>
      </c>
      <c r="G151" s="12" t="s">
        <v>706</v>
      </c>
      <c r="H151" s="12" t="s">
        <v>707</v>
      </c>
      <c r="I151" s="12" t="s">
        <v>722</v>
      </c>
      <c r="J151" s="12" t="s">
        <v>731</v>
      </c>
      <c r="K151" s="12" t="s">
        <v>757</v>
      </c>
      <c r="L151" s="6">
        <v>1274.5899999999999</v>
      </c>
      <c r="M151" s="6">
        <v>2553.69</v>
      </c>
      <c r="N151" s="6">
        <f t="shared" si="36"/>
        <v>2553.69</v>
      </c>
      <c r="O151" s="6" t="str">
        <f t="shared" si="50"/>
        <v>High</v>
      </c>
      <c r="P151" s="6">
        <v>0.01</v>
      </c>
      <c r="Q151" s="6">
        <f t="shared" si="37"/>
        <v>0.01</v>
      </c>
      <c r="R151" s="6">
        <v>8</v>
      </c>
      <c r="S151" s="6" t="str">
        <f t="shared" si="38"/>
        <v>OK</v>
      </c>
      <c r="T151" s="4">
        <f t="shared" si="39"/>
        <v>45435</v>
      </c>
      <c r="U151" s="11">
        <f t="shared" si="40"/>
        <v>5</v>
      </c>
      <c r="V151" s="6">
        <f t="shared" si="41"/>
        <v>20225.2248</v>
      </c>
      <c r="W151" s="6">
        <f t="shared" si="42"/>
        <v>10196.719999999999</v>
      </c>
      <c r="X151" s="6">
        <f t="shared" si="43"/>
        <v>10028.504800000001</v>
      </c>
      <c r="Y151" s="6">
        <f t="shared" si="44"/>
        <v>0.49584145042481803</v>
      </c>
      <c r="Z151" s="4" t="str">
        <f t="shared" si="45"/>
        <v>Q2-2024</v>
      </c>
      <c r="AA151" t="str">
        <f t="shared" si="46"/>
        <v>Laptops</v>
      </c>
      <c r="AB151" t="str">
        <f t="shared" si="47"/>
        <v>Laptops</v>
      </c>
      <c r="AC151" t="str">
        <f t="shared" si="48"/>
        <v>Compliant</v>
      </c>
      <c r="AD151" t="str">
        <f t="shared" si="49"/>
        <v>On-time</v>
      </c>
      <c r="AE151" s="8">
        <f>MIN(Q151,Scenario!$B$2)</f>
        <v>0.01</v>
      </c>
      <c r="AF151" s="33">
        <f>L151*(1+Scenario!$B$3)</f>
        <v>1465.7784999999999</v>
      </c>
      <c r="AG151" s="6">
        <f>R151*(1+Scenario!$B$4)</f>
        <v>9.6</v>
      </c>
      <c r="AH151" s="33">
        <f t="shared" si="51"/>
        <v>24270.269759999999</v>
      </c>
      <c r="AI151" s="33">
        <f t="shared" si="52"/>
        <v>14071.473599999999</v>
      </c>
      <c r="AJ151" s="33">
        <f t="shared" si="53"/>
        <v>10198.79616</v>
      </c>
    </row>
    <row r="152" spans="1:36" hidden="1" x14ac:dyDescent="0.25">
      <c r="A152" s="12" t="s">
        <v>388</v>
      </c>
      <c r="B152" s="27">
        <v>45429</v>
      </c>
      <c r="C152" s="4">
        <v>45439</v>
      </c>
      <c r="D152" s="12" t="s">
        <v>648</v>
      </c>
      <c r="E152" s="12" t="s">
        <v>660</v>
      </c>
      <c r="F152" s="12" t="s">
        <v>697</v>
      </c>
      <c r="G152" s="12" t="s">
        <v>703</v>
      </c>
      <c r="H152" s="12" t="s">
        <v>708</v>
      </c>
      <c r="I152" s="12" t="s">
        <v>712</v>
      </c>
      <c r="J152" s="12" t="s">
        <v>730</v>
      </c>
      <c r="K152" s="12" t="s">
        <v>1108</v>
      </c>
      <c r="L152" s="6">
        <v>1484.23</v>
      </c>
      <c r="M152" s="6">
        <v>3472.81</v>
      </c>
      <c r="N152" s="6">
        <f t="shared" si="36"/>
        <v>3472.81</v>
      </c>
      <c r="O152" s="6" t="str">
        <f t="shared" si="50"/>
        <v>High</v>
      </c>
      <c r="P152" s="6">
        <v>0.25600000000000001</v>
      </c>
      <c r="Q152" s="6">
        <f t="shared" si="37"/>
        <v>0.25600000000000001</v>
      </c>
      <c r="R152" s="6">
        <v>12</v>
      </c>
      <c r="S152" s="6" t="str">
        <f t="shared" si="38"/>
        <v>OK</v>
      </c>
      <c r="T152" s="4">
        <f t="shared" si="39"/>
        <v>45439</v>
      </c>
      <c r="U152" s="11">
        <f t="shared" si="40"/>
        <v>10</v>
      </c>
      <c r="V152" s="6">
        <f t="shared" si="41"/>
        <v>31005.24768</v>
      </c>
      <c r="W152" s="6">
        <f t="shared" si="42"/>
        <v>17810.760000000002</v>
      </c>
      <c r="X152" s="6">
        <f t="shared" si="43"/>
        <v>13194.487679999998</v>
      </c>
      <c r="Y152" s="6">
        <f t="shared" si="44"/>
        <v>0.42555659661803413</v>
      </c>
      <c r="Z152" s="4" t="str">
        <f t="shared" si="45"/>
        <v>Q2-2024</v>
      </c>
      <c r="AA152" t="str">
        <f t="shared" si="46"/>
        <v>Phones</v>
      </c>
      <c r="AB152" t="str">
        <f t="shared" si="47"/>
        <v>Phones</v>
      </c>
      <c r="AC152" t="str">
        <f t="shared" si="48"/>
        <v>Non-compliant</v>
      </c>
      <c r="AD152" t="str">
        <f t="shared" si="49"/>
        <v>Late</v>
      </c>
      <c r="AE152" s="8">
        <f>MIN(Q152,Scenario!$B$2)</f>
        <v>0.2</v>
      </c>
      <c r="AF152" s="33">
        <f>L152*(1+Scenario!$B$3)</f>
        <v>1706.8644999999999</v>
      </c>
      <c r="AG152" s="6">
        <f>R152*(1+Scenario!$B$4)</f>
        <v>14.399999999999999</v>
      </c>
      <c r="AH152" s="33">
        <f t="shared" si="51"/>
        <v>40006.771199999996</v>
      </c>
      <c r="AI152" s="33">
        <f t="shared" si="52"/>
        <v>24578.848799999996</v>
      </c>
      <c r="AJ152" s="33">
        <f t="shared" si="53"/>
        <v>15427.922399999999</v>
      </c>
    </row>
    <row r="153" spans="1:36" x14ac:dyDescent="0.25">
      <c r="A153" s="12" t="s">
        <v>62</v>
      </c>
      <c r="B153" s="27">
        <v>45426</v>
      </c>
      <c r="C153" s="4">
        <v>45440</v>
      </c>
      <c r="D153" s="12" t="s">
        <v>649</v>
      </c>
      <c r="E153" s="12" t="s">
        <v>658</v>
      </c>
      <c r="F153" s="12" t="s">
        <v>674</v>
      </c>
      <c r="G153" s="12" t="s">
        <v>704</v>
      </c>
      <c r="H153" s="12" t="s">
        <v>707</v>
      </c>
      <c r="I153" s="12" t="s">
        <v>717</v>
      </c>
      <c r="J153" s="12" t="s">
        <v>729</v>
      </c>
      <c r="K153" s="12" t="s">
        <v>781</v>
      </c>
      <c r="L153" s="6">
        <v>1421.14</v>
      </c>
      <c r="M153" s="6">
        <v>3524</v>
      </c>
      <c r="N153" s="6">
        <f t="shared" si="36"/>
        <v>3524</v>
      </c>
      <c r="O153" s="6" t="str">
        <f t="shared" si="50"/>
        <v>High</v>
      </c>
      <c r="P153" s="6">
        <v>0</v>
      </c>
      <c r="Q153" s="6">
        <f t="shared" si="37"/>
        <v>0</v>
      </c>
      <c r="R153" s="6">
        <v>31</v>
      </c>
      <c r="S153" s="6" t="str">
        <f t="shared" si="38"/>
        <v>OK</v>
      </c>
      <c r="T153" s="4">
        <f t="shared" si="39"/>
        <v>45440</v>
      </c>
      <c r="U153" s="11">
        <f t="shared" si="40"/>
        <v>14</v>
      </c>
      <c r="V153" s="6">
        <f t="shared" si="41"/>
        <v>109244</v>
      </c>
      <c r="W153" s="6">
        <f t="shared" si="42"/>
        <v>44055.340000000004</v>
      </c>
      <c r="X153" s="6">
        <f t="shared" si="43"/>
        <v>65188.659999999996</v>
      </c>
      <c r="Y153" s="6">
        <f t="shared" si="44"/>
        <v>0.59672531214528945</v>
      </c>
      <c r="Z153" s="4" t="str">
        <f t="shared" si="45"/>
        <v>Q2-2024</v>
      </c>
      <c r="AA153" t="str">
        <f t="shared" si="46"/>
        <v>Networking</v>
      </c>
      <c r="AB153" t="str">
        <f t="shared" si="47"/>
        <v>Networking</v>
      </c>
      <c r="AC153" t="str">
        <f t="shared" si="48"/>
        <v>Compliant</v>
      </c>
      <c r="AD153" t="str">
        <f t="shared" si="49"/>
        <v>Late</v>
      </c>
      <c r="AE153" s="8">
        <f>MIN(Q153,Scenario!$B$2)</f>
        <v>0</v>
      </c>
      <c r="AF153" s="33">
        <f>L153*(1+Scenario!$B$3)</f>
        <v>1634.3109999999999</v>
      </c>
      <c r="AG153" s="6">
        <f>R153*(1+Scenario!$B$4)</f>
        <v>37.199999999999996</v>
      </c>
      <c r="AH153" s="33">
        <f t="shared" si="51"/>
        <v>131092.79999999999</v>
      </c>
      <c r="AI153" s="33">
        <f t="shared" si="52"/>
        <v>60796.369199999994</v>
      </c>
      <c r="AJ153" s="33">
        <f t="shared" si="53"/>
        <v>70296.430800000002</v>
      </c>
    </row>
    <row r="154" spans="1:36" hidden="1" x14ac:dyDescent="0.25">
      <c r="A154" s="12" t="s">
        <v>121</v>
      </c>
      <c r="B154" s="27">
        <v>45057</v>
      </c>
      <c r="C154" s="4">
        <v>45084</v>
      </c>
      <c r="D154" s="12" t="s">
        <v>646</v>
      </c>
      <c r="E154" s="12" t="s">
        <v>650</v>
      </c>
      <c r="F154" s="12" t="s">
        <v>675</v>
      </c>
      <c r="G154" s="12" t="s">
        <v>701</v>
      </c>
      <c r="H154" s="12" t="s">
        <v>708</v>
      </c>
      <c r="I154" s="12" t="s">
        <v>713</v>
      </c>
      <c r="J154" s="12" t="s">
        <v>730</v>
      </c>
      <c r="K154" s="12" t="s">
        <v>840</v>
      </c>
      <c r="L154" s="6">
        <v>12.85</v>
      </c>
      <c r="M154" s="6">
        <v>15.41</v>
      </c>
      <c r="N154" s="6">
        <f t="shared" si="36"/>
        <v>15.41</v>
      </c>
      <c r="O154" s="6" t="str">
        <f t="shared" si="50"/>
        <v>Low</v>
      </c>
      <c r="P154" s="6">
        <v>0.13700000000000001</v>
      </c>
      <c r="Q154" s="6">
        <f t="shared" si="37"/>
        <v>0.13700000000000001</v>
      </c>
      <c r="R154" s="6">
        <v>39</v>
      </c>
      <c r="S154" s="6" t="str">
        <f t="shared" si="38"/>
        <v>OK</v>
      </c>
      <c r="T154" s="4">
        <f t="shared" si="39"/>
        <v>45084</v>
      </c>
      <c r="U154" s="11">
        <f t="shared" si="40"/>
        <v>27</v>
      </c>
      <c r="V154" s="6">
        <f t="shared" si="41"/>
        <v>518.65436999999997</v>
      </c>
      <c r="W154" s="6">
        <f t="shared" si="42"/>
        <v>501.15</v>
      </c>
      <c r="X154" s="6">
        <f t="shared" si="43"/>
        <v>17.504369999999994</v>
      </c>
      <c r="Y154" s="6">
        <f t="shared" si="44"/>
        <v>3.3749585489851353E-2</v>
      </c>
      <c r="Z154" s="4" t="str">
        <f t="shared" si="45"/>
        <v>Q2-2023</v>
      </c>
      <c r="AA154" t="str">
        <f t="shared" si="46"/>
        <v>Phones</v>
      </c>
      <c r="AB154" t="str">
        <f t="shared" si="47"/>
        <v>Phones</v>
      </c>
      <c r="AC154" t="str">
        <f t="shared" si="48"/>
        <v>Compliant</v>
      </c>
      <c r="AD154" t="str">
        <f t="shared" si="49"/>
        <v>Late</v>
      </c>
      <c r="AE154" s="8">
        <f>MIN(Q154,Scenario!$B$2)</f>
        <v>0.13700000000000001</v>
      </c>
      <c r="AF154" s="33">
        <f>L154*(1+Scenario!$B$3)</f>
        <v>14.777499999999998</v>
      </c>
      <c r="AG154" s="6">
        <f>R154*(1+Scenario!$B$4)</f>
        <v>46.8</v>
      </c>
      <c r="AH154" s="33">
        <f t="shared" si="51"/>
        <v>622.38524399999994</v>
      </c>
      <c r="AI154" s="33">
        <f t="shared" si="52"/>
        <v>691.58699999999988</v>
      </c>
      <c r="AJ154" s="33">
        <f t="shared" si="53"/>
        <v>-69.201755999999932</v>
      </c>
    </row>
    <row r="155" spans="1:36" hidden="1" x14ac:dyDescent="0.25">
      <c r="A155" s="12" t="s">
        <v>244</v>
      </c>
      <c r="B155" s="27">
        <v>45069</v>
      </c>
      <c r="C155" s="4">
        <v>45087</v>
      </c>
      <c r="D155" s="12" t="s">
        <v>647</v>
      </c>
      <c r="E155" s="12" t="s">
        <v>659</v>
      </c>
      <c r="F155" s="12" t="s">
        <v>685</v>
      </c>
      <c r="G155" s="12" t="s">
        <v>701</v>
      </c>
      <c r="H155" s="12" t="s">
        <v>710</v>
      </c>
      <c r="I155" s="12" t="s">
        <v>718</v>
      </c>
      <c r="J155" s="12" t="s">
        <v>727</v>
      </c>
      <c r="K155" s="12" t="s">
        <v>964</v>
      </c>
      <c r="L155" s="6">
        <v>54.62</v>
      </c>
      <c r="M155" s="6">
        <v>48.94</v>
      </c>
      <c r="N155" s="6">
        <f t="shared" si="36"/>
        <v>48.94</v>
      </c>
      <c r="O155" s="6" t="str">
        <f t="shared" si="50"/>
        <v>Low</v>
      </c>
      <c r="P155" s="6">
        <v>0.14799999999999999</v>
      </c>
      <c r="Q155" s="6">
        <f t="shared" si="37"/>
        <v>0.14799999999999999</v>
      </c>
      <c r="R155" s="6">
        <v>16</v>
      </c>
      <c r="S155" s="6" t="str">
        <f t="shared" si="38"/>
        <v>OK</v>
      </c>
      <c r="T155" s="4">
        <f t="shared" si="39"/>
        <v>45087</v>
      </c>
      <c r="U155" s="11">
        <f t="shared" si="40"/>
        <v>18</v>
      </c>
      <c r="V155" s="6">
        <f t="shared" si="41"/>
        <v>667.15008</v>
      </c>
      <c r="W155" s="6">
        <f t="shared" si="42"/>
        <v>873.92</v>
      </c>
      <c r="X155" s="6">
        <f t="shared" si="43"/>
        <v>-206.76991999999996</v>
      </c>
      <c r="Y155" s="6">
        <f t="shared" si="44"/>
        <v>-0.3099301434543783</v>
      </c>
      <c r="Z155" s="4" t="str">
        <f t="shared" si="45"/>
        <v>Q2-2023</v>
      </c>
      <c r="AA155" t="str">
        <f t="shared" si="46"/>
        <v>Components</v>
      </c>
      <c r="AB155" t="str">
        <f t="shared" si="47"/>
        <v>Components</v>
      </c>
      <c r="AC155" t="str">
        <f t="shared" si="48"/>
        <v>Compliant</v>
      </c>
      <c r="AD155" t="str">
        <f t="shared" si="49"/>
        <v>Late</v>
      </c>
      <c r="AE155" s="8">
        <f>MIN(Q155,Scenario!$B$2)</f>
        <v>0.14799999999999999</v>
      </c>
      <c r="AF155" s="33">
        <f>L155*(1+Scenario!$B$3)</f>
        <v>62.812999999999995</v>
      </c>
      <c r="AG155" s="6">
        <f>R155*(1+Scenario!$B$4)</f>
        <v>19.2</v>
      </c>
      <c r="AH155" s="33">
        <f t="shared" si="51"/>
        <v>800.58009599999991</v>
      </c>
      <c r="AI155" s="33">
        <f t="shared" si="52"/>
        <v>1206.0095999999999</v>
      </c>
      <c r="AJ155" s="33">
        <f t="shared" si="53"/>
        <v>-405.42950399999995</v>
      </c>
    </row>
    <row r="156" spans="1:36" hidden="1" x14ac:dyDescent="0.25">
      <c r="A156" s="12" t="s">
        <v>475</v>
      </c>
      <c r="B156" s="27">
        <v>45063</v>
      </c>
      <c r="C156" s="4">
        <v>45092</v>
      </c>
      <c r="D156" s="12" t="s">
        <v>646</v>
      </c>
      <c r="E156" s="12" t="s">
        <v>661</v>
      </c>
      <c r="F156" s="12" t="s">
        <v>687</v>
      </c>
      <c r="G156" s="12" t="s">
        <v>706</v>
      </c>
      <c r="H156" s="12" t="s">
        <v>707</v>
      </c>
      <c r="I156" s="12" t="s">
        <v>723</v>
      </c>
      <c r="J156" s="12" t="s">
        <v>733</v>
      </c>
      <c r="K156" s="12" t="s">
        <v>1194</v>
      </c>
      <c r="L156" s="6">
        <v>40.89</v>
      </c>
      <c r="M156" s="6">
        <v>62.82</v>
      </c>
      <c r="N156" s="6">
        <f t="shared" si="36"/>
        <v>62.82</v>
      </c>
      <c r="O156" s="6" t="str">
        <f t="shared" si="50"/>
        <v>Low</v>
      </c>
      <c r="P156" s="6">
        <v>0.129</v>
      </c>
      <c r="Q156" s="6">
        <f t="shared" si="37"/>
        <v>0.129</v>
      </c>
      <c r="R156" s="6">
        <v>17</v>
      </c>
      <c r="S156" s="6" t="str">
        <f t="shared" si="38"/>
        <v>OK</v>
      </c>
      <c r="T156" s="4">
        <f t="shared" si="39"/>
        <v>45092</v>
      </c>
      <c r="U156" s="11">
        <f t="shared" si="40"/>
        <v>29</v>
      </c>
      <c r="V156" s="6">
        <f t="shared" si="41"/>
        <v>930.17574000000002</v>
      </c>
      <c r="W156" s="6">
        <f t="shared" si="42"/>
        <v>695.13</v>
      </c>
      <c r="X156" s="6">
        <f t="shared" si="43"/>
        <v>235.04574000000002</v>
      </c>
      <c r="Y156" s="6">
        <f t="shared" si="44"/>
        <v>0.25268960465470752</v>
      </c>
      <c r="Z156" s="4" t="str">
        <f t="shared" si="45"/>
        <v>Q2-2023</v>
      </c>
      <c r="AA156" t="str">
        <f t="shared" si="46"/>
        <v>Accessories</v>
      </c>
      <c r="AB156" t="str">
        <f t="shared" si="47"/>
        <v>Accessories</v>
      </c>
      <c r="AC156" t="str">
        <f t="shared" si="48"/>
        <v>Compliant</v>
      </c>
      <c r="AD156" t="str">
        <f t="shared" si="49"/>
        <v>Late</v>
      </c>
      <c r="AE156" s="8">
        <f>MIN(Q156,Scenario!$B$2)</f>
        <v>0.129</v>
      </c>
      <c r="AF156" s="33">
        <f>L156*(1+Scenario!$B$3)</f>
        <v>47.023499999999999</v>
      </c>
      <c r="AG156" s="6">
        <f>R156*(1+Scenario!$B$4)</f>
        <v>20.399999999999999</v>
      </c>
      <c r="AH156" s="33">
        <f t="shared" si="51"/>
        <v>1116.2108880000001</v>
      </c>
      <c r="AI156" s="33">
        <f t="shared" si="52"/>
        <v>959.2793999999999</v>
      </c>
      <c r="AJ156" s="33">
        <f t="shared" si="53"/>
        <v>156.93148800000017</v>
      </c>
    </row>
    <row r="157" spans="1:36" hidden="1" x14ac:dyDescent="0.25">
      <c r="A157" s="12" t="s">
        <v>600</v>
      </c>
      <c r="B157" s="27">
        <v>45049</v>
      </c>
      <c r="C157" s="4">
        <v>45062</v>
      </c>
      <c r="D157" s="12" t="s">
        <v>648</v>
      </c>
      <c r="E157" s="12" t="s">
        <v>660</v>
      </c>
      <c r="F157" s="12" t="s">
        <v>700</v>
      </c>
      <c r="G157" s="12" t="s">
        <v>701</v>
      </c>
      <c r="H157" s="12" t="s">
        <v>709</v>
      </c>
      <c r="I157" s="12" t="s">
        <v>716</v>
      </c>
      <c r="J157" s="12" t="s">
        <v>730</v>
      </c>
      <c r="K157" s="12" t="s">
        <v>1318</v>
      </c>
      <c r="L157" s="6">
        <v>64.5</v>
      </c>
      <c r="M157" s="6">
        <v>123.62</v>
      </c>
      <c r="N157" s="6">
        <f t="shared" si="36"/>
        <v>123.62</v>
      </c>
      <c r="O157" s="6" t="str">
        <f t="shared" si="50"/>
        <v>Low</v>
      </c>
      <c r="P157" s="6">
        <v>0</v>
      </c>
      <c r="Q157" s="6">
        <f t="shared" si="37"/>
        <v>0</v>
      </c>
      <c r="R157" s="6">
        <v>3</v>
      </c>
      <c r="S157" s="6" t="str">
        <f t="shared" si="38"/>
        <v>OK</v>
      </c>
      <c r="T157" s="4">
        <f t="shared" si="39"/>
        <v>45062</v>
      </c>
      <c r="U157" s="11">
        <f t="shared" si="40"/>
        <v>13</v>
      </c>
      <c r="V157" s="6">
        <f t="shared" si="41"/>
        <v>370.86</v>
      </c>
      <c r="W157" s="6">
        <f t="shared" si="42"/>
        <v>193.5</v>
      </c>
      <c r="X157" s="6">
        <f t="shared" si="43"/>
        <v>177.36</v>
      </c>
      <c r="Y157" s="6">
        <f t="shared" si="44"/>
        <v>0.47823976702798904</v>
      </c>
      <c r="Z157" s="4" t="str">
        <f t="shared" si="45"/>
        <v>Q2-2023</v>
      </c>
      <c r="AA157" t="str">
        <f t="shared" si="46"/>
        <v>Phones</v>
      </c>
      <c r="AB157" t="str">
        <f t="shared" si="47"/>
        <v>Phones</v>
      </c>
      <c r="AC157" t="str">
        <f t="shared" si="48"/>
        <v>Compliant</v>
      </c>
      <c r="AD157" t="str">
        <f t="shared" si="49"/>
        <v>Late</v>
      </c>
      <c r="AE157" s="8">
        <f>MIN(Q157,Scenario!$B$2)</f>
        <v>0</v>
      </c>
      <c r="AF157" s="33">
        <f>L157*(1+Scenario!$B$3)</f>
        <v>74.174999999999997</v>
      </c>
      <c r="AG157" s="6">
        <f>R157*(1+Scenario!$B$4)</f>
        <v>3.5999999999999996</v>
      </c>
      <c r="AH157" s="33">
        <f t="shared" si="51"/>
        <v>445.03199999999998</v>
      </c>
      <c r="AI157" s="33">
        <f t="shared" si="52"/>
        <v>267.02999999999997</v>
      </c>
      <c r="AJ157" s="33">
        <f t="shared" si="53"/>
        <v>178.00200000000001</v>
      </c>
    </row>
    <row r="158" spans="1:36" hidden="1" x14ac:dyDescent="0.25">
      <c r="A158" s="12" t="s">
        <v>361</v>
      </c>
      <c r="B158" s="27">
        <v>45050</v>
      </c>
      <c r="C158" s="4">
        <v>45062</v>
      </c>
      <c r="D158" s="12" t="s">
        <v>646</v>
      </c>
      <c r="E158" s="12" t="s">
        <v>651</v>
      </c>
      <c r="F158" s="12" t="s">
        <v>669</v>
      </c>
      <c r="G158" s="12" t="s">
        <v>705</v>
      </c>
      <c r="H158" s="12" t="s">
        <v>709</v>
      </c>
      <c r="I158" s="12" t="s">
        <v>713</v>
      </c>
      <c r="J158" s="12" t="s">
        <v>730</v>
      </c>
      <c r="K158" s="12" t="s">
        <v>1081</v>
      </c>
      <c r="L158" s="6">
        <v>77.739999999999995</v>
      </c>
      <c r="M158" s="6">
        <v>147.12</v>
      </c>
      <c r="N158" s="6">
        <f t="shared" si="36"/>
        <v>147.12</v>
      </c>
      <c r="O158" s="6" t="str">
        <f t="shared" si="50"/>
        <v>Low</v>
      </c>
      <c r="P158" s="6">
        <v>0</v>
      </c>
      <c r="Q158" s="6">
        <f t="shared" si="37"/>
        <v>0</v>
      </c>
      <c r="R158" s="6">
        <v>15</v>
      </c>
      <c r="S158" s="6" t="str">
        <f t="shared" si="38"/>
        <v>OK</v>
      </c>
      <c r="T158" s="4">
        <f t="shared" si="39"/>
        <v>45062</v>
      </c>
      <c r="U158" s="11">
        <f t="shared" si="40"/>
        <v>12</v>
      </c>
      <c r="V158" s="6">
        <f t="shared" si="41"/>
        <v>2206.8000000000002</v>
      </c>
      <c r="W158" s="6">
        <f t="shared" si="42"/>
        <v>1166.0999999999999</v>
      </c>
      <c r="X158" s="6">
        <f t="shared" si="43"/>
        <v>1040.7000000000003</v>
      </c>
      <c r="Y158" s="6">
        <f t="shared" si="44"/>
        <v>0.47158781946710177</v>
      </c>
      <c r="Z158" s="4" t="str">
        <f t="shared" si="45"/>
        <v>Q2-2023</v>
      </c>
      <c r="AA158" t="str">
        <f t="shared" si="46"/>
        <v>Phones</v>
      </c>
      <c r="AB158" t="str">
        <f t="shared" si="47"/>
        <v>Phones</v>
      </c>
      <c r="AC158" t="str">
        <f t="shared" si="48"/>
        <v>Compliant</v>
      </c>
      <c r="AD158" t="str">
        <f t="shared" si="49"/>
        <v>Late</v>
      </c>
      <c r="AE158" s="8">
        <f>MIN(Q158,Scenario!$B$2)</f>
        <v>0</v>
      </c>
      <c r="AF158" s="33">
        <f>L158*(1+Scenario!$B$3)</f>
        <v>89.400999999999982</v>
      </c>
      <c r="AG158" s="6">
        <f>R158*(1+Scenario!$B$4)</f>
        <v>18</v>
      </c>
      <c r="AH158" s="33">
        <f t="shared" si="51"/>
        <v>2648.16</v>
      </c>
      <c r="AI158" s="33">
        <f t="shared" si="52"/>
        <v>1609.2179999999996</v>
      </c>
      <c r="AJ158" s="33">
        <f t="shared" si="53"/>
        <v>1038.9420000000002</v>
      </c>
    </row>
    <row r="159" spans="1:36" hidden="1" x14ac:dyDescent="0.25">
      <c r="A159" s="12" t="s">
        <v>533</v>
      </c>
      <c r="B159" s="27">
        <v>45047</v>
      </c>
      <c r="C159" s="4">
        <v>45064</v>
      </c>
      <c r="D159" s="12" t="s">
        <v>646</v>
      </c>
      <c r="E159" s="12" t="s">
        <v>651</v>
      </c>
      <c r="F159" s="12" t="s">
        <v>663</v>
      </c>
      <c r="G159" s="12" t="s">
        <v>701</v>
      </c>
      <c r="H159" s="12" t="s">
        <v>711</v>
      </c>
      <c r="I159" s="12" t="s">
        <v>721</v>
      </c>
      <c r="J159" s="12" t="s">
        <v>727</v>
      </c>
      <c r="K159" s="12" t="s">
        <v>1252</v>
      </c>
      <c r="L159" s="6">
        <v>327.97</v>
      </c>
      <c r="M159" s="6">
        <v>299.94</v>
      </c>
      <c r="N159" s="6">
        <f t="shared" si="36"/>
        <v>299.94</v>
      </c>
      <c r="O159" s="6" t="str">
        <f t="shared" si="50"/>
        <v>Low</v>
      </c>
      <c r="P159" s="6">
        <v>4.9000000000000002E-2</v>
      </c>
      <c r="Q159" s="6">
        <f t="shared" si="37"/>
        <v>4.9000000000000002E-2</v>
      </c>
      <c r="R159" s="6">
        <v>3</v>
      </c>
      <c r="S159" s="6" t="str">
        <f t="shared" si="38"/>
        <v>OK</v>
      </c>
      <c r="T159" s="4">
        <f t="shared" si="39"/>
        <v>45064</v>
      </c>
      <c r="U159" s="11">
        <f t="shared" si="40"/>
        <v>17</v>
      </c>
      <c r="V159" s="6">
        <f t="shared" si="41"/>
        <v>855.72881999999993</v>
      </c>
      <c r="W159" s="6">
        <f t="shared" si="42"/>
        <v>983.91000000000008</v>
      </c>
      <c r="X159" s="6">
        <f t="shared" si="43"/>
        <v>-128.18118000000015</v>
      </c>
      <c r="Y159" s="6">
        <f t="shared" si="44"/>
        <v>-0.14979182306843442</v>
      </c>
      <c r="Z159" s="4" t="str">
        <f t="shared" si="45"/>
        <v>Q2-2023</v>
      </c>
      <c r="AA159" t="str">
        <f t="shared" si="46"/>
        <v>Components</v>
      </c>
      <c r="AB159" t="str">
        <f t="shared" si="47"/>
        <v>Components</v>
      </c>
      <c r="AC159" t="str">
        <f t="shared" si="48"/>
        <v>Compliant</v>
      </c>
      <c r="AD159" t="str">
        <f t="shared" si="49"/>
        <v>Late</v>
      </c>
      <c r="AE159" s="8">
        <f>MIN(Q159,Scenario!$B$2)</f>
        <v>4.9000000000000002E-2</v>
      </c>
      <c r="AF159" s="33">
        <f>L159*(1+Scenario!$B$3)</f>
        <v>377.16550000000001</v>
      </c>
      <c r="AG159" s="6">
        <f>R159*(1+Scenario!$B$4)</f>
        <v>3.5999999999999996</v>
      </c>
      <c r="AH159" s="33">
        <f t="shared" si="51"/>
        <v>1026.8745839999999</v>
      </c>
      <c r="AI159" s="33">
        <f t="shared" si="52"/>
        <v>1357.7957999999999</v>
      </c>
      <c r="AJ159" s="33">
        <f t="shared" si="53"/>
        <v>-330.92121599999996</v>
      </c>
    </row>
    <row r="160" spans="1:36" hidden="1" x14ac:dyDescent="0.25">
      <c r="A160" s="12" t="s">
        <v>208</v>
      </c>
      <c r="B160" s="27">
        <v>45050</v>
      </c>
      <c r="C160" s="4">
        <v>45072</v>
      </c>
      <c r="D160" s="12" t="s">
        <v>648</v>
      </c>
      <c r="E160" s="12" t="s">
        <v>660</v>
      </c>
      <c r="F160" s="12" t="s">
        <v>686</v>
      </c>
      <c r="G160" s="12" t="s">
        <v>706</v>
      </c>
      <c r="H160" s="12" t="s">
        <v>708</v>
      </c>
      <c r="I160" s="12" t="s">
        <v>713</v>
      </c>
      <c r="J160" s="12" t="s">
        <v>729</v>
      </c>
      <c r="K160" s="12" t="s">
        <v>928</v>
      </c>
      <c r="L160" s="6">
        <v>249.71</v>
      </c>
      <c r="M160" s="6">
        <v>361.33</v>
      </c>
      <c r="N160" s="6">
        <f t="shared" si="36"/>
        <v>361.33</v>
      </c>
      <c r="O160" s="6" t="str">
        <f t="shared" si="50"/>
        <v>Low</v>
      </c>
      <c r="P160" s="6">
        <v>9.4E-2</v>
      </c>
      <c r="Q160" s="6">
        <f t="shared" si="37"/>
        <v>9.4E-2</v>
      </c>
      <c r="R160" s="6">
        <v>12</v>
      </c>
      <c r="S160" s="6" t="str">
        <f t="shared" si="38"/>
        <v>OK</v>
      </c>
      <c r="T160" s="4">
        <f t="shared" si="39"/>
        <v>45072</v>
      </c>
      <c r="U160" s="11">
        <f t="shared" si="40"/>
        <v>22</v>
      </c>
      <c r="V160" s="6">
        <f t="shared" si="41"/>
        <v>3928.3797600000003</v>
      </c>
      <c r="W160" s="6">
        <f t="shared" si="42"/>
        <v>2996.52</v>
      </c>
      <c r="X160" s="6">
        <f t="shared" si="43"/>
        <v>931.85976000000028</v>
      </c>
      <c r="Y160" s="6">
        <f t="shared" si="44"/>
        <v>0.23721223937881206</v>
      </c>
      <c r="Z160" s="4" t="str">
        <f t="shared" si="45"/>
        <v>Q2-2023</v>
      </c>
      <c r="AA160" t="str">
        <f t="shared" si="46"/>
        <v>Networking</v>
      </c>
      <c r="AB160" t="str">
        <f t="shared" si="47"/>
        <v>Networking</v>
      </c>
      <c r="AC160" t="str">
        <f t="shared" si="48"/>
        <v>Compliant</v>
      </c>
      <c r="AD160" t="str">
        <f t="shared" si="49"/>
        <v>Late</v>
      </c>
      <c r="AE160" s="8">
        <f>MIN(Q160,Scenario!$B$2)</f>
        <v>9.4E-2</v>
      </c>
      <c r="AF160" s="33">
        <f>L160*(1+Scenario!$B$3)</f>
        <v>287.16649999999998</v>
      </c>
      <c r="AG160" s="6">
        <f>R160*(1+Scenario!$B$4)</f>
        <v>14.399999999999999</v>
      </c>
      <c r="AH160" s="33">
        <f t="shared" si="51"/>
        <v>4714.0557119999994</v>
      </c>
      <c r="AI160" s="33">
        <f t="shared" si="52"/>
        <v>4135.1975999999995</v>
      </c>
      <c r="AJ160" s="33">
        <f t="shared" si="53"/>
        <v>578.85811199999989</v>
      </c>
    </row>
    <row r="161" spans="1:36" hidden="1" x14ac:dyDescent="0.25">
      <c r="A161" s="12" t="s">
        <v>330</v>
      </c>
      <c r="B161" s="27">
        <v>45052</v>
      </c>
      <c r="C161" s="4">
        <v>45060</v>
      </c>
      <c r="D161" s="12" t="s">
        <v>647</v>
      </c>
      <c r="E161" s="12" t="s">
        <v>652</v>
      </c>
      <c r="F161" s="12" t="s">
        <v>666</v>
      </c>
      <c r="G161" s="12" t="s">
        <v>706</v>
      </c>
      <c r="H161" s="12" t="s">
        <v>709</v>
      </c>
      <c r="I161" s="12" t="s">
        <v>717</v>
      </c>
      <c r="J161" s="12" t="s">
        <v>730</v>
      </c>
      <c r="K161" s="12" t="s">
        <v>1050</v>
      </c>
      <c r="L161" s="6">
        <v>291.18</v>
      </c>
      <c r="M161" s="6">
        <v>479.54</v>
      </c>
      <c r="N161" s="6">
        <f t="shared" si="36"/>
        <v>479.54</v>
      </c>
      <c r="O161" s="6" t="str">
        <f t="shared" si="50"/>
        <v>Low</v>
      </c>
      <c r="P161" s="6">
        <v>0.14099999999999999</v>
      </c>
      <c r="Q161" s="6">
        <f t="shared" si="37"/>
        <v>0.14099999999999999</v>
      </c>
      <c r="R161" s="6">
        <v>22</v>
      </c>
      <c r="S161" s="6" t="str">
        <f t="shared" si="38"/>
        <v>OK</v>
      </c>
      <c r="T161" s="4">
        <f t="shared" si="39"/>
        <v>45060</v>
      </c>
      <c r="U161" s="11">
        <f t="shared" si="40"/>
        <v>8</v>
      </c>
      <c r="V161" s="6">
        <f t="shared" si="41"/>
        <v>9062.34692</v>
      </c>
      <c r="W161" s="6">
        <f t="shared" si="42"/>
        <v>6405.96</v>
      </c>
      <c r="X161" s="6">
        <f t="shared" si="43"/>
        <v>2656.3869199999999</v>
      </c>
      <c r="Y161" s="6">
        <f t="shared" si="44"/>
        <v>0.29312350801066001</v>
      </c>
      <c r="Z161" s="4" t="str">
        <f t="shared" si="45"/>
        <v>Q2-2023</v>
      </c>
      <c r="AA161" t="str">
        <f t="shared" si="46"/>
        <v>Phones</v>
      </c>
      <c r="AB161" t="str">
        <f t="shared" si="47"/>
        <v>Phones</v>
      </c>
      <c r="AC161" t="str">
        <f t="shared" si="48"/>
        <v>Compliant</v>
      </c>
      <c r="AD161" t="str">
        <f t="shared" si="49"/>
        <v>Late</v>
      </c>
      <c r="AE161" s="8">
        <f>MIN(Q161,Scenario!$B$2)</f>
        <v>0.14099999999999999</v>
      </c>
      <c r="AF161" s="33">
        <f>L161*(1+Scenario!$B$3)</f>
        <v>334.85699999999997</v>
      </c>
      <c r="AG161" s="6">
        <f>R161*(1+Scenario!$B$4)</f>
        <v>26.4</v>
      </c>
      <c r="AH161" s="33">
        <f t="shared" si="51"/>
        <v>10874.816304</v>
      </c>
      <c r="AI161" s="33">
        <f t="shared" si="52"/>
        <v>8840.2247999999981</v>
      </c>
      <c r="AJ161" s="33">
        <f t="shared" si="53"/>
        <v>2034.5915040000018</v>
      </c>
    </row>
    <row r="162" spans="1:36" hidden="1" x14ac:dyDescent="0.25">
      <c r="A162" s="12" t="s">
        <v>471</v>
      </c>
      <c r="B162" s="27">
        <v>45048</v>
      </c>
      <c r="C162" s="4">
        <v>45065</v>
      </c>
      <c r="D162" s="12" t="s">
        <v>647</v>
      </c>
      <c r="E162" s="12" t="s">
        <v>659</v>
      </c>
      <c r="F162" s="12" t="s">
        <v>685</v>
      </c>
      <c r="G162" s="12" t="s">
        <v>703</v>
      </c>
      <c r="H162" s="12" t="s">
        <v>711</v>
      </c>
      <c r="I162" s="12" t="s">
        <v>713</v>
      </c>
      <c r="J162" s="12" t="s">
        <v>732</v>
      </c>
      <c r="K162" s="12" t="s">
        <v>1190</v>
      </c>
      <c r="L162" s="6">
        <v>714.28</v>
      </c>
      <c r="M162" s="6">
        <v>757.59</v>
      </c>
      <c r="N162" s="6">
        <f t="shared" si="36"/>
        <v>757.59</v>
      </c>
      <c r="O162" s="6" t="str">
        <f t="shared" si="50"/>
        <v>Middle</v>
      </c>
      <c r="P162" s="6">
        <v>0.13600000000000001</v>
      </c>
      <c r="Q162" s="6">
        <f t="shared" si="37"/>
        <v>0.13600000000000001</v>
      </c>
      <c r="R162" s="6">
        <v>12</v>
      </c>
      <c r="S162" s="6" t="str">
        <f t="shared" si="38"/>
        <v>OK</v>
      </c>
      <c r="T162" s="4">
        <f t="shared" si="39"/>
        <v>45065</v>
      </c>
      <c r="U162" s="11">
        <f t="shared" si="40"/>
        <v>17</v>
      </c>
      <c r="V162" s="6">
        <f t="shared" si="41"/>
        <v>7854.6931199999999</v>
      </c>
      <c r="W162" s="6">
        <f t="shared" si="42"/>
        <v>8571.36</v>
      </c>
      <c r="X162" s="6">
        <f t="shared" si="43"/>
        <v>-716.66688000000067</v>
      </c>
      <c r="Y162" s="6">
        <f t="shared" si="44"/>
        <v>-9.1240595787910383E-2</v>
      </c>
      <c r="Z162" s="4" t="str">
        <f t="shared" si="45"/>
        <v>Q2-2023</v>
      </c>
      <c r="AA162" t="str">
        <f t="shared" si="46"/>
        <v>Monitors</v>
      </c>
      <c r="AB162" t="str">
        <f t="shared" si="47"/>
        <v>Monitors</v>
      </c>
      <c r="AC162" t="str">
        <f t="shared" si="48"/>
        <v>Compliant</v>
      </c>
      <c r="AD162" t="str">
        <f t="shared" si="49"/>
        <v>Late</v>
      </c>
      <c r="AE162" s="8">
        <f>MIN(Q162,Scenario!$B$2)</f>
        <v>0.13600000000000001</v>
      </c>
      <c r="AF162" s="33">
        <f>L162*(1+Scenario!$B$3)</f>
        <v>821.42199999999991</v>
      </c>
      <c r="AG162" s="6">
        <f>R162*(1+Scenario!$B$4)</f>
        <v>14.399999999999999</v>
      </c>
      <c r="AH162" s="33">
        <f t="shared" si="51"/>
        <v>9425.6317440000003</v>
      </c>
      <c r="AI162" s="33">
        <f t="shared" si="52"/>
        <v>11828.476799999997</v>
      </c>
      <c r="AJ162" s="33">
        <f t="shared" si="53"/>
        <v>-2402.8450559999965</v>
      </c>
    </row>
    <row r="163" spans="1:36" hidden="1" x14ac:dyDescent="0.25">
      <c r="A163" s="12" t="s">
        <v>524</v>
      </c>
      <c r="B163" s="27">
        <v>45056</v>
      </c>
      <c r="C163" s="4">
        <v>45060</v>
      </c>
      <c r="D163" s="12" t="s">
        <v>647</v>
      </c>
      <c r="E163" s="12" t="s">
        <v>654</v>
      </c>
      <c r="F163" s="12" t="s">
        <v>680</v>
      </c>
      <c r="G163" s="12" t="s">
        <v>703</v>
      </c>
      <c r="H163" s="12" t="s">
        <v>710</v>
      </c>
      <c r="I163" s="12" t="s">
        <v>712</v>
      </c>
      <c r="J163" s="12" t="s">
        <v>732</v>
      </c>
      <c r="K163" s="12" t="s">
        <v>1243</v>
      </c>
      <c r="L163" s="6">
        <v>622.6</v>
      </c>
      <c r="M163" s="6">
        <v>833.69</v>
      </c>
      <c r="N163" s="6">
        <f t="shared" si="36"/>
        <v>833.69</v>
      </c>
      <c r="O163" s="6" t="str">
        <f t="shared" si="50"/>
        <v>Middle</v>
      </c>
      <c r="P163" s="6">
        <v>0.20899999999999999</v>
      </c>
      <c r="Q163" s="6">
        <f t="shared" si="37"/>
        <v>0.20899999999999999</v>
      </c>
      <c r="R163" s="6">
        <v>14</v>
      </c>
      <c r="S163" s="6" t="str">
        <f t="shared" si="38"/>
        <v>OK</v>
      </c>
      <c r="T163" s="4">
        <f t="shared" si="39"/>
        <v>45060</v>
      </c>
      <c r="U163" s="11">
        <f t="shared" si="40"/>
        <v>4</v>
      </c>
      <c r="V163" s="6">
        <f t="shared" si="41"/>
        <v>9232.2830599999998</v>
      </c>
      <c r="W163" s="6">
        <f t="shared" si="42"/>
        <v>8716.4</v>
      </c>
      <c r="X163" s="6">
        <f t="shared" si="43"/>
        <v>515.88306000000011</v>
      </c>
      <c r="Y163" s="6">
        <f t="shared" si="44"/>
        <v>5.5878167582959715E-2</v>
      </c>
      <c r="Z163" s="4" t="str">
        <f t="shared" si="45"/>
        <v>Q2-2023</v>
      </c>
      <c r="AA163" t="str">
        <f t="shared" si="46"/>
        <v>Monitors</v>
      </c>
      <c r="AB163" t="str">
        <f t="shared" si="47"/>
        <v>Monitors</v>
      </c>
      <c r="AC163" t="str">
        <f t="shared" si="48"/>
        <v>Non-compliant</v>
      </c>
      <c r="AD163" t="str">
        <f t="shared" si="49"/>
        <v>On-time</v>
      </c>
      <c r="AE163" s="8">
        <f>MIN(Q163,Scenario!$B$2)</f>
        <v>0.2</v>
      </c>
      <c r="AF163" s="33">
        <f>L163*(1+Scenario!$B$3)</f>
        <v>715.99</v>
      </c>
      <c r="AG163" s="6">
        <f>R163*(1+Scenario!$B$4)</f>
        <v>16.8</v>
      </c>
      <c r="AH163" s="33">
        <f t="shared" si="51"/>
        <v>11204.793600000003</v>
      </c>
      <c r="AI163" s="33">
        <f t="shared" si="52"/>
        <v>12028.632000000001</v>
      </c>
      <c r="AJ163" s="33">
        <f t="shared" si="53"/>
        <v>-823.83839999999873</v>
      </c>
    </row>
    <row r="164" spans="1:36" hidden="1" x14ac:dyDescent="0.25">
      <c r="A164" s="12" t="s">
        <v>399</v>
      </c>
      <c r="B164" s="27">
        <v>45066</v>
      </c>
      <c r="C164" s="4">
        <v>45096</v>
      </c>
      <c r="D164" s="12" t="s">
        <v>647</v>
      </c>
      <c r="E164" s="12" t="s">
        <v>654</v>
      </c>
      <c r="F164" s="12" t="s">
        <v>680</v>
      </c>
      <c r="G164" s="12" t="s">
        <v>703</v>
      </c>
      <c r="H164" s="12" t="s">
        <v>709</v>
      </c>
      <c r="I164" s="12" t="s">
        <v>722</v>
      </c>
      <c r="J164" s="12" t="s">
        <v>731</v>
      </c>
      <c r="K164" s="12" t="s">
        <v>1118</v>
      </c>
      <c r="L164" s="6">
        <v>1161.2</v>
      </c>
      <c r="M164" s="6">
        <v>878.73</v>
      </c>
      <c r="N164" s="6">
        <f t="shared" si="36"/>
        <v>878.73</v>
      </c>
      <c r="O164" s="6" t="str">
        <f t="shared" si="50"/>
        <v>Middle</v>
      </c>
      <c r="P164" s="6">
        <v>0.19</v>
      </c>
      <c r="Q164" s="6">
        <f t="shared" si="37"/>
        <v>0.19</v>
      </c>
      <c r="R164" s="6">
        <v>31</v>
      </c>
      <c r="S164" s="6" t="str">
        <f t="shared" si="38"/>
        <v>OK</v>
      </c>
      <c r="T164" s="4">
        <f t="shared" si="39"/>
        <v>45096</v>
      </c>
      <c r="U164" s="11">
        <f t="shared" si="40"/>
        <v>30</v>
      </c>
      <c r="V164" s="6">
        <f t="shared" si="41"/>
        <v>22064.910300000003</v>
      </c>
      <c r="W164" s="6">
        <f t="shared" si="42"/>
        <v>35997.200000000004</v>
      </c>
      <c r="X164" s="6">
        <f t="shared" si="43"/>
        <v>-13932.289700000001</v>
      </c>
      <c r="Y164" s="6">
        <f t="shared" si="44"/>
        <v>-0.63142290227212028</v>
      </c>
      <c r="Z164" s="4" t="str">
        <f t="shared" si="45"/>
        <v>Q2-2023</v>
      </c>
      <c r="AA164" t="str">
        <f t="shared" si="46"/>
        <v>Laptops</v>
      </c>
      <c r="AB164" t="str">
        <f t="shared" si="47"/>
        <v>Laptops</v>
      </c>
      <c r="AC164" t="str">
        <f t="shared" si="48"/>
        <v>Compliant</v>
      </c>
      <c r="AD164" t="str">
        <f t="shared" si="49"/>
        <v>Late</v>
      </c>
      <c r="AE164" s="8">
        <f>MIN(Q164,Scenario!$B$2)</f>
        <v>0.19</v>
      </c>
      <c r="AF164" s="33">
        <f>L164*(1+Scenario!$B$3)</f>
        <v>1335.3799999999999</v>
      </c>
      <c r="AG164" s="6">
        <f>R164*(1+Scenario!$B$4)</f>
        <v>37.199999999999996</v>
      </c>
      <c r="AH164" s="33">
        <f t="shared" si="51"/>
        <v>26477.892359999998</v>
      </c>
      <c r="AI164" s="33">
        <f t="shared" si="52"/>
        <v>49676.135999999991</v>
      </c>
      <c r="AJ164" s="33">
        <f t="shared" si="53"/>
        <v>-23198.243639999993</v>
      </c>
    </row>
    <row r="165" spans="1:36" hidden="1" x14ac:dyDescent="0.25">
      <c r="A165" s="12" t="s">
        <v>484</v>
      </c>
      <c r="B165" s="27">
        <v>45060</v>
      </c>
      <c r="C165" s="4">
        <v>45068</v>
      </c>
      <c r="D165" s="12" t="s">
        <v>646</v>
      </c>
      <c r="E165" s="12" t="s">
        <v>650</v>
      </c>
      <c r="F165" s="12" t="s">
        <v>675</v>
      </c>
      <c r="G165" s="12" t="s">
        <v>705</v>
      </c>
      <c r="H165" s="12" t="s">
        <v>710</v>
      </c>
      <c r="I165" s="12" t="s">
        <v>721</v>
      </c>
      <c r="J165" s="12" t="s">
        <v>728</v>
      </c>
      <c r="K165" s="12" t="s">
        <v>1203</v>
      </c>
      <c r="L165" s="6">
        <v>432.01</v>
      </c>
      <c r="M165" s="6">
        <v>913.78</v>
      </c>
      <c r="N165" s="6">
        <f t="shared" si="36"/>
        <v>913.78</v>
      </c>
      <c r="O165" s="6" t="str">
        <f t="shared" si="50"/>
        <v>Middle</v>
      </c>
      <c r="P165" s="6">
        <v>4.9000000000000002E-2</v>
      </c>
      <c r="Q165" s="6">
        <f t="shared" si="37"/>
        <v>4.9000000000000002E-2</v>
      </c>
      <c r="R165" s="6">
        <v>12</v>
      </c>
      <c r="S165" s="6" t="str">
        <f t="shared" si="38"/>
        <v>OK</v>
      </c>
      <c r="T165" s="4">
        <f t="shared" si="39"/>
        <v>45068</v>
      </c>
      <c r="U165" s="11">
        <f t="shared" si="40"/>
        <v>8</v>
      </c>
      <c r="V165" s="6">
        <f t="shared" si="41"/>
        <v>10428.057360000001</v>
      </c>
      <c r="W165" s="6">
        <f t="shared" si="42"/>
        <v>5184.12</v>
      </c>
      <c r="X165" s="6">
        <f t="shared" si="43"/>
        <v>5243.9373600000008</v>
      </c>
      <c r="Y165" s="6">
        <f t="shared" si="44"/>
        <v>0.50286809699711899</v>
      </c>
      <c r="Z165" s="4" t="str">
        <f t="shared" si="45"/>
        <v>Q2-2023</v>
      </c>
      <c r="AA165" t="str">
        <f t="shared" si="46"/>
        <v>Printers</v>
      </c>
      <c r="AB165" t="str">
        <f t="shared" si="47"/>
        <v>Printers</v>
      </c>
      <c r="AC165" t="str">
        <f t="shared" si="48"/>
        <v>Compliant</v>
      </c>
      <c r="AD165" t="str">
        <f t="shared" si="49"/>
        <v>Late</v>
      </c>
      <c r="AE165" s="8">
        <f>MIN(Q165,Scenario!$B$2)</f>
        <v>4.9000000000000002E-2</v>
      </c>
      <c r="AF165" s="33">
        <f>L165*(1+Scenario!$B$3)</f>
        <v>496.81149999999997</v>
      </c>
      <c r="AG165" s="6">
        <f>R165*(1+Scenario!$B$4)</f>
        <v>14.399999999999999</v>
      </c>
      <c r="AH165" s="33">
        <f t="shared" si="51"/>
        <v>12513.668831999998</v>
      </c>
      <c r="AI165" s="33">
        <f t="shared" si="52"/>
        <v>7154.0855999999985</v>
      </c>
      <c r="AJ165" s="33">
        <f t="shared" si="53"/>
        <v>5359.583231999999</v>
      </c>
    </row>
    <row r="166" spans="1:36" hidden="1" x14ac:dyDescent="0.25">
      <c r="A166" s="12" t="s">
        <v>339</v>
      </c>
      <c r="B166" s="27">
        <v>45053</v>
      </c>
      <c r="C166" s="4">
        <v>45075</v>
      </c>
      <c r="D166" s="12" t="s">
        <v>646</v>
      </c>
      <c r="E166" s="12" t="s">
        <v>661</v>
      </c>
      <c r="F166" s="12" t="s">
        <v>687</v>
      </c>
      <c r="G166" s="12" t="s">
        <v>702</v>
      </c>
      <c r="H166" s="12" t="s">
        <v>710</v>
      </c>
      <c r="I166" s="12" t="s">
        <v>723</v>
      </c>
      <c r="J166" s="12" t="s">
        <v>733</v>
      </c>
      <c r="K166" s="12" t="s">
        <v>1059</v>
      </c>
      <c r="L166" s="6">
        <v>653.86</v>
      </c>
      <c r="M166" s="6">
        <v>931.84</v>
      </c>
      <c r="N166" s="6">
        <f t="shared" si="36"/>
        <v>931.84</v>
      </c>
      <c r="O166" s="6" t="str">
        <f t="shared" si="50"/>
        <v>Middle</v>
      </c>
      <c r="P166" s="6">
        <v>0.121</v>
      </c>
      <c r="Q166" s="6">
        <f t="shared" si="37"/>
        <v>0.121</v>
      </c>
      <c r="R166" s="6">
        <v>12</v>
      </c>
      <c r="S166" s="6" t="str">
        <f t="shared" si="38"/>
        <v>OK</v>
      </c>
      <c r="T166" s="4">
        <f t="shared" si="39"/>
        <v>45075</v>
      </c>
      <c r="U166" s="11">
        <f t="shared" si="40"/>
        <v>22</v>
      </c>
      <c r="V166" s="6">
        <f t="shared" si="41"/>
        <v>9829.0483199999999</v>
      </c>
      <c r="W166" s="6">
        <f t="shared" si="42"/>
        <v>7846.32</v>
      </c>
      <c r="X166" s="6">
        <f t="shared" si="43"/>
        <v>1982.7283200000002</v>
      </c>
      <c r="Y166" s="6">
        <f t="shared" si="44"/>
        <v>0.20172129136506273</v>
      </c>
      <c r="Z166" s="4" t="str">
        <f t="shared" si="45"/>
        <v>Q2-2023</v>
      </c>
      <c r="AA166" t="str">
        <f t="shared" si="46"/>
        <v>Accessories</v>
      </c>
      <c r="AB166" t="str">
        <f t="shared" si="47"/>
        <v>Accessories</v>
      </c>
      <c r="AC166" t="str">
        <f t="shared" si="48"/>
        <v>Compliant</v>
      </c>
      <c r="AD166" t="str">
        <f t="shared" si="49"/>
        <v>Late</v>
      </c>
      <c r="AE166" s="8">
        <f>MIN(Q166,Scenario!$B$2)</f>
        <v>0.121</v>
      </c>
      <c r="AF166" s="33">
        <f>L166*(1+Scenario!$B$3)</f>
        <v>751.93899999999996</v>
      </c>
      <c r="AG166" s="6">
        <f>R166*(1+Scenario!$B$4)</f>
        <v>14.399999999999999</v>
      </c>
      <c r="AH166" s="33">
        <f t="shared" si="51"/>
        <v>11794.857984</v>
      </c>
      <c r="AI166" s="33">
        <f t="shared" si="52"/>
        <v>10827.921599999998</v>
      </c>
      <c r="AJ166" s="33">
        <f t="shared" si="53"/>
        <v>966.93638400000236</v>
      </c>
    </row>
    <row r="167" spans="1:36" hidden="1" x14ac:dyDescent="0.25">
      <c r="A167" s="12" t="s">
        <v>514</v>
      </c>
      <c r="B167" s="27">
        <v>45048</v>
      </c>
      <c r="C167" s="4">
        <v>45062</v>
      </c>
      <c r="D167" s="12" t="s">
        <v>647</v>
      </c>
      <c r="E167" s="12" t="s">
        <v>654</v>
      </c>
      <c r="F167" s="12" t="s">
        <v>668</v>
      </c>
      <c r="G167" s="12" t="s">
        <v>703</v>
      </c>
      <c r="H167" s="12" t="s">
        <v>707</v>
      </c>
      <c r="I167" s="12" t="s">
        <v>716</v>
      </c>
      <c r="J167" s="12" t="s">
        <v>732</v>
      </c>
      <c r="K167" s="12" t="s">
        <v>1233</v>
      </c>
      <c r="L167" s="6">
        <v>475.37</v>
      </c>
      <c r="M167" s="6">
        <v>963.73</v>
      </c>
      <c r="N167" s="6">
        <f t="shared" si="36"/>
        <v>963.73</v>
      </c>
      <c r="O167" s="6" t="str">
        <f t="shared" si="50"/>
        <v>Middle</v>
      </c>
      <c r="P167" s="6">
        <v>4.1000000000000002E-2</v>
      </c>
      <c r="Q167" s="6">
        <f t="shared" si="37"/>
        <v>4.1000000000000002E-2</v>
      </c>
      <c r="R167" s="6">
        <v>22</v>
      </c>
      <c r="S167" s="6" t="str">
        <f t="shared" si="38"/>
        <v>OK</v>
      </c>
      <c r="T167" s="4">
        <f t="shared" si="39"/>
        <v>45062</v>
      </c>
      <c r="U167" s="11">
        <f t="shared" si="40"/>
        <v>14</v>
      </c>
      <c r="V167" s="6">
        <f t="shared" si="41"/>
        <v>20332.775539999999</v>
      </c>
      <c r="W167" s="6">
        <f t="shared" si="42"/>
        <v>10458.14</v>
      </c>
      <c r="X167" s="6">
        <f t="shared" si="43"/>
        <v>9874.6355399999993</v>
      </c>
      <c r="Y167" s="6">
        <f t="shared" si="44"/>
        <v>0.48565113604750881</v>
      </c>
      <c r="Z167" s="4" t="str">
        <f t="shared" si="45"/>
        <v>Q2-2023</v>
      </c>
      <c r="AA167" t="str">
        <f t="shared" si="46"/>
        <v>Monitors</v>
      </c>
      <c r="AB167" t="str">
        <f t="shared" si="47"/>
        <v>Monitors</v>
      </c>
      <c r="AC167" t="str">
        <f t="shared" si="48"/>
        <v>Compliant</v>
      </c>
      <c r="AD167" t="str">
        <f t="shared" si="49"/>
        <v>Late</v>
      </c>
      <c r="AE167" s="8">
        <f>MIN(Q167,Scenario!$B$2)</f>
        <v>4.1000000000000002E-2</v>
      </c>
      <c r="AF167" s="33">
        <f>L167*(1+Scenario!$B$3)</f>
        <v>546.67549999999994</v>
      </c>
      <c r="AG167" s="6">
        <f>R167*(1+Scenario!$B$4)</f>
        <v>26.4</v>
      </c>
      <c r="AH167" s="33">
        <f t="shared" si="51"/>
        <v>24399.330647999996</v>
      </c>
      <c r="AI167" s="33">
        <f t="shared" si="52"/>
        <v>14432.233199999997</v>
      </c>
      <c r="AJ167" s="33">
        <f t="shared" si="53"/>
        <v>9967.0974479999986</v>
      </c>
    </row>
    <row r="168" spans="1:36" hidden="1" x14ac:dyDescent="0.25">
      <c r="A168" s="12" t="s">
        <v>489</v>
      </c>
      <c r="B168" s="27">
        <v>45069</v>
      </c>
      <c r="C168" s="4">
        <v>45071</v>
      </c>
      <c r="D168" s="12" t="s">
        <v>648</v>
      </c>
      <c r="E168" s="12" t="s">
        <v>655</v>
      </c>
      <c r="F168" s="12" t="s">
        <v>692</v>
      </c>
      <c r="G168" s="12" t="s">
        <v>706</v>
      </c>
      <c r="H168" s="12" t="s">
        <v>707</v>
      </c>
      <c r="I168" s="12" t="s">
        <v>724</v>
      </c>
      <c r="J168" s="12" t="s">
        <v>728</v>
      </c>
      <c r="K168" s="12" t="s">
        <v>1208</v>
      </c>
      <c r="L168" s="6">
        <v>690.49</v>
      </c>
      <c r="M168" s="6">
        <v>1290.29</v>
      </c>
      <c r="N168" s="6">
        <f t="shared" si="36"/>
        <v>1290.29</v>
      </c>
      <c r="O168" s="6" t="str">
        <f t="shared" si="50"/>
        <v>High</v>
      </c>
      <c r="P168" s="6">
        <v>4.2000000000000003E-2</v>
      </c>
      <c r="Q168" s="6">
        <f t="shared" si="37"/>
        <v>4.2000000000000003E-2</v>
      </c>
      <c r="R168" s="6">
        <v>22</v>
      </c>
      <c r="S168" s="6" t="str">
        <f t="shared" si="38"/>
        <v>OK</v>
      </c>
      <c r="T168" s="4">
        <f t="shared" si="39"/>
        <v>45071</v>
      </c>
      <c r="U168" s="11">
        <f t="shared" si="40"/>
        <v>2</v>
      </c>
      <c r="V168" s="6">
        <f t="shared" si="41"/>
        <v>27194.152039999997</v>
      </c>
      <c r="W168" s="6">
        <f t="shared" si="42"/>
        <v>15190.78</v>
      </c>
      <c r="X168" s="6">
        <f t="shared" si="43"/>
        <v>12003.372039999997</v>
      </c>
      <c r="Y168" s="6">
        <f t="shared" si="44"/>
        <v>0.44139534199647718</v>
      </c>
      <c r="Z168" s="4" t="str">
        <f t="shared" si="45"/>
        <v>Q2-2023</v>
      </c>
      <c r="AA168" t="str">
        <f t="shared" si="46"/>
        <v>Printers</v>
      </c>
      <c r="AB168" t="str">
        <f t="shared" si="47"/>
        <v>Printers</v>
      </c>
      <c r="AC168" t="str">
        <f t="shared" si="48"/>
        <v>Compliant</v>
      </c>
      <c r="AD168" t="str">
        <f t="shared" si="49"/>
        <v>On-time</v>
      </c>
      <c r="AE168" s="8">
        <f>MIN(Q168,Scenario!$B$2)</f>
        <v>4.2000000000000003E-2</v>
      </c>
      <c r="AF168" s="33">
        <f>L168*(1+Scenario!$B$3)</f>
        <v>794.06349999999998</v>
      </c>
      <c r="AG168" s="6">
        <f>R168*(1+Scenario!$B$4)</f>
        <v>26.4</v>
      </c>
      <c r="AH168" s="33">
        <f t="shared" si="51"/>
        <v>32632.982447999995</v>
      </c>
      <c r="AI168" s="33">
        <f t="shared" si="52"/>
        <v>20963.276399999999</v>
      </c>
      <c r="AJ168" s="33">
        <f t="shared" si="53"/>
        <v>11669.706047999996</v>
      </c>
    </row>
    <row r="169" spans="1:36" hidden="1" x14ac:dyDescent="0.25">
      <c r="A169" s="12" t="s">
        <v>89</v>
      </c>
      <c r="B169" s="27">
        <v>45066</v>
      </c>
      <c r="C169" s="4">
        <v>45064</v>
      </c>
      <c r="D169" s="12" t="s">
        <v>646</v>
      </c>
      <c r="E169" s="12" t="s">
        <v>661</v>
      </c>
      <c r="F169" s="12" t="s">
        <v>687</v>
      </c>
      <c r="G169" s="12" t="s">
        <v>701</v>
      </c>
      <c r="H169" s="12" t="s">
        <v>710</v>
      </c>
      <c r="I169" s="12" t="s">
        <v>720</v>
      </c>
      <c r="J169" s="12" t="s">
        <v>727</v>
      </c>
      <c r="K169" s="12" t="s">
        <v>808</v>
      </c>
      <c r="L169" s="6">
        <v>917.88</v>
      </c>
      <c r="M169" s="6">
        <v>1347.92</v>
      </c>
      <c r="N169" s="6">
        <f t="shared" si="36"/>
        <v>1347.92</v>
      </c>
      <c r="O169" s="6" t="str">
        <f t="shared" si="50"/>
        <v>High</v>
      </c>
      <c r="P169" s="6">
        <v>0.34300000000000003</v>
      </c>
      <c r="Q169" s="6">
        <f t="shared" si="37"/>
        <v>0.3</v>
      </c>
      <c r="R169" s="6">
        <v>5</v>
      </c>
      <c r="S169" s="6" t="str">
        <f t="shared" si="38"/>
        <v>Correct</v>
      </c>
      <c r="T169" s="4">
        <f t="shared" si="39"/>
        <v>45073</v>
      </c>
      <c r="U169" s="11">
        <f t="shared" si="40"/>
        <v>7</v>
      </c>
      <c r="V169" s="6">
        <f t="shared" si="41"/>
        <v>4717.72</v>
      </c>
      <c r="W169" s="6">
        <f t="shared" si="42"/>
        <v>4589.3999999999996</v>
      </c>
      <c r="X169" s="6">
        <f t="shared" si="43"/>
        <v>128.32000000000062</v>
      </c>
      <c r="Y169" s="6">
        <f t="shared" si="44"/>
        <v>2.7199579457873848E-2</v>
      </c>
      <c r="Z169" s="4" t="str">
        <f t="shared" si="45"/>
        <v>Q2-2023</v>
      </c>
      <c r="AA169" t="str">
        <f t="shared" si="46"/>
        <v>Components</v>
      </c>
      <c r="AB169" t="str">
        <f t="shared" si="47"/>
        <v>Components</v>
      </c>
      <c r="AC169" t="str">
        <f t="shared" si="48"/>
        <v>Non-compliant</v>
      </c>
      <c r="AD169" t="str">
        <f t="shared" si="49"/>
        <v>On-time</v>
      </c>
      <c r="AE169" s="8">
        <f>MIN(Q169,Scenario!$B$2)</f>
        <v>0.2</v>
      </c>
      <c r="AF169" s="33">
        <f>L169*(1+Scenario!$B$3)</f>
        <v>1055.5619999999999</v>
      </c>
      <c r="AG169" s="6">
        <f>R169*(1+Scenario!$B$4)</f>
        <v>6</v>
      </c>
      <c r="AH169" s="33">
        <f t="shared" si="51"/>
        <v>6470.0160000000005</v>
      </c>
      <c r="AI169" s="33">
        <f t="shared" si="52"/>
        <v>6333.3719999999994</v>
      </c>
      <c r="AJ169" s="33">
        <f t="shared" si="53"/>
        <v>136.64400000000114</v>
      </c>
    </row>
    <row r="170" spans="1:36" hidden="1" x14ac:dyDescent="0.25">
      <c r="A170" s="12" t="s">
        <v>468</v>
      </c>
      <c r="B170" s="27">
        <v>45070</v>
      </c>
      <c r="C170" s="4">
        <v>45098</v>
      </c>
      <c r="D170" s="12" t="s">
        <v>648</v>
      </c>
      <c r="E170" s="12" t="s">
        <v>660</v>
      </c>
      <c r="F170" s="12" t="s">
        <v>697</v>
      </c>
      <c r="G170" s="12" t="s">
        <v>705</v>
      </c>
      <c r="H170" s="12" t="s">
        <v>709</v>
      </c>
      <c r="I170" s="12" t="s">
        <v>715</v>
      </c>
      <c r="J170" s="12" t="s">
        <v>732</v>
      </c>
      <c r="K170" s="12" t="s">
        <v>1187</v>
      </c>
      <c r="L170" s="6">
        <v>813.97</v>
      </c>
      <c r="M170" s="6">
        <v>1568.83</v>
      </c>
      <c r="N170" s="6">
        <f t="shared" si="36"/>
        <v>1568.83</v>
      </c>
      <c r="O170" s="6" t="str">
        <f t="shared" si="50"/>
        <v>High</v>
      </c>
      <c r="P170" s="6">
        <v>1.7000000000000001E-2</v>
      </c>
      <c r="Q170" s="6">
        <f t="shared" si="37"/>
        <v>1.7000000000000001E-2</v>
      </c>
      <c r="R170" s="6">
        <v>15</v>
      </c>
      <c r="S170" s="6" t="str">
        <f t="shared" si="38"/>
        <v>OK</v>
      </c>
      <c r="T170" s="4">
        <f t="shared" si="39"/>
        <v>45098</v>
      </c>
      <c r="U170" s="11">
        <f t="shared" si="40"/>
        <v>28</v>
      </c>
      <c r="V170" s="6">
        <f t="shared" si="41"/>
        <v>23132.398349999996</v>
      </c>
      <c r="W170" s="6">
        <f t="shared" si="42"/>
        <v>12209.550000000001</v>
      </c>
      <c r="X170" s="6">
        <f t="shared" si="43"/>
        <v>10922.848349999995</v>
      </c>
      <c r="Y170" s="6">
        <f t="shared" si="44"/>
        <v>0.4721883215364911</v>
      </c>
      <c r="Z170" s="4" t="str">
        <f t="shared" si="45"/>
        <v>Q2-2023</v>
      </c>
      <c r="AA170" t="str">
        <f t="shared" si="46"/>
        <v>Monitors</v>
      </c>
      <c r="AB170" t="str">
        <f t="shared" si="47"/>
        <v>Monitors</v>
      </c>
      <c r="AC170" t="str">
        <f t="shared" si="48"/>
        <v>Compliant</v>
      </c>
      <c r="AD170" t="str">
        <f t="shared" si="49"/>
        <v>Late</v>
      </c>
      <c r="AE170" s="8">
        <f>MIN(Q170,Scenario!$B$2)</f>
        <v>1.7000000000000001E-2</v>
      </c>
      <c r="AF170" s="33">
        <f>L170*(1+Scenario!$B$3)</f>
        <v>936.06549999999993</v>
      </c>
      <c r="AG170" s="6">
        <f>R170*(1+Scenario!$B$4)</f>
        <v>18</v>
      </c>
      <c r="AH170" s="33">
        <f t="shared" si="51"/>
        <v>27758.878019999996</v>
      </c>
      <c r="AI170" s="33">
        <f t="shared" si="52"/>
        <v>16849.179</v>
      </c>
      <c r="AJ170" s="33">
        <f t="shared" si="53"/>
        <v>10909.699019999996</v>
      </c>
    </row>
    <row r="171" spans="1:36" hidden="1" x14ac:dyDescent="0.25">
      <c r="A171" s="12" t="s">
        <v>274</v>
      </c>
      <c r="B171" s="27">
        <v>45066</v>
      </c>
      <c r="C171" s="4">
        <v>45084</v>
      </c>
      <c r="D171" s="12" t="s">
        <v>646</v>
      </c>
      <c r="E171" s="12" t="s">
        <v>651</v>
      </c>
      <c r="F171" s="12" t="s">
        <v>663</v>
      </c>
      <c r="G171" s="12" t="s">
        <v>706</v>
      </c>
      <c r="H171" s="12" t="s">
        <v>710</v>
      </c>
      <c r="I171" s="12" t="s">
        <v>718</v>
      </c>
      <c r="J171" s="12" t="s">
        <v>727</v>
      </c>
      <c r="K171" s="12" t="s">
        <v>994</v>
      </c>
      <c r="L171" s="6">
        <v>1120.06</v>
      </c>
      <c r="M171" s="6">
        <v>2068.21</v>
      </c>
      <c r="N171" s="6">
        <f t="shared" si="36"/>
        <v>2068.21</v>
      </c>
      <c r="O171" s="6" t="str">
        <f t="shared" si="50"/>
        <v>High</v>
      </c>
      <c r="P171" s="6">
        <v>7.8E-2</v>
      </c>
      <c r="Q171" s="6">
        <f t="shared" si="37"/>
        <v>7.8E-2</v>
      </c>
      <c r="R171" s="6">
        <v>12</v>
      </c>
      <c r="S171" s="6" t="str">
        <f t="shared" si="38"/>
        <v>OK</v>
      </c>
      <c r="T171" s="4">
        <f t="shared" si="39"/>
        <v>45084</v>
      </c>
      <c r="U171" s="11">
        <f t="shared" si="40"/>
        <v>18</v>
      </c>
      <c r="V171" s="6">
        <f t="shared" si="41"/>
        <v>22882.675440000003</v>
      </c>
      <c r="W171" s="6">
        <f t="shared" si="42"/>
        <v>13440.72</v>
      </c>
      <c r="X171" s="6">
        <f t="shared" si="43"/>
        <v>9441.9554400000034</v>
      </c>
      <c r="Y171" s="6">
        <f t="shared" si="44"/>
        <v>0.41262462795303284</v>
      </c>
      <c r="Z171" s="4" t="str">
        <f t="shared" si="45"/>
        <v>Q2-2023</v>
      </c>
      <c r="AA171" t="str">
        <f t="shared" si="46"/>
        <v>Components</v>
      </c>
      <c r="AB171" t="str">
        <f t="shared" si="47"/>
        <v>Components</v>
      </c>
      <c r="AC171" t="str">
        <f t="shared" si="48"/>
        <v>Compliant</v>
      </c>
      <c r="AD171" t="str">
        <f t="shared" si="49"/>
        <v>Late</v>
      </c>
      <c r="AE171" s="8">
        <f>MIN(Q171,Scenario!$B$2)</f>
        <v>7.8E-2</v>
      </c>
      <c r="AF171" s="33">
        <f>L171*(1+Scenario!$B$3)</f>
        <v>1288.0689999999997</v>
      </c>
      <c r="AG171" s="6">
        <f>R171*(1+Scenario!$B$4)</f>
        <v>14.399999999999999</v>
      </c>
      <c r="AH171" s="33">
        <f t="shared" si="51"/>
        <v>27459.210528</v>
      </c>
      <c r="AI171" s="33">
        <f t="shared" si="52"/>
        <v>18548.193599999995</v>
      </c>
      <c r="AJ171" s="33">
        <f t="shared" si="53"/>
        <v>8911.0169280000046</v>
      </c>
    </row>
    <row r="172" spans="1:36" hidden="1" x14ac:dyDescent="0.25">
      <c r="A172" s="12" t="s">
        <v>454</v>
      </c>
      <c r="B172" s="27">
        <v>45063</v>
      </c>
      <c r="C172" s="4">
        <v>45080</v>
      </c>
      <c r="D172" s="12" t="s">
        <v>647</v>
      </c>
      <c r="E172" s="12" t="s">
        <v>659</v>
      </c>
      <c r="F172" s="12" t="s">
        <v>699</v>
      </c>
      <c r="G172" s="12" t="s">
        <v>703</v>
      </c>
      <c r="H172" s="12" t="s">
        <v>710</v>
      </c>
      <c r="I172" s="12" t="s">
        <v>724</v>
      </c>
      <c r="J172" s="12" t="s">
        <v>728</v>
      </c>
      <c r="K172" s="12" t="s">
        <v>1173</v>
      </c>
      <c r="L172" s="6">
        <v>979.59</v>
      </c>
      <c r="M172" s="6">
        <v>2210.94</v>
      </c>
      <c r="N172" s="6">
        <f t="shared" si="36"/>
        <v>2210.94</v>
      </c>
      <c r="O172" s="6" t="str">
        <f t="shared" si="50"/>
        <v>High</v>
      </c>
      <c r="P172" s="6">
        <v>0.15</v>
      </c>
      <c r="Q172" s="6">
        <f t="shared" si="37"/>
        <v>0.15</v>
      </c>
      <c r="R172" s="6">
        <v>11</v>
      </c>
      <c r="S172" s="6" t="str">
        <f t="shared" si="38"/>
        <v>OK</v>
      </c>
      <c r="T172" s="4">
        <f t="shared" si="39"/>
        <v>45080</v>
      </c>
      <c r="U172" s="11">
        <f t="shared" si="40"/>
        <v>17</v>
      </c>
      <c r="V172" s="6">
        <f t="shared" si="41"/>
        <v>20672.289000000001</v>
      </c>
      <c r="W172" s="6">
        <f t="shared" si="42"/>
        <v>10775.49</v>
      </c>
      <c r="X172" s="6">
        <f t="shared" si="43"/>
        <v>9896.7990000000009</v>
      </c>
      <c r="Y172" s="6">
        <f t="shared" si="44"/>
        <v>0.47874712858358359</v>
      </c>
      <c r="Z172" s="4" t="str">
        <f t="shared" si="45"/>
        <v>Q2-2023</v>
      </c>
      <c r="AA172" t="str">
        <f t="shared" si="46"/>
        <v>Printers</v>
      </c>
      <c r="AB172" t="str">
        <f t="shared" si="47"/>
        <v>Printers</v>
      </c>
      <c r="AC172" t="str">
        <f t="shared" si="48"/>
        <v>Compliant</v>
      </c>
      <c r="AD172" t="str">
        <f t="shared" si="49"/>
        <v>Late</v>
      </c>
      <c r="AE172" s="8">
        <f>MIN(Q172,Scenario!$B$2)</f>
        <v>0.15</v>
      </c>
      <c r="AF172" s="33">
        <f>L172*(1+Scenario!$B$3)</f>
        <v>1126.5284999999999</v>
      </c>
      <c r="AG172" s="6">
        <f>R172*(1+Scenario!$B$4)</f>
        <v>13.2</v>
      </c>
      <c r="AH172" s="33">
        <f t="shared" si="51"/>
        <v>24806.746799999997</v>
      </c>
      <c r="AI172" s="33">
        <f t="shared" si="52"/>
        <v>14870.176199999998</v>
      </c>
      <c r="AJ172" s="33">
        <f t="shared" si="53"/>
        <v>9936.5705999999991</v>
      </c>
    </row>
    <row r="173" spans="1:36" hidden="1" x14ac:dyDescent="0.25">
      <c r="A173" s="12" t="s">
        <v>155</v>
      </c>
      <c r="B173" s="27">
        <v>45048</v>
      </c>
      <c r="C173" s="4">
        <v>45064</v>
      </c>
      <c r="D173" s="12" t="s">
        <v>647</v>
      </c>
      <c r="E173" s="12" t="s">
        <v>654</v>
      </c>
      <c r="F173" s="12" t="s">
        <v>680</v>
      </c>
      <c r="G173" s="12" t="s">
        <v>705</v>
      </c>
      <c r="H173" s="12" t="s">
        <v>709</v>
      </c>
      <c r="I173" s="12" t="s">
        <v>723</v>
      </c>
      <c r="J173" s="12" t="s">
        <v>732</v>
      </c>
      <c r="K173" s="12" t="s">
        <v>874</v>
      </c>
      <c r="L173" s="6">
        <v>1463.92</v>
      </c>
      <c r="M173" s="6">
        <v>2252.2399999999998</v>
      </c>
      <c r="N173" s="6">
        <f t="shared" si="36"/>
        <v>2252.2399999999998</v>
      </c>
      <c r="O173" s="6" t="str">
        <f t="shared" si="50"/>
        <v>High</v>
      </c>
      <c r="P173" s="6">
        <v>0.11799999999999999</v>
      </c>
      <c r="Q173" s="6">
        <f t="shared" si="37"/>
        <v>0.11799999999999999</v>
      </c>
      <c r="R173" s="6">
        <v>44</v>
      </c>
      <c r="S173" s="6" t="str">
        <f t="shared" si="38"/>
        <v>OK</v>
      </c>
      <c r="T173" s="4">
        <f t="shared" si="39"/>
        <v>45064</v>
      </c>
      <c r="U173" s="11">
        <f t="shared" si="40"/>
        <v>16</v>
      </c>
      <c r="V173" s="6">
        <f t="shared" si="41"/>
        <v>87404.929919999995</v>
      </c>
      <c r="W173" s="6">
        <f t="shared" si="42"/>
        <v>64412.480000000003</v>
      </c>
      <c r="X173" s="6">
        <f t="shared" si="43"/>
        <v>22992.449919999992</v>
      </c>
      <c r="Y173" s="6">
        <f t="shared" si="44"/>
        <v>0.26305667130040061</v>
      </c>
      <c r="Z173" s="4" t="str">
        <f t="shared" si="45"/>
        <v>Q2-2023</v>
      </c>
      <c r="AA173" t="str">
        <f t="shared" si="46"/>
        <v>Monitors</v>
      </c>
      <c r="AB173" t="str">
        <f t="shared" si="47"/>
        <v>Monitors</v>
      </c>
      <c r="AC173" t="str">
        <f t="shared" si="48"/>
        <v>Compliant</v>
      </c>
      <c r="AD173" t="str">
        <f t="shared" si="49"/>
        <v>Late</v>
      </c>
      <c r="AE173" s="8">
        <f>MIN(Q173,Scenario!$B$2)</f>
        <v>0.11799999999999999</v>
      </c>
      <c r="AF173" s="33">
        <f>L173*(1+Scenario!$B$3)</f>
        <v>1683.508</v>
      </c>
      <c r="AG173" s="6">
        <f>R173*(1+Scenario!$B$4)</f>
        <v>52.8</v>
      </c>
      <c r="AH173" s="33">
        <f t="shared" si="51"/>
        <v>104885.91590399998</v>
      </c>
      <c r="AI173" s="33">
        <f t="shared" si="52"/>
        <v>88889.222399999999</v>
      </c>
      <c r="AJ173" s="33">
        <f t="shared" si="53"/>
        <v>15996.693503999981</v>
      </c>
    </row>
    <row r="174" spans="1:36" hidden="1" x14ac:dyDescent="0.25">
      <c r="A174" s="12" t="s">
        <v>281</v>
      </c>
      <c r="B174" s="27">
        <v>45053</v>
      </c>
      <c r="C174" s="4">
        <v>45051</v>
      </c>
      <c r="D174" s="12" t="s">
        <v>646</v>
      </c>
      <c r="E174" s="12" t="s">
        <v>651</v>
      </c>
      <c r="F174" s="12" t="s">
        <v>663</v>
      </c>
      <c r="G174" s="12" t="s">
        <v>703</v>
      </c>
      <c r="H174" s="12" t="s">
        <v>709</v>
      </c>
      <c r="I174" s="12" t="s">
        <v>720</v>
      </c>
      <c r="J174" s="12" t="s">
        <v>727</v>
      </c>
      <c r="K174" s="12" t="s">
        <v>1001</v>
      </c>
      <c r="L174" s="6">
        <v>1269.6500000000001</v>
      </c>
      <c r="M174" s="6">
        <v>2462.77</v>
      </c>
      <c r="N174" s="6">
        <f t="shared" si="36"/>
        <v>2462.77</v>
      </c>
      <c r="O174" s="6" t="str">
        <f t="shared" si="50"/>
        <v>High</v>
      </c>
      <c r="P174" s="6">
        <v>0.107</v>
      </c>
      <c r="Q174" s="6">
        <f t="shared" si="37"/>
        <v>0.107</v>
      </c>
      <c r="R174" s="6">
        <v>8</v>
      </c>
      <c r="S174" s="6" t="str">
        <f t="shared" si="38"/>
        <v>Correct</v>
      </c>
      <c r="T174" s="4">
        <f t="shared" si="39"/>
        <v>45060</v>
      </c>
      <c r="U174" s="11">
        <f t="shared" si="40"/>
        <v>7</v>
      </c>
      <c r="V174" s="6">
        <f t="shared" si="41"/>
        <v>17594.028880000002</v>
      </c>
      <c r="W174" s="6">
        <f t="shared" si="42"/>
        <v>10157.200000000001</v>
      </c>
      <c r="X174" s="6">
        <f t="shared" si="43"/>
        <v>7436.8288800000009</v>
      </c>
      <c r="Y174" s="6">
        <f t="shared" si="44"/>
        <v>0.42269050089225502</v>
      </c>
      <c r="Z174" s="4" t="str">
        <f t="shared" si="45"/>
        <v>Q2-2023</v>
      </c>
      <c r="AA174" t="str">
        <f t="shared" si="46"/>
        <v>Components</v>
      </c>
      <c r="AB174" t="str">
        <f t="shared" si="47"/>
        <v>Components</v>
      </c>
      <c r="AC174" t="str">
        <f t="shared" si="48"/>
        <v>Compliant</v>
      </c>
      <c r="AD174" t="str">
        <f t="shared" si="49"/>
        <v>On-time</v>
      </c>
      <c r="AE174" s="8">
        <f>MIN(Q174,Scenario!$B$2)</f>
        <v>0.107</v>
      </c>
      <c r="AF174" s="33">
        <f>L174*(1+Scenario!$B$3)</f>
        <v>1460.0975000000001</v>
      </c>
      <c r="AG174" s="6">
        <f>R174*(1+Scenario!$B$4)</f>
        <v>9.6</v>
      </c>
      <c r="AH174" s="33">
        <f t="shared" si="51"/>
        <v>21112.834655999999</v>
      </c>
      <c r="AI174" s="33">
        <f t="shared" si="52"/>
        <v>14016.936</v>
      </c>
      <c r="AJ174" s="33">
        <f t="shared" si="53"/>
        <v>7095.8986559999994</v>
      </c>
    </row>
    <row r="175" spans="1:36" x14ac:dyDescent="0.25">
      <c r="A175" s="12" t="s">
        <v>275</v>
      </c>
      <c r="B175" s="27">
        <v>45073</v>
      </c>
      <c r="C175" s="4">
        <v>45096</v>
      </c>
      <c r="D175" s="12" t="s">
        <v>649</v>
      </c>
      <c r="E175" s="12" t="s">
        <v>656</v>
      </c>
      <c r="F175" s="12" t="s">
        <v>671</v>
      </c>
      <c r="G175" s="12" t="s">
        <v>702</v>
      </c>
      <c r="H175" s="12" t="s">
        <v>707</v>
      </c>
      <c r="I175" s="12" t="s">
        <v>719</v>
      </c>
      <c r="J175" s="12" t="s">
        <v>733</v>
      </c>
      <c r="K175" s="12" t="s">
        <v>995</v>
      </c>
      <c r="L175" s="6">
        <v>1471.58</v>
      </c>
      <c r="M175" s="6">
        <v>2576.65</v>
      </c>
      <c r="N175" s="6">
        <f t="shared" si="36"/>
        <v>2576.65</v>
      </c>
      <c r="O175" s="6" t="str">
        <f t="shared" si="50"/>
        <v>High</v>
      </c>
      <c r="P175" s="6">
        <v>4.0000000000000001E-3</v>
      </c>
      <c r="Q175" s="6">
        <f t="shared" si="37"/>
        <v>4.0000000000000001E-3</v>
      </c>
      <c r="R175" s="6">
        <v>7</v>
      </c>
      <c r="S175" s="6" t="str">
        <f t="shared" si="38"/>
        <v>OK</v>
      </c>
      <c r="T175" s="4">
        <f t="shared" si="39"/>
        <v>45096</v>
      </c>
      <c r="U175" s="11">
        <f t="shared" si="40"/>
        <v>23</v>
      </c>
      <c r="V175" s="6">
        <f t="shared" si="41"/>
        <v>17964.4038</v>
      </c>
      <c r="W175" s="6">
        <f t="shared" si="42"/>
        <v>10301.06</v>
      </c>
      <c r="X175" s="6">
        <f t="shared" si="43"/>
        <v>7663.3438000000006</v>
      </c>
      <c r="Y175" s="6">
        <f t="shared" si="44"/>
        <v>0.4265849223451546</v>
      </c>
      <c r="Z175" s="4" t="str">
        <f t="shared" si="45"/>
        <v>Q2-2023</v>
      </c>
      <c r="AA175" t="str">
        <f t="shared" si="46"/>
        <v>Accessories</v>
      </c>
      <c r="AB175" t="str">
        <f t="shared" si="47"/>
        <v>Accessories</v>
      </c>
      <c r="AC175" t="str">
        <f t="shared" si="48"/>
        <v>Compliant</v>
      </c>
      <c r="AD175" t="str">
        <f t="shared" si="49"/>
        <v>Late</v>
      </c>
      <c r="AE175" s="8">
        <f>MIN(Q175,Scenario!$B$2)</f>
        <v>4.0000000000000001E-3</v>
      </c>
      <c r="AF175" s="33">
        <f>L175*(1+Scenario!$B$3)</f>
        <v>1692.3169999999998</v>
      </c>
      <c r="AG175" s="6">
        <f>R175*(1+Scenario!$B$4)</f>
        <v>8.4</v>
      </c>
      <c r="AH175" s="33">
        <f t="shared" si="51"/>
        <v>21557.28456</v>
      </c>
      <c r="AI175" s="33">
        <f t="shared" si="52"/>
        <v>14215.462799999999</v>
      </c>
      <c r="AJ175" s="33">
        <f t="shared" si="53"/>
        <v>7341.8217600000007</v>
      </c>
    </row>
    <row r="176" spans="1:36" hidden="1" x14ac:dyDescent="0.25">
      <c r="A176" s="12" t="s">
        <v>570</v>
      </c>
      <c r="B176" s="27">
        <v>45053</v>
      </c>
      <c r="C176" s="4">
        <v>45066</v>
      </c>
      <c r="D176" s="12" t="s">
        <v>647</v>
      </c>
      <c r="E176" s="12" t="s">
        <v>654</v>
      </c>
      <c r="F176" s="12" t="s">
        <v>691</v>
      </c>
      <c r="G176" s="12" t="s">
        <v>706</v>
      </c>
      <c r="H176" s="12" t="s">
        <v>707</v>
      </c>
      <c r="I176" s="12" t="s">
        <v>726</v>
      </c>
      <c r="J176" s="12" t="s">
        <v>733</v>
      </c>
      <c r="K176" s="12" t="s">
        <v>1288</v>
      </c>
      <c r="L176" s="6">
        <v>1443.28</v>
      </c>
      <c r="M176" s="6">
        <v>2580.5700000000002</v>
      </c>
      <c r="N176" s="6">
        <f t="shared" si="36"/>
        <v>2580.5700000000002</v>
      </c>
      <c r="O176" s="6" t="str">
        <f t="shared" si="50"/>
        <v>High</v>
      </c>
      <c r="P176" s="6">
        <v>0</v>
      </c>
      <c r="Q176" s="6">
        <f t="shared" si="37"/>
        <v>0</v>
      </c>
      <c r="R176" s="6">
        <v>18</v>
      </c>
      <c r="S176" s="6" t="str">
        <f t="shared" si="38"/>
        <v>OK</v>
      </c>
      <c r="T176" s="4">
        <f t="shared" si="39"/>
        <v>45066</v>
      </c>
      <c r="U176" s="11">
        <f t="shared" si="40"/>
        <v>13</v>
      </c>
      <c r="V176" s="6">
        <f t="shared" si="41"/>
        <v>46450.26</v>
      </c>
      <c r="W176" s="6">
        <f t="shared" si="42"/>
        <v>25979.040000000001</v>
      </c>
      <c r="X176" s="6">
        <f t="shared" si="43"/>
        <v>20471.22</v>
      </c>
      <c r="Y176" s="6">
        <f t="shared" si="44"/>
        <v>0.4407127107577008</v>
      </c>
      <c r="Z176" s="4" t="str">
        <f t="shared" si="45"/>
        <v>Q2-2023</v>
      </c>
      <c r="AA176" t="str">
        <f t="shared" si="46"/>
        <v>Accessories</v>
      </c>
      <c r="AB176" t="str">
        <f t="shared" si="47"/>
        <v>Accessories</v>
      </c>
      <c r="AC176" t="str">
        <f t="shared" si="48"/>
        <v>Compliant</v>
      </c>
      <c r="AD176" t="str">
        <f t="shared" si="49"/>
        <v>Late</v>
      </c>
      <c r="AE176" s="8">
        <f>MIN(Q176,Scenario!$B$2)</f>
        <v>0</v>
      </c>
      <c r="AF176" s="33">
        <f>L176*(1+Scenario!$B$3)</f>
        <v>1659.7719999999999</v>
      </c>
      <c r="AG176" s="6">
        <f>R176*(1+Scenario!$B$4)</f>
        <v>21.599999999999998</v>
      </c>
      <c r="AH176" s="33">
        <f t="shared" si="51"/>
        <v>55740.311999999998</v>
      </c>
      <c r="AI176" s="33">
        <f t="shared" si="52"/>
        <v>35851.075199999992</v>
      </c>
      <c r="AJ176" s="33">
        <f t="shared" si="53"/>
        <v>19889.236800000006</v>
      </c>
    </row>
    <row r="177" spans="1:36" hidden="1" x14ac:dyDescent="0.25">
      <c r="A177" s="12" t="s">
        <v>36</v>
      </c>
      <c r="B177" s="27">
        <v>45057</v>
      </c>
      <c r="C177" s="4">
        <v>45074</v>
      </c>
      <c r="D177" s="12" t="s">
        <v>647</v>
      </c>
      <c r="E177" s="12" t="s">
        <v>659</v>
      </c>
      <c r="F177" s="12" t="s">
        <v>676</v>
      </c>
      <c r="G177" s="12" t="s">
        <v>706</v>
      </c>
      <c r="H177" s="12" t="s">
        <v>709</v>
      </c>
      <c r="I177" s="12" t="s">
        <v>718</v>
      </c>
      <c r="J177" s="12" t="s">
        <v>729</v>
      </c>
      <c r="K177" s="12" t="s">
        <v>755</v>
      </c>
      <c r="L177" s="6">
        <v>1331.19</v>
      </c>
      <c r="M177" s="6">
        <v>2903.09</v>
      </c>
      <c r="N177" s="6">
        <f t="shared" si="36"/>
        <v>2903.09</v>
      </c>
      <c r="O177" s="6" t="str">
        <f t="shared" si="50"/>
        <v>High</v>
      </c>
      <c r="P177" s="6">
        <v>0.14299999999999999</v>
      </c>
      <c r="Q177" s="6">
        <f t="shared" si="37"/>
        <v>0.14299999999999999</v>
      </c>
      <c r="R177" s="6">
        <v>8</v>
      </c>
      <c r="S177" s="6" t="str">
        <f t="shared" si="38"/>
        <v>OK</v>
      </c>
      <c r="T177" s="4">
        <f t="shared" si="39"/>
        <v>45074</v>
      </c>
      <c r="U177" s="11">
        <f t="shared" si="40"/>
        <v>17</v>
      </c>
      <c r="V177" s="6">
        <f t="shared" si="41"/>
        <v>19903.585040000002</v>
      </c>
      <c r="W177" s="6">
        <f t="shared" si="42"/>
        <v>10649.52</v>
      </c>
      <c r="X177" s="6">
        <f t="shared" si="43"/>
        <v>9254.0650400000013</v>
      </c>
      <c r="Y177" s="6">
        <f t="shared" si="44"/>
        <v>0.46494463290920784</v>
      </c>
      <c r="Z177" s="4" t="str">
        <f t="shared" si="45"/>
        <v>Q2-2023</v>
      </c>
      <c r="AA177" t="str">
        <f t="shared" si="46"/>
        <v>Networking</v>
      </c>
      <c r="AB177" t="str">
        <f t="shared" si="47"/>
        <v>Networking</v>
      </c>
      <c r="AC177" t="str">
        <f t="shared" si="48"/>
        <v>Compliant</v>
      </c>
      <c r="AD177" t="str">
        <f t="shared" si="49"/>
        <v>Late</v>
      </c>
      <c r="AE177" s="8">
        <f>MIN(Q177,Scenario!$B$2)</f>
        <v>0.14299999999999999</v>
      </c>
      <c r="AF177" s="33">
        <f>L177*(1+Scenario!$B$3)</f>
        <v>1530.8685</v>
      </c>
      <c r="AG177" s="6">
        <f>R177*(1+Scenario!$B$4)</f>
        <v>9.6</v>
      </c>
      <c r="AH177" s="33">
        <f t="shared" si="51"/>
        <v>23884.302048000001</v>
      </c>
      <c r="AI177" s="33">
        <f t="shared" si="52"/>
        <v>14696.337600000001</v>
      </c>
      <c r="AJ177" s="33">
        <f t="shared" si="53"/>
        <v>9187.9644480000006</v>
      </c>
    </row>
    <row r="178" spans="1:36" x14ac:dyDescent="0.25">
      <c r="A178" s="12" t="s">
        <v>408</v>
      </c>
      <c r="B178" s="27">
        <v>45075</v>
      </c>
      <c r="C178" s="4">
        <v>45097</v>
      </c>
      <c r="D178" s="12" t="s">
        <v>649</v>
      </c>
      <c r="E178" s="12" t="s">
        <v>658</v>
      </c>
      <c r="F178" s="12" t="s">
        <v>683</v>
      </c>
      <c r="G178" s="12" t="s">
        <v>705</v>
      </c>
      <c r="H178" s="12" t="s">
        <v>711</v>
      </c>
      <c r="I178" s="12" t="s">
        <v>723</v>
      </c>
      <c r="J178" s="12" t="s">
        <v>727</v>
      </c>
      <c r="K178" s="12" t="s">
        <v>1127</v>
      </c>
      <c r="L178" s="6">
        <v>1295.3900000000001</v>
      </c>
      <c r="M178" s="6">
        <v>2905.06</v>
      </c>
      <c r="N178" s="6">
        <f t="shared" si="36"/>
        <v>2905.06</v>
      </c>
      <c r="O178" s="6" t="str">
        <f t="shared" si="50"/>
        <v>High</v>
      </c>
      <c r="P178" s="6">
        <v>0.14799999999999999</v>
      </c>
      <c r="Q178" s="6">
        <f t="shared" si="37"/>
        <v>0.14799999999999999</v>
      </c>
      <c r="R178" s="6">
        <v>8</v>
      </c>
      <c r="S178" s="6" t="str">
        <f t="shared" si="38"/>
        <v>OK</v>
      </c>
      <c r="T178" s="4">
        <f t="shared" si="39"/>
        <v>45097</v>
      </c>
      <c r="U178" s="11">
        <f t="shared" si="40"/>
        <v>22</v>
      </c>
      <c r="V178" s="6">
        <f t="shared" si="41"/>
        <v>19800.88896</v>
      </c>
      <c r="W178" s="6">
        <f t="shared" si="42"/>
        <v>10363.120000000001</v>
      </c>
      <c r="X178" s="6">
        <f t="shared" si="43"/>
        <v>9437.7689599999994</v>
      </c>
      <c r="Y178" s="6">
        <f t="shared" si="44"/>
        <v>0.47663359857556614</v>
      </c>
      <c r="Z178" s="4" t="str">
        <f t="shared" si="45"/>
        <v>Q2-2023</v>
      </c>
      <c r="AA178" t="str">
        <f t="shared" si="46"/>
        <v>Components</v>
      </c>
      <c r="AB178" t="str">
        <f t="shared" si="47"/>
        <v>Components</v>
      </c>
      <c r="AC178" t="str">
        <f t="shared" si="48"/>
        <v>Compliant</v>
      </c>
      <c r="AD178" t="str">
        <f t="shared" si="49"/>
        <v>Late</v>
      </c>
      <c r="AE178" s="8">
        <f>MIN(Q178,Scenario!$B$2)</f>
        <v>0.14799999999999999</v>
      </c>
      <c r="AF178" s="33">
        <f>L178*(1+Scenario!$B$3)</f>
        <v>1489.6985</v>
      </c>
      <c r="AG178" s="6">
        <f>R178*(1+Scenario!$B$4)</f>
        <v>9.6</v>
      </c>
      <c r="AH178" s="33">
        <f t="shared" si="51"/>
        <v>23761.066751999999</v>
      </c>
      <c r="AI178" s="33">
        <f t="shared" si="52"/>
        <v>14301.105599999999</v>
      </c>
      <c r="AJ178" s="33">
        <f t="shared" si="53"/>
        <v>9459.9611519999999</v>
      </c>
    </row>
    <row r="179" spans="1:36" hidden="1" x14ac:dyDescent="0.25">
      <c r="A179" s="12" t="s">
        <v>535</v>
      </c>
      <c r="B179" s="27">
        <v>45056</v>
      </c>
      <c r="C179" s="4">
        <v>45073</v>
      </c>
      <c r="D179" s="12" t="s">
        <v>647</v>
      </c>
      <c r="E179" s="12" t="s">
        <v>654</v>
      </c>
      <c r="F179" s="12" t="s">
        <v>691</v>
      </c>
      <c r="G179" s="12" t="s">
        <v>704</v>
      </c>
      <c r="H179" s="12" t="s">
        <v>707</v>
      </c>
      <c r="I179" s="12" t="s">
        <v>724</v>
      </c>
      <c r="J179" s="12" t="s">
        <v>731</v>
      </c>
      <c r="K179" s="12" t="s">
        <v>1254</v>
      </c>
      <c r="L179" s="6">
        <v>1286.1600000000001</v>
      </c>
      <c r="M179" s="6">
        <v>3101.11</v>
      </c>
      <c r="N179" s="6">
        <f t="shared" si="36"/>
        <v>3101.11</v>
      </c>
      <c r="O179" s="6" t="str">
        <f t="shared" si="50"/>
        <v>High</v>
      </c>
      <c r="P179" s="6">
        <v>0.1</v>
      </c>
      <c r="Q179" s="6">
        <f t="shared" si="37"/>
        <v>0.1</v>
      </c>
      <c r="R179" s="6">
        <v>23</v>
      </c>
      <c r="S179" s="6" t="str">
        <f t="shared" si="38"/>
        <v>OK</v>
      </c>
      <c r="T179" s="4">
        <f t="shared" si="39"/>
        <v>45073</v>
      </c>
      <c r="U179" s="11">
        <f t="shared" si="40"/>
        <v>17</v>
      </c>
      <c r="V179" s="6">
        <f t="shared" si="41"/>
        <v>64192.976999999999</v>
      </c>
      <c r="W179" s="6">
        <f t="shared" si="42"/>
        <v>29581.68</v>
      </c>
      <c r="X179" s="6">
        <f t="shared" si="43"/>
        <v>34611.296999999999</v>
      </c>
      <c r="Y179" s="6">
        <f t="shared" si="44"/>
        <v>0.53917575749758417</v>
      </c>
      <c r="Z179" s="4" t="str">
        <f t="shared" si="45"/>
        <v>Q2-2023</v>
      </c>
      <c r="AA179" t="str">
        <f t="shared" si="46"/>
        <v>Laptops</v>
      </c>
      <c r="AB179" t="str">
        <f t="shared" si="47"/>
        <v>Laptops</v>
      </c>
      <c r="AC179" t="str">
        <f t="shared" si="48"/>
        <v>Compliant</v>
      </c>
      <c r="AD179" t="str">
        <f t="shared" si="49"/>
        <v>Late</v>
      </c>
      <c r="AE179" s="8">
        <f>MIN(Q179,Scenario!$B$2)</f>
        <v>0.1</v>
      </c>
      <c r="AF179" s="33">
        <f>L179*(1+Scenario!$B$3)</f>
        <v>1479.0840000000001</v>
      </c>
      <c r="AG179" s="6">
        <f>R179*(1+Scenario!$B$4)</f>
        <v>27.599999999999998</v>
      </c>
      <c r="AH179" s="33">
        <f t="shared" si="51"/>
        <v>77031.572400000005</v>
      </c>
      <c r="AI179" s="33">
        <f t="shared" si="52"/>
        <v>40822.718399999998</v>
      </c>
      <c r="AJ179" s="33">
        <f t="shared" si="53"/>
        <v>36208.854000000007</v>
      </c>
    </row>
    <row r="180" spans="1:36" hidden="1" x14ac:dyDescent="0.25">
      <c r="A180" s="12" t="s">
        <v>586</v>
      </c>
      <c r="B180" s="27">
        <v>45740</v>
      </c>
      <c r="C180" s="4">
        <v>45751</v>
      </c>
      <c r="D180" s="12" t="s">
        <v>647</v>
      </c>
      <c r="E180" s="12" t="s">
        <v>654</v>
      </c>
      <c r="F180" s="12" t="s">
        <v>691</v>
      </c>
      <c r="G180" s="12" t="s">
        <v>702</v>
      </c>
      <c r="H180" s="12" t="s">
        <v>709</v>
      </c>
      <c r="I180" s="12" t="s">
        <v>713</v>
      </c>
      <c r="J180" s="12" t="s">
        <v>730</v>
      </c>
      <c r="K180" s="12" t="s">
        <v>1304</v>
      </c>
      <c r="L180" s="6">
        <v>23.83</v>
      </c>
      <c r="M180" s="6">
        <v>47.29</v>
      </c>
      <c r="N180" s="6">
        <f t="shared" si="36"/>
        <v>47.29</v>
      </c>
      <c r="O180" s="6" t="str">
        <f t="shared" si="50"/>
        <v>Low</v>
      </c>
      <c r="P180" s="6">
        <v>6.4000000000000001E-2</v>
      </c>
      <c r="Q180" s="6">
        <f t="shared" si="37"/>
        <v>6.4000000000000001E-2</v>
      </c>
      <c r="R180" s="6">
        <v>19</v>
      </c>
      <c r="S180" s="6" t="str">
        <f t="shared" si="38"/>
        <v>OK</v>
      </c>
      <c r="T180" s="4">
        <f t="shared" si="39"/>
        <v>45751</v>
      </c>
      <c r="U180" s="11">
        <f t="shared" si="40"/>
        <v>11</v>
      </c>
      <c r="V180" s="6">
        <f t="shared" si="41"/>
        <v>841.00536</v>
      </c>
      <c r="W180" s="6">
        <f t="shared" si="42"/>
        <v>452.77</v>
      </c>
      <c r="X180" s="6">
        <f t="shared" si="43"/>
        <v>388.23536000000001</v>
      </c>
      <c r="Y180" s="6">
        <f t="shared" si="44"/>
        <v>0.46163244429262618</v>
      </c>
      <c r="Z180" s="4" t="str">
        <f t="shared" si="45"/>
        <v>Q1-2025</v>
      </c>
      <c r="AA180" t="str">
        <f t="shared" si="46"/>
        <v>Phones</v>
      </c>
      <c r="AB180" t="str">
        <f t="shared" si="47"/>
        <v>Phones</v>
      </c>
      <c r="AC180" t="str">
        <f t="shared" si="48"/>
        <v>Compliant</v>
      </c>
      <c r="AD180" t="str">
        <f t="shared" si="49"/>
        <v>Late</v>
      </c>
      <c r="AE180" s="8">
        <f>MIN(Q180,Scenario!$B$2)</f>
        <v>6.4000000000000001E-2</v>
      </c>
      <c r="AF180" s="33">
        <f>L180*(1+Scenario!$B$3)</f>
        <v>27.404499999999995</v>
      </c>
      <c r="AG180" s="6">
        <f>R180*(1+Scenario!$B$4)</f>
        <v>22.8</v>
      </c>
      <c r="AH180" s="33">
        <f t="shared" si="51"/>
        <v>1009.2064319999999</v>
      </c>
      <c r="AI180" s="33">
        <f t="shared" si="52"/>
        <v>624.82259999999997</v>
      </c>
      <c r="AJ180" s="33">
        <f t="shared" si="53"/>
        <v>384.38383199999998</v>
      </c>
    </row>
    <row r="181" spans="1:36" hidden="1" x14ac:dyDescent="0.25">
      <c r="A181" s="12" t="s">
        <v>305</v>
      </c>
      <c r="B181" s="27">
        <v>45746</v>
      </c>
      <c r="C181" s="4">
        <v>45754</v>
      </c>
      <c r="D181" s="12" t="s">
        <v>648</v>
      </c>
      <c r="E181" s="12" t="s">
        <v>655</v>
      </c>
      <c r="F181" s="12" t="s">
        <v>670</v>
      </c>
      <c r="G181" s="12" t="s">
        <v>703</v>
      </c>
      <c r="H181" s="12" t="s">
        <v>711</v>
      </c>
      <c r="I181" s="12" t="s">
        <v>716</v>
      </c>
      <c r="J181" s="12" t="s">
        <v>728</v>
      </c>
      <c r="K181" s="12" t="s">
        <v>1025</v>
      </c>
      <c r="L181" s="6">
        <v>71.62</v>
      </c>
      <c r="M181" s="6">
        <v>118.37</v>
      </c>
      <c r="N181" s="6">
        <f t="shared" si="36"/>
        <v>118.37</v>
      </c>
      <c r="O181" s="6" t="str">
        <f t="shared" si="50"/>
        <v>Low</v>
      </c>
      <c r="P181" s="6">
        <v>0.156</v>
      </c>
      <c r="Q181" s="6">
        <f t="shared" si="37"/>
        <v>0.156</v>
      </c>
      <c r="R181" s="6">
        <v>11</v>
      </c>
      <c r="S181" s="6" t="str">
        <f t="shared" si="38"/>
        <v>OK</v>
      </c>
      <c r="T181" s="4">
        <f t="shared" si="39"/>
        <v>45754</v>
      </c>
      <c r="U181" s="11">
        <f t="shared" si="40"/>
        <v>8</v>
      </c>
      <c r="V181" s="6">
        <f t="shared" si="41"/>
        <v>1098.9470800000001</v>
      </c>
      <c r="W181" s="6">
        <f t="shared" si="42"/>
        <v>787.82</v>
      </c>
      <c r="X181" s="6">
        <f t="shared" si="43"/>
        <v>311.12708000000009</v>
      </c>
      <c r="Y181" s="6">
        <f t="shared" si="44"/>
        <v>0.28311379652603474</v>
      </c>
      <c r="Z181" s="4" t="str">
        <f t="shared" si="45"/>
        <v>Q1-2025</v>
      </c>
      <c r="AA181" t="str">
        <f t="shared" si="46"/>
        <v>Printers</v>
      </c>
      <c r="AB181" t="str">
        <f t="shared" si="47"/>
        <v>Printers</v>
      </c>
      <c r="AC181" t="str">
        <f t="shared" si="48"/>
        <v>Compliant</v>
      </c>
      <c r="AD181" t="str">
        <f t="shared" si="49"/>
        <v>Late</v>
      </c>
      <c r="AE181" s="8">
        <f>MIN(Q181,Scenario!$B$2)</f>
        <v>0.156</v>
      </c>
      <c r="AF181" s="33">
        <f>L181*(1+Scenario!$B$3)</f>
        <v>82.363</v>
      </c>
      <c r="AG181" s="6">
        <f>R181*(1+Scenario!$B$4)</f>
        <v>13.2</v>
      </c>
      <c r="AH181" s="33">
        <f t="shared" si="51"/>
        <v>1318.736496</v>
      </c>
      <c r="AI181" s="33">
        <f t="shared" si="52"/>
        <v>1087.1915999999999</v>
      </c>
      <c r="AJ181" s="33">
        <f t="shared" si="53"/>
        <v>231.54489600000011</v>
      </c>
    </row>
    <row r="182" spans="1:36" x14ac:dyDescent="0.25">
      <c r="A182" s="12" t="s">
        <v>545</v>
      </c>
      <c r="B182" s="27">
        <v>45727</v>
      </c>
      <c r="C182" s="4">
        <v>45742</v>
      </c>
      <c r="D182" s="12" t="s">
        <v>649</v>
      </c>
      <c r="E182" s="12" t="s">
        <v>656</v>
      </c>
      <c r="F182" s="12" t="s">
        <v>671</v>
      </c>
      <c r="G182" s="12" t="s">
        <v>705</v>
      </c>
      <c r="H182" s="12" t="s">
        <v>708</v>
      </c>
      <c r="I182" s="12" t="s">
        <v>714</v>
      </c>
      <c r="J182" s="12" t="s">
        <v>730</v>
      </c>
      <c r="K182" s="12" t="s">
        <v>1264</v>
      </c>
      <c r="L182" s="6">
        <v>116.97</v>
      </c>
      <c r="M182" s="6">
        <v>140.82</v>
      </c>
      <c r="N182" s="6">
        <f t="shared" si="36"/>
        <v>140.82</v>
      </c>
      <c r="O182" s="6" t="str">
        <f t="shared" si="50"/>
        <v>Low</v>
      </c>
      <c r="P182" s="6">
        <v>0.122</v>
      </c>
      <c r="Q182" s="6">
        <f t="shared" si="37"/>
        <v>0.122</v>
      </c>
      <c r="R182" s="6">
        <v>5</v>
      </c>
      <c r="S182" s="6" t="str">
        <f t="shared" si="38"/>
        <v>OK</v>
      </c>
      <c r="T182" s="4">
        <f t="shared" si="39"/>
        <v>45742</v>
      </c>
      <c r="U182" s="11">
        <f t="shared" si="40"/>
        <v>15</v>
      </c>
      <c r="V182" s="6">
        <f t="shared" si="41"/>
        <v>618.19979999999987</v>
      </c>
      <c r="W182" s="6">
        <f t="shared" si="42"/>
        <v>584.85</v>
      </c>
      <c r="X182" s="6">
        <f t="shared" si="43"/>
        <v>33.349799999999846</v>
      </c>
      <c r="Y182" s="6">
        <f t="shared" si="44"/>
        <v>5.3946636669891926E-2</v>
      </c>
      <c r="Z182" s="4" t="str">
        <f t="shared" si="45"/>
        <v>Q1-2025</v>
      </c>
      <c r="AA182" t="str">
        <f t="shared" si="46"/>
        <v>Phones</v>
      </c>
      <c r="AB182" t="str">
        <f t="shared" si="47"/>
        <v>Phones</v>
      </c>
      <c r="AC182" t="str">
        <f t="shared" si="48"/>
        <v>Compliant</v>
      </c>
      <c r="AD182" t="str">
        <f t="shared" si="49"/>
        <v>Late</v>
      </c>
      <c r="AE182" s="8">
        <f>MIN(Q182,Scenario!$B$2)</f>
        <v>0.122</v>
      </c>
      <c r="AF182" s="33">
        <f>L182*(1+Scenario!$B$3)</f>
        <v>134.51549999999997</v>
      </c>
      <c r="AG182" s="6">
        <f>R182*(1+Scenario!$B$4)</f>
        <v>6</v>
      </c>
      <c r="AH182" s="33">
        <f t="shared" si="51"/>
        <v>741.83975999999996</v>
      </c>
      <c r="AI182" s="33">
        <f t="shared" si="52"/>
        <v>807.09299999999985</v>
      </c>
      <c r="AJ182" s="33">
        <f t="shared" si="53"/>
        <v>-65.253239999999892</v>
      </c>
    </row>
    <row r="183" spans="1:36" hidden="1" x14ac:dyDescent="0.25">
      <c r="A183" s="12" t="s">
        <v>432</v>
      </c>
      <c r="B183" s="27">
        <v>45730</v>
      </c>
      <c r="C183" s="4">
        <v>45755</v>
      </c>
      <c r="D183" s="12" t="s">
        <v>647</v>
      </c>
      <c r="E183" s="12" t="s">
        <v>659</v>
      </c>
      <c r="F183" s="15" t="s">
        <v>1367</v>
      </c>
      <c r="G183" s="12" t="s">
        <v>701</v>
      </c>
      <c r="H183" s="12" t="s">
        <v>710</v>
      </c>
      <c r="I183" s="12" t="s">
        <v>726</v>
      </c>
      <c r="J183" s="12" t="s">
        <v>728</v>
      </c>
      <c r="K183" s="12" t="s">
        <v>1151</v>
      </c>
      <c r="L183" s="6">
        <v>80.59</v>
      </c>
      <c r="M183" s="6">
        <v>157.82</v>
      </c>
      <c r="N183" s="6">
        <f t="shared" si="36"/>
        <v>157.82</v>
      </c>
      <c r="O183" s="6" t="str">
        <f t="shared" si="50"/>
        <v>Low</v>
      </c>
      <c r="P183" s="6">
        <v>0.217</v>
      </c>
      <c r="Q183" s="6">
        <f t="shared" si="37"/>
        <v>0.217</v>
      </c>
      <c r="R183" s="6">
        <v>6</v>
      </c>
      <c r="S183" s="6" t="str">
        <f t="shared" si="38"/>
        <v>OK</v>
      </c>
      <c r="T183" s="4">
        <f t="shared" si="39"/>
        <v>45755</v>
      </c>
      <c r="U183" s="11">
        <f t="shared" si="40"/>
        <v>25</v>
      </c>
      <c r="V183" s="6">
        <f t="shared" si="41"/>
        <v>741.43835999999999</v>
      </c>
      <c r="W183" s="6">
        <f t="shared" si="42"/>
        <v>483.54</v>
      </c>
      <c r="X183" s="6">
        <f t="shared" si="43"/>
        <v>257.89835999999997</v>
      </c>
      <c r="Y183" s="6">
        <f t="shared" si="44"/>
        <v>0.34783519967863541</v>
      </c>
      <c r="Z183" s="4" t="str">
        <f t="shared" si="45"/>
        <v>Q1-2025</v>
      </c>
      <c r="AA183" t="str">
        <f t="shared" si="46"/>
        <v>Printers</v>
      </c>
      <c r="AB183" t="str">
        <f t="shared" si="47"/>
        <v>Printers</v>
      </c>
      <c r="AC183" t="str">
        <f t="shared" si="48"/>
        <v>Non-compliant</v>
      </c>
      <c r="AD183" t="str">
        <f t="shared" si="49"/>
        <v>Late</v>
      </c>
      <c r="AE183" s="8">
        <f>MIN(Q183,Scenario!$B$2)</f>
        <v>0.2</v>
      </c>
      <c r="AF183" s="33">
        <f>L183*(1+Scenario!$B$3)</f>
        <v>92.6785</v>
      </c>
      <c r="AG183" s="6">
        <f>R183*(1+Scenario!$B$4)</f>
        <v>7.1999999999999993</v>
      </c>
      <c r="AH183" s="33">
        <f t="shared" si="51"/>
        <v>909.04319999999996</v>
      </c>
      <c r="AI183" s="33">
        <f t="shared" si="52"/>
        <v>667.28519999999992</v>
      </c>
      <c r="AJ183" s="33">
        <f t="shared" si="53"/>
        <v>241.75800000000004</v>
      </c>
    </row>
    <row r="184" spans="1:36" hidden="1" x14ac:dyDescent="0.25">
      <c r="A184" s="12" t="s">
        <v>18</v>
      </c>
      <c r="B184" s="27">
        <v>45745</v>
      </c>
      <c r="C184" s="4">
        <v>45749</v>
      </c>
      <c r="D184" s="12" t="s">
        <v>646</v>
      </c>
      <c r="E184" s="12" t="s">
        <v>651</v>
      </c>
      <c r="F184" s="12" t="s">
        <v>665</v>
      </c>
      <c r="G184" s="12" t="s">
        <v>703</v>
      </c>
      <c r="H184" s="12" t="s">
        <v>709</v>
      </c>
      <c r="I184" s="12" t="s">
        <v>715</v>
      </c>
      <c r="J184" s="12" t="s">
        <v>730</v>
      </c>
      <c r="K184" s="12" t="s">
        <v>737</v>
      </c>
      <c r="L184" s="6">
        <v>259.93</v>
      </c>
      <c r="M184" s="6">
        <v>255.94</v>
      </c>
      <c r="N184" s="6">
        <f t="shared" si="36"/>
        <v>255.94</v>
      </c>
      <c r="O184" s="6" t="str">
        <f t="shared" si="50"/>
        <v>Low</v>
      </c>
      <c r="P184" s="6">
        <v>7.1999999999999995E-2</v>
      </c>
      <c r="Q184" s="6">
        <f t="shared" si="37"/>
        <v>7.1999999999999995E-2</v>
      </c>
      <c r="R184" s="6">
        <v>22</v>
      </c>
      <c r="S184" s="6" t="str">
        <f t="shared" si="38"/>
        <v>OK</v>
      </c>
      <c r="T184" s="4">
        <f t="shared" si="39"/>
        <v>45749</v>
      </c>
      <c r="U184" s="11">
        <f t="shared" si="40"/>
        <v>4</v>
      </c>
      <c r="V184" s="6">
        <f t="shared" si="41"/>
        <v>5225.2710400000005</v>
      </c>
      <c r="W184" s="6">
        <f t="shared" si="42"/>
        <v>5718.46</v>
      </c>
      <c r="X184" s="6">
        <f t="shared" si="43"/>
        <v>-493.1889599999995</v>
      </c>
      <c r="Y184" s="6">
        <f t="shared" si="44"/>
        <v>-9.4385335463861311E-2</v>
      </c>
      <c r="Z184" s="4" t="str">
        <f t="shared" si="45"/>
        <v>Q1-2025</v>
      </c>
      <c r="AA184" t="str">
        <f t="shared" si="46"/>
        <v>Phones</v>
      </c>
      <c r="AB184" t="str">
        <f t="shared" si="47"/>
        <v>Phones</v>
      </c>
      <c r="AC184" t="str">
        <f t="shared" si="48"/>
        <v>Compliant</v>
      </c>
      <c r="AD184" t="str">
        <f t="shared" si="49"/>
        <v>On-time</v>
      </c>
      <c r="AE184" s="8">
        <f>MIN(Q184,Scenario!$B$2)</f>
        <v>7.1999999999999995E-2</v>
      </c>
      <c r="AF184" s="33">
        <f>L184*(1+Scenario!$B$3)</f>
        <v>298.91949999999997</v>
      </c>
      <c r="AG184" s="6">
        <f>R184*(1+Scenario!$B$4)</f>
        <v>26.4</v>
      </c>
      <c r="AH184" s="33">
        <f t="shared" si="51"/>
        <v>6270.3252480000001</v>
      </c>
      <c r="AI184" s="33">
        <f t="shared" si="52"/>
        <v>7891.474799999999</v>
      </c>
      <c r="AJ184" s="33">
        <f t="shared" si="53"/>
        <v>-1621.1495519999989</v>
      </c>
    </row>
    <row r="185" spans="1:36" hidden="1" x14ac:dyDescent="0.25">
      <c r="A185" s="12" t="s">
        <v>461</v>
      </c>
      <c r="B185" s="27">
        <v>45746</v>
      </c>
      <c r="C185" s="4">
        <v>45776</v>
      </c>
      <c r="D185" s="12" t="s">
        <v>646</v>
      </c>
      <c r="E185" s="12" t="s">
        <v>661</v>
      </c>
      <c r="F185" s="12" t="s">
        <v>687</v>
      </c>
      <c r="G185" s="12" t="s">
        <v>704</v>
      </c>
      <c r="H185" s="12" t="s">
        <v>709</v>
      </c>
      <c r="I185" s="12" t="s">
        <v>713</v>
      </c>
      <c r="J185" s="12" t="s">
        <v>732</v>
      </c>
      <c r="K185" s="12" t="s">
        <v>1180</v>
      </c>
      <c r="L185" s="6">
        <v>194.6</v>
      </c>
      <c r="M185" s="6">
        <v>314.87</v>
      </c>
      <c r="N185" s="6">
        <f t="shared" si="36"/>
        <v>314.87</v>
      </c>
      <c r="O185" s="6" t="str">
        <f t="shared" si="50"/>
        <v>Low</v>
      </c>
      <c r="P185" s="6">
        <v>0.29299999999999998</v>
      </c>
      <c r="Q185" s="6">
        <f t="shared" si="37"/>
        <v>0.29299999999999998</v>
      </c>
      <c r="R185" s="6">
        <v>25</v>
      </c>
      <c r="S185" s="6" t="str">
        <f t="shared" si="38"/>
        <v>OK</v>
      </c>
      <c r="T185" s="4">
        <f t="shared" si="39"/>
        <v>45776</v>
      </c>
      <c r="U185" s="11">
        <f t="shared" si="40"/>
        <v>30</v>
      </c>
      <c r="V185" s="6">
        <f t="shared" si="41"/>
        <v>5565.3272500000003</v>
      </c>
      <c r="W185" s="6">
        <f t="shared" si="42"/>
        <v>4865</v>
      </c>
      <c r="X185" s="6">
        <f t="shared" si="43"/>
        <v>700.32725000000028</v>
      </c>
      <c r="Y185" s="6">
        <f t="shared" si="44"/>
        <v>0.1258375686712763</v>
      </c>
      <c r="Z185" s="4" t="str">
        <f t="shared" si="45"/>
        <v>Q1-2025</v>
      </c>
      <c r="AA185" t="str">
        <f t="shared" si="46"/>
        <v>Monitors</v>
      </c>
      <c r="AB185" t="str">
        <f t="shared" si="47"/>
        <v>Monitors</v>
      </c>
      <c r="AC185" t="str">
        <f t="shared" si="48"/>
        <v>Non-compliant</v>
      </c>
      <c r="AD185" t="str">
        <f t="shared" si="49"/>
        <v>Late</v>
      </c>
      <c r="AE185" s="8">
        <f>MIN(Q185,Scenario!$B$2)</f>
        <v>0.2</v>
      </c>
      <c r="AF185" s="33">
        <f>L185*(1+Scenario!$B$3)</f>
        <v>223.78999999999996</v>
      </c>
      <c r="AG185" s="6">
        <f>R185*(1+Scenario!$B$4)</f>
        <v>30</v>
      </c>
      <c r="AH185" s="33">
        <f t="shared" si="51"/>
        <v>7556.880000000001</v>
      </c>
      <c r="AI185" s="33">
        <f t="shared" si="52"/>
        <v>6713.6999999999989</v>
      </c>
      <c r="AJ185" s="33">
        <f t="shared" si="53"/>
        <v>843.18000000000211</v>
      </c>
    </row>
    <row r="186" spans="1:36" hidden="1" x14ac:dyDescent="0.25">
      <c r="A186" s="12" t="s">
        <v>146</v>
      </c>
      <c r="B186" s="27">
        <v>45719</v>
      </c>
      <c r="C186" s="4">
        <v>45740</v>
      </c>
      <c r="D186" s="12" t="s">
        <v>646</v>
      </c>
      <c r="E186" s="12" t="s">
        <v>651</v>
      </c>
      <c r="F186" s="12" t="s">
        <v>669</v>
      </c>
      <c r="G186" s="12" t="s">
        <v>706</v>
      </c>
      <c r="H186" s="12" t="s">
        <v>711</v>
      </c>
      <c r="I186" s="12" t="s">
        <v>722</v>
      </c>
      <c r="J186" s="12" t="s">
        <v>733</v>
      </c>
      <c r="K186" s="12" t="s">
        <v>865</v>
      </c>
      <c r="L186" s="6">
        <v>555.95000000000005</v>
      </c>
      <c r="M186" s="6">
        <v>468.09</v>
      </c>
      <c r="N186" s="6">
        <f t="shared" si="36"/>
        <v>468.09</v>
      </c>
      <c r="O186" s="6" t="str">
        <f t="shared" si="50"/>
        <v>Low</v>
      </c>
      <c r="P186" s="6">
        <v>0.14199999999999999</v>
      </c>
      <c r="Q186" s="6">
        <f t="shared" si="37"/>
        <v>0.14199999999999999</v>
      </c>
      <c r="R186" s="6">
        <v>11</v>
      </c>
      <c r="S186" s="6" t="str">
        <f t="shared" si="38"/>
        <v>OK</v>
      </c>
      <c r="T186" s="4">
        <f t="shared" si="39"/>
        <v>45740</v>
      </c>
      <c r="U186" s="11">
        <f t="shared" si="40"/>
        <v>21</v>
      </c>
      <c r="V186" s="6">
        <f t="shared" si="41"/>
        <v>4417.8334199999999</v>
      </c>
      <c r="W186" s="6">
        <f t="shared" si="42"/>
        <v>6115.4500000000007</v>
      </c>
      <c r="X186" s="6">
        <f t="shared" si="43"/>
        <v>-1697.6165800000008</v>
      </c>
      <c r="Y186" s="6">
        <f t="shared" si="44"/>
        <v>-0.38426450674095375</v>
      </c>
      <c r="Z186" s="4" t="str">
        <f t="shared" si="45"/>
        <v>Q1-2025</v>
      </c>
      <c r="AA186" t="str">
        <f t="shared" si="46"/>
        <v>Accessories</v>
      </c>
      <c r="AB186" t="str">
        <f t="shared" si="47"/>
        <v>Accessories</v>
      </c>
      <c r="AC186" t="str">
        <f t="shared" si="48"/>
        <v>Compliant</v>
      </c>
      <c r="AD186" t="str">
        <f t="shared" si="49"/>
        <v>Late</v>
      </c>
      <c r="AE186" s="8">
        <f>MIN(Q186,Scenario!$B$2)</f>
        <v>0.14199999999999999</v>
      </c>
      <c r="AF186" s="33">
        <f>L186*(1+Scenario!$B$3)</f>
        <v>639.34249999999997</v>
      </c>
      <c r="AG186" s="6">
        <f>R186*(1+Scenario!$B$4)</f>
        <v>13.2</v>
      </c>
      <c r="AH186" s="33">
        <f t="shared" si="51"/>
        <v>5301.4001039999994</v>
      </c>
      <c r="AI186" s="33">
        <f t="shared" si="52"/>
        <v>8439.3209999999999</v>
      </c>
      <c r="AJ186" s="33">
        <f t="shared" si="53"/>
        <v>-3137.9208960000005</v>
      </c>
    </row>
    <row r="187" spans="1:36" hidden="1" x14ac:dyDescent="0.25">
      <c r="A187" s="12" t="s">
        <v>422</v>
      </c>
      <c r="B187" s="27">
        <v>45724</v>
      </c>
      <c r="C187" s="4">
        <v>45731</v>
      </c>
      <c r="D187" s="12" t="s">
        <v>647</v>
      </c>
      <c r="E187" s="12" t="s">
        <v>654</v>
      </c>
      <c r="F187" s="12" t="s">
        <v>668</v>
      </c>
      <c r="G187" s="12" t="s">
        <v>701</v>
      </c>
      <c r="H187" s="12" t="s">
        <v>710</v>
      </c>
      <c r="I187" s="12" t="s">
        <v>723</v>
      </c>
      <c r="J187" s="12" t="s">
        <v>731</v>
      </c>
      <c r="K187" s="12" t="s">
        <v>1141</v>
      </c>
      <c r="L187" s="6">
        <v>475.66</v>
      </c>
      <c r="M187" s="6">
        <v>529.14</v>
      </c>
      <c r="N187" s="6">
        <f t="shared" si="36"/>
        <v>529.14</v>
      </c>
      <c r="O187" s="6" t="str">
        <f t="shared" si="50"/>
        <v>Low</v>
      </c>
      <c r="P187" s="6">
        <v>0.19600000000000001</v>
      </c>
      <c r="Q187" s="6">
        <f t="shared" si="37"/>
        <v>0.19600000000000001</v>
      </c>
      <c r="R187" s="6">
        <v>11</v>
      </c>
      <c r="S187" s="6" t="str">
        <f t="shared" si="38"/>
        <v>OK</v>
      </c>
      <c r="T187" s="4">
        <f t="shared" si="39"/>
        <v>45731</v>
      </c>
      <c r="U187" s="11">
        <f t="shared" si="40"/>
        <v>7</v>
      </c>
      <c r="V187" s="6">
        <f t="shared" si="41"/>
        <v>4679.7141600000004</v>
      </c>
      <c r="W187" s="6">
        <f t="shared" si="42"/>
        <v>5232.26</v>
      </c>
      <c r="X187" s="6">
        <f t="shared" si="43"/>
        <v>-552.54583999999977</v>
      </c>
      <c r="Y187" s="6">
        <f t="shared" si="44"/>
        <v>-0.11807256193613323</v>
      </c>
      <c r="Z187" s="4" t="str">
        <f t="shared" si="45"/>
        <v>Q1-2025</v>
      </c>
      <c r="AA187" t="str">
        <f t="shared" si="46"/>
        <v>Laptops</v>
      </c>
      <c r="AB187" t="str">
        <f t="shared" si="47"/>
        <v>Laptops</v>
      </c>
      <c r="AC187" t="str">
        <f t="shared" si="48"/>
        <v>Compliant</v>
      </c>
      <c r="AD187" t="str">
        <f t="shared" si="49"/>
        <v>On-time</v>
      </c>
      <c r="AE187" s="8">
        <f>MIN(Q187,Scenario!$B$2)</f>
        <v>0.19600000000000001</v>
      </c>
      <c r="AF187" s="33">
        <f>L187*(1+Scenario!$B$3)</f>
        <v>547.00900000000001</v>
      </c>
      <c r="AG187" s="6">
        <f>R187*(1+Scenario!$B$4)</f>
        <v>13.2</v>
      </c>
      <c r="AH187" s="33">
        <f t="shared" si="51"/>
        <v>5615.6569919999993</v>
      </c>
      <c r="AI187" s="33">
        <f t="shared" si="52"/>
        <v>7220.5187999999998</v>
      </c>
      <c r="AJ187" s="33">
        <f t="shared" si="53"/>
        <v>-1604.8618080000006</v>
      </c>
    </row>
    <row r="188" spans="1:36" hidden="1" x14ac:dyDescent="0.25">
      <c r="A188" s="12" t="s">
        <v>27</v>
      </c>
      <c r="B188" s="27">
        <v>45722</v>
      </c>
      <c r="C188" s="4">
        <v>45747</v>
      </c>
      <c r="D188" s="12" t="s">
        <v>648</v>
      </c>
      <c r="E188" s="12" t="s">
        <v>655</v>
      </c>
      <c r="F188" s="12" t="s">
        <v>672</v>
      </c>
      <c r="G188" s="12" t="s">
        <v>703</v>
      </c>
      <c r="H188" s="12" t="s">
        <v>708</v>
      </c>
      <c r="I188" s="12" t="s">
        <v>713</v>
      </c>
      <c r="J188" s="12" t="s">
        <v>727</v>
      </c>
      <c r="K188" s="12" t="s">
        <v>746</v>
      </c>
      <c r="L188" s="6">
        <v>331.57</v>
      </c>
      <c r="M188" s="6">
        <v>548.4</v>
      </c>
      <c r="N188" s="6">
        <f t="shared" si="36"/>
        <v>548.4</v>
      </c>
      <c r="O188" s="6" t="str">
        <f t="shared" si="50"/>
        <v>Low</v>
      </c>
      <c r="P188" s="6">
        <v>9.4E-2</v>
      </c>
      <c r="Q188" s="6">
        <f t="shared" si="37"/>
        <v>9.4E-2</v>
      </c>
      <c r="R188" s="6">
        <v>10</v>
      </c>
      <c r="S188" s="6" t="str">
        <f t="shared" si="38"/>
        <v>OK</v>
      </c>
      <c r="T188" s="4">
        <f t="shared" si="39"/>
        <v>45747</v>
      </c>
      <c r="U188" s="11">
        <f t="shared" si="40"/>
        <v>25</v>
      </c>
      <c r="V188" s="6">
        <f t="shared" si="41"/>
        <v>4968.5039999999999</v>
      </c>
      <c r="W188" s="6">
        <f t="shared" si="42"/>
        <v>3315.7</v>
      </c>
      <c r="X188" s="6">
        <f t="shared" si="43"/>
        <v>1652.8040000000001</v>
      </c>
      <c r="Y188" s="6">
        <f t="shared" si="44"/>
        <v>0.33265626836568918</v>
      </c>
      <c r="Z188" s="4" t="str">
        <f t="shared" si="45"/>
        <v>Q1-2025</v>
      </c>
      <c r="AA188" t="str">
        <f t="shared" si="46"/>
        <v>Components</v>
      </c>
      <c r="AB188" t="str">
        <f t="shared" si="47"/>
        <v>Components</v>
      </c>
      <c r="AC188" t="str">
        <f t="shared" si="48"/>
        <v>Compliant</v>
      </c>
      <c r="AD188" t="str">
        <f t="shared" si="49"/>
        <v>Late</v>
      </c>
      <c r="AE188" s="8">
        <f>MIN(Q188,Scenario!$B$2)</f>
        <v>9.4E-2</v>
      </c>
      <c r="AF188" s="33">
        <f>L188*(1+Scenario!$B$3)</f>
        <v>381.30549999999994</v>
      </c>
      <c r="AG188" s="6">
        <f>R188*(1+Scenario!$B$4)</f>
        <v>12</v>
      </c>
      <c r="AH188" s="33">
        <f t="shared" si="51"/>
        <v>5962.2047999999995</v>
      </c>
      <c r="AI188" s="33">
        <f t="shared" si="52"/>
        <v>4575.6659999999993</v>
      </c>
      <c r="AJ188" s="33">
        <f t="shared" si="53"/>
        <v>1386.5388000000003</v>
      </c>
    </row>
    <row r="189" spans="1:36" x14ac:dyDescent="0.25">
      <c r="A189" s="12" t="s">
        <v>483</v>
      </c>
      <c r="B189" s="27">
        <v>45739</v>
      </c>
      <c r="C189" s="4">
        <v>45749</v>
      </c>
      <c r="D189" s="12" t="s">
        <v>649</v>
      </c>
      <c r="E189" s="12" t="s">
        <v>656</v>
      </c>
      <c r="F189" s="12" t="s">
        <v>671</v>
      </c>
      <c r="G189" s="12" t="s">
        <v>706</v>
      </c>
      <c r="H189" s="12" t="s">
        <v>708</v>
      </c>
      <c r="I189" s="12" t="s">
        <v>718</v>
      </c>
      <c r="J189" s="12" t="s">
        <v>728</v>
      </c>
      <c r="K189" s="12" t="s">
        <v>1202</v>
      </c>
      <c r="L189" s="6">
        <v>663.61</v>
      </c>
      <c r="M189" s="6">
        <v>1002.11</v>
      </c>
      <c r="N189" s="6">
        <f t="shared" si="36"/>
        <v>1002.11</v>
      </c>
      <c r="O189" s="6" t="str">
        <f t="shared" si="50"/>
        <v>Middle</v>
      </c>
      <c r="P189" s="6">
        <v>4.5999999999999999E-2</v>
      </c>
      <c r="Q189" s="6">
        <f t="shared" si="37"/>
        <v>4.5999999999999999E-2</v>
      </c>
      <c r="R189" s="6">
        <v>17</v>
      </c>
      <c r="S189" s="6" t="str">
        <f t="shared" si="38"/>
        <v>OK</v>
      </c>
      <c r="T189" s="4">
        <f t="shared" si="39"/>
        <v>45749</v>
      </c>
      <c r="U189" s="11">
        <f t="shared" si="40"/>
        <v>10</v>
      </c>
      <c r="V189" s="6">
        <f t="shared" si="41"/>
        <v>16252.219979999998</v>
      </c>
      <c r="W189" s="6">
        <f t="shared" si="42"/>
        <v>11281.37</v>
      </c>
      <c r="X189" s="6">
        <f t="shared" si="43"/>
        <v>4970.8499799999972</v>
      </c>
      <c r="Y189" s="6">
        <f t="shared" si="44"/>
        <v>0.30585667595670812</v>
      </c>
      <c r="Z189" s="4" t="str">
        <f t="shared" si="45"/>
        <v>Q1-2025</v>
      </c>
      <c r="AA189" t="str">
        <f t="shared" si="46"/>
        <v>Printers</v>
      </c>
      <c r="AB189" t="str">
        <f t="shared" si="47"/>
        <v>Printers</v>
      </c>
      <c r="AC189" t="str">
        <f t="shared" si="48"/>
        <v>Compliant</v>
      </c>
      <c r="AD189" t="str">
        <f t="shared" si="49"/>
        <v>Late</v>
      </c>
      <c r="AE189" s="8">
        <f>MIN(Q189,Scenario!$B$2)</f>
        <v>4.5999999999999999E-2</v>
      </c>
      <c r="AF189" s="33">
        <f>L189*(1+Scenario!$B$3)</f>
        <v>763.15149999999994</v>
      </c>
      <c r="AG189" s="6">
        <f>R189*(1+Scenario!$B$4)</f>
        <v>20.399999999999999</v>
      </c>
      <c r="AH189" s="33">
        <f t="shared" si="51"/>
        <v>19502.663975999996</v>
      </c>
      <c r="AI189" s="33">
        <f t="shared" si="52"/>
        <v>15568.290599999998</v>
      </c>
      <c r="AJ189" s="33">
        <f t="shared" si="53"/>
        <v>3934.3733759999977</v>
      </c>
    </row>
    <row r="190" spans="1:36" hidden="1" x14ac:dyDescent="0.25">
      <c r="A190" s="12" t="s">
        <v>379</v>
      </c>
      <c r="B190" s="27">
        <v>45737</v>
      </c>
      <c r="C190" s="4">
        <v>45756</v>
      </c>
      <c r="D190" s="12" t="s">
        <v>647</v>
      </c>
      <c r="E190" s="12" t="s">
        <v>652</v>
      </c>
      <c r="F190" s="12" t="s">
        <v>689</v>
      </c>
      <c r="G190" s="12" t="s">
        <v>705</v>
      </c>
      <c r="H190" s="12" t="s">
        <v>710</v>
      </c>
      <c r="I190" s="12" t="s">
        <v>718</v>
      </c>
      <c r="J190" s="12" t="s">
        <v>727</v>
      </c>
      <c r="K190" s="12" t="s">
        <v>1099</v>
      </c>
      <c r="L190" s="6">
        <v>1055.45</v>
      </c>
      <c r="M190" s="6">
        <v>1210.04</v>
      </c>
      <c r="N190" s="6">
        <f t="shared" si="36"/>
        <v>1210.04</v>
      </c>
      <c r="O190" s="6" t="str">
        <f t="shared" si="50"/>
        <v>High</v>
      </c>
      <c r="P190" s="6">
        <v>8.9999999999999993E-3</v>
      </c>
      <c r="Q190" s="6">
        <f t="shared" si="37"/>
        <v>8.9999999999999993E-3</v>
      </c>
      <c r="R190" s="6">
        <v>18</v>
      </c>
      <c r="S190" s="6" t="str">
        <f t="shared" si="38"/>
        <v>OK</v>
      </c>
      <c r="T190" s="4">
        <f t="shared" si="39"/>
        <v>45756</v>
      </c>
      <c r="U190" s="11">
        <f t="shared" si="40"/>
        <v>19</v>
      </c>
      <c r="V190" s="6">
        <f t="shared" si="41"/>
        <v>21584.693520000001</v>
      </c>
      <c r="W190" s="6">
        <f t="shared" si="42"/>
        <v>18998.100000000002</v>
      </c>
      <c r="X190" s="6">
        <f t="shared" si="43"/>
        <v>2586.5935199999985</v>
      </c>
      <c r="Y190" s="6">
        <f t="shared" si="44"/>
        <v>0.1198346188053727</v>
      </c>
      <c r="Z190" s="4" t="str">
        <f t="shared" si="45"/>
        <v>Q1-2025</v>
      </c>
      <c r="AA190" t="str">
        <f t="shared" si="46"/>
        <v>Components</v>
      </c>
      <c r="AB190" t="str">
        <f t="shared" si="47"/>
        <v>Components</v>
      </c>
      <c r="AC190" t="str">
        <f t="shared" si="48"/>
        <v>Compliant</v>
      </c>
      <c r="AD190" t="str">
        <f t="shared" si="49"/>
        <v>Late</v>
      </c>
      <c r="AE190" s="8">
        <f>MIN(Q190,Scenario!$B$2)</f>
        <v>8.9999999999999993E-3</v>
      </c>
      <c r="AF190" s="33">
        <f>L190*(1+Scenario!$B$3)</f>
        <v>1213.7674999999999</v>
      </c>
      <c r="AG190" s="6">
        <f>R190*(1+Scenario!$B$4)</f>
        <v>21.599999999999998</v>
      </c>
      <c r="AH190" s="33">
        <f t="shared" si="51"/>
        <v>25901.632223999997</v>
      </c>
      <c r="AI190" s="33">
        <f t="shared" si="52"/>
        <v>26217.377999999997</v>
      </c>
      <c r="AJ190" s="33">
        <f t="shared" si="53"/>
        <v>-315.74577599999975</v>
      </c>
    </row>
    <row r="191" spans="1:36" hidden="1" x14ac:dyDescent="0.25">
      <c r="A191" s="12" t="s">
        <v>518</v>
      </c>
      <c r="B191" s="27">
        <v>45726</v>
      </c>
      <c r="C191" s="4">
        <v>45743</v>
      </c>
      <c r="D191" s="12" t="s">
        <v>648</v>
      </c>
      <c r="E191" s="12" t="s">
        <v>655</v>
      </c>
      <c r="F191" s="12" t="s">
        <v>692</v>
      </c>
      <c r="G191" s="12" t="s">
        <v>706</v>
      </c>
      <c r="H191" s="12" t="s">
        <v>711</v>
      </c>
      <c r="I191" s="12" t="s">
        <v>721</v>
      </c>
      <c r="J191" s="12" t="s">
        <v>729</v>
      </c>
      <c r="K191" s="12" t="s">
        <v>1237</v>
      </c>
      <c r="L191" s="6">
        <v>996.73</v>
      </c>
      <c r="M191" s="6">
        <v>1217.43</v>
      </c>
      <c r="N191" s="6">
        <f t="shared" si="36"/>
        <v>1217.43</v>
      </c>
      <c r="O191" s="6" t="str">
        <f t="shared" si="50"/>
        <v>High</v>
      </c>
      <c r="P191" s="6">
        <v>7.0000000000000007E-2</v>
      </c>
      <c r="Q191" s="6">
        <f t="shared" si="37"/>
        <v>7.0000000000000007E-2</v>
      </c>
      <c r="R191" s="6">
        <v>9</v>
      </c>
      <c r="S191" s="6" t="str">
        <f t="shared" si="38"/>
        <v>OK</v>
      </c>
      <c r="T191" s="4">
        <f t="shared" si="39"/>
        <v>45743</v>
      </c>
      <c r="U191" s="11">
        <f t="shared" si="40"/>
        <v>17</v>
      </c>
      <c r="V191" s="6">
        <f t="shared" si="41"/>
        <v>10189.8891</v>
      </c>
      <c r="W191" s="6">
        <f t="shared" si="42"/>
        <v>8970.57</v>
      </c>
      <c r="X191" s="6">
        <f t="shared" si="43"/>
        <v>1219.3191000000006</v>
      </c>
      <c r="Y191" s="6">
        <f t="shared" si="44"/>
        <v>0.11965970267527255</v>
      </c>
      <c r="Z191" s="4" t="str">
        <f t="shared" si="45"/>
        <v>Q1-2025</v>
      </c>
      <c r="AA191" t="str">
        <f t="shared" si="46"/>
        <v>Networking</v>
      </c>
      <c r="AB191" t="str">
        <f t="shared" si="47"/>
        <v>Networking</v>
      </c>
      <c r="AC191" t="str">
        <f t="shared" si="48"/>
        <v>Compliant</v>
      </c>
      <c r="AD191" t="str">
        <f t="shared" si="49"/>
        <v>Late</v>
      </c>
      <c r="AE191" s="8">
        <f>MIN(Q191,Scenario!$B$2)</f>
        <v>7.0000000000000007E-2</v>
      </c>
      <c r="AF191" s="33">
        <f>L191*(1+Scenario!$B$3)</f>
        <v>1146.2394999999999</v>
      </c>
      <c r="AG191" s="6">
        <f>R191*(1+Scenario!$B$4)</f>
        <v>10.799999999999999</v>
      </c>
      <c r="AH191" s="33">
        <f t="shared" si="51"/>
        <v>12227.866919999999</v>
      </c>
      <c r="AI191" s="33">
        <f t="shared" si="52"/>
        <v>12379.386599999998</v>
      </c>
      <c r="AJ191" s="33">
        <f t="shared" si="53"/>
        <v>-151.51967999999943</v>
      </c>
    </row>
    <row r="192" spans="1:36" hidden="1" x14ac:dyDescent="0.25">
      <c r="A192" s="12" t="s">
        <v>612</v>
      </c>
      <c r="B192" s="27">
        <v>45726</v>
      </c>
      <c r="C192" s="4">
        <v>45751</v>
      </c>
      <c r="D192" s="12" t="s">
        <v>647</v>
      </c>
      <c r="E192" s="12" t="s">
        <v>652</v>
      </c>
      <c r="F192" s="12" t="s">
        <v>666</v>
      </c>
      <c r="G192" s="12" t="s">
        <v>701</v>
      </c>
      <c r="H192" s="12" t="s">
        <v>711</v>
      </c>
      <c r="I192" s="12" t="s">
        <v>722</v>
      </c>
      <c r="J192" s="12" t="s">
        <v>728</v>
      </c>
      <c r="K192" s="12" t="s">
        <v>1330</v>
      </c>
      <c r="L192" s="6">
        <v>783.72</v>
      </c>
      <c r="M192" s="6">
        <v>1355.94</v>
      </c>
      <c r="N192" s="6">
        <f t="shared" si="36"/>
        <v>1355.94</v>
      </c>
      <c r="O192" s="6" t="str">
        <f t="shared" si="50"/>
        <v>High</v>
      </c>
      <c r="P192" s="6">
        <v>0.187</v>
      </c>
      <c r="Q192" s="6">
        <f t="shared" si="37"/>
        <v>0.187</v>
      </c>
      <c r="R192" s="6">
        <v>4</v>
      </c>
      <c r="S192" s="6" t="str">
        <f t="shared" si="38"/>
        <v>OK</v>
      </c>
      <c r="T192" s="4">
        <f t="shared" si="39"/>
        <v>45751</v>
      </c>
      <c r="U192" s="11">
        <f t="shared" si="40"/>
        <v>25</v>
      </c>
      <c r="V192" s="6">
        <f t="shared" si="41"/>
        <v>4409.5168800000001</v>
      </c>
      <c r="W192" s="6">
        <f t="shared" si="42"/>
        <v>3134.88</v>
      </c>
      <c r="X192" s="6">
        <f t="shared" si="43"/>
        <v>1274.63688</v>
      </c>
      <c r="Y192" s="6">
        <f t="shared" si="44"/>
        <v>0.28906497348525856</v>
      </c>
      <c r="Z192" s="4" t="str">
        <f t="shared" si="45"/>
        <v>Q1-2025</v>
      </c>
      <c r="AA192" t="str">
        <f t="shared" si="46"/>
        <v>Printers</v>
      </c>
      <c r="AB192" t="str">
        <f t="shared" si="47"/>
        <v>Printers</v>
      </c>
      <c r="AC192" t="str">
        <f t="shared" si="48"/>
        <v>Compliant</v>
      </c>
      <c r="AD192" t="str">
        <f t="shared" si="49"/>
        <v>Late</v>
      </c>
      <c r="AE192" s="8">
        <f>MIN(Q192,Scenario!$B$2)</f>
        <v>0.187</v>
      </c>
      <c r="AF192" s="33">
        <f>L192*(1+Scenario!$B$3)</f>
        <v>901.27799999999991</v>
      </c>
      <c r="AG192" s="6">
        <f>R192*(1+Scenario!$B$4)</f>
        <v>4.8</v>
      </c>
      <c r="AH192" s="33">
        <f t="shared" si="51"/>
        <v>5291.4202559999994</v>
      </c>
      <c r="AI192" s="33">
        <f t="shared" si="52"/>
        <v>4326.134399999999</v>
      </c>
      <c r="AJ192" s="33">
        <f t="shared" si="53"/>
        <v>965.28585600000042</v>
      </c>
    </row>
    <row r="193" spans="1:36" x14ac:dyDescent="0.25">
      <c r="A193" s="12" t="s">
        <v>99</v>
      </c>
      <c r="B193" s="27">
        <v>45741</v>
      </c>
      <c r="C193" s="4">
        <v>45764</v>
      </c>
      <c r="D193" s="12" t="s">
        <v>649</v>
      </c>
      <c r="E193" s="12" t="s">
        <v>658</v>
      </c>
      <c r="F193" s="12" t="s">
        <v>683</v>
      </c>
      <c r="G193" s="12" t="s">
        <v>704</v>
      </c>
      <c r="H193" s="12" t="s">
        <v>707</v>
      </c>
      <c r="I193" s="12" t="s">
        <v>722</v>
      </c>
      <c r="J193" s="12" t="s">
        <v>729</v>
      </c>
      <c r="K193" s="12" t="s">
        <v>818</v>
      </c>
      <c r="L193" s="6">
        <v>1421.19</v>
      </c>
      <c r="M193" s="6">
        <v>1808.26</v>
      </c>
      <c r="N193" s="6">
        <f t="shared" si="36"/>
        <v>1808.26</v>
      </c>
      <c r="O193" s="6" t="str">
        <f t="shared" si="50"/>
        <v>High</v>
      </c>
      <c r="P193" s="6">
        <v>0.104</v>
      </c>
      <c r="Q193" s="6">
        <f t="shared" si="37"/>
        <v>0.104</v>
      </c>
      <c r="R193" s="6">
        <v>13</v>
      </c>
      <c r="S193" s="6" t="str">
        <f t="shared" si="38"/>
        <v>OK</v>
      </c>
      <c r="T193" s="4">
        <f t="shared" si="39"/>
        <v>45764</v>
      </c>
      <c r="U193" s="11">
        <f t="shared" si="40"/>
        <v>23</v>
      </c>
      <c r="V193" s="6">
        <f t="shared" si="41"/>
        <v>21062.61248</v>
      </c>
      <c r="W193" s="6">
        <f t="shared" si="42"/>
        <v>18475.47</v>
      </c>
      <c r="X193" s="6">
        <f t="shared" si="43"/>
        <v>2587.1424799999986</v>
      </c>
      <c r="Y193" s="6">
        <f t="shared" si="44"/>
        <v>0.12283103449093123</v>
      </c>
      <c r="Z193" s="4" t="str">
        <f t="shared" si="45"/>
        <v>Q1-2025</v>
      </c>
      <c r="AA193" t="str">
        <f t="shared" si="46"/>
        <v>Networking</v>
      </c>
      <c r="AB193" t="str">
        <f t="shared" si="47"/>
        <v>Networking</v>
      </c>
      <c r="AC193" t="str">
        <f t="shared" si="48"/>
        <v>Compliant</v>
      </c>
      <c r="AD193" t="str">
        <f t="shared" si="49"/>
        <v>Late</v>
      </c>
      <c r="AE193" s="8">
        <f>MIN(Q193,Scenario!$B$2)</f>
        <v>0.104</v>
      </c>
      <c r="AF193" s="33">
        <f>L193*(1+Scenario!$B$3)</f>
        <v>1634.3685</v>
      </c>
      <c r="AG193" s="6">
        <f>R193*(1+Scenario!$B$4)</f>
        <v>15.6</v>
      </c>
      <c r="AH193" s="33">
        <f t="shared" si="51"/>
        <v>25275.134976000001</v>
      </c>
      <c r="AI193" s="33">
        <f t="shared" si="52"/>
        <v>25496.1486</v>
      </c>
      <c r="AJ193" s="33">
        <f t="shared" si="53"/>
        <v>-221.01362399999925</v>
      </c>
    </row>
    <row r="194" spans="1:36" hidden="1" x14ac:dyDescent="0.25">
      <c r="A194" s="12" t="s">
        <v>629</v>
      </c>
      <c r="B194" s="27">
        <v>45727</v>
      </c>
      <c r="C194" s="4">
        <v>45743</v>
      </c>
      <c r="D194" s="12" t="s">
        <v>647</v>
      </c>
      <c r="E194" s="12" t="s">
        <v>652</v>
      </c>
      <c r="F194" s="12" t="s">
        <v>689</v>
      </c>
      <c r="G194" s="12" t="s">
        <v>706</v>
      </c>
      <c r="H194" s="12" t="s">
        <v>710</v>
      </c>
      <c r="I194" s="12" t="s">
        <v>717</v>
      </c>
      <c r="J194" s="12" t="s">
        <v>728</v>
      </c>
      <c r="K194" s="12" t="s">
        <v>1347</v>
      </c>
      <c r="L194" s="6">
        <v>1317.58</v>
      </c>
      <c r="M194" s="6">
        <v>1897.74</v>
      </c>
      <c r="N194" s="6">
        <f t="shared" ref="N194:N257" si="54">ABS(M194)</f>
        <v>1897.74</v>
      </c>
      <c r="O194" s="6" t="str">
        <f t="shared" si="50"/>
        <v>High</v>
      </c>
      <c r="P194" s="6">
        <v>8.1000000000000003E-2</v>
      </c>
      <c r="Q194" s="6">
        <f t="shared" ref="Q194:Q257" si="55">IF(P194&gt;0.3, 0.3, P194)</f>
        <v>8.1000000000000003E-2</v>
      </c>
      <c r="R194" s="6">
        <v>6</v>
      </c>
      <c r="S194" s="6" t="str">
        <f t="shared" ref="S194:S257" si="56">IFERROR(IF(C194&lt;B194,"Correct", "OK"), "Error")</f>
        <v>OK</v>
      </c>
      <c r="T194" s="4">
        <f t="shared" ref="T194:T257" si="57">IF(C194&lt;B194,B194+7,C194)</f>
        <v>45743</v>
      </c>
      <c r="U194" s="11">
        <f t="shared" ref="U194:U257" si="58">T194-B194</f>
        <v>16</v>
      </c>
      <c r="V194" s="6">
        <f t="shared" ref="V194:V257" si="59">N194*R194*(1-Q194)</f>
        <v>10464.138360000001</v>
      </c>
      <c r="W194" s="6">
        <f t="shared" ref="W194:W257" si="60">L194*R194</f>
        <v>7905.48</v>
      </c>
      <c r="X194" s="6">
        <f t="shared" ref="X194:X257" si="61">V194-W194</f>
        <v>2558.6583600000013</v>
      </c>
      <c r="Y194" s="6">
        <f t="shared" ref="Y194:Y257" si="62">IF(V194=0, 0, X194/V194)</f>
        <v>0.24451687009230266</v>
      </c>
      <c r="Z194" s="4" t="str">
        <f t="shared" ref="Z194:Z257" si="63">"Q"&amp;ROUNDUP(MONTH(B194)/3,0)&amp;"-"&amp;YEAR(B194)</f>
        <v>Q1-2025</v>
      </c>
      <c r="AA194" t="str">
        <f t="shared" ref="AA194:AA257" si="64">PROPER(J194)</f>
        <v>Printers</v>
      </c>
      <c r="AB194" t="str">
        <f t="shared" ref="AB194:AB257" si="65">TRIM(J194)</f>
        <v>Printers</v>
      </c>
      <c r="AC194" t="str">
        <f t="shared" ref="AC194:AC257" si="66">IF(Q194&gt;20%, "Non-compliant","Compliant")</f>
        <v>Compliant</v>
      </c>
      <c r="AD194" t="str">
        <f t="shared" ref="AD194:AD257" si="67">IF(U194&lt;=7,"On-time","Late")</f>
        <v>Late</v>
      </c>
      <c r="AE194" s="8">
        <f>MIN(Q194,Scenario!$B$2)</f>
        <v>8.1000000000000003E-2</v>
      </c>
      <c r="AF194" s="33">
        <f>L194*(1+Scenario!$B$3)</f>
        <v>1515.2169999999999</v>
      </c>
      <c r="AG194" s="6">
        <f>R194*(1+Scenario!$B$4)</f>
        <v>7.1999999999999993</v>
      </c>
      <c r="AH194" s="33">
        <f t="shared" si="51"/>
        <v>12556.966032</v>
      </c>
      <c r="AI194" s="33">
        <f t="shared" si="52"/>
        <v>10909.562399999999</v>
      </c>
      <c r="AJ194" s="33">
        <f t="shared" si="53"/>
        <v>1647.4036320000014</v>
      </c>
    </row>
    <row r="195" spans="1:36" hidden="1" x14ac:dyDescent="0.25">
      <c r="A195" s="12" t="s">
        <v>517</v>
      </c>
      <c r="B195" s="27">
        <v>45740</v>
      </c>
      <c r="C195" s="4">
        <v>45741</v>
      </c>
      <c r="D195" s="12" t="s">
        <v>647</v>
      </c>
      <c r="E195" s="12" t="s">
        <v>659</v>
      </c>
      <c r="F195" s="12" t="s">
        <v>699</v>
      </c>
      <c r="G195" s="12" t="s">
        <v>703</v>
      </c>
      <c r="H195" s="12" t="s">
        <v>708</v>
      </c>
      <c r="I195" s="12" t="s">
        <v>715</v>
      </c>
      <c r="J195" s="12" t="s">
        <v>729</v>
      </c>
      <c r="K195" s="12" t="s">
        <v>1236</v>
      </c>
      <c r="L195" s="6">
        <v>1133.03</v>
      </c>
      <c r="M195" s="6">
        <v>1921.51</v>
      </c>
      <c r="N195" s="6">
        <f t="shared" si="54"/>
        <v>1921.51</v>
      </c>
      <c r="O195" s="6" t="str">
        <f t="shared" ref="O195:O258" si="68">IF(N195&lt;=QUARTILE(N195:N825,1), "Low", IF(N195&lt;=QUARTILE(N195:N825,2),"Middle", "High"))</f>
        <v>High</v>
      </c>
      <c r="P195" s="6">
        <v>0.10100000000000001</v>
      </c>
      <c r="Q195" s="6">
        <f t="shared" si="55"/>
        <v>0.10100000000000001</v>
      </c>
      <c r="R195" s="6">
        <v>5</v>
      </c>
      <c r="S195" s="6" t="str">
        <f t="shared" si="56"/>
        <v>OK</v>
      </c>
      <c r="T195" s="4">
        <f t="shared" si="57"/>
        <v>45741</v>
      </c>
      <c r="U195" s="11">
        <f t="shared" si="58"/>
        <v>1</v>
      </c>
      <c r="V195" s="6">
        <f t="shared" si="59"/>
        <v>8637.1874499999994</v>
      </c>
      <c r="W195" s="6">
        <f t="shared" si="60"/>
        <v>5665.15</v>
      </c>
      <c r="X195" s="6">
        <f t="shared" si="61"/>
        <v>2972.0374499999998</v>
      </c>
      <c r="Y195" s="6">
        <f t="shared" si="62"/>
        <v>0.3440978289755654</v>
      </c>
      <c r="Z195" s="4" t="str">
        <f t="shared" si="63"/>
        <v>Q1-2025</v>
      </c>
      <c r="AA195" t="str">
        <f t="shared" si="64"/>
        <v>Networking</v>
      </c>
      <c r="AB195" t="str">
        <f t="shared" si="65"/>
        <v>Networking</v>
      </c>
      <c r="AC195" t="str">
        <f t="shared" si="66"/>
        <v>Compliant</v>
      </c>
      <c r="AD195" t="str">
        <f t="shared" si="67"/>
        <v>On-time</v>
      </c>
      <c r="AE195" s="8">
        <f>MIN(Q195,Scenario!$B$2)</f>
        <v>0.10100000000000001</v>
      </c>
      <c r="AF195" s="33">
        <f>L195*(1+Scenario!$B$3)</f>
        <v>1302.9844999999998</v>
      </c>
      <c r="AG195" s="6">
        <f>R195*(1+Scenario!$B$4)</f>
        <v>6</v>
      </c>
      <c r="AH195" s="33">
        <f t="shared" ref="AH195:AH258" si="69">N195*AG195*(1-AE195)</f>
        <v>10364.62494</v>
      </c>
      <c r="AI195" s="33">
        <f t="shared" ref="AI195:AI258" si="70">AF195*AG195</f>
        <v>7817.9069999999992</v>
      </c>
      <c r="AJ195" s="33">
        <f t="shared" ref="AJ195:AJ258" si="71">AH195-AI195</f>
        <v>2546.7179400000005</v>
      </c>
    </row>
    <row r="196" spans="1:36" hidden="1" x14ac:dyDescent="0.25">
      <c r="A196" s="12" t="s">
        <v>117</v>
      </c>
      <c r="B196" s="27">
        <v>45747</v>
      </c>
      <c r="C196" s="4">
        <v>45751</v>
      </c>
      <c r="D196" s="12" t="s">
        <v>646</v>
      </c>
      <c r="E196" s="12" t="s">
        <v>650</v>
      </c>
      <c r="F196" s="12" t="s">
        <v>678</v>
      </c>
      <c r="G196" s="12" t="s">
        <v>701</v>
      </c>
      <c r="H196" s="12" t="s">
        <v>711</v>
      </c>
      <c r="I196" s="12" t="s">
        <v>712</v>
      </c>
      <c r="J196" s="12" t="s">
        <v>731</v>
      </c>
      <c r="K196" s="12" t="s">
        <v>836</v>
      </c>
      <c r="L196" s="6">
        <v>862.08</v>
      </c>
      <c r="M196" s="6">
        <v>1952.83</v>
      </c>
      <c r="N196" s="6">
        <f t="shared" si="54"/>
        <v>1952.83</v>
      </c>
      <c r="O196" s="6" t="str">
        <f t="shared" si="68"/>
        <v>High</v>
      </c>
      <c r="P196" s="6">
        <v>0</v>
      </c>
      <c r="Q196" s="6">
        <f t="shared" si="55"/>
        <v>0</v>
      </c>
      <c r="R196" s="6">
        <v>7</v>
      </c>
      <c r="S196" s="6" t="str">
        <f t="shared" si="56"/>
        <v>OK</v>
      </c>
      <c r="T196" s="4">
        <f t="shared" si="57"/>
        <v>45751</v>
      </c>
      <c r="U196" s="11">
        <f t="shared" si="58"/>
        <v>4</v>
      </c>
      <c r="V196" s="6">
        <f t="shared" si="59"/>
        <v>13669.81</v>
      </c>
      <c r="W196" s="6">
        <f t="shared" si="60"/>
        <v>6034.56</v>
      </c>
      <c r="X196" s="6">
        <f t="shared" si="61"/>
        <v>7635.2499999999991</v>
      </c>
      <c r="Y196" s="6">
        <f t="shared" si="62"/>
        <v>0.5585483631447693</v>
      </c>
      <c r="Z196" s="4" t="str">
        <f t="shared" si="63"/>
        <v>Q1-2025</v>
      </c>
      <c r="AA196" t="str">
        <f t="shared" si="64"/>
        <v>Laptops</v>
      </c>
      <c r="AB196" t="str">
        <f t="shared" si="65"/>
        <v>Laptops</v>
      </c>
      <c r="AC196" t="str">
        <f t="shared" si="66"/>
        <v>Compliant</v>
      </c>
      <c r="AD196" t="str">
        <f t="shared" si="67"/>
        <v>On-time</v>
      </c>
      <c r="AE196" s="8">
        <f>MIN(Q196,Scenario!$B$2)</f>
        <v>0</v>
      </c>
      <c r="AF196" s="33">
        <f>L196*(1+Scenario!$B$3)</f>
        <v>991.39199999999994</v>
      </c>
      <c r="AG196" s="6">
        <f>R196*(1+Scenario!$B$4)</f>
        <v>8.4</v>
      </c>
      <c r="AH196" s="33">
        <f t="shared" si="69"/>
        <v>16403.772000000001</v>
      </c>
      <c r="AI196" s="33">
        <f t="shared" si="70"/>
        <v>8327.6928000000007</v>
      </c>
      <c r="AJ196" s="33">
        <f t="shared" si="71"/>
        <v>8076.0792000000001</v>
      </c>
    </row>
    <row r="197" spans="1:36" hidden="1" x14ac:dyDescent="0.25">
      <c r="A197" s="12" t="s">
        <v>320</v>
      </c>
      <c r="B197" s="27">
        <v>45741</v>
      </c>
      <c r="C197" s="4">
        <v>45742</v>
      </c>
      <c r="D197" s="12" t="s">
        <v>646</v>
      </c>
      <c r="E197" s="12" t="s">
        <v>651</v>
      </c>
      <c r="F197" s="12" t="s">
        <v>665</v>
      </c>
      <c r="G197" s="12" t="s">
        <v>702</v>
      </c>
      <c r="H197" s="12" t="s">
        <v>710</v>
      </c>
      <c r="I197" s="12" t="s">
        <v>715</v>
      </c>
      <c r="J197" s="12" t="s">
        <v>733</v>
      </c>
      <c r="K197" s="12" t="s">
        <v>1040</v>
      </c>
      <c r="L197" s="6">
        <v>1450.43</v>
      </c>
      <c r="M197" s="6">
        <v>1994.67</v>
      </c>
      <c r="N197" s="6">
        <f t="shared" si="54"/>
        <v>1994.67</v>
      </c>
      <c r="O197" s="6" t="str">
        <f t="shared" si="68"/>
        <v>High</v>
      </c>
      <c r="P197" s="6">
        <v>0.1</v>
      </c>
      <c r="Q197" s="6">
        <f t="shared" si="55"/>
        <v>0.1</v>
      </c>
      <c r="R197" s="6">
        <v>24</v>
      </c>
      <c r="S197" s="6" t="str">
        <f t="shared" si="56"/>
        <v>OK</v>
      </c>
      <c r="T197" s="4">
        <f t="shared" si="57"/>
        <v>45742</v>
      </c>
      <c r="U197" s="11">
        <f t="shared" si="58"/>
        <v>1</v>
      </c>
      <c r="V197" s="6">
        <f t="shared" si="59"/>
        <v>43084.872000000003</v>
      </c>
      <c r="W197" s="6">
        <f t="shared" si="60"/>
        <v>34810.32</v>
      </c>
      <c r="X197" s="6">
        <f t="shared" si="61"/>
        <v>8274.5520000000033</v>
      </c>
      <c r="Y197" s="6">
        <f t="shared" si="62"/>
        <v>0.19205237513529116</v>
      </c>
      <c r="Z197" s="4" t="str">
        <f t="shared" si="63"/>
        <v>Q1-2025</v>
      </c>
      <c r="AA197" t="str">
        <f t="shared" si="64"/>
        <v>Accessories</v>
      </c>
      <c r="AB197" t="str">
        <f t="shared" si="65"/>
        <v>Accessories</v>
      </c>
      <c r="AC197" t="str">
        <f t="shared" si="66"/>
        <v>Compliant</v>
      </c>
      <c r="AD197" t="str">
        <f t="shared" si="67"/>
        <v>On-time</v>
      </c>
      <c r="AE197" s="8">
        <f>MIN(Q197,Scenario!$B$2)</f>
        <v>0.1</v>
      </c>
      <c r="AF197" s="33">
        <f>L197*(1+Scenario!$B$3)</f>
        <v>1667.9945</v>
      </c>
      <c r="AG197" s="6">
        <f>R197*(1+Scenario!$B$4)</f>
        <v>28.799999999999997</v>
      </c>
      <c r="AH197" s="33">
        <f t="shared" si="69"/>
        <v>51701.846400000002</v>
      </c>
      <c r="AI197" s="33">
        <f t="shared" si="70"/>
        <v>48038.241599999994</v>
      </c>
      <c r="AJ197" s="33">
        <f t="shared" si="71"/>
        <v>3663.6048000000083</v>
      </c>
    </row>
    <row r="198" spans="1:36" hidden="1" x14ac:dyDescent="0.25">
      <c r="A198" s="12" t="s">
        <v>381</v>
      </c>
      <c r="B198" s="27">
        <v>45731</v>
      </c>
      <c r="C198" s="4">
        <v>45745</v>
      </c>
      <c r="D198" s="12" t="s">
        <v>647</v>
      </c>
      <c r="E198" s="12" t="s">
        <v>654</v>
      </c>
      <c r="F198" s="12" t="s">
        <v>691</v>
      </c>
      <c r="G198" s="12" t="s">
        <v>706</v>
      </c>
      <c r="H198" s="12" t="s">
        <v>711</v>
      </c>
      <c r="I198" s="12" t="s">
        <v>712</v>
      </c>
      <c r="J198" s="12" t="s">
        <v>727</v>
      </c>
      <c r="K198" s="12" t="s">
        <v>1101</v>
      </c>
      <c r="L198" s="6">
        <v>935.83</v>
      </c>
      <c r="M198" s="6">
        <v>2303.46</v>
      </c>
      <c r="N198" s="6">
        <f t="shared" si="54"/>
        <v>2303.46</v>
      </c>
      <c r="O198" s="6" t="str">
        <f t="shared" si="68"/>
        <v>High</v>
      </c>
      <c r="P198" s="6">
        <v>0.105</v>
      </c>
      <c r="Q198" s="6">
        <f t="shared" si="55"/>
        <v>0.105</v>
      </c>
      <c r="R198" s="6">
        <v>9</v>
      </c>
      <c r="S198" s="6" t="str">
        <f t="shared" si="56"/>
        <v>OK</v>
      </c>
      <c r="T198" s="4">
        <f t="shared" si="57"/>
        <v>45745</v>
      </c>
      <c r="U198" s="11">
        <f t="shared" si="58"/>
        <v>14</v>
      </c>
      <c r="V198" s="6">
        <f t="shared" si="59"/>
        <v>18554.370299999999</v>
      </c>
      <c r="W198" s="6">
        <f t="shared" si="60"/>
        <v>8422.4700000000012</v>
      </c>
      <c r="X198" s="6">
        <f t="shared" si="61"/>
        <v>10131.900299999998</v>
      </c>
      <c r="Y198" s="6">
        <f t="shared" si="62"/>
        <v>0.54606543559174292</v>
      </c>
      <c r="Z198" s="4" t="str">
        <f t="shared" si="63"/>
        <v>Q1-2025</v>
      </c>
      <c r="AA198" t="str">
        <f t="shared" si="64"/>
        <v>Components</v>
      </c>
      <c r="AB198" t="str">
        <f t="shared" si="65"/>
        <v>Components</v>
      </c>
      <c r="AC198" t="str">
        <f t="shared" si="66"/>
        <v>Compliant</v>
      </c>
      <c r="AD198" t="str">
        <f t="shared" si="67"/>
        <v>Late</v>
      </c>
      <c r="AE198" s="8">
        <f>MIN(Q198,Scenario!$B$2)</f>
        <v>0.105</v>
      </c>
      <c r="AF198" s="33">
        <f>L198*(1+Scenario!$B$3)</f>
        <v>1076.2045000000001</v>
      </c>
      <c r="AG198" s="6">
        <f>R198*(1+Scenario!$B$4)</f>
        <v>10.799999999999999</v>
      </c>
      <c r="AH198" s="33">
        <f t="shared" si="69"/>
        <v>22265.244360000001</v>
      </c>
      <c r="AI198" s="33">
        <f t="shared" si="70"/>
        <v>11623.008599999999</v>
      </c>
      <c r="AJ198" s="33">
        <f t="shared" si="71"/>
        <v>10642.235760000001</v>
      </c>
    </row>
    <row r="199" spans="1:36" hidden="1" x14ac:dyDescent="0.25">
      <c r="A199" s="12" t="s">
        <v>295</v>
      </c>
      <c r="B199" s="27">
        <v>45730</v>
      </c>
      <c r="C199" s="4">
        <v>45745</v>
      </c>
      <c r="D199" s="12" t="s">
        <v>647</v>
      </c>
      <c r="E199" s="12" t="s">
        <v>652</v>
      </c>
      <c r="F199" s="12" t="s">
        <v>689</v>
      </c>
      <c r="G199" s="12" t="s">
        <v>703</v>
      </c>
      <c r="H199" s="12" t="s">
        <v>711</v>
      </c>
      <c r="I199" s="12" t="s">
        <v>722</v>
      </c>
      <c r="J199" s="12" t="s">
        <v>729</v>
      </c>
      <c r="K199" s="12" t="s">
        <v>1015</v>
      </c>
      <c r="L199" s="6">
        <v>1106.96</v>
      </c>
      <c r="M199" s="6">
        <v>2726.62</v>
      </c>
      <c r="N199" s="6">
        <f t="shared" si="54"/>
        <v>2726.62</v>
      </c>
      <c r="O199" s="6" t="str">
        <f t="shared" si="68"/>
        <v>High</v>
      </c>
      <c r="P199" s="6">
        <v>0.317</v>
      </c>
      <c r="Q199" s="6">
        <f t="shared" si="55"/>
        <v>0.3</v>
      </c>
      <c r="R199" s="6">
        <v>7</v>
      </c>
      <c r="S199" s="6" t="str">
        <f t="shared" si="56"/>
        <v>OK</v>
      </c>
      <c r="T199" s="4">
        <f t="shared" si="57"/>
        <v>45745</v>
      </c>
      <c r="U199" s="11">
        <f t="shared" si="58"/>
        <v>15</v>
      </c>
      <c r="V199" s="6">
        <f t="shared" si="59"/>
        <v>13360.438</v>
      </c>
      <c r="W199" s="6">
        <f t="shared" si="60"/>
        <v>7748.72</v>
      </c>
      <c r="X199" s="6">
        <f t="shared" si="61"/>
        <v>5611.7179999999998</v>
      </c>
      <c r="Y199" s="6">
        <f t="shared" si="62"/>
        <v>0.42002500217432992</v>
      </c>
      <c r="Z199" s="4" t="str">
        <f t="shared" si="63"/>
        <v>Q1-2025</v>
      </c>
      <c r="AA199" t="str">
        <f t="shared" si="64"/>
        <v>Networking</v>
      </c>
      <c r="AB199" t="str">
        <f t="shared" si="65"/>
        <v>Networking</v>
      </c>
      <c r="AC199" t="str">
        <f t="shared" si="66"/>
        <v>Non-compliant</v>
      </c>
      <c r="AD199" t="str">
        <f t="shared" si="67"/>
        <v>Late</v>
      </c>
      <c r="AE199" s="8">
        <f>MIN(Q199,Scenario!$B$2)</f>
        <v>0.2</v>
      </c>
      <c r="AF199" s="33">
        <f>L199*(1+Scenario!$B$3)</f>
        <v>1273.0039999999999</v>
      </c>
      <c r="AG199" s="6">
        <f>R199*(1+Scenario!$B$4)</f>
        <v>8.4</v>
      </c>
      <c r="AH199" s="33">
        <f t="shared" si="69"/>
        <v>18322.886399999999</v>
      </c>
      <c r="AI199" s="33">
        <f t="shared" si="70"/>
        <v>10693.2336</v>
      </c>
      <c r="AJ199" s="33">
        <f t="shared" si="71"/>
        <v>7629.6527999999998</v>
      </c>
    </row>
    <row r="200" spans="1:36" hidden="1" x14ac:dyDescent="0.25">
      <c r="A200" s="12" t="s">
        <v>312</v>
      </c>
      <c r="B200" s="27">
        <v>45377</v>
      </c>
      <c r="C200" s="4">
        <v>45387</v>
      </c>
      <c r="D200" s="12" t="s">
        <v>648</v>
      </c>
      <c r="E200" s="12" t="s">
        <v>660</v>
      </c>
      <c r="F200" s="12" t="s">
        <v>697</v>
      </c>
      <c r="G200" s="12" t="s">
        <v>704</v>
      </c>
      <c r="H200" s="12" t="s">
        <v>711</v>
      </c>
      <c r="I200" s="12" t="s">
        <v>713</v>
      </c>
      <c r="J200" s="12" t="s">
        <v>732</v>
      </c>
      <c r="K200" s="12" t="s">
        <v>1032</v>
      </c>
      <c r="L200" s="6">
        <v>5.66</v>
      </c>
      <c r="M200" s="6">
        <v>4.22</v>
      </c>
      <c r="N200" s="6">
        <f t="shared" si="54"/>
        <v>4.22</v>
      </c>
      <c r="O200" s="6" t="str">
        <f t="shared" si="68"/>
        <v>Low</v>
      </c>
      <c r="P200" s="6">
        <v>0.11899999999999999</v>
      </c>
      <c r="Q200" s="6">
        <f t="shared" si="55"/>
        <v>0.11899999999999999</v>
      </c>
      <c r="R200" s="6">
        <v>18</v>
      </c>
      <c r="S200" s="6" t="str">
        <f t="shared" si="56"/>
        <v>OK</v>
      </c>
      <c r="T200" s="4">
        <f t="shared" si="57"/>
        <v>45387</v>
      </c>
      <c r="U200" s="11">
        <f t="shared" si="58"/>
        <v>10</v>
      </c>
      <c r="V200" s="6">
        <f t="shared" si="59"/>
        <v>66.920760000000001</v>
      </c>
      <c r="W200" s="6">
        <f t="shared" si="60"/>
        <v>101.88</v>
      </c>
      <c r="X200" s="6">
        <f t="shared" si="61"/>
        <v>-34.959239999999994</v>
      </c>
      <c r="Y200" s="6">
        <f t="shared" si="62"/>
        <v>-0.52239753403876454</v>
      </c>
      <c r="Z200" s="4" t="str">
        <f t="shared" si="63"/>
        <v>Q1-2024</v>
      </c>
      <c r="AA200" t="str">
        <f t="shared" si="64"/>
        <v>Monitors</v>
      </c>
      <c r="AB200" t="str">
        <f t="shared" si="65"/>
        <v>Monitors</v>
      </c>
      <c r="AC200" t="str">
        <f t="shared" si="66"/>
        <v>Compliant</v>
      </c>
      <c r="AD200" t="str">
        <f t="shared" si="67"/>
        <v>Late</v>
      </c>
      <c r="AE200" s="8">
        <f>MIN(Q200,Scenario!$B$2)</f>
        <v>0.11899999999999999</v>
      </c>
      <c r="AF200" s="33">
        <f>L200*(1+Scenario!$B$3)</f>
        <v>6.5089999999999995</v>
      </c>
      <c r="AG200" s="6">
        <f>R200*(1+Scenario!$B$4)</f>
        <v>21.599999999999998</v>
      </c>
      <c r="AH200" s="33">
        <f t="shared" si="69"/>
        <v>80.304911999999987</v>
      </c>
      <c r="AI200" s="33">
        <f t="shared" si="70"/>
        <v>140.59439999999998</v>
      </c>
      <c r="AJ200" s="33">
        <f t="shared" si="71"/>
        <v>-60.289487999999992</v>
      </c>
    </row>
    <row r="201" spans="1:36" hidden="1" x14ac:dyDescent="0.25">
      <c r="A201" s="12" t="s">
        <v>507</v>
      </c>
      <c r="B201" s="27">
        <v>45352</v>
      </c>
      <c r="C201" s="4">
        <v>45351</v>
      </c>
      <c r="D201" s="12" t="s">
        <v>648</v>
      </c>
      <c r="E201" s="12" t="s">
        <v>655</v>
      </c>
      <c r="F201" s="12" t="s">
        <v>670</v>
      </c>
      <c r="G201" s="12" t="s">
        <v>703</v>
      </c>
      <c r="H201" s="12" t="s">
        <v>711</v>
      </c>
      <c r="I201" s="12" t="s">
        <v>714</v>
      </c>
      <c r="J201" s="12" t="s">
        <v>730</v>
      </c>
      <c r="K201" s="12" t="s">
        <v>1226</v>
      </c>
      <c r="L201" s="6">
        <v>5.34</v>
      </c>
      <c r="M201" s="6">
        <v>12.69</v>
      </c>
      <c r="N201" s="6">
        <f t="shared" si="54"/>
        <v>12.69</v>
      </c>
      <c r="O201" s="6" t="str">
        <f t="shared" si="68"/>
        <v>Low</v>
      </c>
      <c r="P201" s="6">
        <v>0.13200000000000001</v>
      </c>
      <c r="Q201" s="6">
        <f t="shared" si="55"/>
        <v>0.13200000000000001</v>
      </c>
      <c r="R201" s="6">
        <v>10</v>
      </c>
      <c r="S201" s="6" t="str">
        <f t="shared" si="56"/>
        <v>Correct</v>
      </c>
      <c r="T201" s="4">
        <f t="shared" si="57"/>
        <v>45359</v>
      </c>
      <c r="U201" s="11">
        <f t="shared" si="58"/>
        <v>7</v>
      </c>
      <c r="V201" s="6">
        <f t="shared" si="59"/>
        <v>110.14919999999999</v>
      </c>
      <c r="W201" s="6">
        <f t="shared" si="60"/>
        <v>53.4</v>
      </c>
      <c r="X201" s="6">
        <f t="shared" si="61"/>
        <v>56.749199999999995</v>
      </c>
      <c r="Y201" s="6">
        <f t="shared" si="62"/>
        <v>0.51520301554618642</v>
      </c>
      <c r="Z201" s="4" t="str">
        <f t="shared" si="63"/>
        <v>Q1-2024</v>
      </c>
      <c r="AA201" t="str">
        <f t="shared" si="64"/>
        <v>Phones</v>
      </c>
      <c r="AB201" t="str">
        <f t="shared" si="65"/>
        <v>Phones</v>
      </c>
      <c r="AC201" t="str">
        <f t="shared" si="66"/>
        <v>Compliant</v>
      </c>
      <c r="AD201" t="str">
        <f t="shared" si="67"/>
        <v>On-time</v>
      </c>
      <c r="AE201" s="8">
        <f>MIN(Q201,Scenario!$B$2)</f>
        <v>0.13200000000000001</v>
      </c>
      <c r="AF201" s="33">
        <f>L201*(1+Scenario!$B$3)</f>
        <v>6.1409999999999991</v>
      </c>
      <c r="AG201" s="6">
        <f>R201*(1+Scenario!$B$4)</f>
        <v>12</v>
      </c>
      <c r="AH201" s="33">
        <f t="shared" si="69"/>
        <v>132.17903999999999</v>
      </c>
      <c r="AI201" s="33">
        <f t="shared" si="70"/>
        <v>73.691999999999993</v>
      </c>
      <c r="AJ201" s="33">
        <f t="shared" si="71"/>
        <v>58.487039999999993</v>
      </c>
    </row>
    <row r="202" spans="1:36" hidden="1" x14ac:dyDescent="0.25">
      <c r="A202" s="12" t="s">
        <v>259</v>
      </c>
      <c r="B202" s="27">
        <v>45357</v>
      </c>
      <c r="C202" s="4">
        <v>45377</v>
      </c>
      <c r="D202" s="12" t="s">
        <v>646</v>
      </c>
      <c r="E202" s="12" t="s">
        <v>651</v>
      </c>
      <c r="F202" s="12" t="s">
        <v>663</v>
      </c>
      <c r="G202" s="12" t="s">
        <v>704</v>
      </c>
      <c r="H202" s="12" t="s">
        <v>709</v>
      </c>
      <c r="I202" s="12" t="s">
        <v>714</v>
      </c>
      <c r="J202" s="12" t="s">
        <v>730</v>
      </c>
      <c r="K202" s="12" t="s">
        <v>979</v>
      </c>
      <c r="L202" s="6">
        <v>65.64</v>
      </c>
      <c r="M202" s="6">
        <v>151.88</v>
      </c>
      <c r="N202" s="6">
        <f t="shared" si="54"/>
        <v>151.88</v>
      </c>
      <c r="O202" s="6" t="str">
        <f t="shared" si="68"/>
        <v>Low</v>
      </c>
      <c r="P202" s="6">
        <v>0.16700000000000001</v>
      </c>
      <c r="Q202" s="6">
        <f t="shared" si="55"/>
        <v>0.16700000000000001</v>
      </c>
      <c r="R202" s="6">
        <v>23</v>
      </c>
      <c r="S202" s="6" t="str">
        <f t="shared" si="56"/>
        <v>OK</v>
      </c>
      <c r="T202" s="4">
        <f t="shared" si="57"/>
        <v>45377</v>
      </c>
      <c r="U202" s="11">
        <f t="shared" si="58"/>
        <v>20</v>
      </c>
      <c r="V202" s="6">
        <f t="shared" si="59"/>
        <v>2909.8689199999999</v>
      </c>
      <c r="W202" s="6">
        <f t="shared" si="60"/>
        <v>1509.72</v>
      </c>
      <c r="X202" s="6">
        <f t="shared" si="61"/>
        <v>1400.1489199999999</v>
      </c>
      <c r="Y202" s="6">
        <f t="shared" si="62"/>
        <v>0.48117250587356353</v>
      </c>
      <c r="Z202" s="4" t="str">
        <f t="shared" si="63"/>
        <v>Q1-2024</v>
      </c>
      <c r="AA202" t="str">
        <f t="shared" si="64"/>
        <v>Phones</v>
      </c>
      <c r="AB202" t="str">
        <f t="shared" si="65"/>
        <v>Phones</v>
      </c>
      <c r="AC202" t="str">
        <f t="shared" si="66"/>
        <v>Compliant</v>
      </c>
      <c r="AD202" t="str">
        <f t="shared" si="67"/>
        <v>Late</v>
      </c>
      <c r="AE202" s="8">
        <f>MIN(Q202,Scenario!$B$2)</f>
        <v>0.16700000000000001</v>
      </c>
      <c r="AF202" s="33">
        <f>L202*(1+Scenario!$B$3)</f>
        <v>75.48599999999999</v>
      </c>
      <c r="AG202" s="6">
        <f>R202*(1+Scenario!$B$4)</f>
        <v>27.599999999999998</v>
      </c>
      <c r="AH202" s="33">
        <f t="shared" si="69"/>
        <v>3491.8427039999997</v>
      </c>
      <c r="AI202" s="33">
        <f t="shared" si="70"/>
        <v>2083.4135999999994</v>
      </c>
      <c r="AJ202" s="33">
        <f t="shared" si="71"/>
        <v>1408.4291040000003</v>
      </c>
    </row>
    <row r="203" spans="1:36" hidden="1" x14ac:dyDescent="0.25">
      <c r="A203" s="12" t="s">
        <v>253</v>
      </c>
      <c r="B203" s="27">
        <v>45381</v>
      </c>
      <c r="C203" s="4">
        <v>45406</v>
      </c>
      <c r="D203" s="12" t="s">
        <v>648</v>
      </c>
      <c r="E203" s="12" t="s">
        <v>660</v>
      </c>
      <c r="F203" s="12" t="s">
        <v>697</v>
      </c>
      <c r="G203" s="12" t="s">
        <v>703</v>
      </c>
      <c r="H203" s="12" t="s">
        <v>708</v>
      </c>
      <c r="I203" s="12" t="s">
        <v>715</v>
      </c>
      <c r="J203" s="12" t="s">
        <v>731</v>
      </c>
      <c r="K203" s="12" t="s">
        <v>973</v>
      </c>
      <c r="L203" s="6">
        <v>160.82</v>
      </c>
      <c r="M203" s="6">
        <v>258.52</v>
      </c>
      <c r="N203" s="6">
        <f t="shared" si="54"/>
        <v>258.52</v>
      </c>
      <c r="O203" s="6" t="str">
        <f t="shared" si="68"/>
        <v>Low</v>
      </c>
      <c r="P203" s="6">
        <v>0.13</v>
      </c>
      <c r="Q203" s="6">
        <f t="shared" si="55"/>
        <v>0.13</v>
      </c>
      <c r="R203" s="6">
        <v>17</v>
      </c>
      <c r="S203" s="6" t="str">
        <f t="shared" si="56"/>
        <v>OK</v>
      </c>
      <c r="T203" s="4">
        <f t="shared" si="57"/>
        <v>45406</v>
      </c>
      <c r="U203" s="11">
        <f t="shared" si="58"/>
        <v>25</v>
      </c>
      <c r="V203" s="6">
        <f t="shared" si="59"/>
        <v>3823.5108</v>
      </c>
      <c r="W203" s="6">
        <f t="shared" si="60"/>
        <v>2733.94</v>
      </c>
      <c r="X203" s="6">
        <f t="shared" si="61"/>
        <v>1089.5708</v>
      </c>
      <c r="Y203" s="6">
        <f t="shared" si="62"/>
        <v>0.28496605789631874</v>
      </c>
      <c r="Z203" s="4" t="str">
        <f t="shared" si="63"/>
        <v>Q1-2024</v>
      </c>
      <c r="AA203" t="str">
        <f t="shared" si="64"/>
        <v>Laptops</v>
      </c>
      <c r="AB203" t="str">
        <f t="shared" si="65"/>
        <v>Laptops</v>
      </c>
      <c r="AC203" t="str">
        <f t="shared" si="66"/>
        <v>Compliant</v>
      </c>
      <c r="AD203" t="str">
        <f t="shared" si="67"/>
        <v>Late</v>
      </c>
      <c r="AE203" s="8">
        <f>MIN(Q203,Scenario!$B$2)</f>
        <v>0.13</v>
      </c>
      <c r="AF203" s="33">
        <f>L203*(1+Scenario!$B$3)</f>
        <v>184.94299999999998</v>
      </c>
      <c r="AG203" s="6">
        <f>R203*(1+Scenario!$B$4)</f>
        <v>20.399999999999999</v>
      </c>
      <c r="AH203" s="33">
        <f t="shared" si="69"/>
        <v>4588.2129599999989</v>
      </c>
      <c r="AI203" s="33">
        <f t="shared" si="70"/>
        <v>3772.8371999999995</v>
      </c>
      <c r="AJ203" s="33">
        <f t="shared" si="71"/>
        <v>815.37575999999945</v>
      </c>
    </row>
    <row r="204" spans="1:36" hidden="1" x14ac:dyDescent="0.25">
      <c r="A204" s="12" t="s">
        <v>525</v>
      </c>
      <c r="B204" s="27">
        <v>45353</v>
      </c>
      <c r="C204" s="4">
        <v>45374</v>
      </c>
      <c r="D204" s="12" t="s">
        <v>648</v>
      </c>
      <c r="E204" s="12" t="s">
        <v>660</v>
      </c>
      <c r="F204" s="12" t="s">
        <v>677</v>
      </c>
      <c r="G204" s="12" t="s">
        <v>705</v>
      </c>
      <c r="H204" s="12" t="s">
        <v>708</v>
      </c>
      <c r="I204" s="12" t="s">
        <v>721</v>
      </c>
      <c r="J204" s="12" t="s">
        <v>727</v>
      </c>
      <c r="K204" s="12" t="s">
        <v>1244</v>
      </c>
      <c r="L204" s="6">
        <v>225.01</v>
      </c>
      <c r="M204" s="6">
        <v>333.48</v>
      </c>
      <c r="N204" s="6">
        <f t="shared" si="54"/>
        <v>333.48</v>
      </c>
      <c r="O204" s="6" t="str">
        <f t="shared" si="68"/>
        <v>Low</v>
      </c>
      <c r="P204" s="6">
        <v>0.11899999999999999</v>
      </c>
      <c r="Q204" s="6">
        <f t="shared" si="55"/>
        <v>0.11899999999999999</v>
      </c>
      <c r="R204" s="6">
        <v>12</v>
      </c>
      <c r="S204" s="6" t="str">
        <f t="shared" si="56"/>
        <v>OK</v>
      </c>
      <c r="T204" s="4">
        <f t="shared" si="57"/>
        <v>45374</v>
      </c>
      <c r="U204" s="11">
        <f t="shared" si="58"/>
        <v>21</v>
      </c>
      <c r="V204" s="6">
        <f t="shared" si="59"/>
        <v>3525.5505600000001</v>
      </c>
      <c r="W204" s="6">
        <f t="shared" si="60"/>
        <v>2700.12</v>
      </c>
      <c r="X204" s="6">
        <f t="shared" si="61"/>
        <v>825.43056000000024</v>
      </c>
      <c r="Y204" s="6">
        <f t="shared" si="62"/>
        <v>0.23412813004729685</v>
      </c>
      <c r="Z204" s="4" t="str">
        <f t="shared" si="63"/>
        <v>Q1-2024</v>
      </c>
      <c r="AA204" t="str">
        <f t="shared" si="64"/>
        <v>Components</v>
      </c>
      <c r="AB204" t="str">
        <f t="shared" si="65"/>
        <v>Components</v>
      </c>
      <c r="AC204" t="str">
        <f t="shared" si="66"/>
        <v>Compliant</v>
      </c>
      <c r="AD204" t="str">
        <f t="shared" si="67"/>
        <v>Late</v>
      </c>
      <c r="AE204" s="8">
        <f>MIN(Q204,Scenario!$B$2)</f>
        <v>0.11899999999999999</v>
      </c>
      <c r="AF204" s="33">
        <f>L204*(1+Scenario!$B$3)</f>
        <v>258.76149999999996</v>
      </c>
      <c r="AG204" s="6">
        <f>R204*(1+Scenario!$B$4)</f>
        <v>14.399999999999999</v>
      </c>
      <c r="AH204" s="33">
        <f t="shared" si="69"/>
        <v>4230.660672</v>
      </c>
      <c r="AI204" s="33">
        <f t="shared" si="70"/>
        <v>3726.1655999999989</v>
      </c>
      <c r="AJ204" s="33">
        <f t="shared" si="71"/>
        <v>504.49507200000107</v>
      </c>
    </row>
    <row r="205" spans="1:36" hidden="1" x14ac:dyDescent="0.25">
      <c r="A205" s="12" t="s">
        <v>310</v>
      </c>
      <c r="B205" s="27">
        <v>45353</v>
      </c>
      <c r="C205" s="4">
        <v>45367</v>
      </c>
      <c r="D205" s="12" t="s">
        <v>648</v>
      </c>
      <c r="E205" s="12" t="s">
        <v>653</v>
      </c>
      <c r="F205" s="12" t="s">
        <v>688</v>
      </c>
      <c r="G205" s="12" t="s">
        <v>703</v>
      </c>
      <c r="H205" s="12" t="s">
        <v>711</v>
      </c>
      <c r="I205" s="12" t="s">
        <v>719</v>
      </c>
      <c r="J205" s="12" t="s">
        <v>728</v>
      </c>
      <c r="K205" s="12" t="s">
        <v>1030</v>
      </c>
      <c r="L205" s="6">
        <v>248.24</v>
      </c>
      <c r="M205" s="6">
        <v>464.05</v>
      </c>
      <c r="N205" s="6">
        <f t="shared" si="54"/>
        <v>464.05</v>
      </c>
      <c r="O205" s="6" t="str">
        <f t="shared" si="68"/>
        <v>Low</v>
      </c>
      <c r="P205" s="6">
        <v>0.16900000000000001</v>
      </c>
      <c r="Q205" s="6">
        <f t="shared" si="55"/>
        <v>0.16900000000000001</v>
      </c>
      <c r="R205" s="6">
        <v>11</v>
      </c>
      <c r="S205" s="6" t="str">
        <f t="shared" si="56"/>
        <v>OK</v>
      </c>
      <c r="T205" s="4">
        <f t="shared" si="57"/>
        <v>45367</v>
      </c>
      <c r="U205" s="11">
        <f t="shared" si="58"/>
        <v>14</v>
      </c>
      <c r="V205" s="6">
        <f t="shared" si="59"/>
        <v>4241.88105</v>
      </c>
      <c r="W205" s="6">
        <f t="shared" si="60"/>
        <v>2730.6400000000003</v>
      </c>
      <c r="X205" s="6">
        <f t="shared" si="61"/>
        <v>1511.2410499999996</v>
      </c>
      <c r="Y205" s="6">
        <f t="shared" si="62"/>
        <v>0.3562667203975462</v>
      </c>
      <c r="Z205" s="4" t="str">
        <f t="shared" si="63"/>
        <v>Q1-2024</v>
      </c>
      <c r="AA205" t="str">
        <f t="shared" si="64"/>
        <v>Printers</v>
      </c>
      <c r="AB205" t="str">
        <f t="shared" si="65"/>
        <v>Printers</v>
      </c>
      <c r="AC205" t="str">
        <f t="shared" si="66"/>
        <v>Compliant</v>
      </c>
      <c r="AD205" t="str">
        <f t="shared" si="67"/>
        <v>Late</v>
      </c>
      <c r="AE205" s="8">
        <f>MIN(Q205,Scenario!$B$2)</f>
        <v>0.16900000000000001</v>
      </c>
      <c r="AF205" s="33">
        <f>L205*(1+Scenario!$B$3)</f>
        <v>285.476</v>
      </c>
      <c r="AG205" s="6">
        <f>R205*(1+Scenario!$B$4)</f>
        <v>13.2</v>
      </c>
      <c r="AH205" s="33">
        <f t="shared" si="69"/>
        <v>5090.2572599999994</v>
      </c>
      <c r="AI205" s="33">
        <f t="shared" si="70"/>
        <v>3768.2831999999999</v>
      </c>
      <c r="AJ205" s="33">
        <f t="shared" si="71"/>
        <v>1321.9740599999996</v>
      </c>
    </row>
    <row r="206" spans="1:36" hidden="1" x14ac:dyDescent="0.25">
      <c r="A206" s="12" t="s">
        <v>455</v>
      </c>
      <c r="B206" s="27">
        <v>45374</v>
      </c>
      <c r="C206" s="4">
        <v>45377</v>
      </c>
      <c r="D206" s="12" t="s">
        <v>647</v>
      </c>
      <c r="E206" s="12" t="s">
        <v>654</v>
      </c>
      <c r="F206" s="12" t="s">
        <v>668</v>
      </c>
      <c r="G206" s="12" t="s">
        <v>702</v>
      </c>
      <c r="H206" s="12" t="s">
        <v>711</v>
      </c>
      <c r="I206" s="12" t="s">
        <v>715</v>
      </c>
      <c r="J206" s="12" t="s">
        <v>730</v>
      </c>
      <c r="K206" s="12" t="s">
        <v>1174</v>
      </c>
      <c r="L206" s="6">
        <v>382.21</v>
      </c>
      <c r="M206" s="6">
        <v>571.89</v>
      </c>
      <c r="N206" s="6">
        <f t="shared" si="54"/>
        <v>571.89</v>
      </c>
      <c r="O206" s="6" t="str">
        <f t="shared" si="68"/>
        <v>Low</v>
      </c>
      <c r="P206" s="6">
        <v>0.14799999999999999</v>
      </c>
      <c r="Q206" s="6">
        <f t="shared" si="55"/>
        <v>0.14799999999999999</v>
      </c>
      <c r="R206" s="6">
        <v>26</v>
      </c>
      <c r="S206" s="6" t="str">
        <f t="shared" si="56"/>
        <v>OK</v>
      </c>
      <c r="T206" s="4">
        <f t="shared" si="57"/>
        <v>45377</v>
      </c>
      <c r="U206" s="11">
        <f t="shared" si="58"/>
        <v>3</v>
      </c>
      <c r="V206" s="6">
        <f t="shared" si="59"/>
        <v>12668.50728</v>
      </c>
      <c r="W206" s="6">
        <f t="shared" si="60"/>
        <v>9937.4599999999991</v>
      </c>
      <c r="X206" s="6">
        <f t="shared" si="61"/>
        <v>2731.0472800000007</v>
      </c>
      <c r="Y206" s="6">
        <f t="shared" si="62"/>
        <v>0.2155776698578809</v>
      </c>
      <c r="Z206" s="4" t="str">
        <f t="shared" si="63"/>
        <v>Q1-2024</v>
      </c>
      <c r="AA206" t="str">
        <f t="shared" si="64"/>
        <v>Phones</v>
      </c>
      <c r="AB206" t="str">
        <f t="shared" si="65"/>
        <v>Phones</v>
      </c>
      <c r="AC206" t="str">
        <f t="shared" si="66"/>
        <v>Compliant</v>
      </c>
      <c r="AD206" t="str">
        <f t="shared" si="67"/>
        <v>On-time</v>
      </c>
      <c r="AE206" s="8">
        <f>MIN(Q206,Scenario!$B$2)</f>
        <v>0.14799999999999999</v>
      </c>
      <c r="AF206" s="33">
        <f>L206*(1+Scenario!$B$3)</f>
        <v>439.54149999999993</v>
      </c>
      <c r="AG206" s="6">
        <f>R206*(1+Scenario!$B$4)</f>
        <v>31.2</v>
      </c>
      <c r="AH206" s="33">
        <f t="shared" si="69"/>
        <v>15202.208736</v>
      </c>
      <c r="AI206" s="33">
        <f t="shared" si="70"/>
        <v>13713.694799999997</v>
      </c>
      <c r="AJ206" s="33">
        <f t="shared" si="71"/>
        <v>1488.513936000003</v>
      </c>
    </row>
    <row r="207" spans="1:36" hidden="1" x14ac:dyDescent="0.25">
      <c r="A207" s="12" t="s">
        <v>15</v>
      </c>
      <c r="B207" s="27">
        <v>45362</v>
      </c>
      <c r="C207" s="4">
        <v>45388</v>
      </c>
      <c r="D207" s="12" t="s">
        <v>646</v>
      </c>
      <c r="E207" s="12" t="s">
        <v>650</v>
      </c>
      <c r="F207" s="12" t="s">
        <v>662</v>
      </c>
      <c r="G207" s="12" t="s">
        <v>701</v>
      </c>
      <c r="H207" s="12" t="s">
        <v>707</v>
      </c>
      <c r="I207" s="12" t="s">
        <v>712</v>
      </c>
      <c r="J207" s="12" t="s">
        <v>727</v>
      </c>
      <c r="K207" s="12" t="s">
        <v>734</v>
      </c>
      <c r="L207" s="6">
        <v>279.24</v>
      </c>
      <c r="M207" s="6">
        <v>608.9</v>
      </c>
      <c r="N207" s="6">
        <f t="shared" si="54"/>
        <v>608.9</v>
      </c>
      <c r="O207" s="6" t="str">
        <f t="shared" si="68"/>
        <v>Low</v>
      </c>
      <c r="P207" s="6">
        <v>0.112</v>
      </c>
      <c r="Q207" s="6">
        <f t="shared" si="55"/>
        <v>0.112</v>
      </c>
      <c r="R207" s="6">
        <v>9</v>
      </c>
      <c r="S207" s="6" t="str">
        <f t="shared" si="56"/>
        <v>OK</v>
      </c>
      <c r="T207" s="4">
        <f t="shared" si="57"/>
        <v>45388</v>
      </c>
      <c r="U207" s="11">
        <f t="shared" si="58"/>
        <v>26</v>
      </c>
      <c r="V207" s="6">
        <f t="shared" si="59"/>
        <v>4866.3287999999993</v>
      </c>
      <c r="W207" s="6">
        <f t="shared" si="60"/>
        <v>2513.16</v>
      </c>
      <c r="X207" s="6">
        <f t="shared" si="61"/>
        <v>2353.1687999999995</v>
      </c>
      <c r="Y207" s="6">
        <f t="shared" si="62"/>
        <v>0.48356140670149533</v>
      </c>
      <c r="Z207" s="4" t="str">
        <f t="shared" si="63"/>
        <v>Q1-2024</v>
      </c>
      <c r="AA207" t="str">
        <f t="shared" si="64"/>
        <v>Components</v>
      </c>
      <c r="AB207" t="str">
        <f t="shared" si="65"/>
        <v>Components</v>
      </c>
      <c r="AC207" t="str">
        <f t="shared" si="66"/>
        <v>Compliant</v>
      </c>
      <c r="AD207" t="str">
        <f t="shared" si="67"/>
        <v>Late</v>
      </c>
      <c r="AE207" s="8">
        <f>MIN(Q207,Scenario!$B$2)</f>
        <v>0.112</v>
      </c>
      <c r="AF207" s="33">
        <f>L207*(1+Scenario!$B$3)</f>
        <v>321.12599999999998</v>
      </c>
      <c r="AG207" s="6">
        <f>R207*(1+Scenario!$B$4)</f>
        <v>10.799999999999999</v>
      </c>
      <c r="AH207" s="33">
        <f t="shared" si="69"/>
        <v>5839.5945599999995</v>
      </c>
      <c r="AI207" s="33">
        <f t="shared" si="70"/>
        <v>3468.1607999999992</v>
      </c>
      <c r="AJ207" s="33">
        <f t="shared" si="71"/>
        <v>2371.4337600000003</v>
      </c>
    </row>
    <row r="208" spans="1:36" x14ac:dyDescent="0.25">
      <c r="A208" s="12" t="s">
        <v>288</v>
      </c>
      <c r="B208" s="27">
        <v>45367</v>
      </c>
      <c r="C208" s="4">
        <v>45395</v>
      </c>
      <c r="D208" s="12" t="s">
        <v>649</v>
      </c>
      <c r="E208" s="12" t="s">
        <v>657</v>
      </c>
      <c r="F208" s="12" t="s">
        <v>690</v>
      </c>
      <c r="G208" s="12" t="s">
        <v>705</v>
      </c>
      <c r="H208" s="12" t="s">
        <v>708</v>
      </c>
      <c r="I208" s="12" t="s">
        <v>723</v>
      </c>
      <c r="J208" s="12" t="s">
        <v>728</v>
      </c>
      <c r="K208" s="12" t="s">
        <v>1008</v>
      </c>
      <c r="L208" s="6">
        <v>287.61</v>
      </c>
      <c r="M208" s="6">
        <v>628.54</v>
      </c>
      <c r="N208" s="6">
        <f t="shared" si="54"/>
        <v>628.54</v>
      </c>
      <c r="O208" s="6" t="str">
        <f t="shared" si="68"/>
        <v>Middle</v>
      </c>
      <c r="P208" s="6">
        <v>0.13500000000000001</v>
      </c>
      <c r="Q208" s="6">
        <f t="shared" si="55"/>
        <v>0.13500000000000001</v>
      </c>
      <c r="R208" s="6">
        <v>21</v>
      </c>
      <c r="S208" s="6" t="str">
        <f t="shared" si="56"/>
        <v>OK</v>
      </c>
      <c r="T208" s="4">
        <f t="shared" si="57"/>
        <v>45395</v>
      </c>
      <c r="U208" s="11">
        <f t="shared" si="58"/>
        <v>28</v>
      </c>
      <c r="V208" s="6">
        <f t="shared" si="59"/>
        <v>11417.429099999999</v>
      </c>
      <c r="W208" s="6">
        <f t="shared" si="60"/>
        <v>6039.81</v>
      </c>
      <c r="X208" s="6">
        <f t="shared" si="61"/>
        <v>5377.619099999999</v>
      </c>
      <c r="Y208" s="6">
        <f t="shared" si="62"/>
        <v>0.47100087531964613</v>
      </c>
      <c r="Z208" s="4" t="str">
        <f t="shared" si="63"/>
        <v>Q1-2024</v>
      </c>
      <c r="AA208" t="str">
        <f t="shared" si="64"/>
        <v>Printers</v>
      </c>
      <c r="AB208" t="str">
        <f t="shared" si="65"/>
        <v>Printers</v>
      </c>
      <c r="AC208" t="str">
        <f t="shared" si="66"/>
        <v>Compliant</v>
      </c>
      <c r="AD208" t="str">
        <f t="shared" si="67"/>
        <v>Late</v>
      </c>
      <c r="AE208" s="8">
        <f>MIN(Q208,Scenario!$B$2)</f>
        <v>0.13500000000000001</v>
      </c>
      <c r="AF208" s="33">
        <f>L208*(1+Scenario!$B$3)</f>
        <v>330.75149999999996</v>
      </c>
      <c r="AG208" s="6">
        <f>R208*(1+Scenario!$B$4)</f>
        <v>25.2</v>
      </c>
      <c r="AH208" s="33">
        <f t="shared" si="69"/>
        <v>13700.914919999999</v>
      </c>
      <c r="AI208" s="33">
        <f t="shared" si="70"/>
        <v>8334.9377999999997</v>
      </c>
      <c r="AJ208" s="33">
        <f t="shared" si="71"/>
        <v>5365.9771199999996</v>
      </c>
    </row>
    <row r="209" spans="1:36" hidden="1" x14ac:dyDescent="0.25">
      <c r="A209" s="12" t="s">
        <v>266</v>
      </c>
      <c r="B209" s="27">
        <v>45366</v>
      </c>
      <c r="C209" s="4">
        <v>45391</v>
      </c>
      <c r="D209" s="12" t="s">
        <v>648</v>
      </c>
      <c r="E209" s="12" t="s">
        <v>653</v>
      </c>
      <c r="F209" s="12" t="s">
        <v>688</v>
      </c>
      <c r="G209" s="12" t="s">
        <v>704</v>
      </c>
      <c r="H209" s="12" t="s">
        <v>708</v>
      </c>
      <c r="I209" s="12" t="s">
        <v>721</v>
      </c>
      <c r="J209" s="12" t="s">
        <v>732</v>
      </c>
      <c r="K209" s="12" t="s">
        <v>986</v>
      </c>
      <c r="L209" s="6">
        <v>648.64</v>
      </c>
      <c r="M209" s="6">
        <v>815.19</v>
      </c>
      <c r="N209" s="6">
        <f t="shared" si="54"/>
        <v>815.19</v>
      </c>
      <c r="O209" s="6" t="str">
        <f t="shared" si="68"/>
        <v>Middle</v>
      </c>
      <c r="P209" s="6">
        <v>0.22500000000000001</v>
      </c>
      <c r="Q209" s="6">
        <f t="shared" si="55"/>
        <v>0.22500000000000001</v>
      </c>
      <c r="R209" s="6">
        <v>28</v>
      </c>
      <c r="S209" s="6" t="str">
        <f t="shared" si="56"/>
        <v>OK</v>
      </c>
      <c r="T209" s="4">
        <f t="shared" si="57"/>
        <v>45391</v>
      </c>
      <c r="U209" s="11">
        <f t="shared" si="58"/>
        <v>25</v>
      </c>
      <c r="V209" s="6">
        <f t="shared" si="59"/>
        <v>17689.623</v>
      </c>
      <c r="W209" s="6">
        <f t="shared" si="60"/>
        <v>18161.919999999998</v>
      </c>
      <c r="X209" s="6">
        <f t="shared" si="61"/>
        <v>-472.29699999999866</v>
      </c>
      <c r="Y209" s="6">
        <f t="shared" si="62"/>
        <v>-2.6699099240272032E-2</v>
      </c>
      <c r="Z209" s="4" t="str">
        <f t="shared" si="63"/>
        <v>Q1-2024</v>
      </c>
      <c r="AA209" t="str">
        <f t="shared" si="64"/>
        <v>Monitors</v>
      </c>
      <c r="AB209" t="str">
        <f t="shared" si="65"/>
        <v>Monitors</v>
      </c>
      <c r="AC209" t="str">
        <f t="shared" si="66"/>
        <v>Non-compliant</v>
      </c>
      <c r="AD209" t="str">
        <f t="shared" si="67"/>
        <v>Late</v>
      </c>
      <c r="AE209" s="8">
        <f>MIN(Q209,Scenario!$B$2)</f>
        <v>0.2</v>
      </c>
      <c r="AF209" s="33">
        <f>L209*(1+Scenario!$B$3)</f>
        <v>745.93599999999992</v>
      </c>
      <c r="AG209" s="6">
        <f>R209*(1+Scenario!$B$4)</f>
        <v>33.6</v>
      </c>
      <c r="AH209" s="33">
        <f t="shared" si="69"/>
        <v>21912.307200000003</v>
      </c>
      <c r="AI209" s="33">
        <f t="shared" si="70"/>
        <v>25063.4496</v>
      </c>
      <c r="AJ209" s="33">
        <f t="shared" si="71"/>
        <v>-3151.142399999997</v>
      </c>
    </row>
    <row r="210" spans="1:36" x14ac:dyDescent="0.25">
      <c r="A210" s="12" t="s">
        <v>51</v>
      </c>
      <c r="B210" s="27">
        <v>45358</v>
      </c>
      <c r="C210" s="4">
        <v>45376</v>
      </c>
      <c r="D210" s="12" t="s">
        <v>649</v>
      </c>
      <c r="E210" s="12" t="s">
        <v>656</v>
      </c>
      <c r="F210" s="12" t="s">
        <v>684</v>
      </c>
      <c r="G210" s="12" t="s">
        <v>701</v>
      </c>
      <c r="H210" s="12" t="s">
        <v>708</v>
      </c>
      <c r="I210" s="12" t="s">
        <v>717</v>
      </c>
      <c r="J210" s="12" t="s">
        <v>727</v>
      </c>
      <c r="K210" s="12" t="s">
        <v>770</v>
      </c>
      <c r="L210" s="6">
        <v>712.84</v>
      </c>
      <c r="M210" s="6">
        <v>927.51</v>
      </c>
      <c r="N210" s="6">
        <f t="shared" si="54"/>
        <v>927.51</v>
      </c>
      <c r="O210" s="6" t="str">
        <f t="shared" si="68"/>
        <v>Middle</v>
      </c>
      <c r="P210" s="6">
        <v>0.24299999999999999</v>
      </c>
      <c r="Q210" s="6">
        <f t="shared" si="55"/>
        <v>0.24299999999999999</v>
      </c>
      <c r="R210" s="6">
        <v>27</v>
      </c>
      <c r="S210" s="6" t="str">
        <f t="shared" si="56"/>
        <v>OK</v>
      </c>
      <c r="T210" s="4">
        <f t="shared" si="57"/>
        <v>45376</v>
      </c>
      <c r="U210" s="11">
        <f t="shared" si="58"/>
        <v>18</v>
      </c>
      <c r="V210" s="6">
        <f t="shared" si="59"/>
        <v>18957.37689</v>
      </c>
      <c r="W210" s="6">
        <f t="shared" si="60"/>
        <v>19246.68</v>
      </c>
      <c r="X210" s="6">
        <f t="shared" si="61"/>
        <v>-289.30311000000074</v>
      </c>
      <c r="Y210" s="6">
        <f t="shared" si="62"/>
        <v>-1.5260714163076427E-2</v>
      </c>
      <c r="Z210" s="4" t="str">
        <f t="shared" si="63"/>
        <v>Q1-2024</v>
      </c>
      <c r="AA210" t="str">
        <f t="shared" si="64"/>
        <v>Components</v>
      </c>
      <c r="AB210" t="str">
        <f t="shared" si="65"/>
        <v>Components</v>
      </c>
      <c r="AC210" t="str">
        <f t="shared" si="66"/>
        <v>Non-compliant</v>
      </c>
      <c r="AD210" t="str">
        <f t="shared" si="67"/>
        <v>Late</v>
      </c>
      <c r="AE210" s="8">
        <f>MIN(Q210,Scenario!$B$2)</f>
        <v>0.2</v>
      </c>
      <c r="AF210" s="33">
        <f>L210*(1+Scenario!$B$3)</f>
        <v>819.76599999999996</v>
      </c>
      <c r="AG210" s="6">
        <f>R210*(1+Scenario!$B$4)</f>
        <v>32.4</v>
      </c>
      <c r="AH210" s="33">
        <f t="shared" si="69"/>
        <v>24041.0592</v>
      </c>
      <c r="AI210" s="33">
        <f t="shared" si="70"/>
        <v>26560.418399999999</v>
      </c>
      <c r="AJ210" s="33">
        <f t="shared" si="71"/>
        <v>-2519.359199999999</v>
      </c>
    </row>
    <row r="211" spans="1:36" x14ac:dyDescent="0.25">
      <c r="A211" s="12" t="s">
        <v>476</v>
      </c>
      <c r="B211" s="27">
        <v>45358</v>
      </c>
      <c r="C211" s="4">
        <v>45385</v>
      </c>
      <c r="D211" s="12" t="s">
        <v>649</v>
      </c>
      <c r="E211" s="12" t="s">
        <v>656</v>
      </c>
      <c r="F211" s="12" t="s">
        <v>698</v>
      </c>
      <c r="G211" s="12" t="s">
        <v>701</v>
      </c>
      <c r="H211" s="12" t="s">
        <v>711</v>
      </c>
      <c r="I211" s="12" t="s">
        <v>724</v>
      </c>
      <c r="J211" s="12" t="s">
        <v>728</v>
      </c>
      <c r="K211" s="12" t="s">
        <v>1195</v>
      </c>
      <c r="L211" s="6">
        <v>738.16</v>
      </c>
      <c r="M211" s="6">
        <v>956.49</v>
      </c>
      <c r="N211" s="6">
        <f t="shared" si="54"/>
        <v>956.49</v>
      </c>
      <c r="O211" s="6" t="str">
        <f t="shared" si="68"/>
        <v>Middle</v>
      </c>
      <c r="P211" s="6">
        <v>0.152</v>
      </c>
      <c r="Q211" s="6">
        <f t="shared" si="55"/>
        <v>0.152</v>
      </c>
      <c r="R211" s="6">
        <v>5</v>
      </c>
      <c r="S211" s="6" t="str">
        <f t="shared" si="56"/>
        <v>OK</v>
      </c>
      <c r="T211" s="4">
        <f t="shared" si="57"/>
        <v>45385</v>
      </c>
      <c r="U211" s="11">
        <f t="shared" si="58"/>
        <v>27</v>
      </c>
      <c r="V211" s="6">
        <f t="shared" si="59"/>
        <v>4055.5175999999997</v>
      </c>
      <c r="W211" s="6">
        <f t="shared" si="60"/>
        <v>3690.7999999999997</v>
      </c>
      <c r="X211" s="6">
        <f t="shared" si="61"/>
        <v>364.71759999999995</v>
      </c>
      <c r="Y211" s="6">
        <f t="shared" si="62"/>
        <v>8.9931208780847108E-2</v>
      </c>
      <c r="Z211" s="4" t="str">
        <f t="shared" si="63"/>
        <v>Q1-2024</v>
      </c>
      <c r="AA211" t="str">
        <f t="shared" si="64"/>
        <v>Printers</v>
      </c>
      <c r="AB211" t="str">
        <f t="shared" si="65"/>
        <v>Printers</v>
      </c>
      <c r="AC211" t="str">
        <f t="shared" si="66"/>
        <v>Compliant</v>
      </c>
      <c r="AD211" t="str">
        <f t="shared" si="67"/>
        <v>Late</v>
      </c>
      <c r="AE211" s="8">
        <f>MIN(Q211,Scenario!$B$2)</f>
        <v>0.152</v>
      </c>
      <c r="AF211" s="33">
        <f>L211*(1+Scenario!$B$3)</f>
        <v>848.8839999999999</v>
      </c>
      <c r="AG211" s="6">
        <f>R211*(1+Scenario!$B$4)</f>
        <v>6</v>
      </c>
      <c r="AH211" s="33">
        <f t="shared" si="69"/>
        <v>4866.6211200000007</v>
      </c>
      <c r="AI211" s="33">
        <f t="shared" si="70"/>
        <v>5093.3039999999992</v>
      </c>
      <c r="AJ211" s="33">
        <f t="shared" si="71"/>
        <v>-226.68287999999848</v>
      </c>
    </row>
    <row r="212" spans="1:36" hidden="1" x14ac:dyDescent="0.25">
      <c r="A212" s="12" t="s">
        <v>560</v>
      </c>
      <c r="B212" s="27">
        <v>45355</v>
      </c>
      <c r="C212" s="4">
        <v>45367</v>
      </c>
      <c r="D212" s="12" t="s">
        <v>646</v>
      </c>
      <c r="E212" s="12" t="s">
        <v>661</v>
      </c>
      <c r="F212" s="12" t="s">
        <v>682</v>
      </c>
      <c r="G212" s="12" t="s">
        <v>706</v>
      </c>
      <c r="H212" s="12" t="s">
        <v>710</v>
      </c>
      <c r="I212" s="12" t="s">
        <v>724</v>
      </c>
      <c r="J212" s="12" t="s">
        <v>732</v>
      </c>
      <c r="K212" s="12" t="s">
        <v>1278</v>
      </c>
      <c r="L212" s="6">
        <v>441.08</v>
      </c>
      <c r="M212" s="6">
        <v>1054.29</v>
      </c>
      <c r="N212" s="6">
        <f t="shared" si="54"/>
        <v>1054.29</v>
      </c>
      <c r="O212" s="6" t="str">
        <f t="shared" si="68"/>
        <v>Middle</v>
      </c>
      <c r="P212" s="6">
        <v>0.23699999999999999</v>
      </c>
      <c r="Q212" s="6">
        <f t="shared" si="55"/>
        <v>0.23699999999999999</v>
      </c>
      <c r="R212" s="6">
        <v>6</v>
      </c>
      <c r="S212" s="6" t="str">
        <f t="shared" si="56"/>
        <v>OK</v>
      </c>
      <c r="T212" s="4">
        <f t="shared" si="57"/>
        <v>45367</v>
      </c>
      <c r="U212" s="11">
        <f t="shared" si="58"/>
        <v>12</v>
      </c>
      <c r="V212" s="6">
        <f t="shared" si="59"/>
        <v>4826.5396199999996</v>
      </c>
      <c r="W212" s="6">
        <f t="shared" si="60"/>
        <v>2646.48</v>
      </c>
      <c r="X212" s="6">
        <f t="shared" si="61"/>
        <v>2180.0596199999995</v>
      </c>
      <c r="Y212" s="6">
        <f t="shared" si="62"/>
        <v>0.45168169985932899</v>
      </c>
      <c r="Z212" s="4" t="str">
        <f t="shared" si="63"/>
        <v>Q1-2024</v>
      </c>
      <c r="AA212" t="str">
        <f t="shared" si="64"/>
        <v>Monitors</v>
      </c>
      <c r="AB212" t="str">
        <f t="shared" si="65"/>
        <v>Monitors</v>
      </c>
      <c r="AC212" t="str">
        <f t="shared" si="66"/>
        <v>Non-compliant</v>
      </c>
      <c r="AD212" t="str">
        <f t="shared" si="67"/>
        <v>Late</v>
      </c>
      <c r="AE212" s="8">
        <f>MIN(Q212,Scenario!$B$2)</f>
        <v>0.2</v>
      </c>
      <c r="AF212" s="33">
        <f>L212*(1+Scenario!$B$3)</f>
        <v>507.24199999999996</v>
      </c>
      <c r="AG212" s="6">
        <f>R212*(1+Scenario!$B$4)</f>
        <v>7.1999999999999993</v>
      </c>
      <c r="AH212" s="33">
        <f t="shared" si="69"/>
        <v>6072.7103999999999</v>
      </c>
      <c r="AI212" s="33">
        <f t="shared" si="70"/>
        <v>3652.1423999999993</v>
      </c>
      <c r="AJ212" s="33">
        <f t="shared" si="71"/>
        <v>2420.5680000000007</v>
      </c>
    </row>
    <row r="213" spans="1:36" hidden="1" x14ac:dyDescent="0.25">
      <c r="A213" s="12" t="s">
        <v>377</v>
      </c>
      <c r="B213" s="27">
        <v>45360</v>
      </c>
      <c r="C213" s="4">
        <v>45377</v>
      </c>
      <c r="D213" s="12" t="s">
        <v>647</v>
      </c>
      <c r="E213" s="12" t="s">
        <v>659</v>
      </c>
      <c r="F213" s="12" t="s">
        <v>676</v>
      </c>
      <c r="G213" s="12" t="s">
        <v>706</v>
      </c>
      <c r="H213" s="12" t="s">
        <v>708</v>
      </c>
      <c r="I213" s="12" t="s">
        <v>723</v>
      </c>
      <c r="J213" s="12" t="s">
        <v>732</v>
      </c>
      <c r="K213" s="12" t="s">
        <v>1097</v>
      </c>
      <c r="L213" s="6">
        <v>1029.67</v>
      </c>
      <c r="M213" s="6">
        <v>1118.43</v>
      </c>
      <c r="N213" s="6">
        <f t="shared" si="54"/>
        <v>1118.43</v>
      </c>
      <c r="O213" s="6" t="str">
        <f t="shared" si="68"/>
        <v>Middle</v>
      </c>
      <c r="P213" s="6">
        <v>0.27200000000000002</v>
      </c>
      <c r="Q213" s="6">
        <f t="shared" si="55"/>
        <v>0.27200000000000002</v>
      </c>
      <c r="R213" s="6">
        <v>9</v>
      </c>
      <c r="S213" s="6" t="str">
        <f t="shared" si="56"/>
        <v>OK</v>
      </c>
      <c r="T213" s="4">
        <f t="shared" si="57"/>
        <v>45377</v>
      </c>
      <c r="U213" s="11">
        <f t="shared" si="58"/>
        <v>17</v>
      </c>
      <c r="V213" s="6">
        <f t="shared" si="59"/>
        <v>7327.9533600000004</v>
      </c>
      <c r="W213" s="6">
        <f t="shared" si="60"/>
        <v>9267.0300000000007</v>
      </c>
      <c r="X213" s="6">
        <f t="shared" si="61"/>
        <v>-1939.0766400000002</v>
      </c>
      <c r="Y213" s="6">
        <f t="shared" si="62"/>
        <v>-0.26461367106736061</v>
      </c>
      <c r="Z213" s="4" t="str">
        <f t="shared" si="63"/>
        <v>Q1-2024</v>
      </c>
      <c r="AA213" t="str">
        <f t="shared" si="64"/>
        <v>Monitors</v>
      </c>
      <c r="AB213" t="str">
        <f t="shared" si="65"/>
        <v>Monitors</v>
      </c>
      <c r="AC213" t="str">
        <f t="shared" si="66"/>
        <v>Non-compliant</v>
      </c>
      <c r="AD213" t="str">
        <f t="shared" si="67"/>
        <v>Late</v>
      </c>
      <c r="AE213" s="8">
        <f>MIN(Q213,Scenario!$B$2)</f>
        <v>0.2</v>
      </c>
      <c r="AF213" s="33">
        <f>L213*(1+Scenario!$B$3)</f>
        <v>1184.1205</v>
      </c>
      <c r="AG213" s="6">
        <f>R213*(1+Scenario!$B$4)</f>
        <v>10.799999999999999</v>
      </c>
      <c r="AH213" s="33">
        <f t="shared" si="69"/>
        <v>9663.235200000001</v>
      </c>
      <c r="AI213" s="33">
        <f t="shared" si="70"/>
        <v>12788.501399999999</v>
      </c>
      <c r="AJ213" s="33">
        <f t="shared" si="71"/>
        <v>-3125.2661999999982</v>
      </c>
    </row>
    <row r="214" spans="1:36" hidden="1" x14ac:dyDescent="0.25">
      <c r="A214" s="12" t="s">
        <v>389</v>
      </c>
      <c r="B214" s="27">
        <v>45354</v>
      </c>
      <c r="C214" s="4">
        <v>45370</v>
      </c>
      <c r="D214" s="12" t="s">
        <v>647</v>
      </c>
      <c r="E214" s="12" t="s">
        <v>659</v>
      </c>
      <c r="F214" s="12" t="s">
        <v>699</v>
      </c>
      <c r="G214" s="12" t="s">
        <v>704</v>
      </c>
      <c r="H214" s="12" t="s">
        <v>710</v>
      </c>
      <c r="I214" s="12" t="s">
        <v>715</v>
      </c>
      <c r="J214" s="12" t="s">
        <v>730</v>
      </c>
      <c r="K214" s="12" t="s">
        <v>1109</v>
      </c>
      <c r="L214" s="6">
        <v>988.83</v>
      </c>
      <c r="M214" s="6">
        <v>1206.04</v>
      </c>
      <c r="N214" s="6">
        <f t="shared" si="54"/>
        <v>1206.04</v>
      </c>
      <c r="O214" s="6" t="str">
        <f t="shared" si="68"/>
        <v>Middle</v>
      </c>
      <c r="P214" s="6">
        <v>6.3E-2</v>
      </c>
      <c r="Q214" s="6">
        <f t="shared" si="55"/>
        <v>6.3E-2</v>
      </c>
      <c r="R214" s="6">
        <v>34</v>
      </c>
      <c r="S214" s="6" t="str">
        <f t="shared" si="56"/>
        <v>OK</v>
      </c>
      <c r="T214" s="4">
        <f t="shared" si="57"/>
        <v>45370</v>
      </c>
      <c r="U214" s="11">
        <f t="shared" si="58"/>
        <v>16</v>
      </c>
      <c r="V214" s="6">
        <f t="shared" si="59"/>
        <v>38422.022320000004</v>
      </c>
      <c r="W214" s="6">
        <f t="shared" si="60"/>
        <v>33620.22</v>
      </c>
      <c r="X214" s="6">
        <f t="shared" si="61"/>
        <v>4801.8023200000025</v>
      </c>
      <c r="Y214" s="6">
        <f t="shared" si="62"/>
        <v>0.12497526236406606</v>
      </c>
      <c r="Z214" s="4" t="str">
        <f t="shared" si="63"/>
        <v>Q1-2024</v>
      </c>
      <c r="AA214" t="str">
        <f t="shared" si="64"/>
        <v>Phones</v>
      </c>
      <c r="AB214" t="str">
        <f t="shared" si="65"/>
        <v>Phones</v>
      </c>
      <c r="AC214" t="str">
        <f t="shared" si="66"/>
        <v>Compliant</v>
      </c>
      <c r="AD214" t="str">
        <f t="shared" si="67"/>
        <v>Late</v>
      </c>
      <c r="AE214" s="8">
        <f>MIN(Q214,Scenario!$B$2)</f>
        <v>6.3E-2</v>
      </c>
      <c r="AF214" s="33">
        <f>L214*(1+Scenario!$B$3)</f>
        <v>1137.1544999999999</v>
      </c>
      <c r="AG214" s="6">
        <f>R214*(1+Scenario!$B$4)</f>
        <v>40.799999999999997</v>
      </c>
      <c r="AH214" s="33">
        <f t="shared" si="69"/>
        <v>46106.426783999996</v>
      </c>
      <c r="AI214" s="33">
        <f t="shared" si="70"/>
        <v>46395.903599999991</v>
      </c>
      <c r="AJ214" s="33">
        <f t="shared" si="71"/>
        <v>-289.47681599999487</v>
      </c>
    </row>
    <row r="215" spans="1:36" x14ac:dyDescent="0.25">
      <c r="A215" s="12" t="s">
        <v>85</v>
      </c>
      <c r="B215" s="27">
        <v>45369</v>
      </c>
      <c r="C215" s="4">
        <v>45372</v>
      </c>
      <c r="D215" s="12" t="s">
        <v>649</v>
      </c>
      <c r="E215" s="12" t="s">
        <v>656</v>
      </c>
      <c r="F215" s="12" t="s">
        <v>684</v>
      </c>
      <c r="G215" s="12" t="s">
        <v>705</v>
      </c>
      <c r="H215" s="12" t="s">
        <v>708</v>
      </c>
      <c r="I215" s="12" t="s">
        <v>724</v>
      </c>
      <c r="J215" s="12" t="s">
        <v>733</v>
      </c>
      <c r="K215" s="12" t="s">
        <v>804</v>
      </c>
      <c r="L215" s="6">
        <v>910.63</v>
      </c>
      <c r="M215" s="6">
        <v>1269.4000000000001</v>
      </c>
      <c r="N215" s="6">
        <f t="shared" si="54"/>
        <v>1269.4000000000001</v>
      </c>
      <c r="O215" s="6" t="str">
        <f t="shared" si="68"/>
        <v>High</v>
      </c>
      <c r="P215" s="6">
        <v>6.8000000000000005E-2</v>
      </c>
      <c r="Q215" s="6">
        <f t="shared" si="55"/>
        <v>6.8000000000000005E-2</v>
      </c>
      <c r="R215" s="6">
        <v>9</v>
      </c>
      <c r="S215" s="6" t="str">
        <f t="shared" si="56"/>
        <v>OK</v>
      </c>
      <c r="T215" s="4">
        <f t="shared" si="57"/>
        <v>45372</v>
      </c>
      <c r="U215" s="11">
        <f t="shared" si="58"/>
        <v>3</v>
      </c>
      <c r="V215" s="6">
        <f t="shared" si="59"/>
        <v>10647.727199999999</v>
      </c>
      <c r="W215" s="6">
        <f t="shared" si="60"/>
        <v>8195.67</v>
      </c>
      <c r="X215" s="6">
        <f t="shared" si="61"/>
        <v>2452.0571999999993</v>
      </c>
      <c r="Y215" s="6">
        <f t="shared" si="62"/>
        <v>0.23028925834989455</v>
      </c>
      <c r="Z215" s="4" t="str">
        <f t="shared" si="63"/>
        <v>Q1-2024</v>
      </c>
      <c r="AA215" t="str">
        <f t="shared" si="64"/>
        <v>Accessories</v>
      </c>
      <c r="AB215" t="str">
        <f t="shared" si="65"/>
        <v>Accessories</v>
      </c>
      <c r="AC215" t="str">
        <f t="shared" si="66"/>
        <v>Compliant</v>
      </c>
      <c r="AD215" t="str">
        <f t="shared" si="67"/>
        <v>On-time</v>
      </c>
      <c r="AE215" s="8">
        <f>MIN(Q215,Scenario!$B$2)</f>
        <v>6.8000000000000005E-2</v>
      </c>
      <c r="AF215" s="33">
        <f>L215*(1+Scenario!$B$3)</f>
        <v>1047.2244999999998</v>
      </c>
      <c r="AG215" s="6">
        <f>R215*(1+Scenario!$B$4)</f>
        <v>10.799999999999999</v>
      </c>
      <c r="AH215" s="33">
        <f t="shared" si="69"/>
        <v>12777.272639999999</v>
      </c>
      <c r="AI215" s="33">
        <f t="shared" si="70"/>
        <v>11310.024599999997</v>
      </c>
      <c r="AJ215" s="33">
        <f t="shared" si="71"/>
        <v>1467.2480400000022</v>
      </c>
    </row>
    <row r="216" spans="1:36" x14ac:dyDescent="0.25">
      <c r="A216" s="12" t="s">
        <v>286</v>
      </c>
      <c r="B216" s="27">
        <v>45382</v>
      </c>
      <c r="C216" s="4">
        <v>45399</v>
      </c>
      <c r="D216" s="12" t="s">
        <v>649</v>
      </c>
      <c r="E216" s="12" t="s">
        <v>656</v>
      </c>
      <c r="F216" s="12" t="s">
        <v>698</v>
      </c>
      <c r="G216" s="12" t="s">
        <v>702</v>
      </c>
      <c r="H216" s="12" t="s">
        <v>711</v>
      </c>
      <c r="I216" s="12" t="s">
        <v>722</v>
      </c>
      <c r="J216" s="12" t="s">
        <v>732</v>
      </c>
      <c r="K216" s="12" t="s">
        <v>1006</v>
      </c>
      <c r="L216" s="6">
        <v>1025.51</v>
      </c>
      <c r="M216" s="6">
        <v>1436.54</v>
      </c>
      <c r="N216" s="6">
        <f t="shared" si="54"/>
        <v>1436.54</v>
      </c>
      <c r="O216" s="6" t="str">
        <f t="shared" si="68"/>
        <v>High</v>
      </c>
      <c r="P216" s="6">
        <v>0.13900000000000001</v>
      </c>
      <c r="Q216" s="6">
        <f t="shared" si="55"/>
        <v>0.13900000000000001</v>
      </c>
      <c r="R216" s="6">
        <v>28</v>
      </c>
      <c r="S216" s="6" t="str">
        <f t="shared" si="56"/>
        <v>OK</v>
      </c>
      <c r="T216" s="4">
        <f t="shared" si="57"/>
        <v>45399</v>
      </c>
      <c r="U216" s="11">
        <f t="shared" si="58"/>
        <v>17</v>
      </c>
      <c r="V216" s="6">
        <f t="shared" si="59"/>
        <v>34632.106319999999</v>
      </c>
      <c r="W216" s="6">
        <f t="shared" si="60"/>
        <v>28714.28</v>
      </c>
      <c r="X216" s="6">
        <f t="shared" si="61"/>
        <v>5917.8263200000001</v>
      </c>
      <c r="Y216" s="6">
        <f t="shared" si="62"/>
        <v>0.17087688127656453</v>
      </c>
      <c r="Z216" s="4" t="str">
        <f t="shared" si="63"/>
        <v>Q1-2024</v>
      </c>
      <c r="AA216" t="str">
        <f t="shared" si="64"/>
        <v>Monitors</v>
      </c>
      <c r="AB216" t="str">
        <f t="shared" si="65"/>
        <v>Monitors</v>
      </c>
      <c r="AC216" t="str">
        <f t="shared" si="66"/>
        <v>Compliant</v>
      </c>
      <c r="AD216" t="str">
        <f t="shared" si="67"/>
        <v>Late</v>
      </c>
      <c r="AE216" s="8">
        <f>MIN(Q216,Scenario!$B$2)</f>
        <v>0.13900000000000001</v>
      </c>
      <c r="AF216" s="33">
        <f>L216*(1+Scenario!$B$3)</f>
        <v>1179.3364999999999</v>
      </c>
      <c r="AG216" s="6">
        <f>R216*(1+Scenario!$B$4)</f>
        <v>33.6</v>
      </c>
      <c r="AH216" s="33">
        <f t="shared" si="69"/>
        <v>41558.527583999996</v>
      </c>
      <c r="AI216" s="33">
        <f t="shared" si="70"/>
        <v>39625.706399999995</v>
      </c>
      <c r="AJ216" s="33">
        <f t="shared" si="71"/>
        <v>1932.8211840000004</v>
      </c>
    </row>
    <row r="217" spans="1:36" hidden="1" x14ac:dyDescent="0.25">
      <c r="A217" s="12" t="s">
        <v>572</v>
      </c>
      <c r="B217" s="27">
        <v>45362</v>
      </c>
      <c r="C217" s="4">
        <v>45380</v>
      </c>
      <c r="D217" s="12" t="s">
        <v>648</v>
      </c>
      <c r="E217" s="12" t="s">
        <v>660</v>
      </c>
      <c r="F217" s="12" t="s">
        <v>700</v>
      </c>
      <c r="G217" s="12" t="s">
        <v>701</v>
      </c>
      <c r="H217" s="12" t="s">
        <v>707</v>
      </c>
      <c r="I217" s="12" t="s">
        <v>724</v>
      </c>
      <c r="J217" s="12" t="s">
        <v>732</v>
      </c>
      <c r="K217" s="12" t="s">
        <v>1290</v>
      </c>
      <c r="L217" s="6">
        <v>710.98</v>
      </c>
      <c r="M217" s="6">
        <v>1481.45</v>
      </c>
      <c r="N217" s="6">
        <f t="shared" si="54"/>
        <v>1481.45</v>
      </c>
      <c r="O217" s="6" t="str">
        <f t="shared" si="68"/>
        <v>High</v>
      </c>
      <c r="P217" s="6">
        <v>0.21099999999999999</v>
      </c>
      <c r="Q217" s="6">
        <f t="shared" si="55"/>
        <v>0.21099999999999999</v>
      </c>
      <c r="R217" s="6">
        <v>9</v>
      </c>
      <c r="S217" s="6" t="str">
        <f t="shared" si="56"/>
        <v>OK</v>
      </c>
      <c r="T217" s="4">
        <f t="shared" si="57"/>
        <v>45380</v>
      </c>
      <c r="U217" s="11">
        <f t="shared" si="58"/>
        <v>18</v>
      </c>
      <c r="V217" s="6">
        <f t="shared" si="59"/>
        <v>10519.776450000001</v>
      </c>
      <c r="W217" s="6">
        <f t="shared" si="60"/>
        <v>6398.82</v>
      </c>
      <c r="X217" s="6">
        <f t="shared" si="61"/>
        <v>4120.9564500000015</v>
      </c>
      <c r="Y217" s="6">
        <f t="shared" si="62"/>
        <v>0.39173422264120461</v>
      </c>
      <c r="Z217" s="4" t="str">
        <f t="shared" si="63"/>
        <v>Q1-2024</v>
      </c>
      <c r="AA217" t="str">
        <f t="shared" si="64"/>
        <v>Monitors</v>
      </c>
      <c r="AB217" t="str">
        <f t="shared" si="65"/>
        <v>Monitors</v>
      </c>
      <c r="AC217" t="str">
        <f t="shared" si="66"/>
        <v>Non-compliant</v>
      </c>
      <c r="AD217" t="str">
        <f t="shared" si="67"/>
        <v>Late</v>
      </c>
      <c r="AE217" s="8">
        <f>MIN(Q217,Scenario!$B$2)</f>
        <v>0.2</v>
      </c>
      <c r="AF217" s="33">
        <f>L217*(1+Scenario!$B$3)</f>
        <v>817.62699999999995</v>
      </c>
      <c r="AG217" s="6">
        <f>R217*(1+Scenario!$B$4)</f>
        <v>10.799999999999999</v>
      </c>
      <c r="AH217" s="33">
        <f t="shared" si="69"/>
        <v>12799.727999999999</v>
      </c>
      <c r="AI217" s="33">
        <f t="shared" si="70"/>
        <v>8830.3715999999986</v>
      </c>
      <c r="AJ217" s="33">
        <f t="shared" si="71"/>
        <v>3969.3564000000006</v>
      </c>
    </row>
    <row r="218" spans="1:36" hidden="1" x14ac:dyDescent="0.25">
      <c r="A218" s="12" t="s">
        <v>407</v>
      </c>
      <c r="B218" s="27">
        <v>45360</v>
      </c>
      <c r="C218" s="4">
        <v>45377</v>
      </c>
      <c r="D218" s="12" t="s">
        <v>648</v>
      </c>
      <c r="E218" s="12" t="s">
        <v>660</v>
      </c>
      <c r="F218" s="12" t="s">
        <v>686</v>
      </c>
      <c r="G218" s="12" t="s">
        <v>702</v>
      </c>
      <c r="H218" s="12" t="s">
        <v>711</v>
      </c>
      <c r="I218" s="12" t="s">
        <v>714</v>
      </c>
      <c r="J218" s="12" t="s">
        <v>730</v>
      </c>
      <c r="K218" s="12" t="s">
        <v>1126</v>
      </c>
      <c r="L218" s="6">
        <v>1137.4100000000001</v>
      </c>
      <c r="M218" s="6">
        <v>1680.93</v>
      </c>
      <c r="N218" s="6">
        <f t="shared" si="54"/>
        <v>1680.93</v>
      </c>
      <c r="O218" s="6" t="str">
        <f t="shared" si="68"/>
        <v>High</v>
      </c>
      <c r="P218" s="6">
        <v>0.254</v>
      </c>
      <c r="Q218" s="6">
        <f t="shared" si="55"/>
        <v>0.254</v>
      </c>
      <c r="R218" s="6">
        <v>9</v>
      </c>
      <c r="S218" s="6" t="str">
        <f t="shared" si="56"/>
        <v>OK</v>
      </c>
      <c r="T218" s="4">
        <f t="shared" si="57"/>
        <v>45377</v>
      </c>
      <c r="U218" s="11">
        <f t="shared" si="58"/>
        <v>17</v>
      </c>
      <c r="V218" s="6">
        <f t="shared" si="59"/>
        <v>11285.764020000001</v>
      </c>
      <c r="W218" s="6">
        <f t="shared" si="60"/>
        <v>10236.69</v>
      </c>
      <c r="X218" s="6">
        <f t="shared" si="61"/>
        <v>1049.07402</v>
      </c>
      <c r="Y218" s="6">
        <f t="shared" si="62"/>
        <v>9.2955516183121464E-2</v>
      </c>
      <c r="Z218" s="4" t="str">
        <f t="shared" si="63"/>
        <v>Q1-2024</v>
      </c>
      <c r="AA218" t="str">
        <f t="shared" si="64"/>
        <v>Phones</v>
      </c>
      <c r="AB218" t="str">
        <f t="shared" si="65"/>
        <v>Phones</v>
      </c>
      <c r="AC218" t="str">
        <f t="shared" si="66"/>
        <v>Non-compliant</v>
      </c>
      <c r="AD218" t="str">
        <f t="shared" si="67"/>
        <v>Late</v>
      </c>
      <c r="AE218" s="8">
        <f>MIN(Q218,Scenario!$B$2)</f>
        <v>0.2</v>
      </c>
      <c r="AF218" s="33">
        <f>L218*(1+Scenario!$B$3)</f>
        <v>1308.0215000000001</v>
      </c>
      <c r="AG218" s="6">
        <f>R218*(1+Scenario!$B$4)</f>
        <v>10.799999999999999</v>
      </c>
      <c r="AH218" s="33">
        <f t="shared" si="69"/>
        <v>14523.235199999999</v>
      </c>
      <c r="AI218" s="33">
        <f t="shared" si="70"/>
        <v>14126.6322</v>
      </c>
      <c r="AJ218" s="33">
        <f t="shared" si="71"/>
        <v>396.60299999999916</v>
      </c>
    </row>
    <row r="219" spans="1:36" hidden="1" x14ac:dyDescent="0.25">
      <c r="A219" s="12" t="s">
        <v>601</v>
      </c>
      <c r="B219" s="27">
        <v>45364</v>
      </c>
      <c r="C219" s="4">
        <v>45388</v>
      </c>
      <c r="D219" s="12" t="s">
        <v>646</v>
      </c>
      <c r="E219" s="12" t="s">
        <v>651</v>
      </c>
      <c r="F219" s="12" t="s">
        <v>669</v>
      </c>
      <c r="G219" s="12" t="s">
        <v>704</v>
      </c>
      <c r="H219" s="12" t="s">
        <v>710</v>
      </c>
      <c r="I219" s="12" t="s">
        <v>716</v>
      </c>
      <c r="J219" s="12" t="s">
        <v>727</v>
      </c>
      <c r="K219" s="12" t="s">
        <v>1319</v>
      </c>
      <c r="L219" s="6">
        <v>1232.78</v>
      </c>
      <c r="M219" s="6">
        <v>1731.75</v>
      </c>
      <c r="N219" s="6">
        <f t="shared" si="54"/>
        <v>1731.75</v>
      </c>
      <c r="O219" s="6" t="str">
        <f t="shared" si="68"/>
        <v>High</v>
      </c>
      <c r="P219" s="6">
        <v>9.2999999999999999E-2</v>
      </c>
      <c r="Q219" s="6">
        <f t="shared" si="55"/>
        <v>9.2999999999999999E-2</v>
      </c>
      <c r="R219" s="6">
        <v>16</v>
      </c>
      <c r="S219" s="6" t="str">
        <f t="shared" si="56"/>
        <v>OK</v>
      </c>
      <c r="T219" s="4">
        <f t="shared" si="57"/>
        <v>45388</v>
      </c>
      <c r="U219" s="11">
        <f t="shared" si="58"/>
        <v>24</v>
      </c>
      <c r="V219" s="6">
        <f t="shared" si="59"/>
        <v>25131.155999999999</v>
      </c>
      <c r="W219" s="6">
        <f t="shared" si="60"/>
        <v>19724.48</v>
      </c>
      <c r="X219" s="6">
        <f t="shared" si="61"/>
        <v>5406.6759999999995</v>
      </c>
      <c r="Y219" s="6">
        <f t="shared" si="62"/>
        <v>0.21513837246484005</v>
      </c>
      <c r="Z219" s="4" t="str">
        <f t="shared" si="63"/>
        <v>Q1-2024</v>
      </c>
      <c r="AA219" t="str">
        <f t="shared" si="64"/>
        <v>Components</v>
      </c>
      <c r="AB219" t="str">
        <f t="shared" si="65"/>
        <v>Components</v>
      </c>
      <c r="AC219" t="str">
        <f t="shared" si="66"/>
        <v>Compliant</v>
      </c>
      <c r="AD219" t="str">
        <f t="shared" si="67"/>
        <v>Late</v>
      </c>
      <c r="AE219" s="8">
        <f>MIN(Q219,Scenario!$B$2)</f>
        <v>9.2999999999999999E-2</v>
      </c>
      <c r="AF219" s="33">
        <f>L219*(1+Scenario!$B$3)</f>
        <v>1417.6969999999999</v>
      </c>
      <c r="AG219" s="6">
        <f>R219*(1+Scenario!$B$4)</f>
        <v>19.2</v>
      </c>
      <c r="AH219" s="33">
        <f t="shared" si="69"/>
        <v>30157.387200000001</v>
      </c>
      <c r="AI219" s="33">
        <f t="shared" si="70"/>
        <v>27219.782399999996</v>
      </c>
      <c r="AJ219" s="33">
        <f t="shared" si="71"/>
        <v>2937.6048000000046</v>
      </c>
    </row>
    <row r="220" spans="1:36" x14ac:dyDescent="0.25">
      <c r="A220" s="12" t="s">
        <v>614</v>
      </c>
      <c r="B220" s="27">
        <v>45360</v>
      </c>
      <c r="C220" s="4">
        <v>45373</v>
      </c>
      <c r="D220" s="12" t="s">
        <v>649</v>
      </c>
      <c r="E220" s="12" t="s">
        <v>658</v>
      </c>
      <c r="F220" s="12" t="s">
        <v>693</v>
      </c>
      <c r="G220" s="12" t="s">
        <v>704</v>
      </c>
      <c r="H220" s="12" t="s">
        <v>708</v>
      </c>
      <c r="I220" s="12" t="s">
        <v>718</v>
      </c>
      <c r="J220" s="12" t="s">
        <v>731</v>
      </c>
      <c r="K220" s="12" t="s">
        <v>1332</v>
      </c>
      <c r="L220" s="6">
        <v>985.45</v>
      </c>
      <c r="M220" s="6">
        <v>1802.44</v>
      </c>
      <c r="N220" s="6">
        <f t="shared" si="54"/>
        <v>1802.44</v>
      </c>
      <c r="O220" s="6" t="str">
        <f t="shared" si="68"/>
        <v>High</v>
      </c>
      <c r="P220" s="6">
        <v>8.9999999999999993E-3</v>
      </c>
      <c r="Q220" s="6">
        <f t="shared" si="55"/>
        <v>8.9999999999999993E-3</v>
      </c>
      <c r="R220" s="6">
        <v>19</v>
      </c>
      <c r="S220" s="6" t="str">
        <f t="shared" si="56"/>
        <v>OK</v>
      </c>
      <c r="T220" s="4">
        <f t="shared" si="57"/>
        <v>45373</v>
      </c>
      <c r="U220" s="11">
        <f t="shared" si="58"/>
        <v>13</v>
      </c>
      <c r="V220" s="6">
        <f t="shared" si="59"/>
        <v>33938.142760000002</v>
      </c>
      <c r="W220" s="6">
        <f t="shared" si="60"/>
        <v>18723.55</v>
      </c>
      <c r="X220" s="6">
        <f t="shared" si="61"/>
        <v>15214.592760000003</v>
      </c>
      <c r="Y220" s="6">
        <f t="shared" si="62"/>
        <v>0.44830363486867486</v>
      </c>
      <c r="Z220" s="4" t="str">
        <f t="shared" si="63"/>
        <v>Q1-2024</v>
      </c>
      <c r="AA220" t="str">
        <f t="shared" si="64"/>
        <v>Laptops</v>
      </c>
      <c r="AB220" t="str">
        <f t="shared" si="65"/>
        <v>Laptops</v>
      </c>
      <c r="AC220" t="str">
        <f t="shared" si="66"/>
        <v>Compliant</v>
      </c>
      <c r="AD220" t="str">
        <f t="shared" si="67"/>
        <v>Late</v>
      </c>
      <c r="AE220" s="8">
        <f>MIN(Q220,Scenario!$B$2)</f>
        <v>8.9999999999999993E-3</v>
      </c>
      <c r="AF220" s="33">
        <f>L220*(1+Scenario!$B$3)</f>
        <v>1133.2674999999999</v>
      </c>
      <c r="AG220" s="6">
        <f>R220*(1+Scenario!$B$4)</f>
        <v>22.8</v>
      </c>
      <c r="AH220" s="33">
        <f t="shared" si="69"/>
        <v>40725.771312000004</v>
      </c>
      <c r="AI220" s="33">
        <f t="shared" si="70"/>
        <v>25838.499</v>
      </c>
      <c r="AJ220" s="33">
        <f t="shared" si="71"/>
        <v>14887.272312000005</v>
      </c>
    </row>
    <row r="221" spans="1:36" x14ac:dyDescent="0.25">
      <c r="A221" s="12" t="s">
        <v>75</v>
      </c>
      <c r="B221" s="27">
        <v>45361</v>
      </c>
      <c r="C221" s="4">
        <v>45391</v>
      </c>
      <c r="D221" s="12" t="s">
        <v>649</v>
      </c>
      <c r="E221" s="12" t="s">
        <v>657</v>
      </c>
      <c r="F221" s="12" t="s">
        <v>679</v>
      </c>
      <c r="G221" s="12" t="s">
        <v>701</v>
      </c>
      <c r="H221" s="12" t="s">
        <v>711</v>
      </c>
      <c r="I221" s="12" t="s">
        <v>714</v>
      </c>
      <c r="J221" s="12" t="s">
        <v>727</v>
      </c>
      <c r="K221" s="12" t="s">
        <v>794</v>
      </c>
      <c r="L221" s="6">
        <v>1176.56</v>
      </c>
      <c r="M221" s="6">
        <v>1911.89</v>
      </c>
      <c r="N221" s="6">
        <f t="shared" si="54"/>
        <v>1911.89</v>
      </c>
      <c r="O221" s="6" t="str">
        <f t="shared" si="68"/>
        <v>High</v>
      </c>
      <c r="P221" s="6">
        <v>0.11899999999999999</v>
      </c>
      <c r="Q221" s="6">
        <f t="shared" si="55"/>
        <v>0.11899999999999999</v>
      </c>
      <c r="R221" s="6">
        <v>20</v>
      </c>
      <c r="S221" s="6" t="str">
        <f t="shared" si="56"/>
        <v>OK</v>
      </c>
      <c r="T221" s="4">
        <f t="shared" si="57"/>
        <v>45391</v>
      </c>
      <c r="U221" s="11">
        <f t="shared" si="58"/>
        <v>30</v>
      </c>
      <c r="V221" s="6">
        <f t="shared" si="59"/>
        <v>33687.501800000005</v>
      </c>
      <c r="W221" s="6">
        <f t="shared" si="60"/>
        <v>23531.199999999997</v>
      </c>
      <c r="X221" s="6">
        <f t="shared" si="61"/>
        <v>10156.301800000008</v>
      </c>
      <c r="Y221" s="6">
        <f t="shared" si="62"/>
        <v>0.30148575160892477</v>
      </c>
      <c r="Z221" s="4" t="str">
        <f t="shared" si="63"/>
        <v>Q1-2024</v>
      </c>
      <c r="AA221" t="str">
        <f t="shared" si="64"/>
        <v>Components</v>
      </c>
      <c r="AB221" t="str">
        <f t="shared" si="65"/>
        <v>Components</v>
      </c>
      <c r="AC221" t="str">
        <f t="shared" si="66"/>
        <v>Compliant</v>
      </c>
      <c r="AD221" t="str">
        <f t="shared" si="67"/>
        <v>Late</v>
      </c>
      <c r="AE221" s="8">
        <f>MIN(Q221,Scenario!$B$2)</f>
        <v>0.11899999999999999</v>
      </c>
      <c r="AF221" s="33">
        <f>L221*(1+Scenario!$B$3)</f>
        <v>1353.0439999999999</v>
      </c>
      <c r="AG221" s="6">
        <f>R221*(1+Scenario!$B$4)</f>
        <v>24</v>
      </c>
      <c r="AH221" s="33">
        <f t="shared" si="69"/>
        <v>40425.002160000004</v>
      </c>
      <c r="AI221" s="33">
        <f t="shared" si="70"/>
        <v>32473.055999999997</v>
      </c>
      <c r="AJ221" s="33">
        <f t="shared" si="71"/>
        <v>7951.9461600000068</v>
      </c>
    </row>
    <row r="222" spans="1:36" hidden="1" x14ac:dyDescent="0.25">
      <c r="A222" s="12" t="s">
        <v>290</v>
      </c>
      <c r="B222" s="27">
        <v>45378</v>
      </c>
      <c r="C222" s="4">
        <v>45393</v>
      </c>
      <c r="D222" s="12" t="s">
        <v>648</v>
      </c>
      <c r="E222" s="12" t="s">
        <v>660</v>
      </c>
      <c r="F222" s="12" t="s">
        <v>686</v>
      </c>
      <c r="G222" s="12" t="s">
        <v>705</v>
      </c>
      <c r="H222" s="12" t="s">
        <v>711</v>
      </c>
      <c r="I222" s="12" t="s">
        <v>719</v>
      </c>
      <c r="J222" s="12" t="s">
        <v>729</v>
      </c>
      <c r="K222" s="12" t="s">
        <v>1010</v>
      </c>
      <c r="L222" s="6">
        <v>1338.35</v>
      </c>
      <c r="M222" s="6">
        <v>2247.14</v>
      </c>
      <c r="N222" s="6">
        <f t="shared" si="54"/>
        <v>2247.14</v>
      </c>
      <c r="O222" s="6" t="str">
        <f t="shared" si="68"/>
        <v>High</v>
      </c>
      <c r="P222" s="6">
        <v>0.115</v>
      </c>
      <c r="Q222" s="6">
        <f t="shared" si="55"/>
        <v>0.115</v>
      </c>
      <c r="R222" s="6">
        <v>40</v>
      </c>
      <c r="S222" s="6" t="str">
        <f t="shared" si="56"/>
        <v>OK</v>
      </c>
      <c r="T222" s="4">
        <f t="shared" si="57"/>
        <v>45393</v>
      </c>
      <c r="U222" s="11">
        <f t="shared" si="58"/>
        <v>15</v>
      </c>
      <c r="V222" s="6">
        <f t="shared" si="59"/>
        <v>79548.755999999994</v>
      </c>
      <c r="W222" s="6">
        <f t="shared" si="60"/>
        <v>53534</v>
      </c>
      <c r="X222" s="6">
        <f t="shared" si="61"/>
        <v>26014.755999999994</v>
      </c>
      <c r="Y222" s="6">
        <f t="shared" si="62"/>
        <v>0.32702907384246205</v>
      </c>
      <c r="Z222" s="4" t="str">
        <f t="shared" si="63"/>
        <v>Q1-2024</v>
      </c>
      <c r="AA222" t="str">
        <f t="shared" si="64"/>
        <v>Networking</v>
      </c>
      <c r="AB222" t="str">
        <f t="shared" si="65"/>
        <v>Networking</v>
      </c>
      <c r="AC222" t="str">
        <f t="shared" si="66"/>
        <v>Compliant</v>
      </c>
      <c r="AD222" t="str">
        <f t="shared" si="67"/>
        <v>Late</v>
      </c>
      <c r="AE222" s="8">
        <f>MIN(Q222,Scenario!$B$2)</f>
        <v>0.115</v>
      </c>
      <c r="AF222" s="33">
        <f>L222*(1+Scenario!$B$3)</f>
        <v>1539.1024999999997</v>
      </c>
      <c r="AG222" s="6">
        <f>R222*(1+Scenario!$B$4)</f>
        <v>48</v>
      </c>
      <c r="AH222" s="33">
        <f t="shared" si="69"/>
        <v>95458.507200000007</v>
      </c>
      <c r="AI222" s="33">
        <f t="shared" si="70"/>
        <v>73876.919999999984</v>
      </c>
      <c r="AJ222" s="33">
        <f t="shared" si="71"/>
        <v>21581.587200000024</v>
      </c>
    </row>
    <row r="223" spans="1:36" hidden="1" x14ac:dyDescent="0.25">
      <c r="A223" s="12" t="s">
        <v>50</v>
      </c>
      <c r="B223" s="27">
        <v>45012</v>
      </c>
      <c r="C223" s="4">
        <v>45038</v>
      </c>
      <c r="D223" s="12" t="s">
        <v>647</v>
      </c>
      <c r="E223" s="12" t="s">
        <v>654</v>
      </c>
      <c r="F223" s="12" t="s">
        <v>680</v>
      </c>
      <c r="G223" s="12" t="s">
        <v>703</v>
      </c>
      <c r="H223" s="12" t="s">
        <v>709</v>
      </c>
      <c r="I223" s="12" t="s">
        <v>713</v>
      </c>
      <c r="J223" s="12" t="s">
        <v>728</v>
      </c>
      <c r="K223" s="12" t="s">
        <v>769</v>
      </c>
      <c r="L223" s="6">
        <v>178.53</v>
      </c>
      <c r="M223" s="6">
        <v>199.37</v>
      </c>
      <c r="N223" s="6">
        <f t="shared" si="54"/>
        <v>199.37</v>
      </c>
      <c r="O223" s="6" t="str">
        <f t="shared" si="68"/>
        <v>Low</v>
      </c>
      <c r="P223" s="6">
        <v>0.10100000000000001</v>
      </c>
      <c r="Q223" s="6">
        <f t="shared" si="55"/>
        <v>0.10100000000000001</v>
      </c>
      <c r="R223" s="6">
        <v>37</v>
      </c>
      <c r="S223" s="6" t="str">
        <f t="shared" si="56"/>
        <v>OK</v>
      </c>
      <c r="T223" s="4">
        <f t="shared" si="57"/>
        <v>45038</v>
      </c>
      <c r="U223" s="11">
        <f t="shared" si="58"/>
        <v>26</v>
      </c>
      <c r="V223" s="6">
        <f t="shared" si="59"/>
        <v>6631.6443100000006</v>
      </c>
      <c r="W223" s="6">
        <f t="shared" si="60"/>
        <v>6605.61</v>
      </c>
      <c r="X223" s="6">
        <f t="shared" si="61"/>
        <v>26.034310000000914</v>
      </c>
      <c r="Y223" s="6">
        <f t="shared" si="62"/>
        <v>3.9257699573457538E-3</v>
      </c>
      <c r="Z223" s="4" t="str">
        <f t="shared" si="63"/>
        <v>Q1-2023</v>
      </c>
      <c r="AA223" t="str">
        <f t="shared" si="64"/>
        <v>Printers</v>
      </c>
      <c r="AB223" t="str">
        <f t="shared" si="65"/>
        <v>Printers</v>
      </c>
      <c r="AC223" t="str">
        <f t="shared" si="66"/>
        <v>Compliant</v>
      </c>
      <c r="AD223" t="str">
        <f t="shared" si="67"/>
        <v>Late</v>
      </c>
      <c r="AE223" s="8">
        <f>MIN(Q223,Scenario!$B$2)</f>
        <v>0.10100000000000001</v>
      </c>
      <c r="AF223" s="33">
        <f>L223*(1+Scenario!$B$3)</f>
        <v>205.30949999999999</v>
      </c>
      <c r="AG223" s="6">
        <f>R223*(1+Scenario!$B$4)</f>
        <v>44.4</v>
      </c>
      <c r="AH223" s="33">
        <f t="shared" si="69"/>
        <v>7957.973172</v>
      </c>
      <c r="AI223" s="33">
        <f t="shared" si="70"/>
        <v>9115.7417999999998</v>
      </c>
      <c r="AJ223" s="33">
        <f t="shared" si="71"/>
        <v>-1157.7686279999998</v>
      </c>
    </row>
    <row r="224" spans="1:36" hidden="1" x14ac:dyDescent="0.25">
      <c r="A224" s="12" t="s">
        <v>178</v>
      </c>
      <c r="B224" s="27">
        <v>45010</v>
      </c>
      <c r="C224" s="4">
        <v>45011</v>
      </c>
      <c r="D224" s="12" t="s">
        <v>647</v>
      </c>
      <c r="E224" s="12" t="s">
        <v>652</v>
      </c>
      <c r="F224" s="12" t="s">
        <v>666</v>
      </c>
      <c r="G224" s="12" t="s">
        <v>705</v>
      </c>
      <c r="H224" s="12" t="s">
        <v>710</v>
      </c>
      <c r="I224" s="12" t="s">
        <v>714</v>
      </c>
      <c r="J224" s="12" t="s">
        <v>732</v>
      </c>
      <c r="K224" s="12" t="s">
        <v>897</v>
      </c>
      <c r="L224" s="6">
        <v>135.12</v>
      </c>
      <c r="M224" s="6">
        <v>301.7</v>
      </c>
      <c r="N224" s="6">
        <f t="shared" si="54"/>
        <v>301.7</v>
      </c>
      <c r="O224" s="6" t="str">
        <f t="shared" si="68"/>
        <v>Low</v>
      </c>
      <c r="P224" s="6">
        <v>0.14000000000000001</v>
      </c>
      <c r="Q224" s="6">
        <f t="shared" si="55"/>
        <v>0.14000000000000001</v>
      </c>
      <c r="R224" s="6">
        <v>47</v>
      </c>
      <c r="S224" s="6" t="str">
        <f t="shared" si="56"/>
        <v>OK</v>
      </c>
      <c r="T224" s="4">
        <f t="shared" si="57"/>
        <v>45011</v>
      </c>
      <c r="U224" s="11">
        <f t="shared" si="58"/>
        <v>1</v>
      </c>
      <c r="V224" s="6">
        <f t="shared" si="59"/>
        <v>12194.714</v>
      </c>
      <c r="W224" s="6">
        <f t="shared" si="60"/>
        <v>6350.64</v>
      </c>
      <c r="X224" s="6">
        <f t="shared" si="61"/>
        <v>5844.0739999999996</v>
      </c>
      <c r="Y224" s="6">
        <f t="shared" si="62"/>
        <v>0.47923009920527859</v>
      </c>
      <c r="Z224" s="4" t="str">
        <f t="shared" si="63"/>
        <v>Q1-2023</v>
      </c>
      <c r="AA224" t="str">
        <f t="shared" si="64"/>
        <v>Monitors</v>
      </c>
      <c r="AB224" t="str">
        <f t="shared" si="65"/>
        <v>Monitors</v>
      </c>
      <c r="AC224" t="str">
        <f t="shared" si="66"/>
        <v>Compliant</v>
      </c>
      <c r="AD224" t="str">
        <f t="shared" si="67"/>
        <v>On-time</v>
      </c>
      <c r="AE224" s="8">
        <f>MIN(Q224,Scenario!$B$2)</f>
        <v>0.14000000000000001</v>
      </c>
      <c r="AF224" s="33">
        <f>L224*(1+Scenario!$B$3)</f>
        <v>155.38800000000001</v>
      </c>
      <c r="AG224" s="6">
        <f>R224*(1+Scenario!$B$4)</f>
        <v>56.4</v>
      </c>
      <c r="AH224" s="33">
        <f t="shared" si="69"/>
        <v>14633.656799999997</v>
      </c>
      <c r="AI224" s="33">
        <f t="shared" si="70"/>
        <v>8763.8832000000002</v>
      </c>
      <c r="AJ224" s="33">
        <f t="shared" si="71"/>
        <v>5869.7735999999968</v>
      </c>
    </row>
    <row r="225" spans="1:36" x14ac:dyDescent="0.25">
      <c r="A225" s="12" t="s">
        <v>491</v>
      </c>
      <c r="B225" s="27">
        <v>44999</v>
      </c>
      <c r="C225" s="4">
        <v>45003</v>
      </c>
      <c r="D225" s="12" t="s">
        <v>649</v>
      </c>
      <c r="E225" s="12" t="s">
        <v>656</v>
      </c>
      <c r="F225" s="12" t="s">
        <v>698</v>
      </c>
      <c r="G225" s="12" t="s">
        <v>706</v>
      </c>
      <c r="H225" s="12" t="s">
        <v>711</v>
      </c>
      <c r="I225" s="12" t="s">
        <v>720</v>
      </c>
      <c r="J225" s="12" t="s">
        <v>727</v>
      </c>
      <c r="K225" s="12" t="s">
        <v>1210</v>
      </c>
      <c r="L225" s="6">
        <v>472.33</v>
      </c>
      <c r="M225" s="6">
        <v>360.34</v>
      </c>
      <c r="N225" s="6">
        <f t="shared" si="54"/>
        <v>360.34</v>
      </c>
      <c r="O225" s="6" t="str">
        <f t="shared" si="68"/>
        <v>Low</v>
      </c>
      <c r="P225" s="6">
        <v>0.16500000000000001</v>
      </c>
      <c r="Q225" s="6">
        <f t="shared" si="55"/>
        <v>0.16500000000000001</v>
      </c>
      <c r="R225" s="6">
        <v>14</v>
      </c>
      <c r="S225" s="6" t="str">
        <f t="shared" si="56"/>
        <v>OK</v>
      </c>
      <c r="T225" s="4">
        <f t="shared" si="57"/>
        <v>45003</v>
      </c>
      <c r="U225" s="11">
        <f t="shared" si="58"/>
        <v>4</v>
      </c>
      <c r="V225" s="6">
        <f t="shared" si="59"/>
        <v>4212.3745999999992</v>
      </c>
      <c r="W225" s="6">
        <f t="shared" si="60"/>
        <v>6612.62</v>
      </c>
      <c r="X225" s="6">
        <f t="shared" si="61"/>
        <v>-2400.2454000000007</v>
      </c>
      <c r="Y225" s="6">
        <f t="shared" si="62"/>
        <v>-0.56980815523861561</v>
      </c>
      <c r="Z225" s="4" t="str">
        <f t="shared" si="63"/>
        <v>Q1-2023</v>
      </c>
      <c r="AA225" t="str">
        <f t="shared" si="64"/>
        <v>Components</v>
      </c>
      <c r="AB225" t="str">
        <f t="shared" si="65"/>
        <v>Components</v>
      </c>
      <c r="AC225" t="str">
        <f t="shared" si="66"/>
        <v>Compliant</v>
      </c>
      <c r="AD225" t="str">
        <f t="shared" si="67"/>
        <v>On-time</v>
      </c>
      <c r="AE225" s="8">
        <f>MIN(Q225,Scenario!$B$2)</f>
        <v>0.16500000000000001</v>
      </c>
      <c r="AF225" s="33">
        <f>L225*(1+Scenario!$B$3)</f>
        <v>543.17949999999996</v>
      </c>
      <c r="AG225" s="6">
        <f>R225*(1+Scenario!$B$4)</f>
        <v>16.8</v>
      </c>
      <c r="AH225" s="33">
        <f t="shared" si="69"/>
        <v>5054.8495199999998</v>
      </c>
      <c r="AI225" s="33">
        <f t="shared" si="70"/>
        <v>9125.4156000000003</v>
      </c>
      <c r="AJ225" s="33">
        <f t="shared" si="71"/>
        <v>-4070.5660800000005</v>
      </c>
    </row>
    <row r="226" spans="1:36" hidden="1" x14ac:dyDescent="0.25">
      <c r="A226" s="12" t="s">
        <v>67</v>
      </c>
      <c r="B226" s="27">
        <v>45016</v>
      </c>
      <c r="C226" s="4">
        <v>45021</v>
      </c>
      <c r="D226" s="12" t="s">
        <v>646</v>
      </c>
      <c r="E226" s="12" t="s">
        <v>650</v>
      </c>
      <c r="F226" s="12" t="s">
        <v>678</v>
      </c>
      <c r="G226" s="12" t="s">
        <v>702</v>
      </c>
      <c r="H226" s="12" t="s">
        <v>709</v>
      </c>
      <c r="I226" s="12" t="s">
        <v>717</v>
      </c>
      <c r="J226" s="12" t="s">
        <v>731</v>
      </c>
      <c r="K226" s="12" t="s">
        <v>786</v>
      </c>
      <c r="L226" s="6">
        <v>533.26</v>
      </c>
      <c r="M226" s="6">
        <v>385.72</v>
      </c>
      <c r="N226" s="6">
        <f t="shared" si="54"/>
        <v>385.72</v>
      </c>
      <c r="O226" s="6" t="str">
        <f t="shared" si="68"/>
        <v>Low</v>
      </c>
      <c r="P226" s="6">
        <v>0</v>
      </c>
      <c r="Q226" s="6">
        <f t="shared" si="55"/>
        <v>0</v>
      </c>
      <c r="R226" s="6">
        <v>15</v>
      </c>
      <c r="S226" s="6" t="str">
        <f t="shared" si="56"/>
        <v>OK</v>
      </c>
      <c r="T226" s="4">
        <f t="shared" si="57"/>
        <v>45021</v>
      </c>
      <c r="U226" s="11">
        <f t="shared" si="58"/>
        <v>5</v>
      </c>
      <c r="V226" s="6">
        <f t="shared" si="59"/>
        <v>5785.8</v>
      </c>
      <c r="W226" s="6">
        <f t="shared" si="60"/>
        <v>7998.9</v>
      </c>
      <c r="X226" s="6">
        <f t="shared" si="61"/>
        <v>-2213.0999999999995</v>
      </c>
      <c r="Y226" s="6">
        <f t="shared" si="62"/>
        <v>-0.38250544436378708</v>
      </c>
      <c r="Z226" s="4" t="str">
        <f t="shared" si="63"/>
        <v>Q1-2023</v>
      </c>
      <c r="AA226" t="str">
        <f t="shared" si="64"/>
        <v>Laptops</v>
      </c>
      <c r="AB226" t="str">
        <f t="shared" si="65"/>
        <v>Laptops</v>
      </c>
      <c r="AC226" t="str">
        <f t="shared" si="66"/>
        <v>Compliant</v>
      </c>
      <c r="AD226" t="str">
        <f t="shared" si="67"/>
        <v>On-time</v>
      </c>
      <c r="AE226" s="8">
        <f>MIN(Q226,Scenario!$B$2)</f>
        <v>0</v>
      </c>
      <c r="AF226" s="33">
        <f>L226*(1+Scenario!$B$3)</f>
        <v>613.24899999999991</v>
      </c>
      <c r="AG226" s="6">
        <f>R226*(1+Scenario!$B$4)</f>
        <v>18</v>
      </c>
      <c r="AH226" s="33">
        <f t="shared" si="69"/>
        <v>6942.9600000000009</v>
      </c>
      <c r="AI226" s="33">
        <f t="shared" si="70"/>
        <v>11038.481999999998</v>
      </c>
      <c r="AJ226" s="33">
        <f t="shared" si="71"/>
        <v>-4095.5219999999972</v>
      </c>
    </row>
    <row r="227" spans="1:36" hidden="1" x14ac:dyDescent="0.25">
      <c r="A227" s="12" t="s">
        <v>152</v>
      </c>
      <c r="B227" s="27">
        <v>45016</v>
      </c>
      <c r="C227" s="4">
        <v>45028</v>
      </c>
      <c r="D227" s="12" t="s">
        <v>646</v>
      </c>
      <c r="E227" s="12" t="s">
        <v>650</v>
      </c>
      <c r="F227" s="12" t="s">
        <v>675</v>
      </c>
      <c r="G227" s="12" t="s">
        <v>705</v>
      </c>
      <c r="H227" s="12" t="s">
        <v>708</v>
      </c>
      <c r="I227" s="12" t="s">
        <v>712</v>
      </c>
      <c r="J227" s="12" t="s">
        <v>730</v>
      </c>
      <c r="K227" s="12" t="s">
        <v>871</v>
      </c>
      <c r="L227" s="6">
        <v>304.22000000000003</v>
      </c>
      <c r="M227" s="6">
        <v>393.31</v>
      </c>
      <c r="N227" s="6">
        <f t="shared" si="54"/>
        <v>393.31</v>
      </c>
      <c r="O227" s="6" t="str">
        <f t="shared" si="68"/>
        <v>Low</v>
      </c>
      <c r="P227" s="6">
        <v>0.26500000000000001</v>
      </c>
      <c r="Q227" s="6">
        <f t="shared" si="55"/>
        <v>0.26500000000000001</v>
      </c>
      <c r="R227" s="6">
        <v>15</v>
      </c>
      <c r="S227" s="6" t="str">
        <f t="shared" si="56"/>
        <v>OK</v>
      </c>
      <c r="T227" s="4">
        <f t="shared" si="57"/>
        <v>45028</v>
      </c>
      <c r="U227" s="11">
        <f t="shared" si="58"/>
        <v>12</v>
      </c>
      <c r="V227" s="6">
        <f t="shared" si="59"/>
        <v>4336.2427499999994</v>
      </c>
      <c r="W227" s="6">
        <f t="shared" si="60"/>
        <v>4563.3</v>
      </c>
      <c r="X227" s="6">
        <f t="shared" si="61"/>
        <v>-227.05725000000075</v>
      </c>
      <c r="Y227" s="6">
        <f t="shared" si="62"/>
        <v>-5.2362670424759034E-2</v>
      </c>
      <c r="Z227" s="4" t="str">
        <f t="shared" si="63"/>
        <v>Q1-2023</v>
      </c>
      <c r="AA227" t="str">
        <f t="shared" si="64"/>
        <v>Phones</v>
      </c>
      <c r="AB227" t="str">
        <f t="shared" si="65"/>
        <v>Phones</v>
      </c>
      <c r="AC227" t="str">
        <f t="shared" si="66"/>
        <v>Non-compliant</v>
      </c>
      <c r="AD227" t="str">
        <f t="shared" si="67"/>
        <v>Late</v>
      </c>
      <c r="AE227" s="8">
        <f>MIN(Q227,Scenario!$B$2)</f>
        <v>0.2</v>
      </c>
      <c r="AF227" s="33">
        <f>L227*(1+Scenario!$B$3)</f>
        <v>349.85300000000001</v>
      </c>
      <c r="AG227" s="6">
        <f>R227*(1+Scenario!$B$4)</f>
        <v>18</v>
      </c>
      <c r="AH227" s="33">
        <f t="shared" si="69"/>
        <v>5663.6640000000007</v>
      </c>
      <c r="AI227" s="33">
        <f t="shared" si="70"/>
        <v>6297.3540000000003</v>
      </c>
      <c r="AJ227" s="33">
        <f t="shared" si="71"/>
        <v>-633.6899999999996</v>
      </c>
    </row>
    <row r="228" spans="1:36" hidden="1" x14ac:dyDescent="0.25">
      <c r="A228" s="12" t="s">
        <v>265</v>
      </c>
      <c r="B228" s="27">
        <v>44989</v>
      </c>
      <c r="C228" s="4">
        <v>45009</v>
      </c>
      <c r="D228" s="12" t="s">
        <v>648</v>
      </c>
      <c r="E228" s="12" t="s">
        <v>653</v>
      </c>
      <c r="F228" s="12" t="s">
        <v>681</v>
      </c>
      <c r="G228" s="12" t="s">
        <v>704</v>
      </c>
      <c r="H228" s="12" t="s">
        <v>710</v>
      </c>
      <c r="I228" s="12" t="s">
        <v>714</v>
      </c>
      <c r="J228" s="12" t="s">
        <v>731</v>
      </c>
      <c r="K228" s="12" t="s">
        <v>985</v>
      </c>
      <c r="L228" s="6">
        <v>481.71</v>
      </c>
      <c r="M228" s="6">
        <v>912.45</v>
      </c>
      <c r="N228" s="6">
        <f t="shared" si="54"/>
        <v>912.45</v>
      </c>
      <c r="O228" s="6" t="str">
        <f t="shared" si="68"/>
        <v>Middle</v>
      </c>
      <c r="P228" s="6">
        <v>0.20300000000000001</v>
      </c>
      <c r="Q228" s="6">
        <f t="shared" si="55"/>
        <v>0.20300000000000001</v>
      </c>
      <c r="R228" s="6">
        <v>24</v>
      </c>
      <c r="S228" s="6" t="str">
        <f t="shared" si="56"/>
        <v>OK</v>
      </c>
      <c r="T228" s="4">
        <f t="shared" si="57"/>
        <v>45009</v>
      </c>
      <c r="U228" s="11">
        <f t="shared" si="58"/>
        <v>20</v>
      </c>
      <c r="V228" s="6">
        <f t="shared" si="59"/>
        <v>17453.3436</v>
      </c>
      <c r="W228" s="6">
        <f t="shared" si="60"/>
        <v>11561.039999999999</v>
      </c>
      <c r="X228" s="6">
        <f t="shared" si="61"/>
        <v>5892.3036000000011</v>
      </c>
      <c r="Y228" s="6">
        <f t="shared" si="62"/>
        <v>0.33760313983619739</v>
      </c>
      <c r="Z228" s="4" t="str">
        <f t="shared" si="63"/>
        <v>Q1-2023</v>
      </c>
      <c r="AA228" t="str">
        <f t="shared" si="64"/>
        <v>Laptops</v>
      </c>
      <c r="AB228" t="str">
        <f t="shared" si="65"/>
        <v>Laptops</v>
      </c>
      <c r="AC228" t="str">
        <f t="shared" si="66"/>
        <v>Non-compliant</v>
      </c>
      <c r="AD228" t="str">
        <f t="shared" si="67"/>
        <v>Late</v>
      </c>
      <c r="AE228" s="8">
        <f>MIN(Q228,Scenario!$B$2)</f>
        <v>0.2</v>
      </c>
      <c r="AF228" s="33">
        <f>L228*(1+Scenario!$B$3)</f>
        <v>553.96649999999988</v>
      </c>
      <c r="AG228" s="6">
        <f>R228*(1+Scenario!$B$4)</f>
        <v>28.799999999999997</v>
      </c>
      <c r="AH228" s="33">
        <f t="shared" si="69"/>
        <v>21022.847999999998</v>
      </c>
      <c r="AI228" s="33">
        <f t="shared" si="70"/>
        <v>15954.235199999996</v>
      </c>
      <c r="AJ228" s="33">
        <f t="shared" si="71"/>
        <v>5068.6128000000026</v>
      </c>
    </row>
    <row r="229" spans="1:36" hidden="1" x14ac:dyDescent="0.25">
      <c r="A229" s="12" t="s">
        <v>243</v>
      </c>
      <c r="B229" s="27">
        <v>44992</v>
      </c>
      <c r="C229" s="4">
        <v>45017</v>
      </c>
      <c r="D229" s="12" t="s">
        <v>646</v>
      </c>
      <c r="E229" s="12" t="s">
        <v>650</v>
      </c>
      <c r="F229" s="12" t="s">
        <v>664</v>
      </c>
      <c r="G229" s="12" t="s">
        <v>704</v>
      </c>
      <c r="H229" s="12" t="s">
        <v>709</v>
      </c>
      <c r="I229" s="12" t="s">
        <v>726</v>
      </c>
      <c r="J229" s="12" t="s">
        <v>728</v>
      </c>
      <c r="K229" s="12" t="s">
        <v>963</v>
      </c>
      <c r="L229" s="6">
        <v>1024.0999999999999</v>
      </c>
      <c r="M229" s="6">
        <v>918.19</v>
      </c>
      <c r="N229" s="6">
        <f t="shared" si="54"/>
        <v>918.19</v>
      </c>
      <c r="O229" s="6" t="str">
        <f t="shared" si="68"/>
        <v>Middle</v>
      </c>
      <c r="P229" s="6">
        <v>0.189</v>
      </c>
      <c r="Q229" s="6">
        <f t="shared" si="55"/>
        <v>0.189</v>
      </c>
      <c r="R229" s="6">
        <v>10</v>
      </c>
      <c r="S229" s="6" t="str">
        <f t="shared" si="56"/>
        <v>OK</v>
      </c>
      <c r="T229" s="4">
        <f t="shared" si="57"/>
        <v>45017</v>
      </c>
      <c r="U229" s="11">
        <f t="shared" si="58"/>
        <v>25</v>
      </c>
      <c r="V229" s="6">
        <f t="shared" si="59"/>
        <v>7446.5209000000004</v>
      </c>
      <c r="W229" s="6">
        <f t="shared" si="60"/>
        <v>10241</v>
      </c>
      <c r="X229" s="6">
        <f t="shared" si="61"/>
        <v>-2794.4790999999996</v>
      </c>
      <c r="Y229" s="6">
        <f t="shared" si="62"/>
        <v>-0.37527311579827827</v>
      </c>
      <c r="Z229" s="4" t="str">
        <f t="shared" si="63"/>
        <v>Q1-2023</v>
      </c>
      <c r="AA229" t="str">
        <f t="shared" si="64"/>
        <v>Printers</v>
      </c>
      <c r="AB229" t="str">
        <f t="shared" si="65"/>
        <v>Printers</v>
      </c>
      <c r="AC229" t="str">
        <f t="shared" si="66"/>
        <v>Compliant</v>
      </c>
      <c r="AD229" t="str">
        <f t="shared" si="67"/>
        <v>Late</v>
      </c>
      <c r="AE229" s="8">
        <f>MIN(Q229,Scenario!$B$2)</f>
        <v>0.189</v>
      </c>
      <c r="AF229" s="33">
        <f>L229*(1+Scenario!$B$3)</f>
        <v>1177.7149999999997</v>
      </c>
      <c r="AG229" s="6">
        <f>R229*(1+Scenario!$B$4)</f>
        <v>12</v>
      </c>
      <c r="AH229" s="33">
        <f t="shared" si="69"/>
        <v>8935.8250800000005</v>
      </c>
      <c r="AI229" s="33">
        <f t="shared" si="70"/>
        <v>14132.579999999996</v>
      </c>
      <c r="AJ229" s="33">
        <f t="shared" si="71"/>
        <v>-5196.7549199999958</v>
      </c>
    </row>
    <row r="230" spans="1:36" x14ac:dyDescent="0.25">
      <c r="A230" s="12" t="s">
        <v>426</v>
      </c>
      <c r="B230" s="27">
        <v>45002</v>
      </c>
      <c r="C230" s="4">
        <v>45022</v>
      </c>
      <c r="D230" s="12" t="s">
        <v>649</v>
      </c>
      <c r="E230" s="12" t="s">
        <v>656</v>
      </c>
      <c r="F230" s="12" t="s">
        <v>684</v>
      </c>
      <c r="G230" s="12" t="s">
        <v>704</v>
      </c>
      <c r="H230" s="12" t="s">
        <v>707</v>
      </c>
      <c r="I230" s="12" t="s">
        <v>719</v>
      </c>
      <c r="J230" s="12" t="s">
        <v>730</v>
      </c>
      <c r="K230" s="12" t="s">
        <v>1145</v>
      </c>
      <c r="L230" s="6">
        <v>692.18</v>
      </c>
      <c r="M230" s="6">
        <v>1159.3499999999999</v>
      </c>
      <c r="N230" s="6">
        <f t="shared" si="54"/>
        <v>1159.3499999999999</v>
      </c>
      <c r="O230" s="6" t="str">
        <f t="shared" si="68"/>
        <v>Middle</v>
      </c>
      <c r="P230" s="6">
        <v>0.112</v>
      </c>
      <c r="Q230" s="6">
        <f t="shared" si="55"/>
        <v>0.112</v>
      </c>
      <c r="R230" s="6">
        <v>2</v>
      </c>
      <c r="S230" s="6" t="str">
        <f t="shared" si="56"/>
        <v>OK</v>
      </c>
      <c r="T230" s="4">
        <f t="shared" si="57"/>
        <v>45022</v>
      </c>
      <c r="U230" s="11">
        <f t="shared" si="58"/>
        <v>20</v>
      </c>
      <c r="V230" s="6">
        <f t="shared" si="59"/>
        <v>2059.0056</v>
      </c>
      <c r="W230" s="6">
        <f t="shared" si="60"/>
        <v>1384.36</v>
      </c>
      <c r="X230" s="6">
        <f t="shared" si="61"/>
        <v>674.64560000000006</v>
      </c>
      <c r="Y230" s="6">
        <f t="shared" si="62"/>
        <v>0.32765602968734037</v>
      </c>
      <c r="Z230" s="4" t="str">
        <f t="shared" si="63"/>
        <v>Q1-2023</v>
      </c>
      <c r="AA230" t="str">
        <f t="shared" si="64"/>
        <v>Phones</v>
      </c>
      <c r="AB230" t="str">
        <f t="shared" si="65"/>
        <v>Phones</v>
      </c>
      <c r="AC230" t="str">
        <f t="shared" si="66"/>
        <v>Compliant</v>
      </c>
      <c r="AD230" t="str">
        <f t="shared" si="67"/>
        <v>Late</v>
      </c>
      <c r="AE230" s="8">
        <f>MIN(Q230,Scenario!$B$2)</f>
        <v>0.112</v>
      </c>
      <c r="AF230" s="33">
        <f>L230*(1+Scenario!$B$3)</f>
        <v>796.00699999999983</v>
      </c>
      <c r="AG230" s="6">
        <f>R230*(1+Scenario!$B$4)</f>
        <v>2.4</v>
      </c>
      <c r="AH230" s="33">
        <f t="shared" si="69"/>
        <v>2470.8067199999996</v>
      </c>
      <c r="AI230" s="33">
        <f t="shared" si="70"/>
        <v>1910.4167999999995</v>
      </c>
      <c r="AJ230" s="33">
        <f t="shared" si="71"/>
        <v>560.38992000000007</v>
      </c>
    </row>
    <row r="231" spans="1:36" hidden="1" x14ac:dyDescent="0.25">
      <c r="A231" s="12" t="s">
        <v>333</v>
      </c>
      <c r="B231" s="27">
        <v>45008</v>
      </c>
      <c r="C231" s="4">
        <v>45031</v>
      </c>
      <c r="D231" s="12" t="s">
        <v>646</v>
      </c>
      <c r="E231" s="12" t="s">
        <v>650</v>
      </c>
      <c r="F231" s="12" t="s">
        <v>675</v>
      </c>
      <c r="G231" s="12" t="s">
        <v>705</v>
      </c>
      <c r="H231" s="12" t="s">
        <v>707</v>
      </c>
      <c r="I231" s="12" t="s">
        <v>712</v>
      </c>
      <c r="J231" s="12" t="s">
        <v>733</v>
      </c>
      <c r="K231" s="12" t="s">
        <v>1053</v>
      </c>
      <c r="L231" s="6">
        <v>875.36</v>
      </c>
      <c r="M231" s="6">
        <v>1178.6199999999999</v>
      </c>
      <c r="N231" s="6">
        <f t="shared" si="54"/>
        <v>1178.6199999999999</v>
      </c>
      <c r="O231" s="6" t="str">
        <f t="shared" si="68"/>
        <v>Middle</v>
      </c>
      <c r="P231" s="6">
        <v>0.151</v>
      </c>
      <c r="Q231" s="6">
        <f t="shared" si="55"/>
        <v>0.151</v>
      </c>
      <c r="R231" s="6">
        <v>53</v>
      </c>
      <c r="S231" s="6" t="str">
        <f t="shared" si="56"/>
        <v>OK</v>
      </c>
      <c r="T231" s="4">
        <f t="shared" si="57"/>
        <v>45031</v>
      </c>
      <c r="U231" s="11">
        <f t="shared" si="58"/>
        <v>23</v>
      </c>
      <c r="V231" s="6">
        <f t="shared" si="59"/>
        <v>53034.364139999991</v>
      </c>
      <c r="W231" s="6">
        <f t="shared" si="60"/>
        <v>46394.080000000002</v>
      </c>
      <c r="X231" s="6">
        <f t="shared" si="61"/>
        <v>6640.2841399999888</v>
      </c>
      <c r="Y231" s="6">
        <f t="shared" si="62"/>
        <v>0.12520719815685888</v>
      </c>
      <c r="Z231" s="4" t="str">
        <f t="shared" si="63"/>
        <v>Q1-2023</v>
      </c>
      <c r="AA231" t="str">
        <f t="shared" si="64"/>
        <v>Accessories</v>
      </c>
      <c r="AB231" t="str">
        <f t="shared" si="65"/>
        <v>Accessories</v>
      </c>
      <c r="AC231" t="str">
        <f t="shared" si="66"/>
        <v>Compliant</v>
      </c>
      <c r="AD231" t="str">
        <f t="shared" si="67"/>
        <v>Late</v>
      </c>
      <c r="AE231" s="8">
        <f>MIN(Q231,Scenario!$B$2)</f>
        <v>0.151</v>
      </c>
      <c r="AF231" s="33">
        <f>L231*(1+Scenario!$B$3)</f>
        <v>1006.664</v>
      </c>
      <c r="AG231" s="6">
        <f>R231*(1+Scenario!$B$4)</f>
        <v>63.599999999999994</v>
      </c>
      <c r="AH231" s="33">
        <f t="shared" si="69"/>
        <v>63641.23696799999</v>
      </c>
      <c r="AI231" s="33">
        <f t="shared" si="70"/>
        <v>64023.830399999992</v>
      </c>
      <c r="AJ231" s="33">
        <f t="shared" si="71"/>
        <v>-382.59343200000148</v>
      </c>
    </row>
    <row r="232" spans="1:36" x14ac:dyDescent="0.25">
      <c r="A232" s="12" t="s">
        <v>81</v>
      </c>
      <c r="B232" s="27">
        <v>45004</v>
      </c>
      <c r="C232" s="4">
        <v>45025</v>
      </c>
      <c r="D232" s="12" t="s">
        <v>649</v>
      </c>
      <c r="E232" s="12" t="s">
        <v>658</v>
      </c>
      <c r="F232" s="12" t="s">
        <v>693</v>
      </c>
      <c r="G232" s="12" t="s">
        <v>704</v>
      </c>
      <c r="H232" s="12" t="s">
        <v>707</v>
      </c>
      <c r="I232" s="12" t="s">
        <v>716</v>
      </c>
      <c r="J232" s="12" t="s">
        <v>733</v>
      </c>
      <c r="K232" s="12" t="s">
        <v>800</v>
      </c>
      <c r="L232" s="6">
        <v>1082.17</v>
      </c>
      <c r="M232" s="6">
        <v>1234.0999999999999</v>
      </c>
      <c r="N232" s="6">
        <f t="shared" si="54"/>
        <v>1234.0999999999999</v>
      </c>
      <c r="O232" s="6" t="str">
        <f t="shared" si="68"/>
        <v>High</v>
      </c>
      <c r="P232" s="6">
        <v>0.189</v>
      </c>
      <c r="Q232" s="6">
        <f t="shared" si="55"/>
        <v>0.189</v>
      </c>
      <c r="R232" s="6">
        <v>16</v>
      </c>
      <c r="S232" s="6" t="str">
        <f t="shared" si="56"/>
        <v>OK</v>
      </c>
      <c r="T232" s="4">
        <f t="shared" si="57"/>
        <v>45025</v>
      </c>
      <c r="U232" s="11">
        <f t="shared" si="58"/>
        <v>21</v>
      </c>
      <c r="V232" s="6">
        <f t="shared" si="59"/>
        <v>16013.681599999998</v>
      </c>
      <c r="W232" s="6">
        <f t="shared" si="60"/>
        <v>17314.72</v>
      </c>
      <c r="X232" s="6">
        <f t="shared" si="61"/>
        <v>-1301.0384000000031</v>
      </c>
      <c r="Y232" s="6">
        <f t="shared" si="62"/>
        <v>-8.124542703534228E-2</v>
      </c>
      <c r="Z232" s="4" t="str">
        <f t="shared" si="63"/>
        <v>Q1-2023</v>
      </c>
      <c r="AA232" t="str">
        <f t="shared" si="64"/>
        <v>Accessories</v>
      </c>
      <c r="AB232" t="str">
        <f t="shared" si="65"/>
        <v>Accessories</v>
      </c>
      <c r="AC232" t="str">
        <f t="shared" si="66"/>
        <v>Compliant</v>
      </c>
      <c r="AD232" t="str">
        <f t="shared" si="67"/>
        <v>Late</v>
      </c>
      <c r="AE232" s="8">
        <f>MIN(Q232,Scenario!$B$2)</f>
        <v>0.189</v>
      </c>
      <c r="AF232" s="33">
        <f>L232*(1+Scenario!$B$3)</f>
        <v>1244.4955</v>
      </c>
      <c r="AG232" s="6">
        <f>R232*(1+Scenario!$B$4)</f>
        <v>19.2</v>
      </c>
      <c r="AH232" s="33">
        <f t="shared" si="69"/>
        <v>19216.417919999996</v>
      </c>
      <c r="AI232" s="33">
        <f t="shared" si="70"/>
        <v>23894.313599999998</v>
      </c>
      <c r="AJ232" s="33">
        <f t="shared" si="71"/>
        <v>-4677.8956800000014</v>
      </c>
    </row>
    <row r="233" spans="1:36" hidden="1" x14ac:dyDescent="0.25">
      <c r="A233" s="12" t="s">
        <v>248</v>
      </c>
      <c r="B233" s="27">
        <v>44999</v>
      </c>
      <c r="C233" s="4">
        <v>45015</v>
      </c>
      <c r="D233" s="12" t="s">
        <v>646</v>
      </c>
      <c r="E233" s="12" t="s">
        <v>661</v>
      </c>
      <c r="F233" s="12" t="s">
        <v>695</v>
      </c>
      <c r="G233" s="12" t="s">
        <v>704</v>
      </c>
      <c r="H233" s="12" t="s">
        <v>710</v>
      </c>
      <c r="I233" s="12" t="s">
        <v>723</v>
      </c>
      <c r="J233" s="12" t="s">
        <v>727</v>
      </c>
      <c r="K233" s="12" t="s">
        <v>968</v>
      </c>
      <c r="L233" s="6">
        <v>1309.77</v>
      </c>
      <c r="M233" s="6">
        <v>1589.07</v>
      </c>
      <c r="N233" s="6">
        <f t="shared" si="54"/>
        <v>1589.07</v>
      </c>
      <c r="O233" s="6" t="str">
        <f t="shared" si="68"/>
        <v>High</v>
      </c>
      <c r="P233" s="6">
        <v>0.10199999999999999</v>
      </c>
      <c r="Q233" s="6">
        <f t="shared" si="55"/>
        <v>0.10199999999999999</v>
      </c>
      <c r="R233" s="6">
        <v>10</v>
      </c>
      <c r="S233" s="6" t="str">
        <f t="shared" si="56"/>
        <v>OK</v>
      </c>
      <c r="T233" s="4">
        <f t="shared" si="57"/>
        <v>45015</v>
      </c>
      <c r="U233" s="11">
        <f t="shared" si="58"/>
        <v>16</v>
      </c>
      <c r="V233" s="6">
        <f t="shared" si="59"/>
        <v>14269.848599999999</v>
      </c>
      <c r="W233" s="6">
        <f t="shared" si="60"/>
        <v>13097.7</v>
      </c>
      <c r="X233" s="6">
        <f t="shared" si="61"/>
        <v>1172.1485999999986</v>
      </c>
      <c r="Y233" s="6">
        <f t="shared" si="62"/>
        <v>8.2141628328137886E-2</v>
      </c>
      <c r="Z233" s="4" t="str">
        <f t="shared" si="63"/>
        <v>Q1-2023</v>
      </c>
      <c r="AA233" t="str">
        <f t="shared" si="64"/>
        <v>Components</v>
      </c>
      <c r="AB233" t="str">
        <f t="shared" si="65"/>
        <v>Components</v>
      </c>
      <c r="AC233" t="str">
        <f t="shared" si="66"/>
        <v>Compliant</v>
      </c>
      <c r="AD233" t="str">
        <f t="shared" si="67"/>
        <v>Late</v>
      </c>
      <c r="AE233" s="8">
        <f>MIN(Q233,Scenario!$B$2)</f>
        <v>0.10199999999999999</v>
      </c>
      <c r="AF233" s="33">
        <f>L233*(1+Scenario!$B$3)</f>
        <v>1506.2354999999998</v>
      </c>
      <c r="AG233" s="6">
        <f>R233*(1+Scenario!$B$4)</f>
        <v>12</v>
      </c>
      <c r="AH233" s="33">
        <f t="shared" si="69"/>
        <v>17123.818320000002</v>
      </c>
      <c r="AI233" s="33">
        <f t="shared" si="70"/>
        <v>18074.825999999997</v>
      </c>
      <c r="AJ233" s="33">
        <f t="shared" si="71"/>
        <v>-951.00767999999516</v>
      </c>
    </row>
    <row r="234" spans="1:36" hidden="1" x14ac:dyDescent="0.25">
      <c r="A234" s="12" t="s">
        <v>391</v>
      </c>
      <c r="B234" s="27">
        <v>44998</v>
      </c>
      <c r="C234" s="4">
        <v>45020</v>
      </c>
      <c r="D234" s="12" t="s">
        <v>646</v>
      </c>
      <c r="E234" s="12" t="s">
        <v>661</v>
      </c>
      <c r="F234" s="12" t="s">
        <v>687</v>
      </c>
      <c r="G234" s="12" t="s">
        <v>705</v>
      </c>
      <c r="H234" s="12" t="s">
        <v>707</v>
      </c>
      <c r="I234" s="12" t="s">
        <v>720</v>
      </c>
      <c r="J234" s="12" t="s">
        <v>727</v>
      </c>
      <c r="K234" s="12" t="s">
        <v>1111</v>
      </c>
      <c r="L234" s="6">
        <v>1113.7</v>
      </c>
      <c r="M234" s="6">
        <v>1620.6</v>
      </c>
      <c r="N234" s="6">
        <f t="shared" si="54"/>
        <v>1620.6</v>
      </c>
      <c r="O234" s="6" t="str">
        <f t="shared" si="68"/>
        <v>High</v>
      </c>
      <c r="P234" s="6">
        <v>0.13900000000000001</v>
      </c>
      <c r="Q234" s="6">
        <f t="shared" si="55"/>
        <v>0.13900000000000001</v>
      </c>
      <c r="R234" s="6">
        <v>11</v>
      </c>
      <c r="S234" s="6" t="str">
        <f t="shared" si="56"/>
        <v>OK</v>
      </c>
      <c r="T234" s="4">
        <f t="shared" si="57"/>
        <v>45020</v>
      </c>
      <c r="U234" s="11">
        <f t="shared" si="58"/>
        <v>22</v>
      </c>
      <c r="V234" s="6">
        <f t="shared" si="59"/>
        <v>15348.702599999999</v>
      </c>
      <c r="W234" s="6">
        <f t="shared" si="60"/>
        <v>12250.7</v>
      </c>
      <c r="X234" s="6">
        <f t="shared" si="61"/>
        <v>3098.002599999998</v>
      </c>
      <c r="Y234" s="6">
        <f t="shared" si="62"/>
        <v>0.20184133348182787</v>
      </c>
      <c r="Z234" s="4" t="str">
        <f t="shared" si="63"/>
        <v>Q1-2023</v>
      </c>
      <c r="AA234" t="str">
        <f t="shared" si="64"/>
        <v>Components</v>
      </c>
      <c r="AB234" t="str">
        <f t="shared" si="65"/>
        <v>Components</v>
      </c>
      <c r="AC234" t="str">
        <f t="shared" si="66"/>
        <v>Compliant</v>
      </c>
      <c r="AD234" t="str">
        <f t="shared" si="67"/>
        <v>Late</v>
      </c>
      <c r="AE234" s="8">
        <f>MIN(Q234,Scenario!$B$2)</f>
        <v>0.13900000000000001</v>
      </c>
      <c r="AF234" s="33">
        <f>L234*(1+Scenario!$B$3)</f>
        <v>1280.7549999999999</v>
      </c>
      <c r="AG234" s="6">
        <f>R234*(1+Scenario!$B$4)</f>
        <v>13.2</v>
      </c>
      <c r="AH234" s="33">
        <f t="shared" si="69"/>
        <v>18418.44312</v>
      </c>
      <c r="AI234" s="33">
        <f t="shared" si="70"/>
        <v>16905.965999999997</v>
      </c>
      <c r="AJ234" s="33">
        <f t="shared" si="71"/>
        <v>1512.4771200000032</v>
      </c>
    </row>
    <row r="235" spans="1:36" hidden="1" x14ac:dyDescent="0.25">
      <c r="A235" s="12" t="s">
        <v>566</v>
      </c>
      <c r="B235" s="27">
        <v>44988</v>
      </c>
      <c r="C235" s="4">
        <v>45005</v>
      </c>
      <c r="D235" s="12" t="s">
        <v>647</v>
      </c>
      <c r="E235" s="12" t="s">
        <v>652</v>
      </c>
      <c r="F235" s="12" t="s">
        <v>694</v>
      </c>
      <c r="G235" s="12" t="s">
        <v>705</v>
      </c>
      <c r="H235" s="12" t="s">
        <v>708</v>
      </c>
      <c r="I235" s="12" t="s">
        <v>726</v>
      </c>
      <c r="J235" s="12" t="s">
        <v>729</v>
      </c>
      <c r="K235" s="12" t="s">
        <v>1284</v>
      </c>
      <c r="L235" s="6">
        <v>1171.17</v>
      </c>
      <c r="M235" s="6">
        <v>2030.64</v>
      </c>
      <c r="N235" s="6">
        <f t="shared" si="54"/>
        <v>2030.64</v>
      </c>
      <c r="O235" s="6" t="str">
        <f t="shared" si="68"/>
        <v>High</v>
      </c>
      <c r="P235" s="6">
        <v>0.157</v>
      </c>
      <c r="Q235" s="6">
        <f t="shared" si="55"/>
        <v>0.157</v>
      </c>
      <c r="R235" s="6">
        <v>11</v>
      </c>
      <c r="S235" s="6" t="str">
        <f t="shared" si="56"/>
        <v>OK</v>
      </c>
      <c r="T235" s="4">
        <f t="shared" si="57"/>
        <v>45005</v>
      </c>
      <c r="U235" s="11">
        <f t="shared" si="58"/>
        <v>17</v>
      </c>
      <c r="V235" s="6">
        <f t="shared" si="59"/>
        <v>18830.12472</v>
      </c>
      <c r="W235" s="6">
        <f t="shared" si="60"/>
        <v>12882.87</v>
      </c>
      <c r="X235" s="6">
        <f t="shared" si="61"/>
        <v>5947.254719999999</v>
      </c>
      <c r="Y235" s="6">
        <f t="shared" si="62"/>
        <v>0.31583724528830415</v>
      </c>
      <c r="Z235" s="4" t="str">
        <f t="shared" si="63"/>
        <v>Q1-2023</v>
      </c>
      <c r="AA235" t="str">
        <f t="shared" si="64"/>
        <v>Networking</v>
      </c>
      <c r="AB235" t="str">
        <f t="shared" si="65"/>
        <v>Networking</v>
      </c>
      <c r="AC235" t="str">
        <f t="shared" si="66"/>
        <v>Compliant</v>
      </c>
      <c r="AD235" t="str">
        <f t="shared" si="67"/>
        <v>Late</v>
      </c>
      <c r="AE235" s="8">
        <f>MIN(Q235,Scenario!$B$2)</f>
        <v>0.157</v>
      </c>
      <c r="AF235" s="33">
        <f>L235*(1+Scenario!$B$3)</f>
        <v>1346.8454999999999</v>
      </c>
      <c r="AG235" s="6">
        <f>R235*(1+Scenario!$B$4)</f>
        <v>13.2</v>
      </c>
      <c r="AH235" s="33">
        <f t="shared" si="69"/>
        <v>22596.149664</v>
      </c>
      <c r="AI235" s="33">
        <f t="shared" si="70"/>
        <v>17778.360599999996</v>
      </c>
      <c r="AJ235" s="33">
        <f t="shared" si="71"/>
        <v>4817.7890640000041</v>
      </c>
    </row>
    <row r="236" spans="1:36" hidden="1" x14ac:dyDescent="0.25">
      <c r="A236" s="12" t="s">
        <v>419</v>
      </c>
      <c r="B236" s="27">
        <v>44991</v>
      </c>
      <c r="C236" s="4">
        <v>45020</v>
      </c>
      <c r="D236" s="12" t="s">
        <v>647</v>
      </c>
      <c r="E236" s="12" t="s">
        <v>659</v>
      </c>
      <c r="F236" s="12" t="s">
        <v>699</v>
      </c>
      <c r="G236" s="12" t="s">
        <v>705</v>
      </c>
      <c r="H236" s="12" t="s">
        <v>711</v>
      </c>
      <c r="I236" s="12" t="s">
        <v>712</v>
      </c>
      <c r="J236" s="12" t="s">
        <v>732</v>
      </c>
      <c r="K236" s="12" t="s">
        <v>1138</v>
      </c>
      <c r="L236" s="6">
        <v>1126.29</v>
      </c>
      <c r="M236" s="6">
        <v>2050.87</v>
      </c>
      <c r="N236" s="6">
        <f t="shared" si="54"/>
        <v>2050.87</v>
      </c>
      <c r="O236" s="6" t="str">
        <f t="shared" si="68"/>
        <v>High</v>
      </c>
      <c r="P236" s="6">
        <v>6.4000000000000001E-2</v>
      </c>
      <c r="Q236" s="6">
        <f t="shared" si="55"/>
        <v>6.4000000000000001E-2</v>
      </c>
      <c r="R236" s="6">
        <v>7</v>
      </c>
      <c r="S236" s="6" t="str">
        <f t="shared" si="56"/>
        <v>OK</v>
      </c>
      <c r="T236" s="4">
        <f t="shared" si="57"/>
        <v>45020</v>
      </c>
      <c r="U236" s="11">
        <f t="shared" si="58"/>
        <v>29</v>
      </c>
      <c r="V236" s="6">
        <f t="shared" si="59"/>
        <v>13437.300239999999</v>
      </c>
      <c r="W236" s="6">
        <f t="shared" si="60"/>
        <v>7884.03</v>
      </c>
      <c r="X236" s="6">
        <f t="shared" si="61"/>
        <v>5553.2702399999989</v>
      </c>
      <c r="Y236" s="6">
        <f t="shared" si="62"/>
        <v>0.41327276616690373</v>
      </c>
      <c r="Z236" s="4" t="str">
        <f t="shared" si="63"/>
        <v>Q1-2023</v>
      </c>
      <c r="AA236" t="str">
        <f t="shared" si="64"/>
        <v>Monitors</v>
      </c>
      <c r="AB236" t="str">
        <f t="shared" si="65"/>
        <v>Monitors</v>
      </c>
      <c r="AC236" t="str">
        <f t="shared" si="66"/>
        <v>Compliant</v>
      </c>
      <c r="AD236" t="str">
        <f t="shared" si="67"/>
        <v>Late</v>
      </c>
      <c r="AE236" s="8">
        <f>MIN(Q236,Scenario!$B$2)</f>
        <v>6.4000000000000001E-2</v>
      </c>
      <c r="AF236" s="33">
        <f>L236*(1+Scenario!$B$3)</f>
        <v>1295.2334999999998</v>
      </c>
      <c r="AG236" s="6">
        <f>R236*(1+Scenario!$B$4)</f>
        <v>8.4</v>
      </c>
      <c r="AH236" s="33">
        <f t="shared" si="69"/>
        <v>16124.760287999999</v>
      </c>
      <c r="AI236" s="33">
        <f t="shared" si="70"/>
        <v>10879.961399999998</v>
      </c>
      <c r="AJ236" s="33">
        <f t="shared" si="71"/>
        <v>5244.7988880000012</v>
      </c>
    </row>
    <row r="237" spans="1:36" hidden="1" x14ac:dyDescent="0.25">
      <c r="A237" s="12" t="s">
        <v>130</v>
      </c>
      <c r="B237" s="27">
        <v>44987</v>
      </c>
      <c r="C237" s="4">
        <v>44990</v>
      </c>
      <c r="D237" s="12" t="s">
        <v>648</v>
      </c>
      <c r="E237" s="12" t="s">
        <v>655</v>
      </c>
      <c r="F237" s="12" t="s">
        <v>672</v>
      </c>
      <c r="G237" s="12" t="s">
        <v>706</v>
      </c>
      <c r="H237" s="12" t="s">
        <v>711</v>
      </c>
      <c r="I237" s="12" t="s">
        <v>715</v>
      </c>
      <c r="J237" s="12" t="s">
        <v>732</v>
      </c>
      <c r="K237" s="12" t="s">
        <v>849</v>
      </c>
      <c r="L237" s="6">
        <v>1473.58</v>
      </c>
      <c r="M237" s="6">
        <v>3436.52</v>
      </c>
      <c r="N237" s="6">
        <f t="shared" si="54"/>
        <v>3436.52</v>
      </c>
      <c r="O237" s="6" t="str">
        <f t="shared" si="68"/>
        <v>High</v>
      </c>
      <c r="P237" s="6">
        <v>0.108</v>
      </c>
      <c r="Q237" s="6">
        <f t="shared" si="55"/>
        <v>0.108</v>
      </c>
      <c r="R237" s="6">
        <v>8</v>
      </c>
      <c r="S237" s="6" t="str">
        <f t="shared" si="56"/>
        <v>OK</v>
      </c>
      <c r="T237" s="4">
        <f t="shared" si="57"/>
        <v>44990</v>
      </c>
      <c r="U237" s="11">
        <f t="shared" si="58"/>
        <v>3</v>
      </c>
      <c r="V237" s="6">
        <f t="shared" si="59"/>
        <v>24523.006720000001</v>
      </c>
      <c r="W237" s="6">
        <f t="shared" si="60"/>
        <v>11788.64</v>
      </c>
      <c r="X237" s="6">
        <f t="shared" si="61"/>
        <v>12734.366720000002</v>
      </c>
      <c r="Y237" s="6">
        <f t="shared" si="62"/>
        <v>0.51928243813652564</v>
      </c>
      <c r="Z237" s="4" t="str">
        <f t="shared" si="63"/>
        <v>Q1-2023</v>
      </c>
      <c r="AA237" t="str">
        <f t="shared" si="64"/>
        <v>Monitors</v>
      </c>
      <c r="AB237" t="str">
        <f t="shared" si="65"/>
        <v>Monitors</v>
      </c>
      <c r="AC237" t="str">
        <f t="shared" si="66"/>
        <v>Compliant</v>
      </c>
      <c r="AD237" t="str">
        <f t="shared" si="67"/>
        <v>On-time</v>
      </c>
      <c r="AE237" s="8">
        <f>MIN(Q237,Scenario!$B$2)</f>
        <v>0.108</v>
      </c>
      <c r="AF237" s="33">
        <f>L237*(1+Scenario!$B$3)</f>
        <v>1694.6169999999997</v>
      </c>
      <c r="AG237" s="6">
        <f>R237*(1+Scenario!$B$4)</f>
        <v>9.6</v>
      </c>
      <c r="AH237" s="33">
        <f t="shared" si="69"/>
        <v>29427.608063999996</v>
      </c>
      <c r="AI237" s="33">
        <f t="shared" si="70"/>
        <v>16268.323199999997</v>
      </c>
      <c r="AJ237" s="33">
        <f t="shared" si="71"/>
        <v>13159.284863999999</v>
      </c>
    </row>
    <row r="238" spans="1:36" x14ac:dyDescent="0.25">
      <c r="A238" s="12" t="s">
        <v>73</v>
      </c>
      <c r="B238" s="27">
        <v>45817</v>
      </c>
      <c r="C238" s="4">
        <v>45826</v>
      </c>
      <c r="D238" s="12" t="s">
        <v>649</v>
      </c>
      <c r="E238" s="12" t="s">
        <v>657</v>
      </c>
      <c r="F238" s="12" t="s">
        <v>673</v>
      </c>
      <c r="G238" s="12" t="s">
        <v>705</v>
      </c>
      <c r="H238" s="12" t="s">
        <v>709</v>
      </c>
      <c r="I238" s="12" t="s">
        <v>722</v>
      </c>
      <c r="J238" s="12" t="s">
        <v>733</v>
      </c>
      <c r="K238" s="12" t="s">
        <v>792</v>
      </c>
      <c r="L238" s="6">
        <v>1225.5</v>
      </c>
      <c r="M238" s="6">
        <v>-5.27</v>
      </c>
      <c r="N238" s="6">
        <f t="shared" si="54"/>
        <v>5.27</v>
      </c>
      <c r="O238" s="6" t="str">
        <f t="shared" si="68"/>
        <v>Low</v>
      </c>
      <c r="P238" s="6">
        <v>7.4999999999999997E-2</v>
      </c>
      <c r="Q238" s="6">
        <f t="shared" si="55"/>
        <v>7.4999999999999997E-2</v>
      </c>
      <c r="R238" s="6">
        <v>56</v>
      </c>
      <c r="S238" s="6" t="str">
        <f t="shared" si="56"/>
        <v>OK</v>
      </c>
      <c r="T238" s="4">
        <f t="shared" si="57"/>
        <v>45826</v>
      </c>
      <c r="U238" s="11">
        <f t="shared" si="58"/>
        <v>9</v>
      </c>
      <c r="V238" s="6">
        <f t="shared" si="59"/>
        <v>272.98599999999999</v>
      </c>
      <c r="W238" s="6">
        <f t="shared" si="60"/>
        <v>68628</v>
      </c>
      <c r="X238" s="6">
        <f t="shared" si="61"/>
        <v>-68355.013999999996</v>
      </c>
      <c r="Y238" s="6">
        <f t="shared" si="62"/>
        <v>-250.39750756449047</v>
      </c>
      <c r="Z238" s="4" t="str">
        <f t="shared" si="63"/>
        <v>Q2-2025</v>
      </c>
      <c r="AA238" t="str">
        <f t="shared" si="64"/>
        <v>Accessories</v>
      </c>
      <c r="AB238" t="str">
        <f t="shared" si="65"/>
        <v>Accessories</v>
      </c>
      <c r="AC238" t="str">
        <f t="shared" si="66"/>
        <v>Compliant</v>
      </c>
      <c r="AD238" t="str">
        <f t="shared" si="67"/>
        <v>Late</v>
      </c>
      <c r="AE238" s="8">
        <f>MIN(Q238,Scenario!$B$2)</f>
        <v>7.4999999999999997E-2</v>
      </c>
      <c r="AF238" s="33">
        <f>L238*(1+Scenario!$B$3)</f>
        <v>1409.3249999999998</v>
      </c>
      <c r="AG238" s="6">
        <f>R238*(1+Scenario!$B$4)</f>
        <v>67.2</v>
      </c>
      <c r="AH238" s="33">
        <f t="shared" si="69"/>
        <v>327.58320000000003</v>
      </c>
      <c r="AI238" s="33">
        <f t="shared" si="70"/>
        <v>94706.639999999985</v>
      </c>
      <c r="AJ238" s="33">
        <f t="shared" si="71"/>
        <v>-94379.056799999991</v>
      </c>
    </row>
    <row r="239" spans="1:36" hidden="1" x14ac:dyDescent="0.25">
      <c r="A239" s="12" t="s">
        <v>131</v>
      </c>
      <c r="B239" s="27">
        <v>45811</v>
      </c>
      <c r="C239" s="4">
        <v>45818</v>
      </c>
      <c r="D239" s="12" t="s">
        <v>648</v>
      </c>
      <c r="E239" s="12" t="s">
        <v>653</v>
      </c>
      <c r="F239" s="12" t="s">
        <v>667</v>
      </c>
      <c r="G239" s="12" t="s">
        <v>704</v>
      </c>
      <c r="H239" s="12" t="s">
        <v>710</v>
      </c>
      <c r="I239" s="12" t="s">
        <v>719</v>
      </c>
      <c r="J239" s="12" t="s">
        <v>728</v>
      </c>
      <c r="K239" s="12" t="s">
        <v>850</v>
      </c>
      <c r="L239" s="6">
        <v>75.180000000000007</v>
      </c>
      <c r="M239" s="6">
        <v>53.45</v>
      </c>
      <c r="N239" s="6">
        <f t="shared" si="54"/>
        <v>53.45</v>
      </c>
      <c r="O239" s="6" t="str">
        <f t="shared" si="68"/>
        <v>Low</v>
      </c>
      <c r="P239" s="6">
        <v>0.157</v>
      </c>
      <c r="Q239" s="6">
        <f t="shared" si="55"/>
        <v>0.157</v>
      </c>
      <c r="R239" s="6">
        <v>17</v>
      </c>
      <c r="S239" s="6" t="str">
        <f t="shared" si="56"/>
        <v>OK</v>
      </c>
      <c r="T239" s="4">
        <f t="shared" si="57"/>
        <v>45818</v>
      </c>
      <c r="U239" s="11">
        <f t="shared" si="58"/>
        <v>7</v>
      </c>
      <c r="V239" s="6">
        <f t="shared" si="59"/>
        <v>765.99195000000009</v>
      </c>
      <c r="W239" s="6">
        <f t="shared" si="60"/>
        <v>1278.0600000000002</v>
      </c>
      <c r="X239" s="6">
        <f t="shared" si="61"/>
        <v>-512.06805000000008</v>
      </c>
      <c r="Y239" s="6">
        <f t="shared" si="62"/>
        <v>-0.66850317421743144</v>
      </c>
      <c r="Z239" s="4" t="str">
        <f t="shared" si="63"/>
        <v>Q2-2025</v>
      </c>
      <c r="AA239" t="str">
        <f t="shared" si="64"/>
        <v>Printers</v>
      </c>
      <c r="AB239" t="str">
        <f t="shared" si="65"/>
        <v>Printers</v>
      </c>
      <c r="AC239" t="str">
        <f t="shared" si="66"/>
        <v>Compliant</v>
      </c>
      <c r="AD239" t="str">
        <f t="shared" si="67"/>
        <v>On-time</v>
      </c>
      <c r="AE239" s="8">
        <f>MIN(Q239,Scenario!$B$2)</f>
        <v>0.157</v>
      </c>
      <c r="AF239" s="33">
        <f>L239*(1+Scenario!$B$3)</f>
        <v>86.457000000000008</v>
      </c>
      <c r="AG239" s="6">
        <f>R239*(1+Scenario!$B$4)</f>
        <v>20.399999999999999</v>
      </c>
      <c r="AH239" s="33">
        <f t="shared" si="69"/>
        <v>919.19033999999988</v>
      </c>
      <c r="AI239" s="33">
        <f t="shared" si="70"/>
        <v>1763.7228</v>
      </c>
      <c r="AJ239" s="33">
        <f t="shared" si="71"/>
        <v>-844.53246000000013</v>
      </c>
    </row>
    <row r="240" spans="1:36" hidden="1" x14ac:dyDescent="0.25">
      <c r="A240" s="12" t="s">
        <v>277</v>
      </c>
      <c r="B240" s="27">
        <v>45829</v>
      </c>
      <c r="C240" s="4">
        <v>45835</v>
      </c>
      <c r="D240" s="12" t="s">
        <v>646</v>
      </c>
      <c r="E240" s="12" t="s">
        <v>661</v>
      </c>
      <c r="F240" s="12" t="s">
        <v>687</v>
      </c>
      <c r="G240" s="12" t="s">
        <v>706</v>
      </c>
      <c r="H240" s="12" t="s">
        <v>710</v>
      </c>
      <c r="I240" s="12" t="s">
        <v>725</v>
      </c>
      <c r="J240" s="12" t="s">
        <v>730</v>
      </c>
      <c r="K240" s="12" t="s">
        <v>997</v>
      </c>
      <c r="L240" s="6">
        <v>93.91</v>
      </c>
      <c r="M240" s="6">
        <v>99.04</v>
      </c>
      <c r="N240" s="6">
        <f t="shared" si="54"/>
        <v>99.04</v>
      </c>
      <c r="O240" s="6" t="str">
        <f t="shared" si="68"/>
        <v>Low</v>
      </c>
      <c r="P240" s="6">
        <v>5.7000000000000002E-2</v>
      </c>
      <c r="Q240" s="6">
        <f t="shared" si="55"/>
        <v>5.7000000000000002E-2</v>
      </c>
      <c r="R240" s="6">
        <v>6</v>
      </c>
      <c r="S240" s="6" t="str">
        <f t="shared" si="56"/>
        <v>OK</v>
      </c>
      <c r="T240" s="4">
        <f t="shared" si="57"/>
        <v>45835</v>
      </c>
      <c r="U240" s="11">
        <f t="shared" si="58"/>
        <v>6</v>
      </c>
      <c r="V240" s="6">
        <f t="shared" si="59"/>
        <v>560.36831999999993</v>
      </c>
      <c r="W240" s="6">
        <f t="shared" si="60"/>
        <v>563.46</v>
      </c>
      <c r="X240" s="6">
        <f t="shared" si="61"/>
        <v>-3.0916800000001103</v>
      </c>
      <c r="Y240" s="6">
        <f t="shared" si="62"/>
        <v>-5.5172283829323376E-3</v>
      </c>
      <c r="Z240" s="4" t="str">
        <f t="shared" si="63"/>
        <v>Q2-2025</v>
      </c>
      <c r="AA240" t="str">
        <f t="shared" si="64"/>
        <v>Phones</v>
      </c>
      <c r="AB240" t="str">
        <f t="shared" si="65"/>
        <v>Phones</v>
      </c>
      <c r="AC240" t="str">
        <f t="shared" si="66"/>
        <v>Compliant</v>
      </c>
      <c r="AD240" t="str">
        <f t="shared" si="67"/>
        <v>On-time</v>
      </c>
      <c r="AE240" s="8">
        <f>MIN(Q240,Scenario!$B$2)</f>
        <v>5.7000000000000002E-2</v>
      </c>
      <c r="AF240" s="33">
        <f>L240*(1+Scenario!$B$3)</f>
        <v>107.99649999999998</v>
      </c>
      <c r="AG240" s="6">
        <f>R240*(1+Scenario!$B$4)</f>
        <v>7.1999999999999993</v>
      </c>
      <c r="AH240" s="33">
        <f t="shared" si="69"/>
        <v>672.44198399999993</v>
      </c>
      <c r="AI240" s="33">
        <f t="shared" si="70"/>
        <v>777.57479999999975</v>
      </c>
      <c r="AJ240" s="33">
        <f t="shared" si="71"/>
        <v>-105.13281599999982</v>
      </c>
    </row>
    <row r="241" spans="1:36" hidden="1" x14ac:dyDescent="0.25">
      <c r="A241" s="12" t="s">
        <v>383</v>
      </c>
      <c r="B241" s="27">
        <v>45832</v>
      </c>
      <c r="C241" s="4">
        <v>45861</v>
      </c>
      <c r="D241" s="12" t="s">
        <v>648</v>
      </c>
      <c r="E241" s="12" t="s">
        <v>653</v>
      </c>
      <c r="F241" s="12" t="s">
        <v>688</v>
      </c>
      <c r="G241" s="12" t="s">
        <v>703</v>
      </c>
      <c r="H241" s="12" t="s">
        <v>709</v>
      </c>
      <c r="I241" s="12" t="s">
        <v>714</v>
      </c>
      <c r="J241" s="12" t="s">
        <v>728</v>
      </c>
      <c r="K241" s="12" t="s">
        <v>1103</v>
      </c>
      <c r="L241" s="6">
        <v>255.4</v>
      </c>
      <c r="M241" s="6">
        <v>322.70999999999998</v>
      </c>
      <c r="N241" s="6">
        <f t="shared" si="54"/>
        <v>322.70999999999998</v>
      </c>
      <c r="O241" s="6" t="str">
        <f t="shared" si="68"/>
        <v>Low</v>
      </c>
      <c r="P241" s="6">
        <v>0.115</v>
      </c>
      <c r="Q241" s="6">
        <f t="shared" si="55"/>
        <v>0.115</v>
      </c>
      <c r="R241" s="6">
        <v>16</v>
      </c>
      <c r="S241" s="6" t="str">
        <f t="shared" si="56"/>
        <v>OK</v>
      </c>
      <c r="T241" s="4">
        <f t="shared" si="57"/>
        <v>45861</v>
      </c>
      <c r="U241" s="11">
        <f t="shared" si="58"/>
        <v>29</v>
      </c>
      <c r="V241" s="6">
        <f t="shared" si="59"/>
        <v>4569.5735999999997</v>
      </c>
      <c r="W241" s="6">
        <f t="shared" si="60"/>
        <v>4086.4</v>
      </c>
      <c r="X241" s="6">
        <f t="shared" si="61"/>
        <v>483.17359999999962</v>
      </c>
      <c r="Y241" s="6">
        <f t="shared" si="62"/>
        <v>0.10573713048412212</v>
      </c>
      <c r="Z241" s="4" t="str">
        <f t="shared" si="63"/>
        <v>Q2-2025</v>
      </c>
      <c r="AA241" t="str">
        <f t="shared" si="64"/>
        <v>Printers</v>
      </c>
      <c r="AB241" t="str">
        <f t="shared" si="65"/>
        <v>Printers</v>
      </c>
      <c r="AC241" t="str">
        <f t="shared" si="66"/>
        <v>Compliant</v>
      </c>
      <c r="AD241" t="str">
        <f t="shared" si="67"/>
        <v>Late</v>
      </c>
      <c r="AE241" s="8">
        <f>MIN(Q241,Scenario!$B$2)</f>
        <v>0.115</v>
      </c>
      <c r="AF241" s="33">
        <f>L241*(1+Scenario!$B$3)</f>
        <v>293.70999999999998</v>
      </c>
      <c r="AG241" s="6">
        <f>R241*(1+Scenario!$B$4)</f>
        <v>19.2</v>
      </c>
      <c r="AH241" s="33">
        <f t="shared" si="69"/>
        <v>5483.4883199999995</v>
      </c>
      <c r="AI241" s="33">
        <f t="shared" si="70"/>
        <v>5639.2319999999991</v>
      </c>
      <c r="AJ241" s="33">
        <f t="shared" si="71"/>
        <v>-155.74367999999959</v>
      </c>
    </row>
    <row r="242" spans="1:36" x14ac:dyDescent="0.25">
      <c r="A242" s="12" t="s">
        <v>375</v>
      </c>
      <c r="B242" s="27">
        <v>45833</v>
      </c>
      <c r="C242" s="4">
        <v>45848</v>
      </c>
      <c r="D242" s="12" t="s">
        <v>649</v>
      </c>
      <c r="E242" s="12" t="s">
        <v>658</v>
      </c>
      <c r="F242" s="12" t="s">
        <v>674</v>
      </c>
      <c r="G242" s="12" t="s">
        <v>703</v>
      </c>
      <c r="H242" s="12" t="s">
        <v>709</v>
      </c>
      <c r="I242" s="12" t="s">
        <v>726</v>
      </c>
      <c r="J242" s="12" t="s">
        <v>730</v>
      </c>
      <c r="K242" s="12" t="s">
        <v>1095</v>
      </c>
      <c r="L242" s="6">
        <v>546.83000000000004</v>
      </c>
      <c r="M242" s="6">
        <v>400.84</v>
      </c>
      <c r="N242" s="6">
        <f t="shared" si="54"/>
        <v>400.84</v>
      </c>
      <c r="O242" s="6" t="str">
        <f t="shared" si="68"/>
        <v>Low</v>
      </c>
      <c r="P242" s="6">
        <v>7.8E-2</v>
      </c>
      <c r="Q242" s="6">
        <f t="shared" si="55"/>
        <v>7.8E-2</v>
      </c>
      <c r="R242" s="6">
        <v>13</v>
      </c>
      <c r="S242" s="6" t="str">
        <f t="shared" si="56"/>
        <v>OK</v>
      </c>
      <c r="T242" s="4">
        <f t="shared" si="57"/>
        <v>45848</v>
      </c>
      <c r="U242" s="11">
        <f t="shared" si="58"/>
        <v>15</v>
      </c>
      <c r="V242" s="6">
        <f t="shared" si="59"/>
        <v>4804.4682400000002</v>
      </c>
      <c r="W242" s="6">
        <f t="shared" si="60"/>
        <v>7108.7900000000009</v>
      </c>
      <c r="X242" s="6">
        <f t="shared" si="61"/>
        <v>-2304.3217600000007</v>
      </c>
      <c r="Y242" s="6">
        <f t="shared" si="62"/>
        <v>-0.47962056254533608</v>
      </c>
      <c r="Z242" s="4" t="str">
        <f t="shared" si="63"/>
        <v>Q2-2025</v>
      </c>
      <c r="AA242" t="str">
        <f t="shared" si="64"/>
        <v>Phones</v>
      </c>
      <c r="AB242" t="str">
        <f t="shared" si="65"/>
        <v>Phones</v>
      </c>
      <c r="AC242" t="str">
        <f t="shared" si="66"/>
        <v>Compliant</v>
      </c>
      <c r="AD242" t="str">
        <f t="shared" si="67"/>
        <v>Late</v>
      </c>
      <c r="AE242" s="8">
        <f>MIN(Q242,Scenario!$B$2)</f>
        <v>7.8E-2</v>
      </c>
      <c r="AF242" s="33">
        <f>L242*(1+Scenario!$B$3)</f>
        <v>628.85450000000003</v>
      </c>
      <c r="AG242" s="6">
        <f>R242*(1+Scenario!$B$4)</f>
        <v>15.6</v>
      </c>
      <c r="AH242" s="33">
        <f t="shared" si="69"/>
        <v>5765.3618879999995</v>
      </c>
      <c r="AI242" s="33">
        <f t="shared" si="70"/>
        <v>9810.1301999999996</v>
      </c>
      <c r="AJ242" s="33">
        <f t="shared" si="71"/>
        <v>-4044.7683120000002</v>
      </c>
    </row>
    <row r="243" spans="1:36" x14ac:dyDescent="0.25">
      <c r="A243" s="12" t="s">
        <v>272</v>
      </c>
      <c r="B243" s="27">
        <v>45835</v>
      </c>
      <c r="C243" s="4">
        <v>45843</v>
      </c>
      <c r="D243" s="12" t="s">
        <v>649</v>
      </c>
      <c r="E243" s="12" t="s">
        <v>656</v>
      </c>
      <c r="F243" s="12" t="s">
        <v>684</v>
      </c>
      <c r="G243" s="12" t="s">
        <v>705</v>
      </c>
      <c r="H243" s="12" t="s">
        <v>711</v>
      </c>
      <c r="I243" s="12" t="s">
        <v>715</v>
      </c>
      <c r="J243" s="12" t="s">
        <v>732</v>
      </c>
      <c r="K243" s="12" t="s">
        <v>992</v>
      </c>
      <c r="L243" s="6">
        <v>314.93</v>
      </c>
      <c r="M243" s="6">
        <v>687.95</v>
      </c>
      <c r="N243" s="6">
        <f t="shared" si="54"/>
        <v>687.95</v>
      </c>
      <c r="O243" s="6" t="str">
        <f t="shared" si="68"/>
        <v>Middle</v>
      </c>
      <c r="P243" s="6">
        <v>0.20499999999999999</v>
      </c>
      <c r="Q243" s="6">
        <f t="shared" si="55"/>
        <v>0.20499999999999999</v>
      </c>
      <c r="R243" s="6">
        <v>8</v>
      </c>
      <c r="S243" s="6" t="str">
        <f t="shared" si="56"/>
        <v>OK</v>
      </c>
      <c r="T243" s="4">
        <f t="shared" si="57"/>
        <v>45843</v>
      </c>
      <c r="U243" s="11">
        <f t="shared" si="58"/>
        <v>8</v>
      </c>
      <c r="V243" s="6">
        <f t="shared" si="59"/>
        <v>4375.3620000000001</v>
      </c>
      <c r="W243" s="6">
        <f t="shared" si="60"/>
        <v>2519.44</v>
      </c>
      <c r="X243" s="6">
        <f t="shared" si="61"/>
        <v>1855.922</v>
      </c>
      <c r="Y243" s="6">
        <f t="shared" si="62"/>
        <v>0.424175645352316</v>
      </c>
      <c r="Z243" s="4" t="str">
        <f t="shared" si="63"/>
        <v>Q2-2025</v>
      </c>
      <c r="AA243" t="str">
        <f t="shared" si="64"/>
        <v>Monitors</v>
      </c>
      <c r="AB243" t="str">
        <f t="shared" si="65"/>
        <v>Monitors</v>
      </c>
      <c r="AC243" t="str">
        <f t="shared" si="66"/>
        <v>Non-compliant</v>
      </c>
      <c r="AD243" t="str">
        <f t="shared" si="67"/>
        <v>Late</v>
      </c>
      <c r="AE243" s="8">
        <f>MIN(Q243,Scenario!$B$2)</f>
        <v>0.2</v>
      </c>
      <c r="AF243" s="33">
        <f>L243*(1+Scenario!$B$3)</f>
        <v>362.16949999999997</v>
      </c>
      <c r="AG243" s="6">
        <f>R243*(1+Scenario!$B$4)</f>
        <v>9.6</v>
      </c>
      <c r="AH243" s="33">
        <f t="shared" si="69"/>
        <v>5283.456000000001</v>
      </c>
      <c r="AI243" s="33">
        <f t="shared" si="70"/>
        <v>3476.8271999999997</v>
      </c>
      <c r="AJ243" s="33">
        <f t="shared" si="71"/>
        <v>1806.6288000000013</v>
      </c>
    </row>
    <row r="244" spans="1:36" x14ac:dyDescent="0.25">
      <c r="A244" s="12" t="s">
        <v>608</v>
      </c>
      <c r="B244" s="27">
        <v>45823</v>
      </c>
      <c r="C244" s="4">
        <v>45850</v>
      </c>
      <c r="D244" s="12" t="s">
        <v>649</v>
      </c>
      <c r="E244" s="12" t="s">
        <v>657</v>
      </c>
      <c r="F244" s="12" t="s">
        <v>673</v>
      </c>
      <c r="G244" s="12" t="s">
        <v>704</v>
      </c>
      <c r="H244" s="12" t="s">
        <v>711</v>
      </c>
      <c r="I244" s="12" t="s">
        <v>712</v>
      </c>
      <c r="J244" s="12" t="s">
        <v>733</v>
      </c>
      <c r="K244" s="12" t="s">
        <v>1326</v>
      </c>
      <c r="L244" s="6">
        <v>318.83</v>
      </c>
      <c r="M244" s="6">
        <v>699.5</v>
      </c>
      <c r="N244" s="6">
        <f t="shared" si="54"/>
        <v>699.5</v>
      </c>
      <c r="O244" s="6" t="str">
        <f t="shared" si="68"/>
        <v>Middle</v>
      </c>
      <c r="P244" s="6">
        <v>0.08</v>
      </c>
      <c r="Q244" s="6">
        <f t="shared" si="55"/>
        <v>0.08</v>
      </c>
      <c r="R244" s="6">
        <v>13</v>
      </c>
      <c r="S244" s="6" t="str">
        <f t="shared" si="56"/>
        <v>OK</v>
      </c>
      <c r="T244" s="4">
        <f t="shared" si="57"/>
        <v>45850</v>
      </c>
      <c r="U244" s="11">
        <f t="shared" si="58"/>
        <v>27</v>
      </c>
      <c r="V244" s="6">
        <f t="shared" si="59"/>
        <v>8366.02</v>
      </c>
      <c r="W244" s="6">
        <f t="shared" si="60"/>
        <v>4144.79</v>
      </c>
      <c r="X244" s="6">
        <f t="shared" si="61"/>
        <v>4221.2300000000005</v>
      </c>
      <c r="Y244" s="6">
        <f t="shared" si="62"/>
        <v>0.50456848059172699</v>
      </c>
      <c r="Z244" s="4" t="str">
        <f t="shared" si="63"/>
        <v>Q2-2025</v>
      </c>
      <c r="AA244" t="str">
        <f t="shared" si="64"/>
        <v>Accessories</v>
      </c>
      <c r="AB244" t="str">
        <f t="shared" si="65"/>
        <v>Accessories</v>
      </c>
      <c r="AC244" t="str">
        <f t="shared" si="66"/>
        <v>Compliant</v>
      </c>
      <c r="AD244" t="str">
        <f t="shared" si="67"/>
        <v>Late</v>
      </c>
      <c r="AE244" s="8">
        <f>MIN(Q244,Scenario!$B$2)</f>
        <v>0.08</v>
      </c>
      <c r="AF244" s="33">
        <f>L244*(1+Scenario!$B$3)</f>
        <v>366.65449999999993</v>
      </c>
      <c r="AG244" s="6">
        <f>R244*(1+Scenario!$B$4)</f>
        <v>15.6</v>
      </c>
      <c r="AH244" s="33">
        <f t="shared" si="69"/>
        <v>10039.224</v>
      </c>
      <c r="AI244" s="33">
        <f t="shared" si="70"/>
        <v>5719.810199999999</v>
      </c>
      <c r="AJ244" s="33">
        <f t="shared" si="71"/>
        <v>4319.4138000000012</v>
      </c>
    </row>
    <row r="245" spans="1:36" hidden="1" x14ac:dyDescent="0.25">
      <c r="A245" s="12" t="s">
        <v>467</v>
      </c>
      <c r="B245" s="27">
        <v>45817</v>
      </c>
      <c r="C245" s="4">
        <v>45832</v>
      </c>
      <c r="D245" s="12" t="s">
        <v>647</v>
      </c>
      <c r="E245" s="12" t="s">
        <v>652</v>
      </c>
      <c r="F245" s="12" t="s">
        <v>694</v>
      </c>
      <c r="G245" s="12" t="s">
        <v>701</v>
      </c>
      <c r="H245" s="12" t="s">
        <v>711</v>
      </c>
      <c r="I245" s="12" t="s">
        <v>717</v>
      </c>
      <c r="J245" s="12" t="s">
        <v>730</v>
      </c>
      <c r="K245" s="12" t="s">
        <v>1186</v>
      </c>
      <c r="L245" s="6">
        <v>400.39</v>
      </c>
      <c r="M245" s="6">
        <v>712.75</v>
      </c>
      <c r="N245" s="6">
        <f t="shared" si="54"/>
        <v>712.75</v>
      </c>
      <c r="O245" s="6" t="str">
        <f t="shared" si="68"/>
        <v>Middle</v>
      </c>
      <c r="P245" s="6">
        <v>0.115</v>
      </c>
      <c r="Q245" s="6">
        <f t="shared" si="55"/>
        <v>0.115</v>
      </c>
      <c r="R245" s="6">
        <v>19</v>
      </c>
      <c r="S245" s="6" t="str">
        <f t="shared" si="56"/>
        <v>OK</v>
      </c>
      <c r="T245" s="4">
        <f t="shared" si="57"/>
        <v>45832</v>
      </c>
      <c r="U245" s="11">
        <f t="shared" si="58"/>
        <v>15</v>
      </c>
      <c r="V245" s="6">
        <f t="shared" si="59"/>
        <v>11984.891250000001</v>
      </c>
      <c r="W245" s="6">
        <f t="shared" si="60"/>
        <v>7607.41</v>
      </c>
      <c r="X245" s="6">
        <f t="shared" si="61"/>
        <v>4377.4812500000007</v>
      </c>
      <c r="Y245" s="6">
        <f t="shared" si="62"/>
        <v>0.36524997671547504</v>
      </c>
      <c r="Z245" s="4" t="str">
        <f t="shared" si="63"/>
        <v>Q2-2025</v>
      </c>
      <c r="AA245" t="str">
        <f t="shared" si="64"/>
        <v>Phones</v>
      </c>
      <c r="AB245" t="str">
        <f t="shared" si="65"/>
        <v>Phones</v>
      </c>
      <c r="AC245" t="str">
        <f t="shared" si="66"/>
        <v>Compliant</v>
      </c>
      <c r="AD245" t="str">
        <f t="shared" si="67"/>
        <v>Late</v>
      </c>
      <c r="AE245" s="8">
        <f>MIN(Q245,Scenario!$B$2)</f>
        <v>0.115</v>
      </c>
      <c r="AF245" s="33">
        <f>L245*(1+Scenario!$B$3)</f>
        <v>460.44849999999997</v>
      </c>
      <c r="AG245" s="6">
        <f>R245*(1+Scenario!$B$4)</f>
        <v>22.8</v>
      </c>
      <c r="AH245" s="33">
        <f t="shared" si="69"/>
        <v>14381.869500000001</v>
      </c>
      <c r="AI245" s="33">
        <f t="shared" si="70"/>
        <v>10498.2258</v>
      </c>
      <c r="AJ245" s="33">
        <f t="shared" si="71"/>
        <v>3883.6437000000005</v>
      </c>
    </row>
    <row r="246" spans="1:36" x14ac:dyDescent="0.25">
      <c r="A246" s="12" t="s">
        <v>329</v>
      </c>
      <c r="B246" s="27">
        <v>45809</v>
      </c>
      <c r="C246" s="4">
        <v>45814</v>
      </c>
      <c r="D246" s="12" t="s">
        <v>649</v>
      </c>
      <c r="E246" s="12" t="s">
        <v>657</v>
      </c>
      <c r="F246" s="12" t="s">
        <v>690</v>
      </c>
      <c r="G246" s="12" t="s">
        <v>704</v>
      </c>
      <c r="H246" s="12" t="s">
        <v>710</v>
      </c>
      <c r="I246" s="12" t="s">
        <v>715</v>
      </c>
      <c r="J246" s="12" t="s">
        <v>727</v>
      </c>
      <c r="K246" s="12" t="s">
        <v>1049</v>
      </c>
      <c r="L246" s="6">
        <v>379.45</v>
      </c>
      <c r="M246" s="6">
        <v>742.23</v>
      </c>
      <c r="N246" s="6">
        <f t="shared" si="54"/>
        <v>742.23</v>
      </c>
      <c r="O246" s="6" t="str">
        <f t="shared" si="68"/>
        <v>Middle</v>
      </c>
      <c r="P246" s="6">
        <v>0.09</v>
      </c>
      <c r="Q246" s="6">
        <f t="shared" si="55"/>
        <v>0.09</v>
      </c>
      <c r="R246" s="6">
        <v>13</v>
      </c>
      <c r="S246" s="6" t="str">
        <f t="shared" si="56"/>
        <v>OK</v>
      </c>
      <c r="T246" s="4">
        <f t="shared" si="57"/>
        <v>45814</v>
      </c>
      <c r="U246" s="11">
        <f t="shared" si="58"/>
        <v>5</v>
      </c>
      <c r="V246" s="6">
        <f t="shared" si="59"/>
        <v>8780.5809000000008</v>
      </c>
      <c r="W246" s="6">
        <f t="shared" si="60"/>
        <v>4932.8499999999995</v>
      </c>
      <c r="X246" s="6">
        <f t="shared" si="61"/>
        <v>3847.7309000000014</v>
      </c>
      <c r="Y246" s="6">
        <f t="shared" si="62"/>
        <v>0.43820915083192286</v>
      </c>
      <c r="Z246" s="4" t="str">
        <f t="shared" si="63"/>
        <v>Q2-2025</v>
      </c>
      <c r="AA246" t="str">
        <f t="shared" si="64"/>
        <v>Components</v>
      </c>
      <c r="AB246" t="str">
        <f t="shared" si="65"/>
        <v>Components</v>
      </c>
      <c r="AC246" t="str">
        <f t="shared" si="66"/>
        <v>Compliant</v>
      </c>
      <c r="AD246" t="str">
        <f t="shared" si="67"/>
        <v>On-time</v>
      </c>
      <c r="AE246" s="8">
        <f>MIN(Q246,Scenario!$B$2)</f>
        <v>0.09</v>
      </c>
      <c r="AF246" s="33">
        <f>L246*(1+Scenario!$B$3)</f>
        <v>436.36749999999995</v>
      </c>
      <c r="AG246" s="6">
        <f>R246*(1+Scenario!$B$4)</f>
        <v>15.6</v>
      </c>
      <c r="AH246" s="33">
        <f t="shared" si="69"/>
        <v>10536.69708</v>
      </c>
      <c r="AI246" s="33">
        <f t="shared" si="70"/>
        <v>6807.3329999999987</v>
      </c>
      <c r="AJ246" s="33">
        <f t="shared" si="71"/>
        <v>3729.3640800000012</v>
      </c>
    </row>
    <row r="247" spans="1:36" hidden="1" x14ac:dyDescent="0.25">
      <c r="A247" s="12" t="s">
        <v>431</v>
      </c>
      <c r="B247" s="27">
        <v>45813</v>
      </c>
      <c r="C247" s="4">
        <v>45822</v>
      </c>
      <c r="D247" s="12" t="s">
        <v>647</v>
      </c>
      <c r="E247" s="12" t="s">
        <v>654</v>
      </c>
      <c r="F247" s="12" t="s">
        <v>680</v>
      </c>
      <c r="G247" s="12" t="s">
        <v>703</v>
      </c>
      <c r="H247" s="12" t="s">
        <v>707</v>
      </c>
      <c r="I247" s="12" t="s">
        <v>720</v>
      </c>
      <c r="J247" s="12" t="s">
        <v>733</v>
      </c>
      <c r="K247" s="12" t="s">
        <v>1150</v>
      </c>
      <c r="L247" s="6">
        <v>618.69000000000005</v>
      </c>
      <c r="M247" s="6">
        <v>796.15</v>
      </c>
      <c r="N247" s="6">
        <f t="shared" si="54"/>
        <v>796.15</v>
      </c>
      <c r="O247" s="6" t="str">
        <f t="shared" si="68"/>
        <v>Middle</v>
      </c>
      <c r="P247" s="6">
        <v>0.09</v>
      </c>
      <c r="Q247" s="6">
        <f t="shared" si="55"/>
        <v>0.09</v>
      </c>
      <c r="R247" s="6">
        <v>11</v>
      </c>
      <c r="S247" s="6" t="str">
        <f t="shared" si="56"/>
        <v>OK</v>
      </c>
      <c r="T247" s="4">
        <f t="shared" si="57"/>
        <v>45822</v>
      </c>
      <c r="U247" s="11">
        <f t="shared" si="58"/>
        <v>9</v>
      </c>
      <c r="V247" s="6">
        <f t="shared" si="59"/>
        <v>7969.4615000000003</v>
      </c>
      <c r="W247" s="6">
        <f t="shared" si="60"/>
        <v>6805.59</v>
      </c>
      <c r="X247" s="6">
        <f t="shared" si="61"/>
        <v>1163.8715000000002</v>
      </c>
      <c r="Y247" s="6">
        <f t="shared" si="62"/>
        <v>0.14604142325049191</v>
      </c>
      <c r="Z247" s="4" t="str">
        <f t="shared" si="63"/>
        <v>Q2-2025</v>
      </c>
      <c r="AA247" t="str">
        <f t="shared" si="64"/>
        <v>Accessories</v>
      </c>
      <c r="AB247" t="str">
        <f t="shared" si="65"/>
        <v>Accessories</v>
      </c>
      <c r="AC247" t="str">
        <f t="shared" si="66"/>
        <v>Compliant</v>
      </c>
      <c r="AD247" t="str">
        <f t="shared" si="67"/>
        <v>Late</v>
      </c>
      <c r="AE247" s="8">
        <f>MIN(Q247,Scenario!$B$2)</f>
        <v>0.09</v>
      </c>
      <c r="AF247" s="33">
        <f>L247*(1+Scenario!$B$3)</f>
        <v>711.49350000000004</v>
      </c>
      <c r="AG247" s="6">
        <f>R247*(1+Scenario!$B$4)</f>
        <v>13.2</v>
      </c>
      <c r="AH247" s="33">
        <f t="shared" si="69"/>
        <v>9563.353799999999</v>
      </c>
      <c r="AI247" s="33">
        <f t="shared" si="70"/>
        <v>9391.7142000000003</v>
      </c>
      <c r="AJ247" s="33">
        <f t="shared" si="71"/>
        <v>171.63959999999861</v>
      </c>
    </row>
    <row r="248" spans="1:36" x14ac:dyDescent="0.25">
      <c r="A248" s="12" t="s">
        <v>291</v>
      </c>
      <c r="B248" s="27">
        <v>45832</v>
      </c>
      <c r="C248" s="4">
        <v>45852</v>
      </c>
      <c r="D248" s="12" t="s">
        <v>649</v>
      </c>
      <c r="E248" s="12" t="s">
        <v>656</v>
      </c>
      <c r="F248" s="12" t="s">
        <v>671</v>
      </c>
      <c r="G248" s="12" t="s">
        <v>701</v>
      </c>
      <c r="H248" s="12" t="s">
        <v>711</v>
      </c>
      <c r="I248" s="12" t="s">
        <v>719</v>
      </c>
      <c r="J248" s="12" t="s">
        <v>733</v>
      </c>
      <c r="K248" s="12" t="s">
        <v>1011</v>
      </c>
      <c r="L248" s="6">
        <v>385.08</v>
      </c>
      <c r="M248" s="6">
        <v>893.19</v>
      </c>
      <c r="N248" s="6">
        <f t="shared" si="54"/>
        <v>893.19</v>
      </c>
      <c r="O248" s="6" t="str">
        <f t="shared" si="68"/>
        <v>Middle</v>
      </c>
      <c r="P248" s="6">
        <v>0.151</v>
      </c>
      <c r="Q248" s="6">
        <f t="shared" si="55"/>
        <v>0.151</v>
      </c>
      <c r="R248" s="6">
        <v>8</v>
      </c>
      <c r="S248" s="6" t="str">
        <f t="shared" si="56"/>
        <v>OK</v>
      </c>
      <c r="T248" s="4">
        <f t="shared" si="57"/>
        <v>45852</v>
      </c>
      <c r="U248" s="11">
        <f t="shared" si="58"/>
        <v>20</v>
      </c>
      <c r="V248" s="6">
        <f t="shared" si="59"/>
        <v>6066.54648</v>
      </c>
      <c r="W248" s="6">
        <f t="shared" si="60"/>
        <v>3080.64</v>
      </c>
      <c r="X248" s="6">
        <f t="shared" si="61"/>
        <v>2985.9064800000001</v>
      </c>
      <c r="Y248" s="6">
        <f t="shared" si="62"/>
        <v>0.49219213762621666</v>
      </c>
      <c r="Z248" s="4" t="str">
        <f t="shared" si="63"/>
        <v>Q2-2025</v>
      </c>
      <c r="AA248" t="str">
        <f t="shared" si="64"/>
        <v>Accessories</v>
      </c>
      <c r="AB248" t="str">
        <f t="shared" si="65"/>
        <v>Accessories</v>
      </c>
      <c r="AC248" t="str">
        <f t="shared" si="66"/>
        <v>Compliant</v>
      </c>
      <c r="AD248" t="str">
        <f t="shared" si="67"/>
        <v>Late</v>
      </c>
      <c r="AE248" s="8">
        <f>MIN(Q248,Scenario!$B$2)</f>
        <v>0.151</v>
      </c>
      <c r="AF248" s="33">
        <f>L248*(1+Scenario!$B$3)</f>
        <v>442.84199999999993</v>
      </c>
      <c r="AG248" s="6">
        <f>R248*(1+Scenario!$B$4)</f>
        <v>9.6</v>
      </c>
      <c r="AH248" s="33">
        <f t="shared" si="69"/>
        <v>7279.8557759999994</v>
      </c>
      <c r="AI248" s="33">
        <f t="shared" si="70"/>
        <v>4251.2831999999989</v>
      </c>
      <c r="AJ248" s="33">
        <f t="shared" si="71"/>
        <v>3028.5725760000005</v>
      </c>
    </row>
    <row r="249" spans="1:36" hidden="1" x14ac:dyDescent="0.25">
      <c r="A249" s="12" t="s">
        <v>106</v>
      </c>
      <c r="B249" s="27">
        <v>45817</v>
      </c>
      <c r="C249" s="4">
        <v>45833</v>
      </c>
      <c r="D249" s="12" t="s">
        <v>647</v>
      </c>
      <c r="E249" s="12" t="s">
        <v>654</v>
      </c>
      <c r="F249" s="12" t="s">
        <v>696</v>
      </c>
      <c r="G249" s="12" t="s">
        <v>706</v>
      </c>
      <c r="H249" s="12" t="s">
        <v>710</v>
      </c>
      <c r="I249" s="12" t="s">
        <v>724</v>
      </c>
      <c r="J249" s="12" t="s">
        <v>730</v>
      </c>
      <c r="K249" s="12" t="s">
        <v>825</v>
      </c>
      <c r="L249" s="6">
        <v>527.33000000000004</v>
      </c>
      <c r="M249" s="6">
        <v>911.72</v>
      </c>
      <c r="N249" s="6">
        <f t="shared" si="54"/>
        <v>911.72</v>
      </c>
      <c r="O249" s="6" t="str">
        <f t="shared" si="68"/>
        <v>Middle</v>
      </c>
      <c r="P249" s="6">
        <v>0.14399999999999999</v>
      </c>
      <c r="Q249" s="6">
        <f t="shared" si="55"/>
        <v>0.14399999999999999</v>
      </c>
      <c r="R249" s="6">
        <v>25</v>
      </c>
      <c r="S249" s="6" t="str">
        <f t="shared" si="56"/>
        <v>OK</v>
      </c>
      <c r="T249" s="4">
        <f t="shared" si="57"/>
        <v>45833</v>
      </c>
      <c r="U249" s="11">
        <f t="shared" si="58"/>
        <v>16</v>
      </c>
      <c r="V249" s="6">
        <f t="shared" si="59"/>
        <v>19510.808000000001</v>
      </c>
      <c r="W249" s="6">
        <f t="shared" si="60"/>
        <v>13183.250000000002</v>
      </c>
      <c r="X249" s="6">
        <f t="shared" si="61"/>
        <v>6327.5579999999991</v>
      </c>
      <c r="Y249" s="6">
        <f t="shared" si="62"/>
        <v>0.32431040272652978</v>
      </c>
      <c r="Z249" s="4" t="str">
        <f t="shared" si="63"/>
        <v>Q2-2025</v>
      </c>
      <c r="AA249" t="str">
        <f t="shared" si="64"/>
        <v>Phones</v>
      </c>
      <c r="AB249" t="str">
        <f t="shared" si="65"/>
        <v>Phones</v>
      </c>
      <c r="AC249" t="str">
        <f t="shared" si="66"/>
        <v>Compliant</v>
      </c>
      <c r="AD249" t="str">
        <f t="shared" si="67"/>
        <v>Late</v>
      </c>
      <c r="AE249" s="8">
        <f>MIN(Q249,Scenario!$B$2)</f>
        <v>0.14399999999999999</v>
      </c>
      <c r="AF249" s="33">
        <f>L249*(1+Scenario!$B$3)</f>
        <v>606.42949999999996</v>
      </c>
      <c r="AG249" s="6">
        <f>R249*(1+Scenario!$B$4)</f>
        <v>30</v>
      </c>
      <c r="AH249" s="33">
        <f t="shared" si="69"/>
        <v>23412.9696</v>
      </c>
      <c r="AI249" s="33">
        <f t="shared" si="70"/>
        <v>18192.884999999998</v>
      </c>
      <c r="AJ249" s="33">
        <f t="shared" si="71"/>
        <v>5220.084600000002</v>
      </c>
    </row>
    <row r="250" spans="1:36" x14ac:dyDescent="0.25">
      <c r="A250" s="12" t="s">
        <v>317</v>
      </c>
      <c r="B250" s="27">
        <v>45830</v>
      </c>
      <c r="C250" s="4">
        <v>45846</v>
      </c>
      <c r="D250" s="12" t="s">
        <v>649</v>
      </c>
      <c r="E250" s="12" t="s">
        <v>658</v>
      </c>
      <c r="F250" s="12" t="s">
        <v>683</v>
      </c>
      <c r="G250" s="12" t="s">
        <v>702</v>
      </c>
      <c r="H250" s="12" t="s">
        <v>711</v>
      </c>
      <c r="I250" s="12" t="s">
        <v>720</v>
      </c>
      <c r="J250" s="12" t="s">
        <v>730</v>
      </c>
      <c r="K250" s="12" t="s">
        <v>1037</v>
      </c>
      <c r="L250" s="6">
        <v>892.73</v>
      </c>
      <c r="M250" s="6">
        <v>979.84</v>
      </c>
      <c r="N250" s="6">
        <f t="shared" si="54"/>
        <v>979.84</v>
      </c>
      <c r="O250" s="6" t="str">
        <f t="shared" si="68"/>
        <v>Middle</v>
      </c>
      <c r="P250" s="6">
        <v>0.17399999999999999</v>
      </c>
      <c r="Q250" s="6">
        <f t="shared" si="55"/>
        <v>0.17399999999999999</v>
      </c>
      <c r="R250" s="6">
        <v>10</v>
      </c>
      <c r="S250" s="6" t="str">
        <f t="shared" si="56"/>
        <v>OK</v>
      </c>
      <c r="T250" s="4">
        <f t="shared" si="57"/>
        <v>45846</v>
      </c>
      <c r="U250" s="11">
        <f t="shared" si="58"/>
        <v>16</v>
      </c>
      <c r="V250" s="6">
        <f t="shared" si="59"/>
        <v>8093.4784</v>
      </c>
      <c r="W250" s="6">
        <f t="shared" si="60"/>
        <v>8927.2999999999993</v>
      </c>
      <c r="X250" s="6">
        <f t="shared" si="61"/>
        <v>-833.82159999999931</v>
      </c>
      <c r="Y250" s="6">
        <f t="shared" si="62"/>
        <v>-0.10302388649112838</v>
      </c>
      <c r="Z250" s="4" t="str">
        <f t="shared" si="63"/>
        <v>Q2-2025</v>
      </c>
      <c r="AA250" t="str">
        <f t="shared" si="64"/>
        <v>Phones</v>
      </c>
      <c r="AB250" t="str">
        <f t="shared" si="65"/>
        <v>Phones</v>
      </c>
      <c r="AC250" t="str">
        <f t="shared" si="66"/>
        <v>Compliant</v>
      </c>
      <c r="AD250" t="str">
        <f t="shared" si="67"/>
        <v>Late</v>
      </c>
      <c r="AE250" s="8">
        <f>MIN(Q250,Scenario!$B$2)</f>
        <v>0.17399999999999999</v>
      </c>
      <c r="AF250" s="33">
        <f>L250*(1+Scenario!$B$3)</f>
        <v>1026.6395</v>
      </c>
      <c r="AG250" s="6">
        <f>R250*(1+Scenario!$B$4)</f>
        <v>12</v>
      </c>
      <c r="AH250" s="33">
        <f t="shared" si="69"/>
        <v>9712.1740800000007</v>
      </c>
      <c r="AI250" s="33">
        <f t="shared" si="70"/>
        <v>12319.673999999999</v>
      </c>
      <c r="AJ250" s="33">
        <f t="shared" si="71"/>
        <v>-2607.4999199999984</v>
      </c>
    </row>
    <row r="251" spans="1:36" hidden="1" x14ac:dyDescent="0.25">
      <c r="A251" s="12" t="s">
        <v>37</v>
      </c>
      <c r="B251" s="27">
        <v>45822</v>
      </c>
      <c r="C251" s="4">
        <v>45837</v>
      </c>
      <c r="D251" s="12" t="s">
        <v>646</v>
      </c>
      <c r="E251" s="12" t="s">
        <v>651</v>
      </c>
      <c r="F251" s="12" t="s">
        <v>663</v>
      </c>
      <c r="G251" s="12" t="s">
        <v>704</v>
      </c>
      <c r="H251" s="12" t="s">
        <v>709</v>
      </c>
      <c r="I251" s="12" t="s">
        <v>724</v>
      </c>
      <c r="J251" s="12" t="s">
        <v>733</v>
      </c>
      <c r="K251" s="12" t="s">
        <v>756</v>
      </c>
      <c r="L251" s="6">
        <v>730.99</v>
      </c>
      <c r="M251" s="6">
        <v>1242.8399999999999</v>
      </c>
      <c r="N251" s="6">
        <f t="shared" si="54"/>
        <v>1242.8399999999999</v>
      </c>
      <c r="O251" s="6" t="str">
        <f t="shared" si="68"/>
        <v>High</v>
      </c>
      <c r="P251" s="6">
        <v>0.12</v>
      </c>
      <c r="Q251" s="6">
        <f t="shared" si="55"/>
        <v>0.12</v>
      </c>
      <c r="R251" s="6">
        <v>10</v>
      </c>
      <c r="S251" s="6" t="str">
        <f t="shared" si="56"/>
        <v>OK</v>
      </c>
      <c r="T251" s="4">
        <f t="shared" si="57"/>
        <v>45837</v>
      </c>
      <c r="U251" s="11">
        <f t="shared" si="58"/>
        <v>15</v>
      </c>
      <c r="V251" s="6">
        <f t="shared" si="59"/>
        <v>10936.992</v>
      </c>
      <c r="W251" s="6">
        <f t="shared" si="60"/>
        <v>7309.9</v>
      </c>
      <c r="X251" s="6">
        <f t="shared" si="61"/>
        <v>3627.0920000000006</v>
      </c>
      <c r="Y251" s="6">
        <f t="shared" si="62"/>
        <v>0.33163524303574515</v>
      </c>
      <c r="Z251" s="4" t="str">
        <f t="shared" si="63"/>
        <v>Q2-2025</v>
      </c>
      <c r="AA251" t="str">
        <f t="shared" si="64"/>
        <v>Accessories</v>
      </c>
      <c r="AB251" t="str">
        <f t="shared" si="65"/>
        <v>Accessories</v>
      </c>
      <c r="AC251" t="str">
        <f t="shared" si="66"/>
        <v>Compliant</v>
      </c>
      <c r="AD251" t="str">
        <f t="shared" si="67"/>
        <v>Late</v>
      </c>
      <c r="AE251" s="8">
        <f>MIN(Q251,Scenario!$B$2)</f>
        <v>0.12</v>
      </c>
      <c r="AF251" s="33">
        <f>L251*(1+Scenario!$B$3)</f>
        <v>840.63849999999991</v>
      </c>
      <c r="AG251" s="6">
        <f>R251*(1+Scenario!$B$4)</f>
        <v>12</v>
      </c>
      <c r="AH251" s="33">
        <f t="shared" si="69"/>
        <v>13124.390399999998</v>
      </c>
      <c r="AI251" s="33">
        <f t="shared" si="70"/>
        <v>10087.661999999998</v>
      </c>
      <c r="AJ251" s="33">
        <f t="shared" si="71"/>
        <v>3036.7284</v>
      </c>
    </row>
    <row r="252" spans="1:36" hidden="1" x14ac:dyDescent="0.25">
      <c r="A252" s="12" t="s">
        <v>404</v>
      </c>
      <c r="B252" s="27">
        <v>45823</v>
      </c>
      <c r="C252" s="4">
        <v>45838</v>
      </c>
      <c r="D252" s="12" t="s">
        <v>646</v>
      </c>
      <c r="E252" s="12" t="s">
        <v>661</v>
      </c>
      <c r="F252" s="12" t="s">
        <v>682</v>
      </c>
      <c r="G252" s="12" t="s">
        <v>705</v>
      </c>
      <c r="H252" s="12" t="s">
        <v>711</v>
      </c>
      <c r="I252" s="12" t="s">
        <v>712</v>
      </c>
      <c r="J252" s="12" t="s">
        <v>732</v>
      </c>
      <c r="K252" s="12" t="s">
        <v>1123</v>
      </c>
      <c r="L252" s="6">
        <v>1487.59</v>
      </c>
      <c r="M252" s="6">
        <v>1480.83</v>
      </c>
      <c r="N252" s="6">
        <f t="shared" si="54"/>
        <v>1480.83</v>
      </c>
      <c r="O252" s="6" t="str">
        <f t="shared" si="68"/>
        <v>High</v>
      </c>
      <c r="P252" s="6">
        <v>8.9999999999999993E-3</v>
      </c>
      <c r="Q252" s="6">
        <f t="shared" si="55"/>
        <v>8.9999999999999993E-3</v>
      </c>
      <c r="R252" s="6">
        <v>11</v>
      </c>
      <c r="S252" s="6" t="str">
        <f t="shared" si="56"/>
        <v>OK</v>
      </c>
      <c r="T252" s="4">
        <f t="shared" si="57"/>
        <v>45838</v>
      </c>
      <c r="U252" s="11">
        <f t="shared" si="58"/>
        <v>15</v>
      </c>
      <c r="V252" s="6">
        <f t="shared" si="59"/>
        <v>16142.527829999999</v>
      </c>
      <c r="W252" s="6">
        <f t="shared" si="60"/>
        <v>16363.49</v>
      </c>
      <c r="X252" s="6">
        <f t="shared" si="61"/>
        <v>-220.9621700000007</v>
      </c>
      <c r="Y252" s="6">
        <f t="shared" si="62"/>
        <v>-1.3688201273492908E-2</v>
      </c>
      <c r="Z252" s="4" t="str">
        <f t="shared" si="63"/>
        <v>Q2-2025</v>
      </c>
      <c r="AA252" t="str">
        <f t="shared" si="64"/>
        <v>Monitors</v>
      </c>
      <c r="AB252" t="str">
        <f t="shared" si="65"/>
        <v>Monitors</v>
      </c>
      <c r="AC252" t="str">
        <f t="shared" si="66"/>
        <v>Compliant</v>
      </c>
      <c r="AD252" t="str">
        <f t="shared" si="67"/>
        <v>Late</v>
      </c>
      <c r="AE252" s="8">
        <f>MIN(Q252,Scenario!$B$2)</f>
        <v>8.9999999999999993E-3</v>
      </c>
      <c r="AF252" s="33">
        <f>L252*(1+Scenario!$B$3)</f>
        <v>1710.7284999999997</v>
      </c>
      <c r="AG252" s="6">
        <f>R252*(1+Scenario!$B$4)</f>
        <v>13.2</v>
      </c>
      <c r="AH252" s="33">
        <f t="shared" si="69"/>
        <v>19371.033395999999</v>
      </c>
      <c r="AI252" s="33">
        <f t="shared" si="70"/>
        <v>22581.616199999997</v>
      </c>
      <c r="AJ252" s="33">
        <f t="shared" si="71"/>
        <v>-3210.5828039999979</v>
      </c>
    </row>
    <row r="253" spans="1:36" hidden="1" x14ac:dyDescent="0.25">
      <c r="A253" s="12" t="s">
        <v>52</v>
      </c>
      <c r="B253" s="27">
        <v>45832</v>
      </c>
      <c r="C253" s="4">
        <v>45848</v>
      </c>
      <c r="D253" s="12" t="s">
        <v>647</v>
      </c>
      <c r="E253" s="12" t="s">
        <v>659</v>
      </c>
      <c r="F253" s="12" t="s">
        <v>685</v>
      </c>
      <c r="G253" s="12" t="s">
        <v>706</v>
      </c>
      <c r="H253" s="12" t="s">
        <v>711</v>
      </c>
      <c r="I253" s="12" t="s">
        <v>725</v>
      </c>
      <c r="J253" s="12" t="s">
        <v>727</v>
      </c>
      <c r="K253" s="12" t="s">
        <v>771</v>
      </c>
      <c r="L253" s="6">
        <v>757.19</v>
      </c>
      <c r="M253" s="6">
        <v>1735.41</v>
      </c>
      <c r="N253" s="6">
        <f t="shared" si="54"/>
        <v>1735.41</v>
      </c>
      <c r="O253" s="6" t="str">
        <f t="shared" si="68"/>
        <v>High</v>
      </c>
      <c r="P253" s="6">
        <v>0.13600000000000001</v>
      </c>
      <c r="Q253" s="6">
        <f t="shared" si="55"/>
        <v>0.13600000000000001</v>
      </c>
      <c r="R253" s="6">
        <v>8</v>
      </c>
      <c r="S253" s="6" t="str">
        <f t="shared" si="56"/>
        <v>OK</v>
      </c>
      <c r="T253" s="4">
        <f t="shared" si="57"/>
        <v>45848</v>
      </c>
      <c r="U253" s="11">
        <f t="shared" si="58"/>
        <v>16</v>
      </c>
      <c r="V253" s="6">
        <f t="shared" si="59"/>
        <v>11995.153920000001</v>
      </c>
      <c r="W253" s="6">
        <f t="shared" si="60"/>
        <v>6057.52</v>
      </c>
      <c r="X253" s="6">
        <f t="shared" si="61"/>
        <v>5937.6339200000002</v>
      </c>
      <c r="Y253" s="6">
        <f t="shared" si="62"/>
        <v>0.4950027285685718</v>
      </c>
      <c r="Z253" s="4" t="str">
        <f t="shared" si="63"/>
        <v>Q2-2025</v>
      </c>
      <c r="AA253" t="str">
        <f t="shared" si="64"/>
        <v>Components</v>
      </c>
      <c r="AB253" t="str">
        <f t="shared" si="65"/>
        <v>Components</v>
      </c>
      <c r="AC253" t="str">
        <f t="shared" si="66"/>
        <v>Compliant</v>
      </c>
      <c r="AD253" t="str">
        <f t="shared" si="67"/>
        <v>Late</v>
      </c>
      <c r="AE253" s="8">
        <f>MIN(Q253,Scenario!$B$2)</f>
        <v>0.13600000000000001</v>
      </c>
      <c r="AF253" s="33">
        <f>L253*(1+Scenario!$B$3)</f>
        <v>870.76850000000002</v>
      </c>
      <c r="AG253" s="6">
        <f>R253*(1+Scenario!$B$4)</f>
        <v>9.6</v>
      </c>
      <c r="AH253" s="33">
        <f t="shared" si="69"/>
        <v>14394.184704000001</v>
      </c>
      <c r="AI253" s="33">
        <f t="shared" si="70"/>
        <v>8359.3775999999998</v>
      </c>
      <c r="AJ253" s="33">
        <f t="shared" si="71"/>
        <v>6034.8071040000013</v>
      </c>
    </row>
    <row r="254" spans="1:36" x14ac:dyDescent="0.25">
      <c r="A254" s="12" t="s">
        <v>135</v>
      </c>
      <c r="B254" s="27">
        <v>45827</v>
      </c>
      <c r="C254" s="4">
        <v>45850</v>
      </c>
      <c r="D254" s="12" t="s">
        <v>649</v>
      </c>
      <c r="E254" s="12" t="s">
        <v>658</v>
      </c>
      <c r="F254" s="15" t="s">
        <v>1367</v>
      </c>
      <c r="G254" s="12" t="s">
        <v>703</v>
      </c>
      <c r="H254" s="12" t="s">
        <v>711</v>
      </c>
      <c r="I254" s="14" t="s">
        <v>1368</v>
      </c>
      <c r="J254" s="12" t="s">
        <v>729</v>
      </c>
      <c r="K254" s="12" t="s">
        <v>854</v>
      </c>
      <c r="L254" s="6">
        <v>801.24</v>
      </c>
      <c r="M254" s="6">
        <v>1959.09</v>
      </c>
      <c r="N254" s="6">
        <f t="shared" si="54"/>
        <v>1959.09</v>
      </c>
      <c r="O254" s="6" t="str">
        <f t="shared" si="68"/>
        <v>High</v>
      </c>
      <c r="P254" s="6">
        <v>0.123</v>
      </c>
      <c r="Q254" s="6">
        <f t="shared" si="55"/>
        <v>0.123</v>
      </c>
      <c r="R254" s="6">
        <v>23</v>
      </c>
      <c r="S254" s="6" t="str">
        <f t="shared" si="56"/>
        <v>OK</v>
      </c>
      <c r="T254" s="4">
        <f t="shared" si="57"/>
        <v>45850</v>
      </c>
      <c r="U254" s="11">
        <f t="shared" si="58"/>
        <v>23</v>
      </c>
      <c r="V254" s="6">
        <f t="shared" si="59"/>
        <v>39516.804389999998</v>
      </c>
      <c r="W254" s="6">
        <f t="shared" si="60"/>
        <v>18428.52</v>
      </c>
      <c r="X254" s="6">
        <f t="shared" si="61"/>
        <v>21088.284389999997</v>
      </c>
      <c r="Y254" s="6">
        <f t="shared" si="62"/>
        <v>0.53365358650651762</v>
      </c>
      <c r="Z254" s="4" t="str">
        <f t="shared" si="63"/>
        <v>Q2-2025</v>
      </c>
      <c r="AA254" t="str">
        <f t="shared" si="64"/>
        <v>Networking</v>
      </c>
      <c r="AB254" t="str">
        <f t="shared" si="65"/>
        <v>Networking</v>
      </c>
      <c r="AC254" t="str">
        <f t="shared" si="66"/>
        <v>Compliant</v>
      </c>
      <c r="AD254" t="str">
        <f t="shared" si="67"/>
        <v>Late</v>
      </c>
      <c r="AE254" s="8">
        <f>MIN(Q254,Scenario!$B$2)</f>
        <v>0.123</v>
      </c>
      <c r="AF254" s="33">
        <f>L254*(1+Scenario!$B$3)</f>
        <v>921.42599999999993</v>
      </c>
      <c r="AG254" s="6">
        <f>R254*(1+Scenario!$B$4)</f>
        <v>27.599999999999998</v>
      </c>
      <c r="AH254" s="33">
        <f t="shared" si="69"/>
        <v>47420.16526799999</v>
      </c>
      <c r="AI254" s="33">
        <f t="shared" si="70"/>
        <v>25431.357599999996</v>
      </c>
      <c r="AJ254" s="33">
        <f t="shared" si="71"/>
        <v>21988.807667999994</v>
      </c>
    </row>
    <row r="255" spans="1:36" hidden="1" x14ac:dyDescent="0.25">
      <c r="A255" s="12" t="s">
        <v>581</v>
      </c>
      <c r="B255" s="27">
        <v>45834</v>
      </c>
      <c r="C255" s="4">
        <v>45849</v>
      </c>
      <c r="D255" s="12" t="s">
        <v>646</v>
      </c>
      <c r="E255" s="12" t="s">
        <v>651</v>
      </c>
      <c r="F255" s="12" t="s">
        <v>663</v>
      </c>
      <c r="G255" s="12" t="s">
        <v>705</v>
      </c>
      <c r="H255" s="12" t="s">
        <v>708</v>
      </c>
      <c r="I255" s="12" t="s">
        <v>720</v>
      </c>
      <c r="J255" s="12" t="s">
        <v>731</v>
      </c>
      <c r="K255" s="12" t="s">
        <v>1299</v>
      </c>
      <c r="L255" s="6">
        <v>1170.1500000000001</v>
      </c>
      <c r="M255" s="6">
        <v>2115.19</v>
      </c>
      <c r="N255" s="6">
        <f t="shared" si="54"/>
        <v>2115.19</v>
      </c>
      <c r="O255" s="6" t="str">
        <f t="shared" si="68"/>
        <v>High</v>
      </c>
      <c r="P255" s="6">
        <v>9.1999999999999998E-2</v>
      </c>
      <c r="Q255" s="6">
        <f t="shared" si="55"/>
        <v>9.1999999999999998E-2</v>
      </c>
      <c r="R255" s="6">
        <v>23</v>
      </c>
      <c r="S255" s="6" t="str">
        <f t="shared" si="56"/>
        <v>OK</v>
      </c>
      <c r="T255" s="4">
        <f t="shared" si="57"/>
        <v>45849</v>
      </c>
      <c r="U255" s="11">
        <f t="shared" si="58"/>
        <v>15</v>
      </c>
      <c r="V255" s="6">
        <f t="shared" si="59"/>
        <v>44173.627960000005</v>
      </c>
      <c r="W255" s="6">
        <f t="shared" si="60"/>
        <v>26913.45</v>
      </c>
      <c r="X255" s="6">
        <f t="shared" si="61"/>
        <v>17260.177960000005</v>
      </c>
      <c r="Y255" s="6">
        <f t="shared" si="62"/>
        <v>0.39073489674946776</v>
      </c>
      <c r="Z255" s="4" t="str">
        <f t="shared" si="63"/>
        <v>Q2-2025</v>
      </c>
      <c r="AA255" t="str">
        <f t="shared" si="64"/>
        <v>Laptops</v>
      </c>
      <c r="AB255" t="str">
        <f t="shared" si="65"/>
        <v>Laptops</v>
      </c>
      <c r="AC255" t="str">
        <f t="shared" si="66"/>
        <v>Compliant</v>
      </c>
      <c r="AD255" t="str">
        <f t="shared" si="67"/>
        <v>Late</v>
      </c>
      <c r="AE255" s="8">
        <f>MIN(Q255,Scenario!$B$2)</f>
        <v>9.1999999999999998E-2</v>
      </c>
      <c r="AF255" s="33">
        <f>L255*(1+Scenario!$B$3)</f>
        <v>1345.6724999999999</v>
      </c>
      <c r="AG255" s="6">
        <f>R255*(1+Scenario!$B$4)</f>
        <v>27.599999999999998</v>
      </c>
      <c r="AH255" s="33">
        <f t="shared" si="69"/>
        <v>53008.353552</v>
      </c>
      <c r="AI255" s="33">
        <f t="shared" si="70"/>
        <v>37140.560999999994</v>
      </c>
      <c r="AJ255" s="33">
        <f t="shared" si="71"/>
        <v>15867.792552000006</v>
      </c>
    </row>
    <row r="256" spans="1:36" x14ac:dyDescent="0.25">
      <c r="A256" s="12" t="s">
        <v>482</v>
      </c>
      <c r="B256" s="27">
        <v>45809</v>
      </c>
      <c r="C256" s="4">
        <v>45813</v>
      </c>
      <c r="D256" s="12" t="s">
        <v>649</v>
      </c>
      <c r="E256" s="12" t="s">
        <v>656</v>
      </c>
      <c r="F256" s="12" t="s">
        <v>684</v>
      </c>
      <c r="G256" s="12" t="s">
        <v>706</v>
      </c>
      <c r="H256" s="12" t="s">
        <v>711</v>
      </c>
      <c r="I256" s="12" t="s">
        <v>724</v>
      </c>
      <c r="J256" s="12" t="s">
        <v>727</v>
      </c>
      <c r="K256" s="12" t="s">
        <v>1201</v>
      </c>
      <c r="L256" s="6">
        <v>1171.42</v>
      </c>
      <c r="M256" s="6">
        <v>2187.8000000000002</v>
      </c>
      <c r="N256" s="6">
        <f t="shared" si="54"/>
        <v>2187.8000000000002</v>
      </c>
      <c r="O256" s="6" t="str">
        <f t="shared" si="68"/>
        <v>High</v>
      </c>
      <c r="P256" s="6">
        <v>0.23</v>
      </c>
      <c r="Q256" s="6">
        <f t="shared" si="55"/>
        <v>0.23</v>
      </c>
      <c r="R256" s="6">
        <v>15</v>
      </c>
      <c r="S256" s="6" t="str">
        <f t="shared" si="56"/>
        <v>OK</v>
      </c>
      <c r="T256" s="4">
        <f t="shared" si="57"/>
        <v>45813</v>
      </c>
      <c r="U256" s="11">
        <f t="shared" si="58"/>
        <v>4</v>
      </c>
      <c r="V256" s="6">
        <f t="shared" si="59"/>
        <v>25269.09</v>
      </c>
      <c r="W256" s="6">
        <f t="shared" si="60"/>
        <v>17571.300000000003</v>
      </c>
      <c r="X256" s="6">
        <f t="shared" si="61"/>
        <v>7697.7899999999972</v>
      </c>
      <c r="Y256" s="6">
        <f t="shared" si="62"/>
        <v>0.30463265594447592</v>
      </c>
      <c r="Z256" s="4" t="str">
        <f t="shared" si="63"/>
        <v>Q2-2025</v>
      </c>
      <c r="AA256" t="str">
        <f t="shared" si="64"/>
        <v>Components</v>
      </c>
      <c r="AB256" t="str">
        <f t="shared" si="65"/>
        <v>Components</v>
      </c>
      <c r="AC256" t="str">
        <f t="shared" si="66"/>
        <v>Non-compliant</v>
      </c>
      <c r="AD256" t="str">
        <f t="shared" si="67"/>
        <v>On-time</v>
      </c>
      <c r="AE256" s="8">
        <f>MIN(Q256,Scenario!$B$2)</f>
        <v>0.2</v>
      </c>
      <c r="AF256" s="33">
        <f>L256*(1+Scenario!$B$3)</f>
        <v>1347.133</v>
      </c>
      <c r="AG256" s="6">
        <f>R256*(1+Scenario!$B$4)</f>
        <v>18</v>
      </c>
      <c r="AH256" s="33">
        <f t="shared" si="69"/>
        <v>31504.320000000003</v>
      </c>
      <c r="AI256" s="33">
        <f t="shared" si="70"/>
        <v>24248.394</v>
      </c>
      <c r="AJ256" s="33">
        <f t="shared" si="71"/>
        <v>7255.9260000000031</v>
      </c>
    </row>
    <row r="257" spans="1:36" hidden="1" x14ac:dyDescent="0.25">
      <c r="A257" s="12" t="s">
        <v>390</v>
      </c>
      <c r="B257" s="27">
        <v>45835</v>
      </c>
      <c r="C257" s="4">
        <v>45849</v>
      </c>
      <c r="D257" s="12" t="s">
        <v>647</v>
      </c>
      <c r="E257" s="12" t="s">
        <v>659</v>
      </c>
      <c r="F257" s="12" t="s">
        <v>685</v>
      </c>
      <c r="G257" s="12" t="s">
        <v>705</v>
      </c>
      <c r="H257" s="12" t="s">
        <v>709</v>
      </c>
      <c r="I257" s="12" t="s">
        <v>716</v>
      </c>
      <c r="J257" s="12" t="s">
        <v>729</v>
      </c>
      <c r="K257" s="12" t="s">
        <v>1110</v>
      </c>
      <c r="L257" s="6">
        <v>1227.7</v>
      </c>
      <c r="M257" s="6">
        <v>2197.23</v>
      </c>
      <c r="N257" s="6">
        <f t="shared" si="54"/>
        <v>2197.23</v>
      </c>
      <c r="O257" s="6" t="str">
        <f t="shared" si="68"/>
        <v>High</v>
      </c>
      <c r="P257" s="6">
        <v>9.9000000000000005E-2</v>
      </c>
      <c r="Q257" s="6">
        <f t="shared" si="55"/>
        <v>9.9000000000000005E-2</v>
      </c>
      <c r="R257" s="6">
        <v>22</v>
      </c>
      <c r="S257" s="6" t="str">
        <f t="shared" si="56"/>
        <v>OK</v>
      </c>
      <c r="T257" s="4">
        <f t="shared" si="57"/>
        <v>45849</v>
      </c>
      <c r="U257" s="11">
        <f t="shared" si="58"/>
        <v>14</v>
      </c>
      <c r="V257" s="6">
        <f t="shared" si="59"/>
        <v>43553.493060000001</v>
      </c>
      <c r="W257" s="6">
        <f t="shared" si="60"/>
        <v>27009.4</v>
      </c>
      <c r="X257" s="6">
        <f t="shared" si="61"/>
        <v>16544.093059999999</v>
      </c>
      <c r="Y257" s="6">
        <f t="shared" si="62"/>
        <v>0.37985685871873898</v>
      </c>
      <c r="Z257" s="4" t="str">
        <f t="shared" si="63"/>
        <v>Q2-2025</v>
      </c>
      <c r="AA257" t="str">
        <f t="shared" si="64"/>
        <v>Networking</v>
      </c>
      <c r="AB257" t="str">
        <f t="shared" si="65"/>
        <v>Networking</v>
      </c>
      <c r="AC257" t="str">
        <f t="shared" si="66"/>
        <v>Compliant</v>
      </c>
      <c r="AD257" t="str">
        <f t="shared" si="67"/>
        <v>Late</v>
      </c>
      <c r="AE257" s="8">
        <f>MIN(Q257,Scenario!$B$2)</f>
        <v>9.9000000000000005E-2</v>
      </c>
      <c r="AF257" s="33">
        <f>L257*(1+Scenario!$B$3)</f>
        <v>1411.855</v>
      </c>
      <c r="AG257" s="6">
        <f>R257*(1+Scenario!$B$4)</f>
        <v>26.4</v>
      </c>
      <c r="AH257" s="33">
        <f t="shared" si="69"/>
        <v>52264.191672000001</v>
      </c>
      <c r="AI257" s="33">
        <f t="shared" si="70"/>
        <v>37272.972000000002</v>
      </c>
      <c r="AJ257" s="33">
        <f t="shared" si="71"/>
        <v>14991.219671999999</v>
      </c>
    </row>
    <row r="258" spans="1:36" hidden="1" x14ac:dyDescent="0.25">
      <c r="A258" s="12" t="s">
        <v>363</v>
      </c>
      <c r="B258" s="27">
        <v>45825</v>
      </c>
      <c r="C258" s="4">
        <v>45843</v>
      </c>
      <c r="D258" s="12" t="s">
        <v>647</v>
      </c>
      <c r="E258" s="12" t="s">
        <v>654</v>
      </c>
      <c r="F258" s="12" t="s">
        <v>680</v>
      </c>
      <c r="G258" s="12" t="s">
        <v>704</v>
      </c>
      <c r="H258" s="12" t="s">
        <v>709</v>
      </c>
      <c r="I258" s="12" t="s">
        <v>716</v>
      </c>
      <c r="J258" s="12" t="s">
        <v>731</v>
      </c>
      <c r="K258" s="12" t="s">
        <v>1083</v>
      </c>
      <c r="L258" s="6">
        <v>982.93</v>
      </c>
      <c r="M258" s="6">
        <v>2299.3000000000002</v>
      </c>
      <c r="N258" s="6">
        <f t="shared" ref="N258:N321" si="72">ABS(M258)</f>
        <v>2299.3000000000002</v>
      </c>
      <c r="O258" s="6" t="str">
        <f t="shared" si="68"/>
        <v>High</v>
      </c>
      <c r="P258" s="6">
        <v>0.113</v>
      </c>
      <c r="Q258" s="6">
        <f t="shared" ref="Q258:Q321" si="73">IF(P258&gt;0.3, 0.3, P258)</f>
        <v>0.113</v>
      </c>
      <c r="R258" s="6">
        <v>6</v>
      </c>
      <c r="S258" s="6" t="str">
        <f t="shared" ref="S258:S321" si="74">IFERROR(IF(C258&lt;B258,"Correct", "OK"), "Error")</f>
        <v>OK</v>
      </c>
      <c r="T258" s="4">
        <f t="shared" ref="T258:T321" si="75">IF(C258&lt;B258,B258+7,C258)</f>
        <v>45843</v>
      </c>
      <c r="U258" s="11">
        <f t="shared" ref="U258:U321" si="76">T258-B258</f>
        <v>18</v>
      </c>
      <c r="V258" s="6">
        <f t="shared" ref="V258:V321" si="77">N258*R258*(1-Q258)</f>
        <v>12236.874600000001</v>
      </c>
      <c r="W258" s="6">
        <f t="shared" ref="W258:W321" si="78">L258*R258</f>
        <v>5897.58</v>
      </c>
      <c r="X258" s="6">
        <f t="shared" ref="X258:X321" si="79">V258-W258</f>
        <v>6339.2946000000011</v>
      </c>
      <c r="Y258" s="6">
        <f t="shared" ref="Y258:Y321" si="80">IF(V258=0, 0, X258/V258)</f>
        <v>0.51804850562087157</v>
      </c>
      <c r="Z258" s="4" t="str">
        <f t="shared" ref="Z258:Z321" si="81">"Q"&amp;ROUNDUP(MONTH(B258)/3,0)&amp;"-"&amp;YEAR(B258)</f>
        <v>Q2-2025</v>
      </c>
      <c r="AA258" t="str">
        <f t="shared" ref="AA258:AA321" si="82">PROPER(J258)</f>
        <v>Laptops</v>
      </c>
      <c r="AB258" t="str">
        <f t="shared" ref="AB258:AB321" si="83">TRIM(J258)</f>
        <v>Laptops</v>
      </c>
      <c r="AC258" t="str">
        <f t="shared" ref="AC258:AC321" si="84">IF(Q258&gt;20%, "Non-compliant","Compliant")</f>
        <v>Compliant</v>
      </c>
      <c r="AD258" t="str">
        <f t="shared" ref="AD258:AD321" si="85">IF(U258&lt;=7,"On-time","Late")</f>
        <v>Late</v>
      </c>
      <c r="AE258" s="8">
        <f>MIN(Q258,Scenario!$B$2)</f>
        <v>0.113</v>
      </c>
      <c r="AF258" s="33">
        <f>L258*(1+Scenario!$B$3)</f>
        <v>1130.3694999999998</v>
      </c>
      <c r="AG258" s="6">
        <f>R258*(1+Scenario!$B$4)</f>
        <v>7.1999999999999993</v>
      </c>
      <c r="AH258" s="33">
        <f t="shared" si="69"/>
        <v>14684.249519999999</v>
      </c>
      <c r="AI258" s="33">
        <f t="shared" si="70"/>
        <v>8138.6603999999979</v>
      </c>
      <c r="AJ258" s="33">
        <f t="shared" si="71"/>
        <v>6545.5891200000015</v>
      </c>
    </row>
    <row r="259" spans="1:36" hidden="1" x14ac:dyDescent="0.25">
      <c r="A259" s="12" t="s">
        <v>548</v>
      </c>
      <c r="B259" s="27">
        <v>45832</v>
      </c>
      <c r="C259" s="4">
        <v>45852</v>
      </c>
      <c r="D259" s="12" t="s">
        <v>646</v>
      </c>
      <c r="E259" s="12" t="s">
        <v>661</v>
      </c>
      <c r="F259" s="12" t="s">
        <v>682</v>
      </c>
      <c r="G259" s="12" t="s">
        <v>706</v>
      </c>
      <c r="H259" s="12" t="s">
        <v>709</v>
      </c>
      <c r="I259" s="12" t="s">
        <v>713</v>
      </c>
      <c r="J259" s="12" t="s">
        <v>731</v>
      </c>
      <c r="K259" s="12" t="s">
        <v>1267</v>
      </c>
      <c r="L259" s="6">
        <v>1151.06</v>
      </c>
      <c r="M259" s="6">
        <v>2821.36</v>
      </c>
      <c r="N259" s="6">
        <f t="shared" si="72"/>
        <v>2821.36</v>
      </c>
      <c r="O259" s="6" t="str">
        <f t="shared" ref="O259:O322" si="86">IF(N259&lt;=QUARTILE(N259:N889,1), "Low", IF(N259&lt;=QUARTILE(N259:N889,2),"Middle", "High"))</f>
        <v>High</v>
      </c>
      <c r="P259" s="6">
        <v>0.248</v>
      </c>
      <c r="Q259" s="6">
        <f t="shared" si="73"/>
        <v>0.248</v>
      </c>
      <c r="R259" s="6">
        <v>20</v>
      </c>
      <c r="S259" s="6" t="str">
        <f t="shared" si="74"/>
        <v>OK</v>
      </c>
      <c r="T259" s="4">
        <f t="shared" si="75"/>
        <v>45852</v>
      </c>
      <c r="U259" s="11">
        <f t="shared" si="76"/>
        <v>20</v>
      </c>
      <c r="V259" s="6">
        <f t="shared" si="77"/>
        <v>42433.254400000005</v>
      </c>
      <c r="W259" s="6">
        <f t="shared" si="78"/>
        <v>23021.199999999997</v>
      </c>
      <c r="X259" s="6">
        <f t="shared" si="79"/>
        <v>19412.054400000008</v>
      </c>
      <c r="Y259" s="6">
        <f t="shared" si="80"/>
        <v>0.45747267501594235</v>
      </c>
      <c r="Z259" s="4" t="str">
        <f t="shared" si="81"/>
        <v>Q2-2025</v>
      </c>
      <c r="AA259" t="str">
        <f t="shared" si="82"/>
        <v>Laptops</v>
      </c>
      <c r="AB259" t="str">
        <f t="shared" si="83"/>
        <v>Laptops</v>
      </c>
      <c r="AC259" t="str">
        <f t="shared" si="84"/>
        <v>Non-compliant</v>
      </c>
      <c r="AD259" t="str">
        <f t="shared" si="85"/>
        <v>Late</v>
      </c>
      <c r="AE259" s="8">
        <f>MIN(Q259,Scenario!$B$2)</f>
        <v>0.2</v>
      </c>
      <c r="AF259" s="33">
        <f>L259*(1+Scenario!$B$3)</f>
        <v>1323.7189999999998</v>
      </c>
      <c r="AG259" s="6">
        <f>R259*(1+Scenario!$B$4)</f>
        <v>24</v>
      </c>
      <c r="AH259" s="33">
        <f t="shared" ref="AH259:AH322" si="87">N259*AG259*(1-AE259)</f>
        <v>54170.112000000001</v>
      </c>
      <c r="AI259" s="33">
        <f t="shared" ref="AI259:AI322" si="88">AF259*AG259</f>
        <v>31769.255999999994</v>
      </c>
      <c r="AJ259" s="33">
        <f t="shared" ref="AJ259:AJ322" si="89">AH259-AI259</f>
        <v>22400.856000000007</v>
      </c>
    </row>
    <row r="260" spans="1:36" x14ac:dyDescent="0.25">
      <c r="A260" s="12" t="s">
        <v>309</v>
      </c>
      <c r="B260" s="27">
        <v>45809</v>
      </c>
      <c r="C260" s="4">
        <v>45835</v>
      </c>
      <c r="D260" s="12" t="s">
        <v>649</v>
      </c>
      <c r="E260" s="12" t="s">
        <v>656</v>
      </c>
      <c r="F260" s="12" t="s">
        <v>684</v>
      </c>
      <c r="G260" s="12" t="s">
        <v>704</v>
      </c>
      <c r="H260" s="12" t="s">
        <v>710</v>
      </c>
      <c r="I260" s="12" t="s">
        <v>718</v>
      </c>
      <c r="J260" s="12" t="s">
        <v>731</v>
      </c>
      <c r="K260" s="12" t="s">
        <v>1029</v>
      </c>
      <c r="L260" s="6">
        <v>1362.31</v>
      </c>
      <c r="M260" s="6">
        <v>3294.57</v>
      </c>
      <c r="N260" s="6">
        <f t="shared" si="72"/>
        <v>3294.57</v>
      </c>
      <c r="O260" s="6" t="str">
        <f t="shared" si="86"/>
        <v>High</v>
      </c>
      <c r="P260" s="6">
        <v>0.113</v>
      </c>
      <c r="Q260" s="6">
        <f t="shared" si="73"/>
        <v>0.113</v>
      </c>
      <c r="R260" s="6">
        <v>7</v>
      </c>
      <c r="S260" s="6" t="str">
        <f t="shared" si="74"/>
        <v>OK</v>
      </c>
      <c r="T260" s="4">
        <f t="shared" si="75"/>
        <v>45835</v>
      </c>
      <c r="U260" s="11">
        <f t="shared" si="76"/>
        <v>26</v>
      </c>
      <c r="V260" s="6">
        <f t="shared" si="77"/>
        <v>20455.985130000001</v>
      </c>
      <c r="W260" s="6">
        <f t="shared" si="78"/>
        <v>9536.17</v>
      </c>
      <c r="X260" s="6">
        <f t="shared" si="79"/>
        <v>10919.815130000001</v>
      </c>
      <c r="Y260" s="6">
        <f t="shared" si="80"/>
        <v>0.5338200561157721</v>
      </c>
      <c r="Z260" s="4" t="str">
        <f t="shared" si="81"/>
        <v>Q2-2025</v>
      </c>
      <c r="AA260" t="str">
        <f t="shared" si="82"/>
        <v>Laptops</v>
      </c>
      <c r="AB260" t="str">
        <f t="shared" si="83"/>
        <v>Laptops</v>
      </c>
      <c r="AC260" t="str">
        <f t="shared" si="84"/>
        <v>Compliant</v>
      </c>
      <c r="AD260" t="str">
        <f t="shared" si="85"/>
        <v>Late</v>
      </c>
      <c r="AE260" s="8">
        <f>MIN(Q260,Scenario!$B$2)</f>
        <v>0.113</v>
      </c>
      <c r="AF260" s="33">
        <f>L260*(1+Scenario!$B$3)</f>
        <v>1566.6564999999998</v>
      </c>
      <c r="AG260" s="6">
        <f>R260*(1+Scenario!$B$4)</f>
        <v>8.4</v>
      </c>
      <c r="AH260" s="33">
        <f t="shared" si="87"/>
        <v>24547.182156000003</v>
      </c>
      <c r="AI260" s="33">
        <f t="shared" si="88"/>
        <v>13159.914599999998</v>
      </c>
      <c r="AJ260" s="33">
        <f t="shared" si="89"/>
        <v>11387.267556000004</v>
      </c>
    </row>
    <row r="261" spans="1:36" hidden="1" x14ac:dyDescent="0.25">
      <c r="A261" s="12" t="s">
        <v>621</v>
      </c>
      <c r="B261" s="27">
        <v>45827</v>
      </c>
      <c r="C261" s="4">
        <v>45829</v>
      </c>
      <c r="D261" s="12" t="s">
        <v>646</v>
      </c>
      <c r="E261" s="12" t="s">
        <v>661</v>
      </c>
      <c r="F261" s="12" t="s">
        <v>682</v>
      </c>
      <c r="G261" s="12" t="s">
        <v>705</v>
      </c>
      <c r="H261" s="14" t="s">
        <v>1379</v>
      </c>
      <c r="I261" s="12" t="s">
        <v>722</v>
      </c>
      <c r="J261" s="12" t="s">
        <v>730</v>
      </c>
      <c r="K261" s="12" t="s">
        <v>1339</v>
      </c>
      <c r="L261" s="6">
        <v>1466.27</v>
      </c>
      <c r="M261" s="6">
        <v>3589.89</v>
      </c>
      <c r="N261" s="6">
        <f t="shared" si="72"/>
        <v>3589.89</v>
      </c>
      <c r="O261" s="6" t="str">
        <f t="shared" si="86"/>
        <v>High</v>
      </c>
      <c r="P261" s="6">
        <v>9.7000000000000003E-2</v>
      </c>
      <c r="Q261" s="6">
        <f t="shared" si="73"/>
        <v>9.7000000000000003E-2</v>
      </c>
      <c r="R261" s="6">
        <v>9</v>
      </c>
      <c r="S261" s="6" t="str">
        <f t="shared" si="74"/>
        <v>OK</v>
      </c>
      <c r="T261" s="4">
        <f t="shared" si="75"/>
        <v>45829</v>
      </c>
      <c r="U261" s="11">
        <f t="shared" si="76"/>
        <v>2</v>
      </c>
      <c r="V261" s="6">
        <f t="shared" si="77"/>
        <v>29175.036029999999</v>
      </c>
      <c r="W261" s="6">
        <f t="shared" si="78"/>
        <v>13196.43</v>
      </c>
      <c r="X261" s="6">
        <f t="shared" si="79"/>
        <v>15978.606029999999</v>
      </c>
      <c r="Y261" s="6">
        <f t="shared" si="80"/>
        <v>0.54768076425234147</v>
      </c>
      <c r="Z261" s="4" t="str">
        <f t="shared" si="81"/>
        <v>Q2-2025</v>
      </c>
      <c r="AA261" t="str">
        <f t="shared" si="82"/>
        <v>Phones</v>
      </c>
      <c r="AB261" t="str">
        <f t="shared" si="83"/>
        <v>Phones</v>
      </c>
      <c r="AC261" t="str">
        <f t="shared" si="84"/>
        <v>Compliant</v>
      </c>
      <c r="AD261" t="str">
        <f t="shared" si="85"/>
        <v>On-time</v>
      </c>
      <c r="AE261" s="8">
        <f>MIN(Q261,Scenario!$B$2)</f>
        <v>9.7000000000000003E-2</v>
      </c>
      <c r="AF261" s="33">
        <f>L261*(1+Scenario!$B$3)</f>
        <v>1686.2104999999999</v>
      </c>
      <c r="AG261" s="6">
        <f>R261*(1+Scenario!$B$4)</f>
        <v>10.799999999999999</v>
      </c>
      <c r="AH261" s="33">
        <f t="shared" si="87"/>
        <v>35010.043235999998</v>
      </c>
      <c r="AI261" s="33">
        <f t="shared" si="88"/>
        <v>18211.073399999997</v>
      </c>
      <c r="AJ261" s="33">
        <f t="shared" si="89"/>
        <v>16798.969836</v>
      </c>
    </row>
    <row r="262" spans="1:36" hidden="1" x14ac:dyDescent="0.25">
      <c r="A262" s="12" t="s">
        <v>127</v>
      </c>
      <c r="B262" s="27">
        <v>45472</v>
      </c>
      <c r="C262" s="4">
        <v>45499</v>
      </c>
      <c r="D262" s="12" t="s">
        <v>646</v>
      </c>
      <c r="E262" s="12" t="s">
        <v>661</v>
      </c>
      <c r="F262" s="12" t="s">
        <v>687</v>
      </c>
      <c r="G262" s="12" t="s">
        <v>706</v>
      </c>
      <c r="H262" s="12" t="s">
        <v>710</v>
      </c>
      <c r="I262" s="12" t="s">
        <v>717</v>
      </c>
      <c r="J262" s="12" t="s">
        <v>729</v>
      </c>
      <c r="K262" s="12" t="s">
        <v>846</v>
      </c>
      <c r="L262" s="6">
        <v>5.36</v>
      </c>
      <c r="M262" s="6">
        <v>4.37</v>
      </c>
      <c r="N262" s="6">
        <f t="shared" si="72"/>
        <v>4.37</v>
      </c>
      <c r="O262" s="6" t="str">
        <f t="shared" si="86"/>
        <v>Low</v>
      </c>
      <c r="P262" s="6">
        <v>0.11799999999999999</v>
      </c>
      <c r="Q262" s="6">
        <f t="shared" si="73"/>
        <v>0.11799999999999999</v>
      </c>
      <c r="R262" s="6">
        <v>9</v>
      </c>
      <c r="S262" s="6" t="str">
        <f t="shared" si="74"/>
        <v>OK</v>
      </c>
      <c r="T262" s="4">
        <f t="shared" si="75"/>
        <v>45499</v>
      </c>
      <c r="U262" s="11">
        <f t="shared" si="76"/>
        <v>27</v>
      </c>
      <c r="V262" s="6">
        <f t="shared" si="77"/>
        <v>34.689059999999998</v>
      </c>
      <c r="W262" s="6">
        <f t="shared" si="78"/>
        <v>48.24</v>
      </c>
      <c r="X262" s="6">
        <f t="shared" si="79"/>
        <v>-13.550940000000004</v>
      </c>
      <c r="Y262" s="6">
        <f t="shared" si="80"/>
        <v>-0.39064016148030545</v>
      </c>
      <c r="Z262" s="4" t="str">
        <f t="shared" si="81"/>
        <v>Q2-2024</v>
      </c>
      <c r="AA262" t="str">
        <f t="shared" si="82"/>
        <v>Networking</v>
      </c>
      <c r="AB262" t="str">
        <f t="shared" si="83"/>
        <v>Networking</v>
      </c>
      <c r="AC262" t="str">
        <f t="shared" si="84"/>
        <v>Compliant</v>
      </c>
      <c r="AD262" t="str">
        <f t="shared" si="85"/>
        <v>Late</v>
      </c>
      <c r="AE262" s="8">
        <f>MIN(Q262,Scenario!$B$2)</f>
        <v>0.11799999999999999</v>
      </c>
      <c r="AF262" s="33">
        <f>L262*(1+Scenario!$B$3)</f>
        <v>6.1639999999999997</v>
      </c>
      <c r="AG262" s="6">
        <f>R262*(1+Scenario!$B$4)</f>
        <v>10.799999999999999</v>
      </c>
      <c r="AH262" s="33">
        <f t="shared" si="87"/>
        <v>41.626871999999999</v>
      </c>
      <c r="AI262" s="33">
        <f t="shared" si="88"/>
        <v>66.57119999999999</v>
      </c>
      <c r="AJ262" s="33">
        <f t="shared" si="89"/>
        <v>-24.944327999999992</v>
      </c>
    </row>
    <row r="263" spans="1:36" hidden="1" x14ac:dyDescent="0.25">
      <c r="A263" s="12" t="s">
        <v>124</v>
      </c>
      <c r="B263" s="27">
        <v>45445</v>
      </c>
      <c r="C263" s="4">
        <v>45451</v>
      </c>
      <c r="D263" s="12" t="s">
        <v>646</v>
      </c>
      <c r="E263" s="12" t="s">
        <v>650</v>
      </c>
      <c r="F263" s="12" t="s">
        <v>662</v>
      </c>
      <c r="G263" s="12" t="s">
        <v>704</v>
      </c>
      <c r="H263" s="12" t="s">
        <v>709</v>
      </c>
      <c r="I263" s="12" t="s">
        <v>720</v>
      </c>
      <c r="J263" s="12" t="s">
        <v>733</v>
      </c>
      <c r="K263" s="12" t="s">
        <v>843</v>
      </c>
      <c r="L263" s="6">
        <v>292.94</v>
      </c>
      <c r="M263" s="6">
        <v>356.55</v>
      </c>
      <c r="N263" s="6">
        <f t="shared" si="72"/>
        <v>356.55</v>
      </c>
      <c r="O263" s="6" t="str">
        <f t="shared" si="86"/>
        <v>Low</v>
      </c>
      <c r="P263" s="6">
        <v>0.22900000000000001</v>
      </c>
      <c r="Q263" s="6">
        <f t="shared" si="73"/>
        <v>0.22900000000000001</v>
      </c>
      <c r="R263" s="6">
        <v>2</v>
      </c>
      <c r="S263" s="6" t="str">
        <f t="shared" si="74"/>
        <v>OK</v>
      </c>
      <c r="T263" s="4">
        <f t="shared" si="75"/>
        <v>45451</v>
      </c>
      <c r="U263" s="11">
        <f t="shared" si="76"/>
        <v>6</v>
      </c>
      <c r="V263" s="6">
        <f t="shared" si="77"/>
        <v>549.80010000000004</v>
      </c>
      <c r="W263" s="6">
        <f t="shared" si="78"/>
        <v>585.88</v>
      </c>
      <c r="X263" s="6">
        <f t="shared" si="79"/>
        <v>-36.079899999999952</v>
      </c>
      <c r="Y263" s="6">
        <f t="shared" si="80"/>
        <v>-6.5623669402751925E-2</v>
      </c>
      <c r="Z263" s="4" t="str">
        <f t="shared" si="81"/>
        <v>Q2-2024</v>
      </c>
      <c r="AA263" t="str">
        <f t="shared" si="82"/>
        <v>Accessories</v>
      </c>
      <c r="AB263" t="str">
        <f t="shared" si="83"/>
        <v>Accessories</v>
      </c>
      <c r="AC263" t="str">
        <f t="shared" si="84"/>
        <v>Non-compliant</v>
      </c>
      <c r="AD263" t="str">
        <f t="shared" si="85"/>
        <v>On-time</v>
      </c>
      <c r="AE263" s="8">
        <f>MIN(Q263,Scenario!$B$2)</f>
        <v>0.2</v>
      </c>
      <c r="AF263" s="33">
        <f>L263*(1+Scenario!$B$3)</f>
        <v>336.88099999999997</v>
      </c>
      <c r="AG263" s="6">
        <f>R263*(1+Scenario!$B$4)</f>
        <v>2.4</v>
      </c>
      <c r="AH263" s="33">
        <f t="shared" si="87"/>
        <v>684.57600000000002</v>
      </c>
      <c r="AI263" s="33">
        <f t="shared" si="88"/>
        <v>808.51439999999991</v>
      </c>
      <c r="AJ263" s="33">
        <f t="shared" si="89"/>
        <v>-123.93839999999989</v>
      </c>
    </row>
    <row r="264" spans="1:36" hidden="1" x14ac:dyDescent="0.25">
      <c r="A264" s="12" t="s">
        <v>318</v>
      </c>
      <c r="B264" s="27">
        <v>45462</v>
      </c>
      <c r="C264" s="4">
        <v>45463</v>
      </c>
      <c r="D264" s="12" t="s">
        <v>646</v>
      </c>
      <c r="E264" s="12" t="s">
        <v>650</v>
      </c>
      <c r="F264" s="12" t="s">
        <v>662</v>
      </c>
      <c r="G264" s="12" t="s">
        <v>705</v>
      </c>
      <c r="H264" s="12" t="s">
        <v>711</v>
      </c>
      <c r="I264" s="12" t="s">
        <v>713</v>
      </c>
      <c r="J264" s="12" t="s">
        <v>731</v>
      </c>
      <c r="K264" s="12" t="s">
        <v>1038</v>
      </c>
      <c r="L264" s="6">
        <v>231.63</v>
      </c>
      <c r="M264" s="6">
        <v>537.39</v>
      </c>
      <c r="N264" s="6">
        <f t="shared" si="72"/>
        <v>537.39</v>
      </c>
      <c r="O264" s="6" t="str">
        <f t="shared" si="86"/>
        <v>Low</v>
      </c>
      <c r="P264" s="6">
        <v>0.08</v>
      </c>
      <c r="Q264" s="6">
        <f t="shared" si="73"/>
        <v>0.08</v>
      </c>
      <c r="R264" s="6">
        <v>12</v>
      </c>
      <c r="S264" s="6" t="str">
        <f t="shared" si="74"/>
        <v>OK</v>
      </c>
      <c r="T264" s="4">
        <f t="shared" si="75"/>
        <v>45463</v>
      </c>
      <c r="U264" s="11">
        <f t="shared" si="76"/>
        <v>1</v>
      </c>
      <c r="V264" s="6">
        <f t="shared" si="77"/>
        <v>5932.7856000000002</v>
      </c>
      <c r="W264" s="6">
        <f t="shared" si="78"/>
        <v>2779.56</v>
      </c>
      <c r="X264" s="6">
        <f t="shared" si="79"/>
        <v>3153.2256000000002</v>
      </c>
      <c r="Y264" s="6">
        <f t="shared" si="80"/>
        <v>0.53149158129024587</v>
      </c>
      <c r="Z264" s="4" t="str">
        <f t="shared" si="81"/>
        <v>Q2-2024</v>
      </c>
      <c r="AA264" t="str">
        <f t="shared" si="82"/>
        <v>Laptops</v>
      </c>
      <c r="AB264" t="str">
        <f t="shared" si="83"/>
        <v>Laptops</v>
      </c>
      <c r="AC264" t="str">
        <f t="shared" si="84"/>
        <v>Compliant</v>
      </c>
      <c r="AD264" t="str">
        <f t="shared" si="85"/>
        <v>On-time</v>
      </c>
      <c r="AE264" s="8">
        <f>MIN(Q264,Scenario!$B$2)</f>
        <v>0.08</v>
      </c>
      <c r="AF264" s="33">
        <f>L264*(1+Scenario!$B$3)</f>
        <v>266.37449999999995</v>
      </c>
      <c r="AG264" s="6">
        <f>R264*(1+Scenario!$B$4)</f>
        <v>14.399999999999999</v>
      </c>
      <c r="AH264" s="33">
        <f t="shared" si="87"/>
        <v>7119.3427199999996</v>
      </c>
      <c r="AI264" s="33">
        <f t="shared" si="88"/>
        <v>3835.7927999999988</v>
      </c>
      <c r="AJ264" s="33">
        <f t="shared" si="89"/>
        <v>3283.5499200000008</v>
      </c>
    </row>
    <row r="265" spans="1:36" hidden="1" x14ac:dyDescent="0.25">
      <c r="A265" s="12" t="s">
        <v>480</v>
      </c>
      <c r="B265" s="27">
        <v>45466</v>
      </c>
      <c r="C265" s="4">
        <v>45471</v>
      </c>
      <c r="D265" s="12" t="s">
        <v>646</v>
      </c>
      <c r="E265" s="12" t="s">
        <v>651</v>
      </c>
      <c r="F265" s="12" t="s">
        <v>663</v>
      </c>
      <c r="G265" s="12" t="s">
        <v>703</v>
      </c>
      <c r="H265" s="12" t="s">
        <v>711</v>
      </c>
      <c r="I265" s="12" t="s">
        <v>724</v>
      </c>
      <c r="J265" s="12" t="s">
        <v>733</v>
      </c>
      <c r="K265" s="12" t="s">
        <v>1199</v>
      </c>
      <c r="L265" s="6">
        <v>242.31</v>
      </c>
      <c r="M265" s="6">
        <v>587.95000000000005</v>
      </c>
      <c r="N265" s="6">
        <f t="shared" si="72"/>
        <v>587.95000000000005</v>
      </c>
      <c r="O265" s="6" t="str">
        <f t="shared" si="86"/>
        <v>Low</v>
      </c>
      <c r="P265" s="6">
        <v>0.22900000000000001</v>
      </c>
      <c r="Q265" s="6">
        <f t="shared" si="73"/>
        <v>0.22900000000000001</v>
      </c>
      <c r="R265" s="6">
        <v>6</v>
      </c>
      <c r="S265" s="6" t="str">
        <f t="shared" si="74"/>
        <v>OK</v>
      </c>
      <c r="T265" s="4">
        <f t="shared" si="75"/>
        <v>45471</v>
      </c>
      <c r="U265" s="11">
        <f t="shared" si="76"/>
        <v>5</v>
      </c>
      <c r="V265" s="6">
        <f t="shared" si="77"/>
        <v>2719.8567000000003</v>
      </c>
      <c r="W265" s="6">
        <f t="shared" si="78"/>
        <v>1453.8600000000001</v>
      </c>
      <c r="X265" s="6">
        <f t="shared" si="79"/>
        <v>1265.9967000000001</v>
      </c>
      <c r="Y265" s="6">
        <f t="shared" si="80"/>
        <v>0.46546448568411714</v>
      </c>
      <c r="Z265" s="4" t="str">
        <f t="shared" si="81"/>
        <v>Q2-2024</v>
      </c>
      <c r="AA265" t="str">
        <f t="shared" si="82"/>
        <v>Accessories</v>
      </c>
      <c r="AB265" t="str">
        <f t="shared" si="83"/>
        <v>Accessories</v>
      </c>
      <c r="AC265" t="str">
        <f t="shared" si="84"/>
        <v>Non-compliant</v>
      </c>
      <c r="AD265" t="str">
        <f t="shared" si="85"/>
        <v>On-time</v>
      </c>
      <c r="AE265" s="8">
        <f>MIN(Q265,Scenario!$B$2)</f>
        <v>0.2</v>
      </c>
      <c r="AF265" s="33">
        <f>L265*(1+Scenario!$B$3)</f>
        <v>278.65649999999999</v>
      </c>
      <c r="AG265" s="6">
        <f>R265*(1+Scenario!$B$4)</f>
        <v>7.1999999999999993</v>
      </c>
      <c r="AH265" s="33">
        <f t="shared" si="87"/>
        <v>3386.5920000000001</v>
      </c>
      <c r="AI265" s="33">
        <f t="shared" si="88"/>
        <v>2006.3267999999998</v>
      </c>
      <c r="AJ265" s="33">
        <f t="shared" si="89"/>
        <v>1380.2652000000003</v>
      </c>
    </row>
    <row r="266" spans="1:36" hidden="1" x14ac:dyDescent="0.25">
      <c r="A266" s="12" t="s">
        <v>328</v>
      </c>
      <c r="B266" s="27">
        <v>45451</v>
      </c>
      <c r="C266" s="4">
        <v>45467</v>
      </c>
      <c r="D266" s="12" t="s">
        <v>646</v>
      </c>
      <c r="E266" s="12" t="s">
        <v>661</v>
      </c>
      <c r="F266" s="12" t="s">
        <v>687</v>
      </c>
      <c r="G266" s="12" t="s">
        <v>702</v>
      </c>
      <c r="H266" s="12" t="s">
        <v>710</v>
      </c>
      <c r="I266" s="12" t="s">
        <v>722</v>
      </c>
      <c r="J266" s="12" t="s">
        <v>732</v>
      </c>
      <c r="K266" s="12" t="s">
        <v>1048</v>
      </c>
      <c r="L266" s="6">
        <v>597.85</v>
      </c>
      <c r="M266" s="6">
        <v>741.92</v>
      </c>
      <c r="N266" s="6">
        <f t="shared" si="72"/>
        <v>741.92</v>
      </c>
      <c r="O266" s="6" t="str">
        <f t="shared" si="86"/>
        <v>Middle</v>
      </c>
      <c r="P266" s="6">
        <v>3.1E-2</v>
      </c>
      <c r="Q266" s="6">
        <f t="shared" si="73"/>
        <v>3.1E-2</v>
      </c>
      <c r="R266" s="6">
        <v>7</v>
      </c>
      <c r="S266" s="6" t="str">
        <f t="shared" si="74"/>
        <v>OK</v>
      </c>
      <c r="T266" s="4">
        <f t="shared" si="75"/>
        <v>45467</v>
      </c>
      <c r="U266" s="11">
        <f t="shared" si="76"/>
        <v>16</v>
      </c>
      <c r="V266" s="6">
        <f t="shared" si="77"/>
        <v>5032.4433599999993</v>
      </c>
      <c r="W266" s="6">
        <f t="shared" si="78"/>
        <v>4184.95</v>
      </c>
      <c r="X266" s="6">
        <f t="shared" si="79"/>
        <v>847.49335999999948</v>
      </c>
      <c r="Y266" s="6">
        <f t="shared" si="80"/>
        <v>0.16840594108544515</v>
      </c>
      <c r="Z266" s="4" t="str">
        <f t="shared" si="81"/>
        <v>Q2-2024</v>
      </c>
      <c r="AA266" t="str">
        <f t="shared" si="82"/>
        <v>Monitors</v>
      </c>
      <c r="AB266" t="str">
        <f t="shared" si="83"/>
        <v>Monitors</v>
      </c>
      <c r="AC266" t="str">
        <f t="shared" si="84"/>
        <v>Compliant</v>
      </c>
      <c r="AD266" t="str">
        <f t="shared" si="85"/>
        <v>Late</v>
      </c>
      <c r="AE266" s="8">
        <f>MIN(Q266,Scenario!$B$2)</f>
        <v>3.1E-2</v>
      </c>
      <c r="AF266" s="33">
        <f>L266*(1+Scenario!$B$3)</f>
        <v>687.52749999999992</v>
      </c>
      <c r="AG266" s="6">
        <f>R266*(1+Scenario!$B$4)</f>
        <v>8.4</v>
      </c>
      <c r="AH266" s="33">
        <f t="shared" si="87"/>
        <v>6038.9320319999997</v>
      </c>
      <c r="AI266" s="33">
        <f t="shared" si="88"/>
        <v>5775.2309999999998</v>
      </c>
      <c r="AJ266" s="33">
        <f t="shared" si="89"/>
        <v>263.70103199999994</v>
      </c>
    </row>
    <row r="267" spans="1:36" hidden="1" x14ac:dyDescent="0.25">
      <c r="A267" s="12" t="s">
        <v>125</v>
      </c>
      <c r="B267" s="27">
        <v>45452</v>
      </c>
      <c r="C267" s="4">
        <v>45480</v>
      </c>
      <c r="D267" s="12" t="s">
        <v>647</v>
      </c>
      <c r="E267" s="12" t="s">
        <v>659</v>
      </c>
      <c r="F267" s="12" t="s">
        <v>676</v>
      </c>
      <c r="G267" s="12" t="s">
        <v>701</v>
      </c>
      <c r="H267" s="12" t="s">
        <v>708</v>
      </c>
      <c r="I267" s="12" t="s">
        <v>713</v>
      </c>
      <c r="J267" s="12" t="s">
        <v>727</v>
      </c>
      <c r="K267" s="12" t="s">
        <v>844</v>
      </c>
      <c r="L267" s="6">
        <v>550.22</v>
      </c>
      <c r="M267" s="6">
        <v>1025.05</v>
      </c>
      <c r="N267" s="6">
        <f t="shared" si="72"/>
        <v>1025.05</v>
      </c>
      <c r="O267" s="6" t="str">
        <f t="shared" si="86"/>
        <v>Middle</v>
      </c>
      <c r="P267" s="6">
        <v>0</v>
      </c>
      <c r="Q267" s="6">
        <f t="shared" si="73"/>
        <v>0</v>
      </c>
      <c r="R267" s="6">
        <v>27</v>
      </c>
      <c r="S267" s="6" t="str">
        <f t="shared" si="74"/>
        <v>OK</v>
      </c>
      <c r="T267" s="4">
        <f t="shared" si="75"/>
        <v>45480</v>
      </c>
      <c r="U267" s="11">
        <f t="shared" si="76"/>
        <v>28</v>
      </c>
      <c r="V267" s="6">
        <f t="shared" si="77"/>
        <v>27676.35</v>
      </c>
      <c r="W267" s="6">
        <f t="shared" si="78"/>
        <v>14855.94</v>
      </c>
      <c r="X267" s="6">
        <f t="shared" si="79"/>
        <v>12820.409999999998</v>
      </c>
      <c r="Y267" s="6">
        <f t="shared" si="80"/>
        <v>0.46322618408858102</v>
      </c>
      <c r="Z267" s="4" t="str">
        <f t="shared" si="81"/>
        <v>Q2-2024</v>
      </c>
      <c r="AA267" t="str">
        <f t="shared" si="82"/>
        <v>Components</v>
      </c>
      <c r="AB267" t="str">
        <f t="shared" si="83"/>
        <v>Components</v>
      </c>
      <c r="AC267" t="str">
        <f t="shared" si="84"/>
        <v>Compliant</v>
      </c>
      <c r="AD267" t="str">
        <f t="shared" si="85"/>
        <v>Late</v>
      </c>
      <c r="AE267" s="8">
        <f>MIN(Q267,Scenario!$B$2)</f>
        <v>0</v>
      </c>
      <c r="AF267" s="33">
        <f>L267*(1+Scenario!$B$3)</f>
        <v>632.75299999999993</v>
      </c>
      <c r="AG267" s="6">
        <f>R267*(1+Scenario!$B$4)</f>
        <v>32.4</v>
      </c>
      <c r="AH267" s="33">
        <f t="shared" si="87"/>
        <v>33211.619999999995</v>
      </c>
      <c r="AI267" s="33">
        <f t="shared" si="88"/>
        <v>20501.197199999995</v>
      </c>
      <c r="AJ267" s="33">
        <f t="shared" si="89"/>
        <v>12710.4228</v>
      </c>
    </row>
    <row r="268" spans="1:36" hidden="1" x14ac:dyDescent="0.25">
      <c r="A268" s="12" t="s">
        <v>463</v>
      </c>
      <c r="B268" s="27">
        <v>45454</v>
      </c>
      <c r="C268" s="4">
        <v>45482</v>
      </c>
      <c r="D268" s="12" t="s">
        <v>646</v>
      </c>
      <c r="E268" s="12" t="s">
        <v>651</v>
      </c>
      <c r="F268" s="12" t="s">
        <v>663</v>
      </c>
      <c r="G268" s="12" t="s">
        <v>701</v>
      </c>
      <c r="H268" s="12" t="s">
        <v>709</v>
      </c>
      <c r="I268" s="12" t="s">
        <v>714</v>
      </c>
      <c r="J268" s="12" t="s">
        <v>730</v>
      </c>
      <c r="K268" s="12" t="s">
        <v>1182</v>
      </c>
      <c r="L268" s="6">
        <v>895.54</v>
      </c>
      <c r="M268" s="6">
        <v>1045</v>
      </c>
      <c r="N268" s="6">
        <f t="shared" si="72"/>
        <v>1045</v>
      </c>
      <c r="O268" s="6" t="str">
        <f t="shared" si="86"/>
        <v>Middle</v>
      </c>
      <c r="P268" s="6">
        <v>0.216</v>
      </c>
      <c r="Q268" s="6">
        <f t="shared" si="73"/>
        <v>0.216</v>
      </c>
      <c r="R268" s="6">
        <v>15</v>
      </c>
      <c r="S268" s="6" t="str">
        <f t="shared" si="74"/>
        <v>OK</v>
      </c>
      <c r="T268" s="4">
        <f t="shared" si="75"/>
        <v>45482</v>
      </c>
      <c r="U268" s="11">
        <f t="shared" si="76"/>
        <v>28</v>
      </c>
      <c r="V268" s="6">
        <f t="shared" si="77"/>
        <v>12289.2</v>
      </c>
      <c r="W268" s="6">
        <f t="shared" si="78"/>
        <v>13433.099999999999</v>
      </c>
      <c r="X268" s="6">
        <f t="shared" si="79"/>
        <v>-1143.8999999999978</v>
      </c>
      <c r="Y268" s="6">
        <f t="shared" si="80"/>
        <v>-9.3081730299775234E-2</v>
      </c>
      <c r="Z268" s="4" t="str">
        <f t="shared" si="81"/>
        <v>Q2-2024</v>
      </c>
      <c r="AA268" t="str">
        <f t="shared" si="82"/>
        <v>Phones</v>
      </c>
      <c r="AB268" t="str">
        <f t="shared" si="83"/>
        <v>Phones</v>
      </c>
      <c r="AC268" t="str">
        <f t="shared" si="84"/>
        <v>Non-compliant</v>
      </c>
      <c r="AD268" t="str">
        <f t="shared" si="85"/>
        <v>Late</v>
      </c>
      <c r="AE268" s="8">
        <f>MIN(Q268,Scenario!$B$2)</f>
        <v>0.2</v>
      </c>
      <c r="AF268" s="33">
        <f>L268*(1+Scenario!$B$3)</f>
        <v>1029.8709999999999</v>
      </c>
      <c r="AG268" s="6">
        <f>R268*(1+Scenario!$B$4)</f>
        <v>18</v>
      </c>
      <c r="AH268" s="33">
        <f t="shared" si="87"/>
        <v>15048</v>
      </c>
      <c r="AI268" s="33">
        <f t="shared" si="88"/>
        <v>18537.677999999996</v>
      </c>
      <c r="AJ268" s="33">
        <f t="shared" si="89"/>
        <v>-3489.6779999999962</v>
      </c>
    </row>
    <row r="269" spans="1:36" hidden="1" x14ac:dyDescent="0.25">
      <c r="A269" s="12" t="s">
        <v>158</v>
      </c>
      <c r="B269" s="27">
        <v>45458</v>
      </c>
      <c r="C269" s="4">
        <v>45479</v>
      </c>
      <c r="D269" s="12" t="s">
        <v>648</v>
      </c>
      <c r="E269" s="12" t="s">
        <v>653</v>
      </c>
      <c r="F269" s="12" t="s">
        <v>667</v>
      </c>
      <c r="G269" s="12" t="s">
        <v>706</v>
      </c>
      <c r="H269" s="12" t="s">
        <v>710</v>
      </c>
      <c r="I269" s="12" t="s">
        <v>716</v>
      </c>
      <c r="J269" s="12" t="s">
        <v>728</v>
      </c>
      <c r="K269" s="12" t="s">
        <v>877</v>
      </c>
      <c r="L269" s="6">
        <v>817.23</v>
      </c>
      <c r="M269" s="6">
        <v>1467.17</v>
      </c>
      <c r="N269" s="6">
        <f t="shared" si="72"/>
        <v>1467.17</v>
      </c>
      <c r="O269" s="6" t="str">
        <f t="shared" si="86"/>
        <v>High</v>
      </c>
      <c r="P269" s="6">
        <v>0.245</v>
      </c>
      <c r="Q269" s="6">
        <f t="shared" si="73"/>
        <v>0.245</v>
      </c>
      <c r="R269" s="6">
        <v>9</v>
      </c>
      <c r="S269" s="6" t="str">
        <f t="shared" si="74"/>
        <v>OK</v>
      </c>
      <c r="T269" s="4">
        <f t="shared" si="75"/>
        <v>45479</v>
      </c>
      <c r="U269" s="11">
        <f t="shared" si="76"/>
        <v>21</v>
      </c>
      <c r="V269" s="6">
        <f t="shared" si="77"/>
        <v>9969.4201499999999</v>
      </c>
      <c r="W269" s="6">
        <f t="shared" si="78"/>
        <v>7355.07</v>
      </c>
      <c r="X269" s="6">
        <f t="shared" si="79"/>
        <v>2614.3501500000002</v>
      </c>
      <c r="Y269" s="6">
        <f t="shared" si="80"/>
        <v>0.26223693160328893</v>
      </c>
      <c r="Z269" s="4" t="str">
        <f t="shared" si="81"/>
        <v>Q2-2024</v>
      </c>
      <c r="AA269" t="str">
        <f t="shared" si="82"/>
        <v>Printers</v>
      </c>
      <c r="AB269" t="str">
        <f t="shared" si="83"/>
        <v>Printers</v>
      </c>
      <c r="AC269" t="str">
        <f t="shared" si="84"/>
        <v>Non-compliant</v>
      </c>
      <c r="AD269" t="str">
        <f t="shared" si="85"/>
        <v>Late</v>
      </c>
      <c r="AE269" s="8">
        <f>MIN(Q269,Scenario!$B$2)</f>
        <v>0.2</v>
      </c>
      <c r="AF269" s="33">
        <f>L269*(1+Scenario!$B$3)</f>
        <v>939.81449999999995</v>
      </c>
      <c r="AG269" s="6">
        <f>R269*(1+Scenario!$B$4)</f>
        <v>10.799999999999999</v>
      </c>
      <c r="AH269" s="33">
        <f t="shared" si="87"/>
        <v>12676.3488</v>
      </c>
      <c r="AI269" s="33">
        <f t="shared" si="88"/>
        <v>10149.996599999999</v>
      </c>
      <c r="AJ269" s="33">
        <f t="shared" si="89"/>
        <v>2526.3522000000012</v>
      </c>
    </row>
    <row r="270" spans="1:36" hidden="1" x14ac:dyDescent="0.25">
      <c r="A270" s="12" t="s">
        <v>179</v>
      </c>
      <c r="B270" s="27">
        <v>45447</v>
      </c>
      <c r="C270" s="4">
        <v>45459</v>
      </c>
      <c r="D270" s="12" t="s">
        <v>647</v>
      </c>
      <c r="E270" s="12" t="s">
        <v>659</v>
      </c>
      <c r="F270" s="12" t="s">
        <v>685</v>
      </c>
      <c r="G270" s="12" t="s">
        <v>701</v>
      </c>
      <c r="H270" s="12" t="s">
        <v>707</v>
      </c>
      <c r="I270" s="12" t="s">
        <v>713</v>
      </c>
      <c r="J270" s="12" t="s">
        <v>728</v>
      </c>
      <c r="K270" s="12" t="s">
        <v>898</v>
      </c>
      <c r="L270" s="6">
        <v>918.42</v>
      </c>
      <c r="M270" s="6">
        <v>1511.71</v>
      </c>
      <c r="N270" s="6">
        <f t="shared" si="72"/>
        <v>1511.71</v>
      </c>
      <c r="O270" s="6" t="str">
        <f t="shared" si="86"/>
        <v>High</v>
      </c>
      <c r="P270" s="6">
        <v>0.02</v>
      </c>
      <c r="Q270" s="6">
        <f t="shared" si="73"/>
        <v>0.02</v>
      </c>
      <c r="R270" s="6">
        <v>8</v>
      </c>
      <c r="S270" s="6" t="str">
        <f t="shared" si="74"/>
        <v>OK</v>
      </c>
      <c r="T270" s="4">
        <f t="shared" si="75"/>
        <v>45459</v>
      </c>
      <c r="U270" s="11">
        <f t="shared" si="76"/>
        <v>12</v>
      </c>
      <c r="V270" s="6">
        <f t="shared" si="77"/>
        <v>11851.806399999999</v>
      </c>
      <c r="W270" s="6">
        <f t="shared" si="78"/>
        <v>7347.36</v>
      </c>
      <c r="X270" s="6">
        <f t="shared" si="79"/>
        <v>4504.4463999999998</v>
      </c>
      <c r="Y270" s="6">
        <f t="shared" si="80"/>
        <v>0.38006412254590999</v>
      </c>
      <c r="Z270" s="4" t="str">
        <f t="shared" si="81"/>
        <v>Q2-2024</v>
      </c>
      <c r="AA270" t="str">
        <f t="shared" si="82"/>
        <v>Printers</v>
      </c>
      <c r="AB270" t="str">
        <f t="shared" si="83"/>
        <v>Printers</v>
      </c>
      <c r="AC270" t="str">
        <f t="shared" si="84"/>
        <v>Compliant</v>
      </c>
      <c r="AD270" t="str">
        <f t="shared" si="85"/>
        <v>Late</v>
      </c>
      <c r="AE270" s="8">
        <f>MIN(Q270,Scenario!$B$2)</f>
        <v>0.02</v>
      </c>
      <c r="AF270" s="33">
        <f>L270*(1+Scenario!$B$3)</f>
        <v>1056.1829999999998</v>
      </c>
      <c r="AG270" s="6">
        <f>R270*(1+Scenario!$B$4)</f>
        <v>9.6</v>
      </c>
      <c r="AH270" s="33">
        <f t="shared" si="87"/>
        <v>14222.167679999999</v>
      </c>
      <c r="AI270" s="33">
        <f t="shared" si="88"/>
        <v>10139.356799999998</v>
      </c>
      <c r="AJ270" s="33">
        <f t="shared" si="89"/>
        <v>4082.8108800000009</v>
      </c>
    </row>
    <row r="271" spans="1:36" hidden="1" x14ac:dyDescent="0.25">
      <c r="A271" s="12" t="s">
        <v>542</v>
      </c>
      <c r="B271" s="27">
        <v>45448</v>
      </c>
      <c r="C271" s="4">
        <v>45466</v>
      </c>
      <c r="D271" s="12" t="s">
        <v>646</v>
      </c>
      <c r="E271" s="12" t="s">
        <v>650</v>
      </c>
      <c r="F271" s="12" t="s">
        <v>664</v>
      </c>
      <c r="G271" s="12" t="s">
        <v>704</v>
      </c>
      <c r="H271" s="12" t="s">
        <v>710</v>
      </c>
      <c r="I271" s="12" t="s">
        <v>726</v>
      </c>
      <c r="J271" s="12" t="s">
        <v>731</v>
      </c>
      <c r="K271" s="12" t="s">
        <v>1261</v>
      </c>
      <c r="L271" s="6">
        <v>1208.74</v>
      </c>
      <c r="M271" s="6">
        <v>1594.78</v>
      </c>
      <c r="N271" s="6">
        <f t="shared" si="72"/>
        <v>1594.78</v>
      </c>
      <c r="O271" s="6" t="str">
        <f t="shared" si="86"/>
        <v>High</v>
      </c>
      <c r="P271" s="6">
        <v>5.8999999999999997E-2</v>
      </c>
      <c r="Q271" s="6">
        <f t="shared" si="73"/>
        <v>5.8999999999999997E-2</v>
      </c>
      <c r="R271" s="6">
        <v>39</v>
      </c>
      <c r="S271" s="6" t="str">
        <f t="shared" si="74"/>
        <v>OK</v>
      </c>
      <c r="T271" s="4">
        <f t="shared" si="75"/>
        <v>45466</v>
      </c>
      <c r="U271" s="11">
        <f t="shared" si="76"/>
        <v>18</v>
      </c>
      <c r="V271" s="6">
        <f t="shared" si="77"/>
        <v>58526.83122</v>
      </c>
      <c r="W271" s="6">
        <f t="shared" si="78"/>
        <v>47140.86</v>
      </c>
      <c r="X271" s="6">
        <f t="shared" si="79"/>
        <v>11385.971219999999</v>
      </c>
      <c r="Y271" s="6">
        <f t="shared" si="80"/>
        <v>0.1945427589817838</v>
      </c>
      <c r="Z271" s="4" t="str">
        <f t="shared" si="81"/>
        <v>Q2-2024</v>
      </c>
      <c r="AA271" t="str">
        <f t="shared" si="82"/>
        <v>Laptops</v>
      </c>
      <c r="AB271" t="str">
        <f t="shared" si="83"/>
        <v>Laptops</v>
      </c>
      <c r="AC271" t="str">
        <f t="shared" si="84"/>
        <v>Compliant</v>
      </c>
      <c r="AD271" t="str">
        <f t="shared" si="85"/>
        <v>Late</v>
      </c>
      <c r="AE271" s="8">
        <f>MIN(Q271,Scenario!$B$2)</f>
        <v>5.8999999999999997E-2</v>
      </c>
      <c r="AF271" s="33">
        <f>L271*(1+Scenario!$B$3)</f>
        <v>1390.0509999999999</v>
      </c>
      <c r="AG271" s="6">
        <f>R271*(1+Scenario!$B$4)</f>
        <v>46.8</v>
      </c>
      <c r="AH271" s="33">
        <f t="shared" si="87"/>
        <v>70232.197463999997</v>
      </c>
      <c r="AI271" s="33">
        <f t="shared" si="88"/>
        <v>65054.386799999993</v>
      </c>
      <c r="AJ271" s="33">
        <f t="shared" si="89"/>
        <v>5177.8106640000042</v>
      </c>
    </row>
    <row r="272" spans="1:36" x14ac:dyDescent="0.25">
      <c r="A272" s="12" t="s">
        <v>374</v>
      </c>
      <c r="B272" s="27">
        <v>45466</v>
      </c>
      <c r="C272" s="4">
        <v>45468</v>
      </c>
      <c r="D272" s="12" t="s">
        <v>649</v>
      </c>
      <c r="E272" s="12" t="s">
        <v>658</v>
      </c>
      <c r="F272" s="12" t="s">
        <v>674</v>
      </c>
      <c r="G272" s="12" t="s">
        <v>705</v>
      </c>
      <c r="H272" s="12" t="s">
        <v>709</v>
      </c>
      <c r="I272" s="12" t="s">
        <v>716</v>
      </c>
      <c r="J272" s="12" t="s">
        <v>733</v>
      </c>
      <c r="K272" s="12" t="s">
        <v>1094</v>
      </c>
      <c r="L272" s="6">
        <v>951.44</v>
      </c>
      <c r="M272" s="6">
        <v>1646.43</v>
      </c>
      <c r="N272" s="6">
        <f t="shared" si="72"/>
        <v>1646.43</v>
      </c>
      <c r="O272" s="6" t="str">
        <f t="shared" si="86"/>
        <v>High</v>
      </c>
      <c r="P272" s="6">
        <v>0.11</v>
      </c>
      <c r="Q272" s="6">
        <f t="shared" si="73"/>
        <v>0.11</v>
      </c>
      <c r="R272" s="6">
        <v>24</v>
      </c>
      <c r="S272" s="6" t="str">
        <f t="shared" si="74"/>
        <v>OK</v>
      </c>
      <c r="T272" s="4">
        <f t="shared" si="75"/>
        <v>45468</v>
      </c>
      <c r="U272" s="11">
        <f t="shared" si="76"/>
        <v>2</v>
      </c>
      <c r="V272" s="6">
        <f t="shared" si="77"/>
        <v>35167.7448</v>
      </c>
      <c r="W272" s="6">
        <f t="shared" si="78"/>
        <v>22834.560000000001</v>
      </c>
      <c r="X272" s="6">
        <f t="shared" si="79"/>
        <v>12333.184799999999</v>
      </c>
      <c r="Y272" s="6">
        <f t="shared" si="80"/>
        <v>0.35069592520473475</v>
      </c>
      <c r="Z272" s="4" t="str">
        <f t="shared" si="81"/>
        <v>Q2-2024</v>
      </c>
      <c r="AA272" t="str">
        <f t="shared" si="82"/>
        <v>Accessories</v>
      </c>
      <c r="AB272" t="str">
        <f t="shared" si="83"/>
        <v>Accessories</v>
      </c>
      <c r="AC272" t="str">
        <f t="shared" si="84"/>
        <v>Compliant</v>
      </c>
      <c r="AD272" t="str">
        <f t="shared" si="85"/>
        <v>On-time</v>
      </c>
      <c r="AE272" s="8">
        <f>MIN(Q272,Scenario!$B$2)</f>
        <v>0.11</v>
      </c>
      <c r="AF272" s="33">
        <f>L272*(1+Scenario!$B$3)</f>
        <v>1094.1559999999999</v>
      </c>
      <c r="AG272" s="6">
        <f>R272*(1+Scenario!$B$4)</f>
        <v>28.799999999999997</v>
      </c>
      <c r="AH272" s="33">
        <f t="shared" si="87"/>
        <v>42201.293759999993</v>
      </c>
      <c r="AI272" s="33">
        <f t="shared" si="88"/>
        <v>31511.692799999997</v>
      </c>
      <c r="AJ272" s="33">
        <f t="shared" si="89"/>
        <v>10689.600959999996</v>
      </c>
    </row>
    <row r="273" spans="1:36" hidden="1" x14ac:dyDescent="0.25">
      <c r="A273" s="12" t="s">
        <v>609</v>
      </c>
      <c r="B273" s="27">
        <v>45473</v>
      </c>
      <c r="C273" s="4">
        <v>45494</v>
      </c>
      <c r="D273" s="12" t="s">
        <v>646</v>
      </c>
      <c r="E273" s="12" t="s">
        <v>650</v>
      </c>
      <c r="F273" s="12" t="s">
        <v>662</v>
      </c>
      <c r="G273" s="12" t="s">
        <v>705</v>
      </c>
      <c r="H273" s="12" t="s">
        <v>707</v>
      </c>
      <c r="I273" s="12" t="s">
        <v>723</v>
      </c>
      <c r="J273" s="12" t="s">
        <v>731</v>
      </c>
      <c r="K273" s="12" t="s">
        <v>1327</v>
      </c>
      <c r="L273" s="6">
        <v>753.43</v>
      </c>
      <c r="M273" s="6">
        <v>1787.2</v>
      </c>
      <c r="N273" s="6">
        <f t="shared" si="72"/>
        <v>1787.2</v>
      </c>
      <c r="O273" s="6" t="str">
        <f t="shared" si="86"/>
        <v>High</v>
      </c>
      <c r="P273" s="6">
        <v>7.2999999999999995E-2</v>
      </c>
      <c r="Q273" s="6">
        <f t="shared" si="73"/>
        <v>7.2999999999999995E-2</v>
      </c>
      <c r="R273" s="6">
        <v>9</v>
      </c>
      <c r="S273" s="6" t="str">
        <f t="shared" si="74"/>
        <v>OK</v>
      </c>
      <c r="T273" s="4">
        <f t="shared" si="75"/>
        <v>45494</v>
      </c>
      <c r="U273" s="11">
        <f t="shared" si="76"/>
        <v>21</v>
      </c>
      <c r="V273" s="6">
        <f t="shared" si="77"/>
        <v>14910.609600000002</v>
      </c>
      <c r="W273" s="6">
        <f t="shared" si="78"/>
        <v>6780.87</v>
      </c>
      <c r="X273" s="6">
        <f t="shared" si="79"/>
        <v>8129.7396000000017</v>
      </c>
      <c r="Y273" s="6">
        <f t="shared" si="80"/>
        <v>0.54523187301476939</v>
      </c>
      <c r="Z273" s="4" t="str">
        <f t="shared" si="81"/>
        <v>Q2-2024</v>
      </c>
      <c r="AA273" t="str">
        <f t="shared" si="82"/>
        <v>Laptops</v>
      </c>
      <c r="AB273" t="str">
        <f t="shared" si="83"/>
        <v>Laptops</v>
      </c>
      <c r="AC273" t="str">
        <f t="shared" si="84"/>
        <v>Compliant</v>
      </c>
      <c r="AD273" t="str">
        <f t="shared" si="85"/>
        <v>Late</v>
      </c>
      <c r="AE273" s="8">
        <f>MIN(Q273,Scenario!$B$2)</f>
        <v>7.2999999999999995E-2</v>
      </c>
      <c r="AF273" s="33">
        <f>L273*(1+Scenario!$B$3)</f>
        <v>866.44449999999983</v>
      </c>
      <c r="AG273" s="6">
        <f>R273*(1+Scenario!$B$4)</f>
        <v>10.799999999999999</v>
      </c>
      <c r="AH273" s="33">
        <f t="shared" si="87"/>
        <v>17892.731520000001</v>
      </c>
      <c r="AI273" s="33">
        <f t="shared" si="88"/>
        <v>9357.6005999999979</v>
      </c>
      <c r="AJ273" s="33">
        <f t="shared" si="89"/>
        <v>8535.1309200000032</v>
      </c>
    </row>
    <row r="274" spans="1:36" x14ac:dyDescent="0.25">
      <c r="A274" s="12" t="s">
        <v>126</v>
      </c>
      <c r="B274" s="27">
        <v>45453</v>
      </c>
      <c r="C274" s="4">
        <v>45454</v>
      </c>
      <c r="D274" s="12" t="s">
        <v>649</v>
      </c>
      <c r="E274" s="12" t="s">
        <v>658</v>
      </c>
      <c r="F274" s="12" t="s">
        <v>674</v>
      </c>
      <c r="G274" s="12" t="s">
        <v>705</v>
      </c>
      <c r="H274" s="12" t="s">
        <v>709</v>
      </c>
      <c r="I274" s="12" t="s">
        <v>724</v>
      </c>
      <c r="J274" s="12" t="s">
        <v>731</v>
      </c>
      <c r="K274" s="12" t="s">
        <v>845</v>
      </c>
      <c r="L274" s="6">
        <v>1187.1300000000001</v>
      </c>
      <c r="M274" s="6">
        <v>1795.17</v>
      </c>
      <c r="N274" s="6">
        <f t="shared" si="72"/>
        <v>1795.17</v>
      </c>
      <c r="O274" s="6" t="str">
        <f t="shared" si="86"/>
        <v>High</v>
      </c>
      <c r="P274" s="6">
        <v>1.2E-2</v>
      </c>
      <c r="Q274" s="6">
        <f t="shared" si="73"/>
        <v>1.2E-2</v>
      </c>
      <c r="R274" s="6">
        <v>17</v>
      </c>
      <c r="S274" s="6" t="str">
        <f t="shared" si="74"/>
        <v>OK</v>
      </c>
      <c r="T274" s="4">
        <f t="shared" si="75"/>
        <v>45454</v>
      </c>
      <c r="U274" s="11">
        <f t="shared" si="76"/>
        <v>1</v>
      </c>
      <c r="V274" s="6">
        <f t="shared" si="77"/>
        <v>30151.675319999998</v>
      </c>
      <c r="W274" s="6">
        <f t="shared" si="78"/>
        <v>20181.210000000003</v>
      </c>
      <c r="X274" s="6">
        <f t="shared" si="79"/>
        <v>9970.4653199999957</v>
      </c>
      <c r="Y274" s="6">
        <f t="shared" si="80"/>
        <v>0.33067699271046663</v>
      </c>
      <c r="Z274" s="4" t="str">
        <f t="shared" si="81"/>
        <v>Q2-2024</v>
      </c>
      <c r="AA274" t="str">
        <f t="shared" si="82"/>
        <v>Laptops</v>
      </c>
      <c r="AB274" t="str">
        <f t="shared" si="83"/>
        <v>Laptops</v>
      </c>
      <c r="AC274" t="str">
        <f t="shared" si="84"/>
        <v>Compliant</v>
      </c>
      <c r="AD274" t="str">
        <f t="shared" si="85"/>
        <v>On-time</v>
      </c>
      <c r="AE274" s="8">
        <f>MIN(Q274,Scenario!$B$2)</f>
        <v>1.2E-2</v>
      </c>
      <c r="AF274" s="33">
        <f>L274*(1+Scenario!$B$3)</f>
        <v>1365.1994999999999</v>
      </c>
      <c r="AG274" s="6">
        <f>R274*(1+Scenario!$B$4)</f>
        <v>20.399999999999999</v>
      </c>
      <c r="AH274" s="33">
        <f t="shared" si="87"/>
        <v>36182.010384000001</v>
      </c>
      <c r="AI274" s="33">
        <f t="shared" si="88"/>
        <v>27850.069799999997</v>
      </c>
      <c r="AJ274" s="33">
        <f t="shared" si="89"/>
        <v>8331.9405840000036</v>
      </c>
    </row>
    <row r="275" spans="1:36" x14ac:dyDescent="0.25">
      <c r="A275" s="12" t="s">
        <v>141</v>
      </c>
      <c r="B275" s="27">
        <v>45450</v>
      </c>
      <c r="C275" s="4">
        <v>45469</v>
      </c>
      <c r="D275" s="12" t="s">
        <v>649</v>
      </c>
      <c r="E275" s="12" t="s">
        <v>656</v>
      </c>
      <c r="F275" s="12" t="s">
        <v>671</v>
      </c>
      <c r="G275" s="12" t="s">
        <v>703</v>
      </c>
      <c r="H275" s="12" t="s">
        <v>709</v>
      </c>
      <c r="I275" s="12" t="s">
        <v>724</v>
      </c>
      <c r="J275" s="12" t="s">
        <v>727</v>
      </c>
      <c r="K275" s="12" t="s">
        <v>860</v>
      </c>
      <c r="L275" s="6">
        <v>1064.32</v>
      </c>
      <c r="M275" s="6">
        <v>1848.39</v>
      </c>
      <c r="N275" s="6">
        <f t="shared" si="72"/>
        <v>1848.39</v>
      </c>
      <c r="O275" s="6" t="str">
        <f t="shared" si="86"/>
        <v>High</v>
      </c>
      <c r="P275" s="6">
        <v>7.2999999999999995E-2</v>
      </c>
      <c r="Q275" s="6">
        <f t="shared" si="73"/>
        <v>7.2999999999999995E-2</v>
      </c>
      <c r="R275" s="6">
        <v>38</v>
      </c>
      <c r="S275" s="6" t="str">
        <f t="shared" si="74"/>
        <v>OK</v>
      </c>
      <c r="T275" s="4">
        <f t="shared" si="75"/>
        <v>45469</v>
      </c>
      <c r="U275" s="11">
        <f t="shared" si="76"/>
        <v>19</v>
      </c>
      <c r="V275" s="6">
        <f t="shared" si="77"/>
        <v>65111.38614000001</v>
      </c>
      <c r="W275" s="6">
        <f t="shared" si="78"/>
        <v>40444.159999999996</v>
      </c>
      <c r="X275" s="6">
        <f t="shared" si="79"/>
        <v>24667.226140000013</v>
      </c>
      <c r="Y275" s="6">
        <f t="shared" si="80"/>
        <v>0.3788465827921631</v>
      </c>
      <c r="Z275" s="4" t="str">
        <f t="shared" si="81"/>
        <v>Q2-2024</v>
      </c>
      <c r="AA275" t="str">
        <f t="shared" si="82"/>
        <v>Components</v>
      </c>
      <c r="AB275" t="str">
        <f t="shared" si="83"/>
        <v>Components</v>
      </c>
      <c r="AC275" t="str">
        <f t="shared" si="84"/>
        <v>Compliant</v>
      </c>
      <c r="AD275" t="str">
        <f t="shared" si="85"/>
        <v>Late</v>
      </c>
      <c r="AE275" s="8">
        <f>MIN(Q275,Scenario!$B$2)</f>
        <v>7.2999999999999995E-2</v>
      </c>
      <c r="AF275" s="33">
        <f>L275*(1+Scenario!$B$3)</f>
        <v>1223.9679999999998</v>
      </c>
      <c r="AG275" s="6">
        <f>R275*(1+Scenario!$B$4)</f>
        <v>45.6</v>
      </c>
      <c r="AH275" s="33">
        <f t="shared" si="87"/>
        <v>78133.663368000009</v>
      </c>
      <c r="AI275" s="33">
        <f t="shared" si="88"/>
        <v>55812.940799999997</v>
      </c>
      <c r="AJ275" s="33">
        <f t="shared" si="89"/>
        <v>22320.722568000012</v>
      </c>
    </row>
    <row r="276" spans="1:36" hidden="1" x14ac:dyDescent="0.25">
      <c r="A276" s="12" t="s">
        <v>92</v>
      </c>
      <c r="B276" s="27">
        <v>45473</v>
      </c>
      <c r="C276" s="4">
        <v>45471</v>
      </c>
      <c r="D276" s="12" t="s">
        <v>648</v>
      </c>
      <c r="E276" s="12" t="s">
        <v>655</v>
      </c>
      <c r="F276" s="12" t="s">
        <v>692</v>
      </c>
      <c r="G276" s="12" t="s">
        <v>705</v>
      </c>
      <c r="H276" s="12" t="s">
        <v>711</v>
      </c>
      <c r="I276" s="12" t="s">
        <v>716</v>
      </c>
      <c r="J276" s="12" t="s">
        <v>733</v>
      </c>
      <c r="K276" s="12" t="s">
        <v>811</v>
      </c>
      <c r="L276" s="6">
        <v>1112.98</v>
      </c>
      <c r="M276" s="6">
        <v>2095.73</v>
      </c>
      <c r="N276" s="6">
        <f t="shared" si="72"/>
        <v>2095.73</v>
      </c>
      <c r="O276" s="6" t="str">
        <f t="shared" si="86"/>
        <v>High</v>
      </c>
      <c r="P276" s="6">
        <v>7.1999999999999995E-2</v>
      </c>
      <c r="Q276" s="6">
        <f t="shared" si="73"/>
        <v>7.1999999999999995E-2</v>
      </c>
      <c r="R276" s="6">
        <v>17</v>
      </c>
      <c r="S276" s="6" t="str">
        <f t="shared" si="74"/>
        <v>Correct</v>
      </c>
      <c r="T276" s="4">
        <f t="shared" si="75"/>
        <v>45480</v>
      </c>
      <c r="U276" s="11">
        <f t="shared" si="76"/>
        <v>7</v>
      </c>
      <c r="V276" s="6">
        <f t="shared" si="77"/>
        <v>33062.236480000007</v>
      </c>
      <c r="W276" s="6">
        <f t="shared" si="78"/>
        <v>18920.66</v>
      </c>
      <c r="X276" s="6">
        <f t="shared" si="79"/>
        <v>14141.576480000007</v>
      </c>
      <c r="Y276" s="6">
        <f t="shared" si="80"/>
        <v>0.42772594916724777</v>
      </c>
      <c r="Z276" s="4" t="str">
        <f t="shared" si="81"/>
        <v>Q2-2024</v>
      </c>
      <c r="AA276" t="str">
        <f t="shared" si="82"/>
        <v>Accessories</v>
      </c>
      <c r="AB276" t="str">
        <f t="shared" si="83"/>
        <v>Accessories</v>
      </c>
      <c r="AC276" t="str">
        <f t="shared" si="84"/>
        <v>Compliant</v>
      </c>
      <c r="AD276" t="str">
        <f t="shared" si="85"/>
        <v>On-time</v>
      </c>
      <c r="AE276" s="8">
        <f>MIN(Q276,Scenario!$B$2)</f>
        <v>7.1999999999999995E-2</v>
      </c>
      <c r="AF276" s="33">
        <f>L276*(1+Scenario!$B$3)</f>
        <v>1279.9269999999999</v>
      </c>
      <c r="AG276" s="6">
        <f>R276*(1+Scenario!$B$4)</f>
        <v>20.399999999999999</v>
      </c>
      <c r="AH276" s="33">
        <f t="shared" si="87"/>
        <v>39674.683776000005</v>
      </c>
      <c r="AI276" s="33">
        <f t="shared" si="88"/>
        <v>26110.510799999996</v>
      </c>
      <c r="AJ276" s="33">
        <f t="shared" si="89"/>
        <v>13564.172976000009</v>
      </c>
    </row>
    <row r="277" spans="1:36" hidden="1" x14ac:dyDescent="0.25">
      <c r="A277" s="12" t="s">
        <v>556</v>
      </c>
      <c r="B277" s="27">
        <v>45450</v>
      </c>
      <c r="C277" s="4">
        <v>45452</v>
      </c>
      <c r="D277" s="12" t="s">
        <v>647</v>
      </c>
      <c r="E277" s="12" t="s">
        <v>659</v>
      </c>
      <c r="F277" s="12" t="s">
        <v>685</v>
      </c>
      <c r="G277" s="12" t="s">
        <v>701</v>
      </c>
      <c r="H277" s="12" t="s">
        <v>707</v>
      </c>
      <c r="I277" s="12" t="s">
        <v>719</v>
      </c>
      <c r="J277" s="12" t="s">
        <v>732</v>
      </c>
      <c r="K277" s="12" t="s">
        <v>1274</v>
      </c>
      <c r="L277" s="6">
        <v>1370.28</v>
      </c>
      <c r="M277" s="6">
        <v>2209.66</v>
      </c>
      <c r="N277" s="6">
        <f t="shared" si="72"/>
        <v>2209.66</v>
      </c>
      <c r="O277" s="6" t="str">
        <f t="shared" si="86"/>
        <v>High</v>
      </c>
      <c r="P277" s="6">
        <v>0.13300000000000001</v>
      </c>
      <c r="Q277" s="6">
        <f t="shared" si="73"/>
        <v>0.13300000000000001</v>
      </c>
      <c r="R277" s="6">
        <v>16</v>
      </c>
      <c r="S277" s="6" t="str">
        <f t="shared" si="74"/>
        <v>OK</v>
      </c>
      <c r="T277" s="4">
        <f t="shared" si="75"/>
        <v>45452</v>
      </c>
      <c r="U277" s="11">
        <f t="shared" si="76"/>
        <v>2</v>
      </c>
      <c r="V277" s="6">
        <f t="shared" si="77"/>
        <v>30652.403519999996</v>
      </c>
      <c r="W277" s="6">
        <f t="shared" si="78"/>
        <v>21924.48</v>
      </c>
      <c r="X277" s="6">
        <f t="shared" si="79"/>
        <v>8727.9235199999966</v>
      </c>
      <c r="Y277" s="6">
        <f t="shared" si="80"/>
        <v>0.28473863442079589</v>
      </c>
      <c r="Z277" s="4" t="str">
        <f t="shared" si="81"/>
        <v>Q2-2024</v>
      </c>
      <c r="AA277" t="str">
        <f t="shared" si="82"/>
        <v>Monitors</v>
      </c>
      <c r="AB277" t="str">
        <f t="shared" si="83"/>
        <v>Monitors</v>
      </c>
      <c r="AC277" t="str">
        <f t="shared" si="84"/>
        <v>Compliant</v>
      </c>
      <c r="AD277" t="str">
        <f t="shared" si="85"/>
        <v>On-time</v>
      </c>
      <c r="AE277" s="8">
        <f>MIN(Q277,Scenario!$B$2)</f>
        <v>0.13300000000000001</v>
      </c>
      <c r="AF277" s="33">
        <f>L277*(1+Scenario!$B$3)</f>
        <v>1575.8219999999999</v>
      </c>
      <c r="AG277" s="6">
        <f>R277*(1+Scenario!$B$4)</f>
        <v>19.2</v>
      </c>
      <c r="AH277" s="33">
        <f t="shared" si="87"/>
        <v>36782.884223999994</v>
      </c>
      <c r="AI277" s="33">
        <f t="shared" si="88"/>
        <v>30255.782399999996</v>
      </c>
      <c r="AJ277" s="33">
        <f t="shared" si="89"/>
        <v>6527.1018239999976</v>
      </c>
    </row>
    <row r="278" spans="1:36" hidden="1" x14ac:dyDescent="0.25">
      <c r="A278" s="12" t="s">
        <v>462</v>
      </c>
      <c r="B278" s="27">
        <v>45446</v>
      </c>
      <c r="C278" s="4">
        <v>45467</v>
      </c>
      <c r="D278" s="12" t="s">
        <v>648</v>
      </c>
      <c r="E278" s="12" t="s">
        <v>653</v>
      </c>
      <c r="F278" s="12" t="s">
        <v>667</v>
      </c>
      <c r="G278" s="12" t="s">
        <v>705</v>
      </c>
      <c r="H278" s="12" t="s">
        <v>711</v>
      </c>
      <c r="I278" s="12" t="s">
        <v>715</v>
      </c>
      <c r="J278" s="12" t="s">
        <v>732</v>
      </c>
      <c r="K278" s="12" t="s">
        <v>1181</v>
      </c>
      <c r="L278" s="6">
        <v>1205.5</v>
      </c>
      <c r="M278" s="6">
        <v>2210.17</v>
      </c>
      <c r="N278" s="6">
        <f t="shared" si="72"/>
        <v>2210.17</v>
      </c>
      <c r="O278" s="6" t="str">
        <f t="shared" si="86"/>
        <v>High</v>
      </c>
      <c r="P278" s="6">
        <v>0.104</v>
      </c>
      <c r="Q278" s="6">
        <f t="shared" si="73"/>
        <v>0.104</v>
      </c>
      <c r="R278" s="6">
        <v>23</v>
      </c>
      <c r="S278" s="6" t="str">
        <f t="shared" si="74"/>
        <v>OK</v>
      </c>
      <c r="T278" s="4">
        <f t="shared" si="75"/>
        <v>45467</v>
      </c>
      <c r="U278" s="11">
        <f t="shared" si="76"/>
        <v>21</v>
      </c>
      <c r="V278" s="6">
        <f t="shared" si="77"/>
        <v>45547.183360000003</v>
      </c>
      <c r="W278" s="6">
        <f t="shared" si="78"/>
        <v>27726.5</v>
      </c>
      <c r="X278" s="6">
        <f t="shared" si="79"/>
        <v>17820.683360000003</v>
      </c>
      <c r="Y278" s="6">
        <f t="shared" si="80"/>
        <v>0.39125763758314652</v>
      </c>
      <c r="Z278" s="4" t="str">
        <f t="shared" si="81"/>
        <v>Q2-2024</v>
      </c>
      <c r="AA278" t="str">
        <f t="shared" si="82"/>
        <v>Monitors</v>
      </c>
      <c r="AB278" t="str">
        <f t="shared" si="83"/>
        <v>Monitors</v>
      </c>
      <c r="AC278" t="str">
        <f t="shared" si="84"/>
        <v>Compliant</v>
      </c>
      <c r="AD278" t="str">
        <f t="shared" si="85"/>
        <v>Late</v>
      </c>
      <c r="AE278" s="8">
        <f>MIN(Q278,Scenario!$B$2)</f>
        <v>0.104</v>
      </c>
      <c r="AF278" s="33">
        <f>L278*(1+Scenario!$B$3)</f>
        <v>1386.3249999999998</v>
      </c>
      <c r="AG278" s="6">
        <f>R278*(1+Scenario!$B$4)</f>
        <v>27.599999999999998</v>
      </c>
      <c r="AH278" s="33">
        <f t="shared" si="87"/>
        <v>54656.620031999999</v>
      </c>
      <c r="AI278" s="33">
        <f t="shared" si="88"/>
        <v>38262.569999999992</v>
      </c>
      <c r="AJ278" s="33">
        <f t="shared" si="89"/>
        <v>16394.050032000006</v>
      </c>
    </row>
    <row r="279" spans="1:36" hidden="1" x14ac:dyDescent="0.25">
      <c r="A279" s="12" t="s">
        <v>292</v>
      </c>
      <c r="B279" s="27">
        <v>45459</v>
      </c>
      <c r="C279" s="4">
        <v>45476</v>
      </c>
      <c r="D279" s="12" t="s">
        <v>646</v>
      </c>
      <c r="E279" s="12" t="s">
        <v>661</v>
      </c>
      <c r="F279" s="12" t="s">
        <v>682</v>
      </c>
      <c r="G279" s="12" t="s">
        <v>706</v>
      </c>
      <c r="H279" s="12" t="s">
        <v>709</v>
      </c>
      <c r="I279" s="12" t="s">
        <v>721</v>
      </c>
      <c r="J279" s="12" t="s">
        <v>730</v>
      </c>
      <c r="K279" s="12" t="s">
        <v>1012</v>
      </c>
      <c r="L279" s="6">
        <v>1173.83</v>
      </c>
      <c r="M279" s="6">
        <v>2328.9</v>
      </c>
      <c r="N279" s="6">
        <f t="shared" si="72"/>
        <v>2328.9</v>
      </c>
      <c r="O279" s="6" t="str">
        <f t="shared" si="86"/>
        <v>High</v>
      </c>
      <c r="P279" s="6">
        <v>0.12</v>
      </c>
      <c r="Q279" s="6">
        <f t="shared" si="73"/>
        <v>0.12</v>
      </c>
      <c r="R279" s="6">
        <v>17</v>
      </c>
      <c r="S279" s="6" t="str">
        <f t="shared" si="74"/>
        <v>OK</v>
      </c>
      <c r="T279" s="4">
        <f t="shared" si="75"/>
        <v>45476</v>
      </c>
      <c r="U279" s="11">
        <f t="shared" si="76"/>
        <v>17</v>
      </c>
      <c r="V279" s="6">
        <f t="shared" si="77"/>
        <v>34840.344000000005</v>
      </c>
      <c r="W279" s="6">
        <f t="shared" si="78"/>
        <v>19955.11</v>
      </c>
      <c r="X279" s="6">
        <f t="shared" si="79"/>
        <v>14885.234000000004</v>
      </c>
      <c r="Y279" s="6">
        <f t="shared" si="80"/>
        <v>0.42724130393201637</v>
      </c>
      <c r="Z279" s="4" t="str">
        <f t="shared" si="81"/>
        <v>Q2-2024</v>
      </c>
      <c r="AA279" t="str">
        <f t="shared" si="82"/>
        <v>Phones</v>
      </c>
      <c r="AB279" t="str">
        <f t="shared" si="83"/>
        <v>Phones</v>
      </c>
      <c r="AC279" t="str">
        <f t="shared" si="84"/>
        <v>Compliant</v>
      </c>
      <c r="AD279" t="str">
        <f t="shared" si="85"/>
        <v>Late</v>
      </c>
      <c r="AE279" s="8">
        <f>MIN(Q279,Scenario!$B$2)</f>
        <v>0.12</v>
      </c>
      <c r="AF279" s="33">
        <f>L279*(1+Scenario!$B$3)</f>
        <v>1349.9044999999999</v>
      </c>
      <c r="AG279" s="6">
        <f>R279*(1+Scenario!$B$4)</f>
        <v>20.399999999999999</v>
      </c>
      <c r="AH279" s="33">
        <f t="shared" si="87"/>
        <v>41808.412799999998</v>
      </c>
      <c r="AI279" s="33">
        <f t="shared" si="88"/>
        <v>27538.051799999994</v>
      </c>
      <c r="AJ279" s="33">
        <f t="shared" si="89"/>
        <v>14270.361000000004</v>
      </c>
    </row>
    <row r="280" spans="1:36" hidden="1" x14ac:dyDescent="0.25">
      <c r="A280" s="12" t="s">
        <v>40</v>
      </c>
      <c r="B280" s="27">
        <v>45473</v>
      </c>
      <c r="C280" s="4">
        <v>45487</v>
      </c>
      <c r="D280" s="12" t="s">
        <v>648</v>
      </c>
      <c r="E280" s="12" t="s">
        <v>655</v>
      </c>
      <c r="F280" s="12" t="s">
        <v>672</v>
      </c>
      <c r="G280" s="12" t="s">
        <v>702</v>
      </c>
      <c r="H280" s="12" t="s">
        <v>707</v>
      </c>
      <c r="I280" s="12" t="s">
        <v>712</v>
      </c>
      <c r="J280" s="12" t="s">
        <v>733</v>
      </c>
      <c r="K280" s="12" t="s">
        <v>759</v>
      </c>
      <c r="L280" s="6">
        <v>1491.85</v>
      </c>
      <c r="M280" s="6">
        <v>2583.02</v>
      </c>
      <c r="N280" s="6">
        <f t="shared" si="72"/>
        <v>2583.02</v>
      </c>
      <c r="O280" s="6" t="str">
        <f t="shared" si="86"/>
        <v>High</v>
      </c>
      <c r="P280" s="6">
        <v>0.16800000000000001</v>
      </c>
      <c r="Q280" s="6">
        <f t="shared" si="73"/>
        <v>0.16800000000000001</v>
      </c>
      <c r="R280" s="6">
        <v>4</v>
      </c>
      <c r="S280" s="6" t="str">
        <f t="shared" si="74"/>
        <v>OK</v>
      </c>
      <c r="T280" s="4">
        <f t="shared" si="75"/>
        <v>45487</v>
      </c>
      <c r="U280" s="11">
        <f t="shared" si="76"/>
        <v>14</v>
      </c>
      <c r="V280" s="6">
        <f t="shared" si="77"/>
        <v>8596.2905599999995</v>
      </c>
      <c r="W280" s="6">
        <f t="shared" si="78"/>
        <v>5967.4</v>
      </c>
      <c r="X280" s="6">
        <f t="shared" si="79"/>
        <v>2628.8905599999998</v>
      </c>
      <c r="Y280" s="6">
        <f t="shared" si="80"/>
        <v>0.30581685689321325</v>
      </c>
      <c r="Z280" s="4" t="str">
        <f t="shared" si="81"/>
        <v>Q2-2024</v>
      </c>
      <c r="AA280" t="str">
        <f t="shared" si="82"/>
        <v>Accessories</v>
      </c>
      <c r="AB280" t="str">
        <f t="shared" si="83"/>
        <v>Accessories</v>
      </c>
      <c r="AC280" t="str">
        <f t="shared" si="84"/>
        <v>Compliant</v>
      </c>
      <c r="AD280" t="str">
        <f t="shared" si="85"/>
        <v>Late</v>
      </c>
      <c r="AE280" s="8">
        <f>MIN(Q280,Scenario!$B$2)</f>
        <v>0.16800000000000001</v>
      </c>
      <c r="AF280" s="33">
        <f>L280*(1+Scenario!$B$3)</f>
        <v>1715.6274999999998</v>
      </c>
      <c r="AG280" s="6">
        <f>R280*(1+Scenario!$B$4)</f>
        <v>4.8</v>
      </c>
      <c r="AH280" s="33">
        <f t="shared" si="87"/>
        <v>10315.548671999999</v>
      </c>
      <c r="AI280" s="33">
        <f t="shared" si="88"/>
        <v>8235.0119999999988</v>
      </c>
      <c r="AJ280" s="33">
        <f t="shared" si="89"/>
        <v>2080.5366720000002</v>
      </c>
    </row>
    <row r="281" spans="1:36" hidden="1" x14ac:dyDescent="0.25">
      <c r="A281" s="12" t="s">
        <v>380</v>
      </c>
      <c r="B281" s="27">
        <v>45445</v>
      </c>
      <c r="C281" s="4">
        <v>45458</v>
      </c>
      <c r="D281" s="12" t="s">
        <v>646</v>
      </c>
      <c r="E281" s="12" t="s">
        <v>650</v>
      </c>
      <c r="F281" s="12" t="s">
        <v>675</v>
      </c>
      <c r="G281" s="12" t="s">
        <v>702</v>
      </c>
      <c r="H281" s="12" t="s">
        <v>708</v>
      </c>
      <c r="I281" s="12" t="s">
        <v>719</v>
      </c>
      <c r="J281" s="12" t="s">
        <v>730</v>
      </c>
      <c r="K281" s="12" t="s">
        <v>1100</v>
      </c>
      <c r="L281" s="6">
        <v>1295.18</v>
      </c>
      <c r="M281" s="6">
        <v>3024.03</v>
      </c>
      <c r="N281" s="6">
        <f t="shared" si="72"/>
        <v>3024.03</v>
      </c>
      <c r="O281" s="6" t="str">
        <f t="shared" si="86"/>
        <v>High</v>
      </c>
      <c r="P281" s="6">
        <v>0.192</v>
      </c>
      <c r="Q281" s="6">
        <f t="shared" si="73"/>
        <v>0.192</v>
      </c>
      <c r="R281" s="6">
        <v>8</v>
      </c>
      <c r="S281" s="6" t="str">
        <f t="shared" si="74"/>
        <v>OK</v>
      </c>
      <c r="T281" s="4">
        <f t="shared" si="75"/>
        <v>45458</v>
      </c>
      <c r="U281" s="11">
        <f t="shared" si="76"/>
        <v>13</v>
      </c>
      <c r="V281" s="6">
        <f t="shared" si="77"/>
        <v>19547.329920000004</v>
      </c>
      <c r="W281" s="6">
        <f t="shared" si="78"/>
        <v>10361.44</v>
      </c>
      <c r="X281" s="6">
        <f t="shared" si="79"/>
        <v>9185.8899200000033</v>
      </c>
      <c r="Y281" s="6">
        <f t="shared" si="80"/>
        <v>0.46993067378483178</v>
      </c>
      <c r="Z281" s="4" t="str">
        <f t="shared" si="81"/>
        <v>Q2-2024</v>
      </c>
      <c r="AA281" t="str">
        <f t="shared" si="82"/>
        <v>Phones</v>
      </c>
      <c r="AB281" t="str">
        <f t="shared" si="83"/>
        <v>Phones</v>
      </c>
      <c r="AC281" t="str">
        <f t="shared" si="84"/>
        <v>Compliant</v>
      </c>
      <c r="AD281" t="str">
        <f t="shared" si="85"/>
        <v>Late</v>
      </c>
      <c r="AE281" s="8">
        <f>MIN(Q281,Scenario!$B$2)</f>
        <v>0.192</v>
      </c>
      <c r="AF281" s="33">
        <f>L281*(1+Scenario!$B$3)</f>
        <v>1489.4569999999999</v>
      </c>
      <c r="AG281" s="6">
        <f>R281*(1+Scenario!$B$4)</f>
        <v>9.6</v>
      </c>
      <c r="AH281" s="33">
        <f t="shared" si="87"/>
        <v>23456.795904000002</v>
      </c>
      <c r="AI281" s="33">
        <f t="shared" si="88"/>
        <v>14298.787199999999</v>
      </c>
      <c r="AJ281" s="33">
        <f t="shared" si="89"/>
        <v>9158.0087040000035</v>
      </c>
    </row>
    <row r="282" spans="1:36" hidden="1" x14ac:dyDescent="0.25">
      <c r="A282" s="12" t="s">
        <v>602</v>
      </c>
      <c r="B282" s="27">
        <v>45459</v>
      </c>
      <c r="C282" s="4">
        <v>45464</v>
      </c>
      <c r="D282" s="12" t="s">
        <v>647</v>
      </c>
      <c r="E282" s="12" t="s">
        <v>652</v>
      </c>
      <c r="F282" s="12" t="s">
        <v>689</v>
      </c>
      <c r="G282" s="12" t="s">
        <v>705</v>
      </c>
      <c r="H282" s="12" t="s">
        <v>710</v>
      </c>
      <c r="I282" s="12" t="s">
        <v>721</v>
      </c>
      <c r="J282" s="12" t="s">
        <v>730</v>
      </c>
      <c r="K282" s="12" t="s">
        <v>1320</v>
      </c>
      <c r="L282" s="6">
        <v>1367.13</v>
      </c>
      <c r="M282" s="6">
        <v>3062.01</v>
      </c>
      <c r="N282" s="6">
        <f t="shared" si="72"/>
        <v>3062.01</v>
      </c>
      <c r="O282" s="6" t="str">
        <f t="shared" si="86"/>
        <v>High</v>
      </c>
      <c r="P282" s="6">
        <v>0.10299999999999999</v>
      </c>
      <c r="Q282" s="6">
        <f t="shared" si="73"/>
        <v>0.10299999999999999</v>
      </c>
      <c r="R282" s="6">
        <v>25</v>
      </c>
      <c r="S282" s="6" t="str">
        <f t="shared" si="74"/>
        <v>OK</v>
      </c>
      <c r="T282" s="4">
        <f t="shared" si="75"/>
        <v>45464</v>
      </c>
      <c r="U282" s="11">
        <f t="shared" si="76"/>
        <v>5</v>
      </c>
      <c r="V282" s="6">
        <f t="shared" si="77"/>
        <v>68665.574250000005</v>
      </c>
      <c r="W282" s="6">
        <f t="shared" si="78"/>
        <v>34178.25</v>
      </c>
      <c r="X282" s="6">
        <f t="shared" si="79"/>
        <v>34487.324250000005</v>
      </c>
      <c r="Y282" s="6">
        <f t="shared" si="80"/>
        <v>0.50225057645971705</v>
      </c>
      <c r="Z282" s="4" t="str">
        <f t="shared" si="81"/>
        <v>Q2-2024</v>
      </c>
      <c r="AA282" t="str">
        <f t="shared" si="82"/>
        <v>Phones</v>
      </c>
      <c r="AB282" t="str">
        <f t="shared" si="83"/>
        <v>Phones</v>
      </c>
      <c r="AC282" t="str">
        <f t="shared" si="84"/>
        <v>Compliant</v>
      </c>
      <c r="AD282" t="str">
        <f t="shared" si="85"/>
        <v>On-time</v>
      </c>
      <c r="AE282" s="8">
        <f>MIN(Q282,Scenario!$B$2)</f>
        <v>0.10299999999999999</v>
      </c>
      <c r="AF282" s="33">
        <f>L282*(1+Scenario!$B$3)</f>
        <v>1572.1994999999999</v>
      </c>
      <c r="AG282" s="6">
        <f>R282*(1+Scenario!$B$4)</f>
        <v>30</v>
      </c>
      <c r="AH282" s="33">
        <f t="shared" si="87"/>
        <v>82398.689100000003</v>
      </c>
      <c r="AI282" s="33">
        <f t="shared" si="88"/>
        <v>47165.985000000001</v>
      </c>
      <c r="AJ282" s="33">
        <f t="shared" si="89"/>
        <v>35232.704100000003</v>
      </c>
    </row>
    <row r="283" spans="1:36" hidden="1" x14ac:dyDescent="0.25">
      <c r="A283" s="12" t="s">
        <v>428</v>
      </c>
      <c r="B283" s="27">
        <v>45449</v>
      </c>
      <c r="C283" s="4">
        <v>45467</v>
      </c>
      <c r="D283" s="12" t="s">
        <v>647</v>
      </c>
      <c r="E283" s="12" t="s">
        <v>654</v>
      </c>
      <c r="F283" s="12" t="s">
        <v>668</v>
      </c>
      <c r="G283" s="12" t="s">
        <v>705</v>
      </c>
      <c r="H283" s="12" t="s">
        <v>711</v>
      </c>
      <c r="I283" s="12" t="s">
        <v>722</v>
      </c>
      <c r="J283" s="12" t="s">
        <v>729</v>
      </c>
      <c r="K283" s="12" t="s">
        <v>1147</v>
      </c>
      <c r="L283" s="6">
        <v>1253.25</v>
      </c>
      <c r="M283" s="6">
        <v>3087.13</v>
      </c>
      <c r="N283" s="6">
        <f t="shared" si="72"/>
        <v>3087.13</v>
      </c>
      <c r="O283" s="6" t="str">
        <f t="shared" si="86"/>
        <v>High</v>
      </c>
      <c r="P283" s="6">
        <v>7.1999999999999995E-2</v>
      </c>
      <c r="Q283" s="6">
        <f t="shared" si="73"/>
        <v>7.1999999999999995E-2</v>
      </c>
      <c r="R283" s="6">
        <v>11</v>
      </c>
      <c r="S283" s="6" t="str">
        <f t="shared" si="74"/>
        <v>OK</v>
      </c>
      <c r="T283" s="4">
        <f t="shared" si="75"/>
        <v>45467</v>
      </c>
      <c r="U283" s="11">
        <f t="shared" si="76"/>
        <v>18</v>
      </c>
      <c r="V283" s="6">
        <f t="shared" si="77"/>
        <v>31513.423040000001</v>
      </c>
      <c r="W283" s="6">
        <f t="shared" si="78"/>
        <v>13785.75</v>
      </c>
      <c r="X283" s="6">
        <f t="shared" si="79"/>
        <v>17727.673040000001</v>
      </c>
      <c r="Y283" s="6">
        <f t="shared" si="80"/>
        <v>0.562543555408064</v>
      </c>
      <c r="Z283" s="4" t="str">
        <f t="shared" si="81"/>
        <v>Q2-2024</v>
      </c>
      <c r="AA283" t="str">
        <f t="shared" si="82"/>
        <v>Networking</v>
      </c>
      <c r="AB283" t="str">
        <f t="shared" si="83"/>
        <v>Networking</v>
      </c>
      <c r="AC283" t="str">
        <f t="shared" si="84"/>
        <v>Compliant</v>
      </c>
      <c r="AD283" t="str">
        <f t="shared" si="85"/>
        <v>Late</v>
      </c>
      <c r="AE283" s="8">
        <f>MIN(Q283,Scenario!$B$2)</f>
        <v>7.1999999999999995E-2</v>
      </c>
      <c r="AF283" s="33">
        <f>L283*(1+Scenario!$B$3)</f>
        <v>1441.2375</v>
      </c>
      <c r="AG283" s="6">
        <f>R283*(1+Scenario!$B$4)</f>
        <v>13.2</v>
      </c>
      <c r="AH283" s="33">
        <f t="shared" si="87"/>
        <v>37816.107648000005</v>
      </c>
      <c r="AI283" s="33">
        <f t="shared" si="88"/>
        <v>19024.334999999999</v>
      </c>
      <c r="AJ283" s="33">
        <f t="shared" si="89"/>
        <v>18791.772648000006</v>
      </c>
    </row>
    <row r="284" spans="1:36" hidden="1" x14ac:dyDescent="0.25">
      <c r="A284" s="12" t="s">
        <v>627</v>
      </c>
      <c r="B284" s="27">
        <v>45468</v>
      </c>
      <c r="C284" s="4">
        <v>45473</v>
      </c>
      <c r="D284" s="12" t="s">
        <v>646</v>
      </c>
      <c r="E284" s="12" t="s">
        <v>650</v>
      </c>
      <c r="F284" s="12" t="s">
        <v>662</v>
      </c>
      <c r="G284" s="12" t="s">
        <v>702</v>
      </c>
      <c r="H284" s="12" t="s">
        <v>711</v>
      </c>
      <c r="I284" s="12" t="s">
        <v>724</v>
      </c>
      <c r="J284" s="12" t="s">
        <v>729</v>
      </c>
      <c r="K284" s="12" t="s">
        <v>1345</v>
      </c>
      <c r="L284" s="6">
        <v>1323.55</v>
      </c>
      <c r="M284" s="6">
        <v>3230.35</v>
      </c>
      <c r="N284" s="6">
        <f t="shared" si="72"/>
        <v>3230.35</v>
      </c>
      <c r="O284" s="6" t="str">
        <f t="shared" si="86"/>
        <v>High</v>
      </c>
      <c r="P284" s="6">
        <v>2.1999999999999999E-2</v>
      </c>
      <c r="Q284" s="6">
        <f t="shared" si="73"/>
        <v>2.1999999999999999E-2</v>
      </c>
      <c r="R284" s="6">
        <v>26</v>
      </c>
      <c r="S284" s="6" t="str">
        <f t="shared" si="74"/>
        <v>OK</v>
      </c>
      <c r="T284" s="4">
        <f t="shared" si="75"/>
        <v>45473</v>
      </c>
      <c r="U284" s="11">
        <f t="shared" si="76"/>
        <v>5</v>
      </c>
      <c r="V284" s="6">
        <f t="shared" si="77"/>
        <v>82141.339799999987</v>
      </c>
      <c r="W284" s="6">
        <f t="shared" si="78"/>
        <v>34412.299999999996</v>
      </c>
      <c r="X284" s="6">
        <f t="shared" si="79"/>
        <v>47729.039799999991</v>
      </c>
      <c r="Y284" s="6">
        <f t="shared" si="80"/>
        <v>0.58105991351263542</v>
      </c>
      <c r="Z284" s="4" t="str">
        <f t="shared" si="81"/>
        <v>Q2-2024</v>
      </c>
      <c r="AA284" t="str">
        <f t="shared" si="82"/>
        <v>Networking</v>
      </c>
      <c r="AB284" t="str">
        <f t="shared" si="83"/>
        <v>Networking</v>
      </c>
      <c r="AC284" t="str">
        <f t="shared" si="84"/>
        <v>Compliant</v>
      </c>
      <c r="AD284" t="str">
        <f t="shared" si="85"/>
        <v>On-time</v>
      </c>
      <c r="AE284" s="8">
        <f>MIN(Q284,Scenario!$B$2)</f>
        <v>2.1999999999999999E-2</v>
      </c>
      <c r="AF284" s="33">
        <f>L284*(1+Scenario!$B$3)</f>
        <v>1522.0824999999998</v>
      </c>
      <c r="AG284" s="6">
        <f>R284*(1+Scenario!$B$4)</f>
        <v>31.2</v>
      </c>
      <c r="AH284" s="33">
        <f t="shared" si="87"/>
        <v>98569.607759999999</v>
      </c>
      <c r="AI284" s="33">
        <f t="shared" si="88"/>
        <v>47488.973999999995</v>
      </c>
      <c r="AJ284" s="33">
        <f t="shared" si="89"/>
        <v>51080.633760000004</v>
      </c>
    </row>
    <row r="285" spans="1:36" hidden="1" x14ac:dyDescent="0.25">
      <c r="A285" s="12" t="s">
        <v>104</v>
      </c>
      <c r="B285" s="27">
        <v>45106</v>
      </c>
      <c r="C285" s="4">
        <v>45109</v>
      </c>
      <c r="D285" s="12" t="s">
        <v>647</v>
      </c>
      <c r="E285" s="12" t="s">
        <v>652</v>
      </c>
      <c r="F285" s="12" t="s">
        <v>694</v>
      </c>
      <c r="G285" s="12" t="s">
        <v>702</v>
      </c>
      <c r="H285" s="12" t="s">
        <v>709</v>
      </c>
      <c r="I285" s="12" t="s">
        <v>721</v>
      </c>
      <c r="J285" s="12" t="s">
        <v>732</v>
      </c>
      <c r="K285" s="12" t="s">
        <v>823</v>
      </c>
      <c r="L285" s="6">
        <v>55.65</v>
      </c>
      <c r="M285" s="6">
        <v>83.57</v>
      </c>
      <c r="N285" s="6">
        <f t="shared" si="72"/>
        <v>83.57</v>
      </c>
      <c r="O285" s="6" t="str">
        <f t="shared" si="86"/>
        <v>Low</v>
      </c>
      <c r="P285" s="6">
        <v>6.6000000000000003E-2</v>
      </c>
      <c r="Q285" s="6">
        <f t="shared" si="73"/>
        <v>6.6000000000000003E-2</v>
      </c>
      <c r="R285" s="6">
        <v>8</v>
      </c>
      <c r="S285" s="6" t="str">
        <f t="shared" si="74"/>
        <v>OK</v>
      </c>
      <c r="T285" s="4">
        <f t="shared" si="75"/>
        <v>45109</v>
      </c>
      <c r="U285" s="11">
        <f t="shared" si="76"/>
        <v>3</v>
      </c>
      <c r="V285" s="6">
        <f t="shared" si="77"/>
        <v>624.43503999999996</v>
      </c>
      <c r="W285" s="6">
        <f t="shared" si="78"/>
        <v>445.2</v>
      </c>
      <c r="X285" s="6">
        <f t="shared" si="79"/>
        <v>179.23503999999997</v>
      </c>
      <c r="Y285" s="6">
        <f t="shared" si="80"/>
        <v>0.2870355257449998</v>
      </c>
      <c r="Z285" s="4" t="str">
        <f t="shared" si="81"/>
        <v>Q2-2023</v>
      </c>
      <c r="AA285" t="str">
        <f t="shared" si="82"/>
        <v>Monitors</v>
      </c>
      <c r="AB285" t="str">
        <f t="shared" si="83"/>
        <v>Monitors</v>
      </c>
      <c r="AC285" t="str">
        <f t="shared" si="84"/>
        <v>Compliant</v>
      </c>
      <c r="AD285" t="str">
        <f t="shared" si="85"/>
        <v>On-time</v>
      </c>
      <c r="AE285" s="8">
        <f>MIN(Q285,Scenario!$B$2)</f>
        <v>6.6000000000000003E-2</v>
      </c>
      <c r="AF285" s="33">
        <f>L285*(1+Scenario!$B$3)</f>
        <v>63.997499999999995</v>
      </c>
      <c r="AG285" s="6">
        <f>R285*(1+Scenario!$B$4)</f>
        <v>9.6</v>
      </c>
      <c r="AH285" s="33">
        <f t="shared" si="87"/>
        <v>749.32204799999988</v>
      </c>
      <c r="AI285" s="33">
        <f t="shared" si="88"/>
        <v>614.37599999999998</v>
      </c>
      <c r="AJ285" s="33">
        <f t="shared" si="89"/>
        <v>134.94604799999991</v>
      </c>
    </row>
    <row r="286" spans="1:36" hidden="1" x14ac:dyDescent="0.25">
      <c r="A286" s="12" t="s">
        <v>54</v>
      </c>
      <c r="B286" s="27">
        <v>45094</v>
      </c>
      <c r="C286" s="4">
        <v>45101</v>
      </c>
      <c r="D286" s="12" t="s">
        <v>648</v>
      </c>
      <c r="E286" s="12" t="s">
        <v>660</v>
      </c>
      <c r="F286" s="12" t="s">
        <v>686</v>
      </c>
      <c r="G286" s="12" t="s">
        <v>701</v>
      </c>
      <c r="H286" s="12" t="s">
        <v>707</v>
      </c>
      <c r="I286" s="12" t="s">
        <v>714</v>
      </c>
      <c r="J286" s="12" t="s">
        <v>728</v>
      </c>
      <c r="K286" s="12" t="s">
        <v>773</v>
      </c>
      <c r="L286" s="6">
        <v>313.99</v>
      </c>
      <c r="M286" s="6">
        <v>454.42</v>
      </c>
      <c r="N286" s="6">
        <f t="shared" si="72"/>
        <v>454.42</v>
      </c>
      <c r="O286" s="6" t="str">
        <f t="shared" si="86"/>
        <v>Low</v>
      </c>
      <c r="P286" s="6">
        <v>0.129</v>
      </c>
      <c r="Q286" s="6">
        <f t="shared" si="73"/>
        <v>0.129</v>
      </c>
      <c r="R286" s="6">
        <v>9</v>
      </c>
      <c r="S286" s="6" t="str">
        <f t="shared" si="74"/>
        <v>OK</v>
      </c>
      <c r="T286" s="4">
        <f t="shared" si="75"/>
        <v>45101</v>
      </c>
      <c r="U286" s="11">
        <f t="shared" si="76"/>
        <v>7</v>
      </c>
      <c r="V286" s="6">
        <f t="shared" si="77"/>
        <v>3562.1983800000003</v>
      </c>
      <c r="W286" s="6">
        <f t="shared" si="78"/>
        <v>2825.91</v>
      </c>
      <c r="X286" s="6">
        <f t="shared" si="79"/>
        <v>736.28838000000042</v>
      </c>
      <c r="Y286" s="6">
        <f t="shared" si="80"/>
        <v>0.20669493988147858</v>
      </c>
      <c r="Z286" s="4" t="str">
        <f t="shared" si="81"/>
        <v>Q2-2023</v>
      </c>
      <c r="AA286" t="str">
        <f t="shared" si="82"/>
        <v>Printers</v>
      </c>
      <c r="AB286" t="str">
        <f t="shared" si="83"/>
        <v>Printers</v>
      </c>
      <c r="AC286" t="str">
        <f t="shared" si="84"/>
        <v>Compliant</v>
      </c>
      <c r="AD286" t="str">
        <f t="shared" si="85"/>
        <v>On-time</v>
      </c>
      <c r="AE286" s="8">
        <f>MIN(Q286,Scenario!$B$2)</f>
        <v>0.129</v>
      </c>
      <c r="AF286" s="33">
        <f>L286*(1+Scenario!$B$3)</f>
        <v>361.08850000000001</v>
      </c>
      <c r="AG286" s="6">
        <f>R286*(1+Scenario!$B$4)</f>
        <v>10.799999999999999</v>
      </c>
      <c r="AH286" s="33">
        <f t="shared" si="87"/>
        <v>4274.6380559999998</v>
      </c>
      <c r="AI286" s="33">
        <f t="shared" si="88"/>
        <v>3899.7557999999999</v>
      </c>
      <c r="AJ286" s="33">
        <f t="shared" si="89"/>
        <v>374.88225599999987</v>
      </c>
    </row>
    <row r="287" spans="1:36" hidden="1" x14ac:dyDescent="0.25">
      <c r="A287" s="12" t="s">
        <v>459</v>
      </c>
      <c r="B287" s="27">
        <v>45090</v>
      </c>
      <c r="C287" s="4">
        <v>45101</v>
      </c>
      <c r="D287" s="12" t="s">
        <v>648</v>
      </c>
      <c r="E287" s="12" t="s">
        <v>653</v>
      </c>
      <c r="F287" s="12" t="s">
        <v>667</v>
      </c>
      <c r="G287" s="12" t="s">
        <v>701</v>
      </c>
      <c r="H287" s="12" t="s">
        <v>708</v>
      </c>
      <c r="I287" s="12" t="s">
        <v>712</v>
      </c>
      <c r="J287" s="12" t="s">
        <v>728</v>
      </c>
      <c r="K287" s="12" t="s">
        <v>1178</v>
      </c>
      <c r="L287" s="6">
        <v>247.07</v>
      </c>
      <c r="M287" s="6">
        <v>495.19</v>
      </c>
      <c r="N287" s="6">
        <f t="shared" si="72"/>
        <v>495.19</v>
      </c>
      <c r="O287" s="6" t="str">
        <f t="shared" si="86"/>
        <v>Low</v>
      </c>
      <c r="P287" s="6">
        <v>2.8000000000000001E-2</v>
      </c>
      <c r="Q287" s="6">
        <f t="shared" si="73"/>
        <v>2.8000000000000001E-2</v>
      </c>
      <c r="R287" s="6">
        <v>4</v>
      </c>
      <c r="S287" s="6" t="str">
        <f t="shared" si="74"/>
        <v>OK</v>
      </c>
      <c r="T287" s="4">
        <f t="shared" si="75"/>
        <v>45101</v>
      </c>
      <c r="U287" s="11">
        <f t="shared" si="76"/>
        <v>11</v>
      </c>
      <c r="V287" s="6">
        <f t="shared" si="77"/>
        <v>1925.29872</v>
      </c>
      <c r="W287" s="6">
        <f t="shared" si="78"/>
        <v>988.28</v>
      </c>
      <c r="X287" s="6">
        <f t="shared" si="79"/>
        <v>937.01872000000003</v>
      </c>
      <c r="Y287" s="6">
        <f t="shared" si="80"/>
        <v>0.48668744764968214</v>
      </c>
      <c r="Z287" s="4" t="str">
        <f t="shared" si="81"/>
        <v>Q2-2023</v>
      </c>
      <c r="AA287" t="str">
        <f t="shared" si="82"/>
        <v>Printers</v>
      </c>
      <c r="AB287" t="str">
        <f t="shared" si="83"/>
        <v>Printers</v>
      </c>
      <c r="AC287" t="str">
        <f t="shared" si="84"/>
        <v>Compliant</v>
      </c>
      <c r="AD287" t="str">
        <f t="shared" si="85"/>
        <v>Late</v>
      </c>
      <c r="AE287" s="8">
        <f>MIN(Q287,Scenario!$B$2)</f>
        <v>2.8000000000000001E-2</v>
      </c>
      <c r="AF287" s="33">
        <f>L287*(1+Scenario!$B$3)</f>
        <v>284.13049999999998</v>
      </c>
      <c r="AG287" s="6">
        <f>R287*(1+Scenario!$B$4)</f>
        <v>4.8</v>
      </c>
      <c r="AH287" s="33">
        <f t="shared" si="87"/>
        <v>2310.3584639999999</v>
      </c>
      <c r="AI287" s="33">
        <f t="shared" si="88"/>
        <v>1363.8263999999999</v>
      </c>
      <c r="AJ287" s="33">
        <f t="shared" si="89"/>
        <v>946.53206399999999</v>
      </c>
    </row>
    <row r="288" spans="1:36" hidden="1" x14ac:dyDescent="0.25">
      <c r="A288" s="12" t="s">
        <v>311</v>
      </c>
      <c r="B288" s="27">
        <v>45097</v>
      </c>
      <c r="C288" s="4">
        <v>45115</v>
      </c>
      <c r="D288" s="12" t="s">
        <v>648</v>
      </c>
      <c r="E288" s="12" t="s">
        <v>660</v>
      </c>
      <c r="F288" s="12" t="s">
        <v>697</v>
      </c>
      <c r="G288" s="12" t="s">
        <v>703</v>
      </c>
      <c r="H288" s="12" t="s">
        <v>711</v>
      </c>
      <c r="I288" s="12" t="s">
        <v>721</v>
      </c>
      <c r="J288" s="12" t="s">
        <v>732</v>
      </c>
      <c r="K288" s="12" t="s">
        <v>1031</v>
      </c>
      <c r="L288" s="6">
        <v>337</v>
      </c>
      <c r="M288" s="6">
        <v>511.03</v>
      </c>
      <c r="N288" s="6">
        <f t="shared" si="72"/>
        <v>511.03</v>
      </c>
      <c r="O288" s="6" t="str">
        <f t="shared" si="86"/>
        <v>Low</v>
      </c>
      <c r="P288" s="6">
        <v>0.108</v>
      </c>
      <c r="Q288" s="6">
        <f t="shared" si="73"/>
        <v>0.108</v>
      </c>
      <c r="R288" s="6">
        <v>7</v>
      </c>
      <c r="S288" s="6" t="str">
        <f t="shared" si="74"/>
        <v>OK</v>
      </c>
      <c r="T288" s="4">
        <f t="shared" si="75"/>
        <v>45115</v>
      </c>
      <c r="U288" s="11">
        <f t="shared" si="76"/>
        <v>18</v>
      </c>
      <c r="V288" s="6">
        <f t="shared" si="77"/>
        <v>3190.8713200000002</v>
      </c>
      <c r="W288" s="6">
        <f t="shared" si="78"/>
        <v>2359</v>
      </c>
      <c r="X288" s="6">
        <f t="shared" si="79"/>
        <v>831.8713200000002</v>
      </c>
      <c r="Y288" s="6">
        <f t="shared" si="80"/>
        <v>0.26070349963219458</v>
      </c>
      <c r="Z288" s="4" t="str">
        <f t="shared" si="81"/>
        <v>Q2-2023</v>
      </c>
      <c r="AA288" t="str">
        <f t="shared" si="82"/>
        <v>Monitors</v>
      </c>
      <c r="AB288" t="str">
        <f t="shared" si="83"/>
        <v>Monitors</v>
      </c>
      <c r="AC288" t="str">
        <f t="shared" si="84"/>
        <v>Compliant</v>
      </c>
      <c r="AD288" t="str">
        <f t="shared" si="85"/>
        <v>Late</v>
      </c>
      <c r="AE288" s="8">
        <f>MIN(Q288,Scenario!$B$2)</f>
        <v>0.108</v>
      </c>
      <c r="AF288" s="33">
        <f>L288*(1+Scenario!$B$3)</f>
        <v>387.54999999999995</v>
      </c>
      <c r="AG288" s="6">
        <f>R288*(1+Scenario!$B$4)</f>
        <v>8.4</v>
      </c>
      <c r="AH288" s="33">
        <f t="shared" si="87"/>
        <v>3829.045584</v>
      </c>
      <c r="AI288" s="33">
        <f t="shared" si="88"/>
        <v>3255.4199999999996</v>
      </c>
      <c r="AJ288" s="33">
        <f t="shared" si="89"/>
        <v>573.62558400000034</v>
      </c>
    </row>
    <row r="289" spans="1:36" hidden="1" x14ac:dyDescent="0.25">
      <c r="A289" s="12" t="s">
        <v>61</v>
      </c>
      <c r="B289" s="27">
        <v>45100</v>
      </c>
      <c r="C289" s="4">
        <v>45110</v>
      </c>
      <c r="D289" s="12" t="s">
        <v>646</v>
      </c>
      <c r="E289" s="12" t="s">
        <v>651</v>
      </c>
      <c r="F289" s="12" t="s">
        <v>669</v>
      </c>
      <c r="G289" s="12" t="s">
        <v>704</v>
      </c>
      <c r="H289" s="12" t="s">
        <v>708</v>
      </c>
      <c r="I289" s="12" t="s">
        <v>713</v>
      </c>
      <c r="J289" s="12" t="s">
        <v>728</v>
      </c>
      <c r="K289" s="12" t="s">
        <v>780</v>
      </c>
      <c r="L289" s="6">
        <v>337.75</v>
      </c>
      <c r="M289" s="6">
        <v>548.89</v>
      </c>
      <c r="N289" s="6">
        <f t="shared" si="72"/>
        <v>548.89</v>
      </c>
      <c r="O289" s="6" t="str">
        <f t="shared" si="86"/>
        <v>Low</v>
      </c>
      <c r="P289" s="6">
        <v>0</v>
      </c>
      <c r="Q289" s="6">
        <f t="shared" si="73"/>
        <v>0</v>
      </c>
      <c r="R289" s="6">
        <v>13</v>
      </c>
      <c r="S289" s="6" t="str">
        <f t="shared" si="74"/>
        <v>OK</v>
      </c>
      <c r="T289" s="4">
        <f t="shared" si="75"/>
        <v>45110</v>
      </c>
      <c r="U289" s="11">
        <f t="shared" si="76"/>
        <v>10</v>
      </c>
      <c r="V289" s="6">
        <f t="shared" si="77"/>
        <v>7135.57</v>
      </c>
      <c r="W289" s="6">
        <f t="shared" si="78"/>
        <v>4390.75</v>
      </c>
      <c r="X289" s="6">
        <f t="shared" si="79"/>
        <v>2744.8199999999997</v>
      </c>
      <c r="Y289" s="6">
        <f t="shared" si="80"/>
        <v>0.38466723751571352</v>
      </c>
      <c r="Z289" s="4" t="str">
        <f t="shared" si="81"/>
        <v>Q2-2023</v>
      </c>
      <c r="AA289" t="str">
        <f t="shared" si="82"/>
        <v>Printers</v>
      </c>
      <c r="AB289" t="str">
        <f t="shared" si="83"/>
        <v>Printers</v>
      </c>
      <c r="AC289" t="str">
        <f t="shared" si="84"/>
        <v>Compliant</v>
      </c>
      <c r="AD289" t="str">
        <f t="shared" si="85"/>
        <v>Late</v>
      </c>
      <c r="AE289" s="8">
        <f>MIN(Q289,Scenario!$B$2)</f>
        <v>0</v>
      </c>
      <c r="AF289" s="33">
        <f>L289*(1+Scenario!$B$3)</f>
        <v>388.41249999999997</v>
      </c>
      <c r="AG289" s="6">
        <f>R289*(1+Scenario!$B$4)</f>
        <v>15.6</v>
      </c>
      <c r="AH289" s="33">
        <f t="shared" si="87"/>
        <v>8562.6839999999993</v>
      </c>
      <c r="AI289" s="33">
        <f t="shared" si="88"/>
        <v>6059.2349999999997</v>
      </c>
      <c r="AJ289" s="33">
        <f t="shared" si="89"/>
        <v>2503.4489999999996</v>
      </c>
    </row>
    <row r="290" spans="1:36" hidden="1" x14ac:dyDescent="0.25">
      <c r="A290" s="12" t="s">
        <v>133</v>
      </c>
      <c r="B290" s="27">
        <v>45086</v>
      </c>
      <c r="C290" s="4">
        <v>45096</v>
      </c>
      <c r="D290" s="12" t="s">
        <v>647</v>
      </c>
      <c r="E290" s="12" t="s">
        <v>659</v>
      </c>
      <c r="F290" s="12" t="s">
        <v>699</v>
      </c>
      <c r="G290" s="12" t="s">
        <v>706</v>
      </c>
      <c r="H290" s="12" t="s">
        <v>707</v>
      </c>
      <c r="I290" s="12" t="s">
        <v>721</v>
      </c>
      <c r="J290" s="12" t="s">
        <v>732</v>
      </c>
      <c r="K290" s="12" t="s">
        <v>852</v>
      </c>
      <c r="L290" s="6">
        <v>339.61</v>
      </c>
      <c r="M290" s="6">
        <v>621.02</v>
      </c>
      <c r="N290" s="6">
        <f t="shared" si="72"/>
        <v>621.02</v>
      </c>
      <c r="O290" s="6" t="str">
        <f t="shared" si="86"/>
        <v>Middle</v>
      </c>
      <c r="P290" s="6">
        <v>7.0999999999999994E-2</v>
      </c>
      <c r="Q290" s="6">
        <f t="shared" si="73"/>
        <v>7.0999999999999994E-2</v>
      </c>
      <c r="R290" s="6">
        <v>10</v>
      </c>
      <c r="S290" s="6" t="str">
        <f t="shared" si="74"/>
        <v>OK</v>
      </c>
      <c r="T290" s="4">
        <f t="shared" si="75"/>
        <v>45096</v>
      </c>
      <c r="U290" s="11">
        <f t="shared" si="76"/>
        <v>10</v>
      </c>
      <c r="V290" s="6">
        <f t="shared" si="77"/>
        <v>5769.2758000000003</v>
      </c>
      <c r="W290" s="6">
        <f t="shared" si="78"/>
        <v>3396.1000000000004</v>
      </c>
      <c r="X290" s="6">
        <f t="shared" si="79"/>
        <v>2373.1758</v>
      </c>
      <c r="Y290" s="6">
        <f t="shared" si="80"/>
        <v>0.41134726129750981</v>
      </c>
      <c r="Z290" s="4" t="str">
        <f t="shared" si="81"/>
        <v>Q2-2023</v>
      </c>
      <c r="AA290" t="str">
        <f t="shared" si="82"/>
        <v>Monitors</v>
      </c>
      <c r="AB290" t="str">
        <f t="shared" si="83"/>
        <v>Monitors</v>
      </c>
      <c r="AC290" t="str">
        <f t="shared" si="84"/>
        <v>Compliant</v>
      </c>
      <c r="AD290" t="str">
        <f t="shared" si="85"/>
        <v>Late</v>
      </c>
      <c r="AE290" s="8">
        <f>MIN(Q290,Scenario!$B$2)</f>
        <v>7.0999999999999994E-2</v>
      </c>
      <c r="AF290" s="33">
        <f>L290*(1+Scenario!$B$3)</f>
        <v>390.55149999999998</v>
      </c>
      <c r="AG290" s="6">
        <f>R290*(1+Scenario!$B$4)</f>
        <v>12</v>
      </c>
      <c r="AH290" s="33">
        <f t="shared" si="87"/>
        <v>6923.1309600000004</v>
      </c>
      <c r="AI290" s="33">
        <f t="shared" si="88"/>
        <v>4686.6179999999995</v>
      </c>
      <c r="AJ290" s="33">
        <f t="shared" si="89"/>
        <v>2236.5129600000009</v>
      </c>
    </row>
    <row r="291" spans="1:36" x14ac:dyDescent="0.25">
      <c r="A291" s="12" t="s">
        <v>93</v>
      </c>
      <c r="B291" s="27">
        <v>45091</v>
      </c>
      <c r="C291" s="4">
        <v>45093</v>
      </c>
      <c r="D291" s="12" t="s">
        <v>649</v>
      </c>
      <c r="E291" s="12" t="s">
        <v>658</v>
      </c>
      <c r="F291" s="12" t="s">
        <v>693</v>
      </c>
      <c r="G291" s="12" t="s">
        <v>703</v>
      </c>
      <c r="H291" s="12" t="s">
        <v>711</v>
      </c>
      <c r="I291" s="12" t="s">
        <v>723</v>
      </c>
      <c r="J291" s="12" t="s">
        <v>727</v>
      </c>
      <c r="K291" s="12" t="s">
        <v>812</v>
      </c>
      <c r="L291" s="6">
        <v>357.36</v>
      </c>
      <c r="M291" s="6">
        <v>703.62</v>
      </c>
      <c r="N291" s="6">
        <f t="shared" si="72"/>
        <v>703.62</v>
      </c>
      <c r="O291" s="6" t="str">
        <f t="shared" si="86"/>
        <v>Middle</v>
      </c>
      <c r="P291" s="6">
        <v>0.25700000000000001</v>
      </c>
      <c r="Q291" s="6">
        <f t="shared" si="73"/>
        <v>0.25700000000000001</v>
      </c>
      <c r="R291" s="6">
        <v>20</v>
      </c>
      <c r="S291" s="6" t="str">
        <f t="shared" si="74"/>
        <v>OK</v>
      </c>
      <c r="T291" s="4">
        <f t="shared" si="75"/>
        <v>45093</v>
      </c>
      <c r="U291" s="11">
        <f t="shared" si="76"/>
        <v>2</v>
      </c>
      <c r="V291" s="6">
        <f t="shared" si="77"/>
        <v>10455.7932</v>
      </c>
      <c r="W291" s="6">
        <f t="shared" si="78"/>
        <v>7147.2000000000007</v>
      </c>
      <c r="X291" s="6">
        <f t="shared" si="79"/>
        <v>3308.5931999999993</v>
      </c>
      <c r="Y291" s="6">
        <f t="shared" si="80"/>
        <v>0.31643636563125593</v>
      </c>
      <c r="Z291" s="4" t="str">
        <f t="shared" si="81"/>
        <v>Q2-2023</v>
      </c>
      <c r="AA291" t="str">
        <f t="shared" si="82"/>
        <v>Components</v>
      </c>
      <c r="AB291" t="str">
        <f t="shared" si="83"/>
        <v>Components</v>
      </c>
      <c r="AC291" t="str">
        <f t="shared" si="84"/>
        <v>Non-compliant</v>
      </c>
      <c r="AD291" t="str">
        <f t="shared" si="85"/>
        <v>On-time</v>
      </c>
      <c r="AE291" s="8">
        <f>MIN(Q291,Scenario!$B$2)</f>
        <v>0.2</v>
      </c>
      <c r="AF291" s="33">
        <f>L291*(1+Scenario!$B$3)</f>
        <v>410.964</v>
      </c>
      <c r="AG291" s="6">
        <f>R291*(1+Scenario!$B$4)</f>
        <v>24</v>
      </c>
      <c r="AH291" s="33">
        <f t="shared" si="87"/>
        <v>13509.504000000001</v>
      </c>
      <c r="AI291" s="33">
        <f t="shared" si="88"/>
        <v>9863.1360000000004</v>
      </c>
      <c r="AJ291" s="33">
        <f t="shared" si="89"/>
        <v>3646.3680000000004</v>
      </c>
    </row>
    <row r="292" spans="1:36" hidden="1" x14ac:dyDescent="0.25">
      <c r="A292" s="12" t="s">
        <v>299</v>
      </c>
      <c r="B292" s="27">
        <v>45101</v>
      </c>
      <c r="C292" s="4">
        <v>45128</v>
      </c>
      <c r="D292" s="12" t="s">
        <v>647</v>
      </c>
      <c r="E292" s="12" t="s">
        <v>652</v>
      </c>
      <c r="F292" s="12" t="s">
        <v>694</v>
      </c>
      <c r="G292" s="12" t="s">
        <v>704</v>
      </c>
      <c r="H292" s="12" t="s">
        <v>709</v>
      </c>
      <c r="I292" s="12" t="s">
        <v>713</v>
      </c>
      <c r="J292" s="12" t="s">
        <v>730</v>
      </c>
      <c r="K292" s="12" t="s">
        <v>1019</v>
      </c>
      <c r="L292" s="6">
        <v>554.76</v>
      </c>
      <c r="M292" s="6">
        <v>728.69</v>
      </c>
      <c r="N292" s="6">
        <f t="shared" si="72"/>
        <v>728.69</v>
      </c>
      <c r="O292" s="6" t="str">
        <f t="shared" si="86"/>
        <v>Middle</v>
      </c>
      <c r="P292" s="6">
        <v>0.22</v>
      </c>
      <c r="Q292" s="6">
        <f t="shared" si="73"/>
        <v>0.22</v>
      </c>
      <c r="R292" s="6">
        <v>7</v>
      </c>
      <c r="S292" s="6" t="str">
        <f t="shared" si="74"/>
        <v>OK</v>
      </c>
      <c r="T292" s="4">
        <f t="shared" si="75"/>
        <v>45128</v>
      </c>
      <c r="U292" s="11">
        <f t="shared" si="76"/>
        <v>27</v>
      </c>
      <c r="V292" s="6">
        <f t="shared" si="77"/>
        <v>3978.6474000000003</v>
      </c>
      <c r="W292" s="6">
        <f t="shared" si="78"/>
        <v>3883.3199999999997</v>
      </c>
      <c r="X292" s="6">
        <f t="shared" si="79"/>
        <v>95.32740000000058</v>
      </c>
      <c r="Y292" s="6">
        <f t="shared" si="80"/>
        <v>2.395975074343119E-2</v>
      </c>
      <c r="Z292" s="4" t="str">
        <f t="shared" si="81"/>
        <v>Q2-2023</v>
      </c>
      <c r="AA292" t="str">
        <f t="shared" si="82"/>
        <v>Phones</v>
      </c>
      <c r="AB292" t="str">
        <f t="shared" si="83"/>
        <v>Phones</v>
      </c>
      <c r="AC292" t="str">
        <f t="shared" si="84"/>
        <v>Non-compliant</v>
      </c>
      <c r="AD292" t="str">
        <f t="shared" si="85"/>
        <v>Late</v>
      </c>
      <c r="AE292" s="8">
        <f>MIN(Q292,Scenario!$B$2)</f>
        <v>0.2</v>
      </c>
      <c r="AF292" s="33">
        <f>L292*(1+Scenario!$B$3)</f>
        <v>637.97399999999993</v>
      </c>
      <c r="AG292" s="6">
        <f>R292*(1+Scenario!$B$4)</f>
        <v>8.4</v>
      </c>
      <c r="AH292" s="33">
        <f t="shared" si="87"/>
        <v>4896.796800000001</v>
      </c>
      <c r="AI292" s="33">
        <f t="shared" si="88"/>
        <v>5358.9816000000001</v>
      </c>
      <c r="AJ292" s="33">
        <f t="shared" si="89"/>
        <v>-462.18479999999909</v>
      </c>
    </row>
    <row r="293" spans="1:36" x14ac:dyDescent="0.25">
      <c r="A293" s="12" t="s">
        <v>378</v>
      </c>
      <c r="B293" s="27">
        <v>45082</v>
      </c>
      <c r="C293" s="4">
        <v>45105</v>
      </c>
      <c r="D293" s="12" t="s">
        <v>649</v>
      </c>
      <c r="E293" s="12" t="s">
        <v>658</v>
      </c>
      <c r="F293" s="12" t="s">
        <v>674</v>
      </c>
      <c r="G293" s="12" t="s">
        <v>701</v>
      </c>
      <c r="H293" s="12" t="s">
        <v>711</v>
      </c>
      <c r="I293" s="12" t="s">
        <v>723</v>
      </c>
      <c r="J293" s="12" t="s">
        <v>728</v>
      </c>
      <c r="K293" s="12" t="s">
        <v>1098</v>
      </c>
      <c r="L293" s="6">
        <v>605.82000000000005</v>
      </c>
      <c r="M293" s="6">
        <v>771.12</v>
      </c>
      <c r="N293" s="6">
        <f t="shared" si="72"/>
        <v>771.12</v>
      </c>
      <c r="O293" s="6" t="str">
        <f t="shared" si="86"/>
        <v>Middle</v>
      </c>
      <c r="P293" s="6">
        <v>0.13200000000000001</v>
      </c>
      <c r="Q293" s="6">
        <f t="shared" si="73"/>
        <v>0.13200000000000001</v>
      </c>
      <c r="R293" s="6">
        <v>19</v>
      </c>
      <c r="S293" s="6" t="str">
        <f t="shared" si="74"/>
        <v>OK</v>
      </c>
      <c r="T293" s="4">
        <f t="shared" si="75"/>
        <v>45105</v>
      </c>
      <c r="U293" s="11">
        <f t="shared" si="76"/>
        <v>23</v>
      </c>
      <c r="V293" s="6">
        <f t="shared" si="77"/>
        <v>12717.311040000001</v>
      </c>
      <c r="W293" s="6">
        <f t="shared" si="78"/>
        <v>11510.580000000002</v>
      </c>
      <c r="X293" s="6">
        <f t="shared" si="79"/>
        <v>1206.7310399999988</v>
      </c>
      <c r="Y293" s="6">
        <f t="shared" si="80"/>
        <v>9.4888851597986767E-2</v>
      </c>
      <c r="Z293" s="4" t="str">
        <f t="shared" si="81"/>
        <v>Q2-2023</v>
      </c>
      <c r="AA293" t="str">
        <f t="shared" si="82"/>
        <v>Printers</v>
      </c>
      <c r="AB293" t="str">
        <f t="shared" si="83"/>
        <v>Printers</v>
      </c>
      <c r="AC293" t="str">
        <f t="shared" si="84"/>
        <v>Compliant</v>
      </c>
      <c r="AD293" t="str">
        <f t="shared" si="85"/>
        <v>Late</v>
      </c>
      <c r="AE293" s="8">
        <f>MIN(Q293,Scenario!$B$2)</f>
        <v>0.13200000000000001</v>
      </c>
      <c r="AF293" s="33">
        <f>L293*(1+Scenario!$B$3)</f>
        <v>696.69299999999998</v>
      </c>
      <c r="AG293" s="6">
        <f>R293*(1+Scenario!$B$4)</f>
        <v>22.8</v>
      </c>
      <c r="AH293" s="33">
        <f t="shared" si="87"/>
        <v>15260.773248</v>
      </c>
      <c r="AI293" s="33">
        <f t="shared" si="88"/>
        <v>15884.600399999999</v>
      </c>
      <c r="AJ293" s="33">
        <f t="shared" si="89"/>
        <v>-623.82715199999984</v>
      </c>
    </row>
    <row r="294" spans="1:36" hidden="1" x14ac:dyDescent="0.25">
      <c r="A294" s="12" t="s">
        <v>326</v>
      </c>
      <c r="B294" s="27">
        <v>45101</v>
      </c>
      <c r="C294" s="4">
        <v>45099</v>
      </c>
      <c r="D294" s="12" t="s">
        <v>648</v>
      </c>
      <c r="E294" s="12" t="s">
        <v>653</v>
      </c>
      <c r="F294" s="12" t="s">
        <v>667</v>
      </c>
      <c r="G294" s="12" t="s">
        <v>703</v>
      </c>
      <c r="H294" s="12" t="s">
        <v>707</v>
      </c>
      <c r="I294" s="12" t="s">
        <v>724</v>
      </c>
      <c r="J294" s="12" t="s">
        <v>733</v>
      </c>
      <c r="K294" s="12" t="s">
        <v>1046</v>
      </c>
      <c r="L294" s="6">
        <v>471.42</v>
      </c>
      <c r="M294" s="6">
        <v>824.81</v>
      </c>
      <c r="N294" s="6">
        <f t="shared" si="72"/>
        <v>824.81</v>
      </c>
      <c r="O294" s="6" t="str">
        <f t="shared" si="86"/>
        <v>Middle</v>
      </c>
      <c r="P294" s="6">
        <v>8.7999999999999995E-2</v>
      </c>
      <c r="Q294" s="6">
        <f t="shared" si="73"/>
        <v>8.7999999999999995E-2</v>
      </c>
      <c r="R294" s="6">
        <v>15</v>
      </c>
      <c r="S294" s="6" t="str">
        <f t="shared" si="74"/>
        <v>Correct</v>
      </c>
      <c r="T294" s="4">
        <f t="shared" si="75"/>
        <v>45108</v>
      </c>
      <c r="U294" s="11">
        <f t="shared" si="76"/>
        <v>7</v>
      </c>
      <c r="V294" s="6">
        <f t="shared" si="77"/>
        <v>11283.400799999999</v>
      </c>
      <c r="W294" s="6">
        <f t="shared" si="78"/>
        <v>7071.3</v>
      </c>
      <c r="X294" s="6">
        <f t="shared" si="79"/>
        <v>4212.1007999999993</v>
      </c>
      <c r="Y294" s="6">
        <f t="shared" si="80"/>
        <v>0.37330064531608231</v>
      </c>
      <c r="Z294" s="4" t="str">
        <f t="shared" si="81"/>
        <v>Q2-2023</v>
      </c>
      <c r="AA294" t="str">
        <f t="shared" si="82"/>
        <v>Accessories</v>
      </c>
      <c r="AB294" t="str">
        <f t="shared" si="83"/>
        <v>Accessories</v>
      </c>
      <c r="AC294" t="str">
        <f t="shared" si="84"/>
        <v>Compliant</v>
      </c>
      <c r="AD294" t="str">
        <f t="shared" si="85"/>
        <v>On-time</v>
      </c>
      <c r="AE294" s="8">
        <f>MIN(Q294,Scenario!$B$2)</f>
        <v>8.7999999999999995E-2</v>
      </c>
      <c r="AF294" s="33">
        <f>L294*(1+Scenario!$B$3)</f>
        <v>542.13299999999992</v>
      </c>
      <c r="AG294" s="6">
        <f>R294*(1+Scenario!$B$4)</f>
        <v>18</v>
      </c>
      <c r="AH294" s="33">
        <f t="shared" si="87"/>
        <v>13540.080959999999</v>
      </c>
      <c r="AI294" s="33">
        <f t="shared" si="88"/>
        <v>9758.3939999999984</v>
      </c>
      <c r="AJ294" s="33">
        <f t="shared" si="89"/>
        <v>3781.6869600000009</v>
      </c>
    </row>
    <row r="295" spans="1:36" x14ac:dyDescent="0.25">
      <c r="A295" s="12" t="s">
        <v>200</v>
      </c>
      <c r="B295" s="27">
        <v>45099</v>
      </c>
      <c r="C295" s="4">
        <v>45128</v>
      </c>
      <c r="D295" s="12" t="s">
        <v>649</v>
      </c>
      <c r="E295" s="12" t="s">
        <v>657</v>
      </c>
      <c r="F295" s="12" t="s">
        <v>679</v>
      </c>
      <c r="G295" s="12" t="s">
        <v>701</v>
      </c>
      <c r="H295" s="12" t="s">
        <v>707</v>
      </c>
      <c r="I295" s="12" t="s">
        <v>713</v>
      </c>
      <c r="J295" s="12" t="s">
        <v>733</v>
      </c>
      <c r="K295" s="12" t="s">
        <v>919</v>
      </c>
      <c r="L295" s="6">
        <v>734.34</v>
      </c>
      <c r="M295" s="6">
        <v>887.9</v>
      </c>
      <c r="N295" s="6">
        <f t="shared" si="72"/>
        <v>887.9</v>
      </c>
      <c r="O295" s="6" t="str">
        <f t="shared" si="86"/>
        <v>Middle</v>
      </c>
      <c r="P295" s="6">
        <v>2.5000000000000001E-2</v>
      </c>
      <c r="Q295" s="6">
        <f t="shared" si="73"/>
        <v>2.5000000000000001E-2</v>
      </c>
      <c r="R295" s="6">
        <v>12</v>
      </c>
      <c r="S295" s="6" t="str">
        <f t="shared" si="74"/>
        <v>OK</v>
      </c>
      <c r="T295" s="4">
        <f t="shared" si="75"/>
        <v>45128</v>
      </c>
      <c r="U295" s="11">
        <f t="shared" si="76"/>
        <v>29</v>
      </c>
      <c r="V295" s="6">
        <f t="shared" si="77"/>
        <v>10388.429999999998</v>
      </c>
      <c r="W295" s="6">
        <f t="shared" si="78"/>
        <v>8812.08</v>
      </c>
      <c r="X295" s="6">
        <f t="shared" si="79"/>
        <v>1576.3499999999985</v>
      </c>
      <c r="Y295" s="6">
        <f t="shared" si="80"/>
        <v>0.15174092716608753</v>
      </c>
      <c r="Z295" s="4" t="str">
        <f t="shared" si="81"/>
        <v>Q2-2023</v>
      </c>
      <c r="AA295" t="str">
        <f t="shared" si="82"/>
        <v>Accessories</v>
      </c>
      <c r="AB295" t="str">
        <f t="shared" si="83"/>
        <v>Accessories</v>
      </c>
      <c r="AC295" t="str">
        <f t="shared" si="84"/>
        <v>Compliant</v>
      </c>
      <c r="AD295" t="str">
        <f t="shared" si="85"/>
        <v>Late</v>
      </c>
      <c r="AE295" s="8">
        <f>MIN(Q295,Scenario!$B$2)</f>
        <v>2.5000000000000001E-2</v>
      </c>
      <c r="AF295" s="33">
        <f>L295*(1+Scenario!$B$3)</f>
        <v>844.49099999999999</v>
      </c>
      <c r="AG295" s="6">
        <f>R295*(1+Scenario!$B$4)</f>
        <v>14.399999999999999</v>
      </c>
      <c r="AH295" s="33">
        <f t="shared" si="87"/>
        <v>12466.115999999998</v>
      </c>
      <c r="AI295" s="33">
        <f t="shared" si="88"/>
        <v>12160.670399999999</v>
      </c>
      <c r="AJ295" s="33">
        <f t="shared" si="89"/>
        <v>305.4455999999991</v>
      </c>
    </row>
    <row r="296" spans="1:36" hidden="1" x14ac:dyDescent="0.25">
      <c r="A296" s="12" t="s">
        <v>585</v>
      </c>
      <c r="B296" s="27">
        <v>45078</v>
      </c>
      <c r="C296" s="4">
        <v>45078</v>
      </c>
      <c r="D296" s="12" t="s">
        <v>647</v>
      </c>
      <c r="E296" s="12" t="s">
        <v>654</v>
      </c>
      <c r="F296" s="12" t="s">
        <v>668</v>
      </c>
      <c r="G296" s="12" t="s">
        <v>701</v>
      </c>
      <c r="H296" s="12" t="s">
        <v>707</v>
      </c>
      <c r="I296" s="12" t="s">
        <v>718</v>
      </c>
      <c r="J296" s="12" t="s">
        <v>733</v>
      </c>
      <c r="K296" s="12" t="s">
        <v>1303</v>
      </c>
      <c r="L296" s="6">
        <v>669.37</v>
      </c>
      <c r="M296" s="6">
        <v>997.2</v>
      </c>
      <c r="N296" s="6">
        <f t="shared" si="72"/>
        <v>997.2</v>
      </c>
      <c r="O296" s="6" t="str">
        <f t="shared" si="86"/>
        <v>Middle</v>
      </c>
      <c r="P296" s="6">
        <v>8.2000000000000003E-2</v>
      </c>
      <c r="Q296" s="6">
        <f t="shared" si="73"/>
        <v>8.2000000000000003E-2</v>
      </c>
      <c r="R296" s="6">
        <v>5</v>
      </c>
      <c r="S296" s="6" t="str">
        <f t="shared" si="74"/>
        <v>OK</v>
      </c>
      <c r="T296" s="4">
        <f t="shared" si="75"/>
        <v>45078</v>
      </c>
      <c r="U296" s="11">
        <f t="shared" si="76"/>
        <v>0</v>
      </c>
      <c r="V296" s="6">
        <f t="shared" si="77"/>
        <v>4577.1480000000001</v>
      </c>
      <c r="W296" s="6">
        <f t="shared" si="78"/>
        <v>3346.85</v>
      </c>
      <c r="X296" s="6">
        <f t="shared" si="79"/>
        <v>1230.2980000000002</v>
      </c>
      <c r="Y296" s="6">
        <f t="shared" si="80"/>
        <v>0.26879139586484863</v>
      </c>
      <c r="Z296" s="4" t="str">
        <f t="shared" si="81"/>
        <v>Q2-2023</v>
      </c>
      <c r="AA296" t="str">
        <f t="shared" si="82"/>
        <v>Accessories</v>
      </c>
      <c r="AB296" t="str">
        <f t="shared" si="83"/>
        <v>Accessories</v>
      </c>
      <c r="AC296" t="str">
        <f t="shared" si="84"/>
        <v>Compliant</v>
      </c>
      <c r="AD296" t="str">
        <f t="shared" si="85"/>
        <v>On-time</v>
      </c>
      <c r="AE296" s="8">
        <f>MIN(Q296,Scenario!$B$2)</f>
        <v>8.2000000000000003E-2</v>
      </c>
      <c r="AF296" s="33">
        <f>L296*(1+Scenario!$B$3)</f>
        <v>769.77549999999997</v>
      </c>
      <c r="AG296" s="6">
        <f>R296*(1+Scenario!$B$4)</f>
        <v>6</v>
      </c>
      <c r="AH296" s="33">
        <f t="shared" si="87"/>
        <v>5492.5776000000005</v>
      </c>
      <c r="AI296" s="33">
        <f t="shared" si="88"/>
        <v>4618.6530000000002</v>
      </c>
      <c r="AJ296" s="33">
        <f t="shared" si="89"/>
        <v>873.92460000000028</v>
      </c>
    </row>
    <row r="297" spans="1:36" x14ac:dyDescent="0.25">
      <c r="A297" s="12" t="s">
        <v>527</v>
      </c>
      <c r="B297" s="27">
        <v>45078</v>
      </c>
      <c r="C297" s="4">
        <v>45085</v>
      </c>
      <c r="D297" s="12" t="s">
        <v>649</v>
      </c>
      <c r="E297" s="12" t="s">
        <v>656</v>
      </c>
      <c r="F297" s="12" t="s">
        <v>698</v>
      </c>
      <c r="G297" s="12" t="s">
        <v>704</v>
      </c>
      <c r="H297" s="12" t="s">
        <v>708</v>
      </c>
      <c r="I297" s="12" t="s">
        <v>720</v>
      </c>
      <c r="J297" s="12" t="s">
        <v>730</v>
      </c>
      <c r="K297" s="12" t="s">
        <v>1246</v>
      </c>
      <c r="L297" s="6">
        <v>804.17</v>
      </c>
      <c r="M297" s="6">
        <v>1072.29</v>
      </c>
      <c r="N297" s="6">
        <f t="shared" si="72"/>
        <v>1072.29</v>
      </c>
      <c r="O297" s="6" t="str">
        <f t="shared" si="86"/>
        <v>Middle</v>
      </c>
      <c r="P297" s="6">
        <v>3.2000000000000001E-2</v>
      </c>
      <c r="Q297" s="6">
        <f t="shared" si="73"/>
        <v>3.2000000000000001E-2</v>
      </c>
      <c r="R297" s="6">
        <v>5</v>
      </c>
      <c r="S297" s="6" t="str">
        <f t="shared" si="74"/>
        <v>OK</v>
      </c>
      <c r="T297" s="4">
        <f t="shared" si="75"/>
        <v>45085</v>
      </c>
      <c r="U297" s="11">
        <f t="shared" si="76"/>
        <v>7</v>
      </c>
      <c r="V297" s="6">
        <f t="shared" si="77"/>
        <v>5189.8836000000001</v>
      </c>
      <c r="W297" s="6">
        <f t="shared" si="78"/>
        <v>4020.85</v>
      </c>
      <c r="X297" s="6">
        <f t="shared" si="79"/>
        <v>1169.0336000000002</v>
      </c>
      <c r="Y297" s="6">
        <f t="shared" si="80"/>
        <v>0.2252523736755869</v>
      </c>
      <c r="Z297" s="4" t="str">
        <f t="shared" si="81"/>
        <v>Q2-2023</v>
      </c>
      <c r="AA297" t="str">
        <f t="shared" si="82"/>
        <v>Phones</v>
      </c>
      <c r="AB297" t="str">
        <f t="shared" si="83"/>
        <v>Phones</v>
      </c>
      <c r="AC297" t="str">
        <f t="shared" si="84"/>
        <v>Compliant</v>
      </c>
      <c r="AD297" t="str">
        <f t="shared" si="85"/>
        <v>On-time</v>
      </c>
      <c r="AE297" s="8">
        <f>MIN(Q297,Scenario!$B$2)</f>
        <v>3.2000000000000001E-2</v>
      </c>
      <c r="AF297" s="33">
        <f>L297*(1+Scenario!$B$3)</f>
        <v>924.79549999999983</v>
      </c>
      <c r="AG297" s="6">
        <f>R297*(1+Scenario!$B$4)</f>
        <v>6</v>
      </c>
      <c r="AH297" s="33">
        <f t="shared" si="87"/>
        <v>6227.8603199999998</v>
      </c>
      <c r="AI297" s="33">
        <f t="shared" si="88"/>
        <v>5548.7729999999992</v>
      </c>
      <c r="AJ297" s="33">
        <f t="shared" si="89"/>
        <v>679.08732000000055</v>
      </c>
    </row>
    <row r="298" spans="1:36" x14ac:dyDescent="0.25">
      <c r="A298" s="12" t="s">
        <v>592</v>
      </c>
      <c r="B298" s="27">
        <v>45092</v>
      </c>
      <c r="C298" s="4">
        <v>45119</v>
      </c>
      <c r="D298" s="12" t="s">
        <v>649</v>
      </c>
      <c r="E298" s="12" t="s">
        <v>658</v>
      </c>
      <c r="F298" s="12" t="s">
        <v>693</v>
      </c>
      <c r="G298" s="12" t="s">
        <v>704</v>
      </c>
      <c r="H298" s="12" t="s">
        <v>711</v>
      </c>
      <c r="I298" s="12" t="s">
        <v>714</v>
      </c>
      <c r="J298" s="12" t="s">
        <v>733</v>
      </c>
      <c r="K298" s="12" t="s">
        <v>1310</v>
      </c>
      <c r="L298" s="6">
        <v>751.28</v>
      </c>
      <c r="M298" s="6">
        <v>1111.8800000000001</v>
      </c>
      <c r="N298" s="6">
        <f t="shared" si="72"/>
        <v>1111.8800000000001</v>
      </c>
      <c r="O298" s="6" t="str">
        <f t="shared" si="86"/>
        <v>Middle</v>
      </c>
      <c r="P298" s="6">
        <v>0.13500000000000001</v>
      </c>
      <c r="Q298" s="6">
        <f t="shared" si="73"/>
        <v>0.13500000000000001</v>
      </c>
      <c r="R298" s="6">
        <v>7</v>
      </c>
      <c r="S298" s="6" t="str">
        <f t="shared" si="74"/>
        <v>OK</v>
      </c>
      <c r="T298" s="4">
        <f t="shared" si="75"/>
        <v>45119</v>
      </c>
      <c r="U298" s="11">
        <f t="shared" si="76"/>
        <v>27</v>
      </c>
      <c r="V298" s="6">
        <f t="shared" si="77"/>
        <v>6732.4334000000008</v>
      </c>
      <c r="W298" s="6">
        <f t="shared" si="78"/>
        <v>5258.96</v>
      </c>
      <c r="X298" s="6">
        <f t="shared" si="79"/>
        <v>1473.4734000000008</v>
      </c>
      <c r="Y298" s="6">
        <f t="shared" si="80"/>
        <v>0.21886193482433863</v>
      </c>
      <c r="Z298" s="4" t="str">
        <f t="shared" si="81"/>
        <v>Q2-2023</v>
      </c>
      <c r="AA298" t="str">
        <f t="shared" si="82"/>
        <v>Accessories</v>
      </c>
      <c r="AB298" t="str">
        <f t="shared" si="83"/>
        <v>Accessories</v>
      </c>
      <c r="AC298" t="str">
        <f t="shared" si="84"/>
        <v>Compliant</v>
      </c>
      <c r="AD298" t="str">
        <f t="shared" si="85"/>
        <v>Late</v>
      </c>
      <c r="AE298" s="8">
        <f>MIN(Q298,Scenario!$B$2)</f>
        <v>0.13500000000000001</v>
      </c>
      <c r="AF298" s="33">
        <f>L298*(1+Scenario!$B$3)</f>
        <v>863.97199999999987</v>
      </c>
      <c r="AG298" s="6">
        <f>R298*(1+Scenario!$B$4)</f>
        <v>8.4</v>
      </c>
      <c r="AH298" s="33">
        <f t="shared" si="87"/>
        <v>8078.9200800000008</v>
      </c>
      <c r="AI298" s="33">
        <f t="shared" si="88"/>
        <v>7257.3647999999994</v>
      </c>
      <c r="AJ298" s="33">
        <f t="shared" si="89"/>
        <v>821.5552800000014</v>
      </c>
    </row>
    <row r="299" spans="1:36" hidden="1" x14ac:dyDescent="0.25">
      <c r="A299" s="12" t="s">
        <v>397</v>
      </c>
      <c r="B299" s="27">
        <v>45097</v>
      </c>
      <c r="C299" s="4">
        <v>45115</v>
      </c>
      <c r="D299" s="12" t="s">
        <v>648</v>
      </c>
      <c r="E299" s="12" t="s">
        <v>660</v>
      </c>
      <c r="F299" s="12" t="s">
        <v>700</v>
      </c>
      <c r="G299" s="12" t="s">
        <v>704</v>
      </c>
      <c r="H299" s="12" t="s">
        <v>709</v>
      </c>
      <c r="I299" s="12" t="s">
        <v>719</v>
      </c>
      <c r="J299" s="12" t="s">
        <v>729</v>
      </c>
      <c r="K299" s="12" t="s">
        <v>1116</v>
      </c>
      <c r="L299" s="6">
        <v>1145.53</v>
      </c>
      <c r="M299" s="6">
        <v>1278.3</v>
      </c>
      <c r="N299" s="6">
        <f t="shared" si="72"/>
        <v>1278.3</v>
      </c>
      <c r="O299" s="6" t="str">
        <f t="shared" si="86"/>
        <v>High</v>
      </c>
      <c r="P299" s="6">
        <v>0.09</v>
      </c>
      <c r="Q299" s="6">
        <f t="shared" si="73"/>
        <v>0.09</v>
      </c>
      <c r="R299" s="6">
        <v>41</v>
      </c>
      <c r="S299" s="6" t="str">
        <f t="shared" si="74"/>
        <v>OK</v>
      </c>
      <c r="T299" s="4">
        <f t="shared" si="75"/>
        <v>45115</v>
      </c>
      <c r="U299" s="11">
        <f t="shared" si="76"/>
        <v>18</v>
      </c>
      <c r="V299" s="6">
        <f t="shared" si="77"/>
        <v>47693.373</v>
      </c>
      <c r="W299" s="6">
        <f t="shared" si="78"/>
        <v>46966.729999999996</v>
      </c>
      <c r="X299" s="6">
        <f t="shared" si="79"/>
        <v>726.64300000000367</v>
      </c>
      <c r="Y299" s="6">
        <f t="shared" si="80"/>
        <v>1.5235722581416158E-2</v>
      </c>
      <c r="Z299" s="4" t="str">
        <f t="shared" si="81"/>
        <v>Q2-2023</v>
      </c>
      <c r="AA299" t="str">
        <f t="shared" si="82"/>
        <v>Networking</v>
      </c>
      <c r="AB299" t="str">
        <f t="shared" si="83"/>
        <v>Networking</v>
      </c>
      <c r="AC299" t="str">
        <f t="shared" si="84"/>
        <v>Compliant</v>
      </c>
      <c r="AD299" t="str">
        <f t="shared" si="85"/>
        <v>Late</v>
      </c>
      <c r="AE299" s="8">
        <f>MIN(Q299,Scenario!$B$2)</f>
        <v>0.09</v>
      </c>
      <c r="AF299" s="33">
        <f>L299*(1+Scenario!$B$3)</f>
        <v>1317.3594999999998</v>
      </c>
      <c r="AG299" s="6">
        <f>R299*(1+Scenario!$B$4)</f>
        <v>49.199999999999996</v>
      </c>
      <c r="AH299" s="33">
        <f t="shared" si="87"/>
        <v>57232.047599999998</v>
      </c>
      <c r="AI299" s="33">
        <f t="shared" si="88"/>
        <v>64814.087399999982</v>
      </c>
      <c r="AJ299" s="33">
        <f t="shared" si="89"/>
        <v>-7582.0397999999841</v>
      </c>
    </row>
    <row r="300" spans="1:36" hidden="1" x14ac:dyDescent="0.25">
      <c r="A300" s="12" t="s">
        <v>107</v>
      </c>
      <c r="B300" s="27">
        <v>45101</v>
      </c>
      <c r="C300" s="4">
        <v>45100</v>
      </c>
      <c r="D300" s="12" t="s">
        <v>648</v>
      </c>
      <c r="E300" s="12" t="s">
        <v>655</v>
      </c>
      <c r="F300" s="12" t="s">
        <v>692</v>
      </c>
      <c r="G300" s="12" t="s">
        <v>703</v>
      </c>
      <c r="H300" s="12" t="s">
        <v>707</v>
      </c>
      <c r="I300" s="12" t="s">
        <v>718</v>
      </c>
      <c r="J300" s="12" t="s">
        <v>728</v>
      </c>
      <c r="K300" s="12" t="s">
        <v>826</v>
      </c>
      <c r="L300" s="6">
        <v>804.01</v>
      </c>
      <c r="M300" s="6">
        <v>1405.07</v>
      </c>
      <c r="N300" s="6">
        <f t="shared" si="72"/>
        <v>1405.07</v>
      </c>
      <c r="O300" s="6" t="str">
        <f t="shared" si="86"/>
        <v>High</v>
      </c>
      <c r="P300" s="6">
        <v>9.6000000000000002E-2</v>
      </c>
      <c r="Q300" s="6">
        <f t="shared" si="73"/>
        <v>9.6000000000000002E-2</v>
      </c>
      <c r="R300" s="6">
        <v>8</v>
      </c>
      <c r="S300" s="6" t="str">
        <f t="shared" si="74"/>
        <v>Correct</v>
      </c>
      <c r="T300" s="4">
        <f t="shared" si="75"/>
        <v>45108</v>
      </c>
      <c r="U300" s="11">
        <f t="shared" si="76"/>
        <v>7</v>
      </c>
      <c r="V300" s="6">
        <f t="shared" si="77"/>
        <v>10161.46624</v>
      </c>
      <c r="W300" s="6">
        <f t="shared" si="78"/>
        <v>6432.08</v>
      </c>
      <c r="X300" s="6">
        <f t="shared" si="79"/>
        <v>3729.3862399999998</v>
      </c>
      <c r="Y300" s="6">
        <f t="shared" si="80"/>
        <v>0.36701260939287439</v>
      </c>
      <c r="Z300" s="4" t="str">
        <f t="shared" si="81"/>
        <v>Q2-2023</v>
      </c>
      <c r="AA300" t="str">
        <f t="shared" si="82"/>
        <v>Printers</v>
      </c>
      <c r="AB300" t="str">
        <f t="shared" si="83"/>
        <v>Printers</v>
      </c>
      <c r="AC300" t="str">
        <f t="shared" si="84"/>
        <v>Compliant</v>
      </c>
      <c r="AD300" t="str">
        <f t="shared" si="85"/>
        <v>On-time</v>
      </c>
      <c r="AE300" s="8">
        <f>MIN(Q300,Scenario!$B$2)</f>
        <v>9.6000000000000002E-2</v>
      </c>
      <c r="AF300" s="33">
        <f>L300*(1+Scenario!$B$3)</f>
        <v>924.61149999999986</v>
      </c>
      <c r="AG300" s="6">
        <f>R300*(1+Scenario!$B$4)</f>
        <v>9.6</v>
      </c>
      <c r="AH300" s="33">
        <f t="shared" si="87"/>
        <v>12193.759488</v>
      </c>
      <c r="AI300" s="33">
        <f t="shared" si="88"/>
        <v>8876.2703999999976</v>
      </c>
      <c r="AJ300" s="33">
        <f t="shared" si="89"/>
        <v>3317.4890880000021</v>
      </c>
    </row>
    <row r="301" spans="1:36" hidden="1" x14ac:dyDescent="0.25">
      <c r="A301" s="12" t="s">
        <v>341</v>
      </c>
      <c r="B301" s="27">
        <v>45087</v>
      </c>
      <c r="C301" s="4">
        <v>45095</v>
      </c>
      <c r="D301" s="12" t="s">
        <v>646</v>
      </c>
      <c r="E301" s="12" t="s">
        <v>650</v>
      </c>
      <c r="F301" s="12" t="s">
        <v>678</v>
      </c>
      <c r="G301" s="12" t="s">
        <v>706</v>
      </c>
      <c r="H301" s="12" t="s">
        <v>711</v>
      </c>
      <c r="I301" s="12" t="s">
        <v>722</v>
      </c>
      <c r="J301" s="12" t="s">
        <v>730</v>
      </c>
      <c r="K301" s="12" t="s">
        <v>1061</v>
      </c>
      <c r="L301" s="6">
        <v>894.23</v>
      </c>
      <c r="M301" s="6">
        <v>1421.55</v>
      </c>
      <c r="N301" s="6">
        <f t="shared" si="72"/>
        <v>1421.55</v>
      </c>
      <c r="O301" s="6" t="str">
        <f t="shared" si="86"/>
        <v>High</v>
      </c>
      <c r="P301" s="6">
        <v>0.109</v>
      </c>
      <c r="Q301" s="6">
        <f t="shared" si="73"/>
        <v>0.109</v>
      </c>
      <c r="R301" s="6">
        <v>3</v>
      </c>
      <c r="S301" s="6" t="str">
        <f t="shared" si="74"/>
        <v>OK</v>
      </c>
      <c r="T301" s="4">
        <f t="shared" si="75"/>
        <v>45095</v>
      </c>
      <c r="U301" s="11">
        <f t="shared" si="76"/>
        <v>8</v>
      </c>
      <c r="V301" s="6">
        <f t="shared" si="77"/>
        <v>3799.8031499999997</v>
      </c>
      <c r="W301" s="6">
        <f t="shared" si="78"/>
        <v>2682.69</v>
      </c>
      <c r="X301" s="6">
        <f t="shared" si="79"/>
        <v>1117.1131499999997</v>
      </c>
      <c r="Y301" s="6">
        <f t="shared" si="80"/>
        <v>0.29399237431549574</v>
      </c>
      <c r="Z301" s="4" t="str">
        <f t="shared" si="81"/>
        <v>Q2-2023</v>
      </c>
      <c r="AA301" t="str">
        <f t="shared" si="82"/>
        <v>Phones</v>
      </c>
      <c r="AB301" t="str">
        <f t="shared" si="83"/>
        <v>Phones</v>
      </c>
      <c r="AC301" t="str">
        <f t="shared" si="84"/>
        <v>Compliant</v>
      </c>
      <c r="AD301" t="str">
        <f t="shared" si="85"/>
        <v>Late</v>
      </c>
      <c r="AE301" s="8">
        <f>MIN(Q301,Scenario!$B$2)</f>
        <v>0.109</v>
      </c>
      <c r="AF301" s="33">
        <f>L301*(1+Scenario!$B$3)</f>
        <v>1028.3644999999999</v>
      </c>
      <c r="AG301" s="6">
        <f>R301*(1+Scenario!$B$4)</f>
        <v>3.5999999999999996</v>
      </c>
      <c r="AH301" s="33">
        <f t="shared" si="87"/>
        <v>4559.7637799999993</v>
      </c>
      <c r="AI301" s="33">
        <f t="shared" si="88"/>
        <v>3702.1121999999991</v>
      </c>
      <c r="AJ301" s="33">
        <f t="shared" si="89"/>
        <v>857.65158000000019</v>
      </c>
    </row>
    <row r="302" spans="1:36" hidden="1" x14ac:dyDescent="0.25">
      <c r="A302" s="12" t="s">
        <v>642</v>
      </c>
      <c r="B302" s="27">
        <v>45100</v>
      </c>
      <c r="C302" s="4">
        <v>45125</v>
      </c>
      <c r="D302" s="12" t="s">
        <v>648</v>
      </c>
      <c r="E302" s="12" t="s">
        <v>653</v>
      </c>
      <c r="F302" s="12" t="s">
        <v>688</v>
      </c>
      <c r="G302" s="12" t="s">
        <v>706</v>
      </c>
      <c r="H302" s="12" t="s">
        <v>708</v>
      </c>
      <c r="I302" s="12" t="s">
        <v>725</v>
      </c>
      <c r="J302" s="12" t="s">
        <v>730</v>
      </c>
      <c r="K302" s="12" t="s">
        <v>1360</v>
      </c>
      <c r="L302" s="6">
        <v>807.02</v>
      </c>
      <c r="M302" s="6">
        <v>1435.54</v>
      </c>
      <c r="N302" s="6">
        <f t="shared" si="72"/>
        <v>1435.54</v>
      </c>
      <c r="O302" s="6" t="str">
        <f t="shared" si="86"/>
        <v>High</v>
      </c>
      <c r="P302" s="6">
        <v>0</v>
      </c>
      <c r="Q302" s="6">
        <f t="shared" si="73"/>
        <v>0</v>
      </c>
      <c r="R302" s="6">
        <v>23</v>
      </c>
      <c r="S302" s="6" t="str">
        <f t="shared" si="74"/>
        <v>OK</v>
      </c>
      <c r="T302" s="4">
        <f t="shared" si="75"/>
        <v>45125</v>
      </c>
      <c r="U302" s="11">
        <f t="shared" si="76"/>
        <v>25</v>
      </c>
      <c r="V302" s="6">
        <f t="shared" si="77"/>
        <v>33017.42</v>
      </c>
      <c r="W302" s="6">
        <f t="shared" si="78"/>
        <v>18561.46</v>
      </c>
      <c r="X302" s="6">
        <f t="shared" si="79"/>
        <v>14455.96</v>
      </c>
      <c r="Y302" s="6">
        <f t="shared" si="80"/>
        <v>0.43782827368098415</v>
      </c>
      <c r="Z302" s="4" t="str">
        <f t="shared" si="81"/>
        <v>Q2-2023</v>
      </c>
      <c r="AA302" t="str">
        <f t="shared" si="82"/>
        <v>Phones</v>
      </c>
      <c r="AB302" t="str">
        <f t="shared" si="83"/>
        <v>Phones</v>
      </c>
      <c r="AC302" t="str">
        <f t="shared" si="84"/>
        <v>Compliant</v>
      </c>
      <c r="AD302" t="str">
        <f t="shared" si="85"/>
        <v>Late</v>
      </c>
      <c r="AE302" s="8">
        <f>MIN(Q302,Scenario!$B$2)</f>
        <v>0</v>
      </c>
      <c r="AF302" s="33">
        <f>L302*(1+Scenario!$B$3)</f>
        <v>928.07299999999987</v>
      </c>
      <c r="AG302" s="6">
        <f>R302*(1+Scenario!$B$4)</f>
        <v>27.599999999999998</v>
      </c>
      <c r="AH302" s="33">
        <f t="shared" si="87"/>
        <v>39620.903999999995</v>
      </c>
      <c r="AI302" s="33">
        <f t="shared" si="88"/>
        <v>25614.814799999993</v>
      </c>
      <c r="AJ302" s="33">
        <f t="shared" si="89"/>
        <v>14006.089200000002</v>
      </c>
    </row>
    <row r="303" spans="1:36" hidden="1" x14ac:dyDescent="0.25">
      <c r="A303" s="12" t="s">
        <v>595</v>
      </c>
      <c r="B303" s="27">
        <v>45080</v>
      </c>
      <c r="C303" s="4">
        <v>45108</v>
      </c>
      <c r="D303" s="12" t="s">
        <v>648</v>
      </c>
      <c r="E303" s="12" t="s">
        <v>655</v>
      </c>
      <c r="F303" s="12" t="s">
        <v>672</v>
      </c>
      <c r="G303" s="12" t="s">
        <v>705</v>
      </c>
      <c r="H303" s="12" t="s">
        <v>709</v>
      </c>
      <c r="I303" s="12" t="s">
        <v>720</v>
      </c>
      <c r="J303" s="12" t="s">
        <v>727</v>
      </c>
      <c r="K303" s="12" t="s">
        <v>1313</v>
      </c>
      <c r="L303" s="6">
        <v>860.4</v>
      </c>
      <c r="M303" s="6">
        <v>2066.6</v>
      </c>
      <c r="N303" s="6">
        <f t="shared" si="72"/>
        <v>2066.6</v>
      </c>
      <c r="O303" s="6" t="str">
        <f t="shared" si="86"/>
        <v>High</v>
      </c>
      <c r="P303" s="6">
        <v>0.01</v>
      </c>
      <c r="Q303" s="6">
        <f t="shared" si="73"/>
        <v>0.01</v>
      </c>
      <c r="R303" s="6">
        <v>3</v>
      </c>
      <c r="S303" s="6" t="str">
        <f t="shared" si="74"/>
        <v>OK</v>
      </c>
      <c r="T303" s="4">
        <f t="shared" si="75"/>
        <v>45108</v>
      </c>
      <c r="U303" s="11">
        <f t="shared" si="76"/>
        <v>28</v>
      </c>
      <c r="V303" s="6">
        <f t="shared" si="77"/>
        <v>6137.8019999999988</v>
      </c>
      <c r="W303" s="6">
        <f t="shared" si="78"/>
        <v>2581.1999999999998</v>
      </c>
      <c r="X303" s="6">
        <f t="shared" si="79"/>
        <v>3556.601999999999</v>
      </c>
      <c r="Y303" s="6">
        <f t="shared" si="80"/>
        <v>0.57945857491004105</v>
      </c>
      <c r="Z303" s="4" t="str">
        <f t="shared" si="81"/>
        <v>Q2-2023</v>
      </c>
      <c r="AA303" t="str">
        <f t="shared" si="82"/>
        <v>Components</v>
      </c>
      <c r="AB303" t="str">
        <f t="shared" si="83"/>
        <v>Components</v>
      </c>
      <c r="AC303" t="str">
        <f t="shared" si="84"/>
        <v>Compliant</v>
      </c>
      <c r="AD303" t="str">
        <f t="shared" si="85"/>
        <v>Late</v>
      </c>
      <c r="AE303" s="8">
        <f>MIN(Q303,Scenario!$B$2)</f>
        <v>0.01</v>
      </c>
      <c r="AF303" s="33">
        <f>L303*(1+Scenario!$B$3)</f>
        <v>989.45999999999992</v>
      </c>
      <c r="AG303" s="6">
        <f>R303*(1+Scenario!$B$4)</f>
        <v>3.5999999999999996</v>
      </c>
      <c r="AH303" s="33">
        <f t="shared" si="87"/>
        <v>7365.3623999999991</v>
      </c>
      <c r="AI303" s="33">
        <f t="shared" si="88"/>
        <v>3562.0559999999996</v>
      </c>
      <c r="AJ303" s="33">
        <f t="shared" si="89"/>
        <v>3803.3063999999995</v>
      </c>
    </row>
    <row r="304" spans="1:36" hidden="1" x14ac:dyDescent="0.25">
      <c r="A304" s="12" t="s">
        <v>294</v>
      </c>
      <c r="B304" s="27">
        <v>45092</v>
      </c>
      <c r="C304" s="4">
        <v>45100</v>
      </c>
      <c r="D304" s="12" t="s">
        <v>648</v>
      </c>
      <c r="E304" s="12" t="s">
        <v>660</v>
      </c>
      <c r="F304" s="12" t="s">
        <v>686</v>
      </c>
      <c r="G304" s="12" t="s">
        <v>704</v>
      </c>
      <c r="H304" s="12" t="s">
        <v>710</v>
      </c>
      <c r="I304" s="12" t="s">
        <v>719</v>
      </c>
      <c r="J304" s="12" t="s">
        <v>732</v>
      </c>
      <c r="K304" s="12" t="s">
        <v>1014</v>
      </c>
      <c r="L304" s="6">
        <v>1097.0899999999999</v>
      </c>
      <c r="M304" s="6">
        <v>2182.31</v>
      </c>
      <c r="N304" s="6">
        <f t="shared" si="72"/>
        <v>2182.31</v>
      </c>
      <c r="O304" s="6" t="str">
        <f t="shared" si="86"/>
        <v>High</v>
      </c>
      <c r="P304" s="6">
        <v>0.112</v>
      </c>
      <c r="Q304" s="6">
        <f t="shared" si="73"/>
        <v>0.112</v>
      </c>
      <c r="R304" s="6">
        <v>9</v>
      </c>
      <c r="S304" s="6" t="str">
        <f t="shared" si="74"/>
        <v>OK</v>
      </c>
      <c r="T304" s="4">
        <f t="shared" si="75"/>
        <v>45100</v>
      </c>
      <c r="U304" s="11">
        <f t="shared" si="76"/>
        <v>8</v>
      </c>
      <c r="V304" s="6">
        <f t="shared" si="77"/>
        <v>17441.021520000002</v>
      </c>
      <c r="W304" s="6">
        <f t="shared" si="78"/>
        <v>9873.81</v>
      </c>
      <c r="X304" s="6">
        <f t="shared" si="79"/>
        <v>7567.2115200000026</v>
      </c>
      <c r="Y304" s="6">
        <f t="shared" si="80"/>
        <v>0.43387432962699546</v>
      </c>
      <c r="Z304" s="4" t="str">
        <f t="shared" si="81"/>
        <v>Q2-2023</v>
      </c>
      <c r="AA304" t="str">
        <f t="shared" si="82"/>
        <v>Monitors</v>
      </c>
      <c r="AB304" t="str">
        <f t="shared" si="83"/>
        <v>Monitors</v>
      </c>
      <c r="AC304" t="str">
        <f t="shared" si="84"/>
        <v>Compliant</v>
      </c>
      <c r="AD304" t="str">
        <f t="shared" si="85"/>
        <v>Late</v>
      </c>
      <c r="AE304" s="8">
        <f>MIN(Q304,Scenario!$B$2)</f>
        <v>0.112</v>
      </c>
      <c r="AF304" s="33">
        <f>L304*(1+Scenario!$B$3)</f>
        <v>1261.6534999999999</v>
      </c>
      <c r="AG304" s="6">
        <f>R304*(1+Scenario!$B$4)</f>
        <v>10.799999999999999</v>
      </c>
      <c r="AH304" s="33">
        <f t="shared" si="87"/>
        <v>20929.225823999997</v>
      </c>
      <c r="AI304" s="33">
        <f t="shared" si="88"/>
        <v>13625.857799999998</v>
      </c>
      <c r="AJ304" s="33">
        <f t="shared" si="89"/>
        <v>7303.3680239999994</v>
      </c>
    </row>
    <row r="305" spans="1:36" hidden="1" x14ac:dyDescent="0.25">
      <c r="A305" s="12" t="s">
        <v>510</v>
      </c>
      <c r="B305" s="27">
        <v>45097</v>
      </c>
      <c r="C305" s="4">
        <v>45111</v>
      </c>
      <c r="D305" s="12" t="s">
        <v>648</v>
      </c>
      <c r="E305" s="12" t="s">
        <v>655</v>
      </c>
      <c r="F305" s="12" t="s">
        <v>672</v>
      </c>
      <c r="G305" s="12" t="s">
        <v>703</v>
      </c>
      <c r="H305" s="12" t="s">
        <v>711</v>
      </c>
      <c r="I305" s="12" t="s">
        <v>712</v>
      </c>
      <c r="J305" s="12" t="s">
        <v>729</v>
      </c>
      <c r="K305" s="12" t="s">
        <v>1229</v>
      </c>
      <c r="L305" s="6">
        <v>1292.8599999999999</v>
      </c>
      <c r="M305" s="6">
        <v>2981.01</v>
      </c>
      <c r="N305" s="6">
        <f t="shared" si="72"/>
        <v>2981.01</v>
      </c>
      <c r="O305" s="6" t="str">
        <f t="shared" si="86"/>
        <v>High</v>
      </c>
      <c r="P305" s="6">
        <v>0.14199999999999999</v>
      </c>
      <c r="Q305" s="6">
        <f t="shared" si="73"/>
        <v>0.14199999999999999</v>
      </c>
      <c r="R305" s="6">
        <v>12</v>
      </c>
      <c r="S305" s="6" t="str">
        <f t="shared" si="74"/>
        <v>OK</v>
      </c>
      <c r="T305" s="4">
        <f t="shared" si="75"/>
        <v>45111</v>
      </c>
      <c r="U305" s="11">
        <f t="shared" si="76"/>
        <v>14</v>
      </c>
      <c r="V305" s="6">
        <f t="shared" si="77"/>
        <v>30692.47896</v>
      </c>
      <c r="W305" s="6">
        <f t="shared" si="78"/>
        <v>15514.32</v>
      </c>
      <c r="X305" s="6">
        <f t="shared" si="79"/>
        <v>15178.158960000001</v>
      </c>
      <c r="Y305" s="6">
        <f t="shared" si="80"/>
        <v>0.49452372288927687</v>
      </c>
      <c r="Z305" s="4" t="str">
        <f t="shared" si="81"/>
        <v>Q2-2023</v>
      </c>
      <c r="AA305" t="str">
        <f t="shared" si="82"/>
        <v>Networking</v>
      </c>
      <c r="AB305" t="str">
        <f t="shared" si="83"/>
        <v>Networking</v>
      </c>
      <c r="AC305" t="str">
        <f t="shared" si="84"/>
        <v>Compliant</v>
      </c>
      <c r="AD305" t="str">
        <f t="shared" si="85"/>
        <v>Late</v>
      </c>
      <c r="AE305" s="8">
        <f>MIN(Q305,Scenario!$B$2)</f>
        <v>0.14199999999999999</v>
      </c>
      <c r="AF305" s="33">
        <f>L305*(1+Scenario!$B$3)</f>
        <v>1486.7889999999998</v>
      </c>
      <c r="AG305" s="6">
        <f>R305*(1+Scenario!$B$4)</f>
        <v>14.399999999999999</v>
      </c>
      <c r="AH305" s="33">
        <f t="shared" si="87"/>
        <v>36830.974752000002</v>
      </c>
      <c r="AI305" s="33">
        <f t="shared" si="88"/>
        <v>21409.761599999994</v>
      </c>
      <c r="AJ305" s="33">
        <f t="shared" si="89"/>
        <v>15421.213152000008</v>
      </c>
    </row>
    <row r="306" spans="1:36" hidden="1" x14ac:dyDescent="0.25">
      <c r="A306" s="12" t="s">
        <v>134</v>
      </c>
      <c r="B306" s="27">
        <v>45847</v>
      </c>
      <c r="C306" s="4">
        <v>45856</v>
      </c>
      <c r="D306" s="12" t="s">
        <v>648</v>
      </c>
      <c r="E306" s="12" t="s">
        <v>653</v>
      </c>
      <c r="F306" s="12" t="s">
        <v>688</v>
      </c>
      <c r="G306" s="12" t="s">
        <v>702</v>
      </c>
      <c r="H306" s="12" t="s">
        <v>710</v>
      </c>
      <c r="I306" s="12" t="s">
        <v>714</v>
      </c>
      <c r="J306" s="12" t="s">
        <v>731</v>
      </c>
      <c r="K306" s="12" t="s">
        <v>853</v>
      </c>
      <c r="L306" s="6">
        <v>57.96</v>
      </c>
      <c r="M306" s="6">
        <v>88.51</v>
      </c>
      <c r="N306" s="6">
        <f t="shared" si="72"/>
        <v>88.51</v>
      </c>
      <c r="O306" s="6" t="str">
        <f t="shared" si="86"/>
        <v>Low</v>
      </c>
      <c r="P306" s="6">
        <v>4.2999999999999997E-2</v>
      </c>
      <c r="Q306" s="6">
        <f t="shared" si="73"/>
        <v>4.2999999999999997E-2</v>
      </c>
      <c r="R306" s="6">
        <v>7</v>
      </c>
      <c r="S306" s="6" t="str">
        <f t="shared" si="74"/>
        <v>OK</v>
      </c>
      <c r="T306" s="4">
        <f t="shared" si="75"/>
        <v>45856</v>
      </c>
      <c r="U306" s="11">
        <f t="shared" si="76"/>
        <v>9</v>
      </c>
      <c r="V306" s="6">
        <f t="shared" si="77"/>
        <v>592.92849000000001</v>
      </c>
      <c r="W306" s="6">
        <f t="shared" si="78"/>
        <v>405.72</v>
      </c>
      <c r="X306" s="6">
        <f t="shared" si="79"/>
        <v>187.20848999999998</v>
      </c>
      <c r="Y306" s="6">
        <f t="shared" si="80"/>
        <v>0.3157353595877978</v>
      </c>
      <c r="Z306" s="4" t="str">
        <f t="shared" si="81"/>
        <v>Q3-2025</v>
      </c>
      <c r="AA306" t="str">
        <f t="shared" si="82"/>
        <v>Laptops</v>
      </c>
      <c r="AB306" t="str">
        <f t="shared" si="83"/>
        <v>Laptops</v>
      </c>
      <c r="AC306" t="str">
        <f t="shared" si="84"/>
        <v>Compliant</v>
      </c>
      <c r="AD306" t="str">
        <f t="shared" si="85"/>
        <v>Late</v>
      </c>
      <c r="AE306" s="8">
        <f>MIN(Q306,Scenario!$B$2)</f>
        <v>4.2999999999999997E-2</v>
      </c>
      <c r="AF306" s="33">
        <f>L306*(1+Scenario!$B$3)</f>
        <v>66.653999999999996</v>
      </c>
      <c r="AG306" s="6">
        <f>R306*(1+Scenario!$B$4)</f>
        <v>8.4</v>
      </c>
      <c r="AH306" s="33">
        <f t="shared" si="87"/>
        <v>711.51418799999999</v>
      </c>
      <c r="AI306" s="33">
        <f t="shared" si="88"/>
        <v>559.89359999999999</v>
      </c>
      <c r="AJ306" s="33">
        <f t="shared" si="89"/>
        <v>151.620588</v>
      </c>
    </row>
    <row r="307" spans="1:36" hidden="1" x14ac:dyDescent="0.25">
      <c r="A307" s="12" t="s">
        <v>225</v>
      </c>
      <c r="B307" s="27">
        <v>45852</v>
      </c>
      <c r="C307" s="4">
        <v>45873</v>
      </c>
      <c r="D307" s="12" t="s">
        <v>648</v>
      </c>
      <c r="E307" s="12" t="s">
        <v>653</v>
      </c>
      <c r="F307" s="12" t="s">
        <v>681</v>
      </c>
      <c r="G307" s="12" t="s">
        <v>704</v>
      </c>
      <c r="H307" s="12" t="s">
        <v>708</v>
      </c>
      <c r="I307" s="12" t="s">
        <v>722</v>
      </c>
      <c r="J307" s="12" t="s">
        <v>732</v>
      </c>
      <c r="K307" s="12" t="s">
        <v>945</v>
      </c>
      <c r="L307" s="6">
        <v>90.3</v>
      </c>
      <c r="M307" s="6">
        <v>131.76</v>
      </c>
      <c r="N307" s="6">
        <f t="shared" si="72"/>
        <v>131.76</v>
      </c>
      <c r="O307" s="6" t="str">
        <f t="shared" si="86"/>
        <v>Low</v>
      </c>
      <c r="P307" s="6">
        <v>0.10199999999999999</v>
      </c>
      <c r="Q307" s="6">
        <f t="shared" si="73"/>
        <v>0.10199999999999999</v>
      </c>
      <c r="R307" s="6">
        <v>15</v>
      </c>
      <c r="S307" s="6" t="str">
        <f t="shared" si="74"/>
        <v>OK</v>
      </c>
      <c r="T307" s="4">
        <f t="shared" si="75"/>
        <v>45873</v>
      </c>
      <c r="U307" s="11">
        <f t="shared" si="76"/>
        <v>21</v>
      </c>
      <c r="V307" s="6">
        <f t="shared" si="77"/>
        <v>1774.8072</v>
      </c>
      <c r="W307" s="6">
        <f t="shared" si="78"/>
        <v>1354.5</v>
      </c>
      <c r="X307" s="6">
        <f t="shared" si="79"/>
        <v>420.30719999999997</v>
      </c>
      <c r="Y307" s="6">
        <f t="shared" si="80"/>
        <v>0.23681851189244668</v>
      </c>
      <c r="Z307" s="4" t="str">
        <f t="shared" si="81"/>
        <v>Q3-2025</v>
      </c>
      <c r="AA307" t="str">
        <f t="shared" si="82"/>
        <v>Monitors</v>
      </c>
      <c r="AB307" t="str">
        <f t="shared" si="83"/>
        <v>Monitors</v>
      </c>
      <c r="AC307" t="str">
        <f t="shared" si="84"/>
        <v>Compliant</v>
      </c>
      <c r="AD307" t="str">
        <f t="shared" si="85"/>
        <v>Late</v>
      </c>
      <c r="AE307" s="8">
        <f>MIN(Q307,Scenario!$B$2)</f>
        <v>0.10199999999999999</v>
      </c>
      <c r="AF307" s="33">
        <f>L307*(1+Scenario!$B$3)</f>
        <v>103.84499999999998</v>
      </c>
      <c r="AG307" s="6">
        <f>R307*(1+Scenario!$B$4)</f>
        <v>18</v>
      </c>
      <c r="AH307" s="33">
        <f t="shared" si="87"/>
        <v>2129.7686399999998</v>
      </c>
      <c r="AI307" s="33">
        <f t="shared" si="88"/>
        <v>1869.2099999999998</v>
      </c>
      <c r="AJ307" s="33">
        <f t="shared" si="89"/>
        <v>260.55863999999997</v>
      </c>
    </row>
    <row r="308" spans="1:36" hidden="1" x14ac:dyDescent="0.25">
      <c r="A308" s="12" t="s">
        <v>113</v>
      </c>
      <c r="B308" s="27">
        <v>45860</v>
      </c>
      <c r="C308" s="4">
        <v>45887</v>
      </c>
      <c r="D308" s="12" t="s">
        <v>647</v>
      </c>
      <c r="E308" s="12" t="s">
        <v>659</v>
      </c>
      <c r="F308" s="12" t="s">
        <v>676</v>
      </c>
      <c r="G308" s="12" t="s">
        <v>703</v>
      </c>
      <c r="H308" s="12" t="s">
        <v>709</v>
      </c>
      <c r="I308" s="12" t="s">
        <v>724</v>
      </c>
      <c r="J308" s="12" t="s">
        <v>729</v>
      </c>
      <c r="K308" s="12" t="s">
        <v>832</v>
      </c>
      <c r="L308" s="6">
        <v>547.32000000000005</v>
      </c>
      <c r="M308" s="6">
        <v>419.17</v>
      </c>
      <c r="N308" s="6">
        <f t="shared" si="72"/>
        <v>419.17</v>
      </c>
      <c r="O308" s="6" t="str">
        <f t="shared" si="86"/>
        <v>Low</v>
      </c>
      <c r="P308" s="6">
        <v>9.1999999999999998E-2</v>
      </c>
      <c r="Q308" s="6">
        <f t="shared" si="73"/>
        <v>9.1999999999999998E-2</v>
      </c>
      <c r="R308" s="6">
        <v>14</v>
      </c>
      <c r="S308" s="6" t="str">
        <f t="shared" si="74"/>
        <v>OK</v>
      </c>
      <c r="T308" s="4">
        <f t="shared" si="75"/>
        <v>45887</v>
      </c>
      <c r="U308" s="11">
        <f t="shared" si="76"/>
        <v>27</v>
      </c>
      <c r="V308" s="6">
        <f t="shared" si="77"/>
        <v>5328.4890400000004</v>
      </c>
      <c r="W308" s="6">
        <f t="shared" si="78"/>
        <v>7662.4800000000005</v>
      </c>
      <c r="X308" s="6">
        <f t="shared" si="79"/>
        <v>-2333.9909600000001</v>
      </c>
      <c r="Y308" s="6">
        <f t="shared" si="80"/>
        <v>-0.43802116181137907</v>
      </c>
      <c r="Z308" s="4" t="str">
        <f t="shared" si="81"/>
        <v>Q3-2025</v>
      </c>
      <c r="AA308" t="str">
        <f t="shared" si="82"/>
        <v>Networking</v>
      </c>
      <c r="AB308" t="str">
        <f t="shared" si="83"/>
        <v>Networking</v>
      </c>
      <c r="AC308" t="str">
        <f t="shared" si="84"/>
        <v>Compliant</v>
      </c>
      <c r="AD308" t="str">
        <f t="shared" si="85"/>
        <v>Late</v>
      </c>
      <c r="AE308" s="8">
        <f>MIN(Q308,Scenario!$B$2)</f>
        <v>9.1999999999999998E-2</v>
      </c>
      <c r="AF308" s="33">
        <f>L308*(1+Scenario!$B$3)</f>
        <v>629.41800000000001</v>
      </c>
      <c r="AG308" s="6">
        <f>R308*(1+Scenario!$B$4)</f>
        <v>16.8</v>
      </c>
      <c r="AH308" s="33">
        <f t="shared" si="87"/>
        <v>6394.1868480000003</v>
      </c>
      <c r="AI308" s="33">
        <f t="shared" si="88"/>
        <v>10574.222400000001</v>
      </c>
      <c r="AJ308" s="33">
        <f t="shared" si="89"/>
        <v>-4180.0355520000003</v>
      </c>
    </row>
    <row r="309" spans="1:36" hidden="1" x14ac:dyDescent="0.25">
      <c r="A309" s="12" t="s">
        <v>594</v>
      </c>
      <c r="B309" s="27">
        <v>45849</v>
      </c>
      <c r="C309" s="4">
        <v>45872</v>
      </c>
      <c r="D309" s="12" t="s">
        <v>646</v>
      </c>
      <c r="E309" s="12" t="s">
        <v>650</v>
      </c>
      <c r="F309" s="12" t="s">
        <v>678</v>
      </c>
      <c r="G309" s="12" t="s">
        <v>705</v>
      </c>
      <c r="H309" s="12" t="s">
        <v>707</v>
      </c>
      <c r="I309" s="12" t="s">
        <v>712</v>
      </c>
      <c r="J309" s="12" t="s">
        <v>730</v>
      </c>
      <c r="K309" s="12" t="s">
        <v>1312</v>
      </c>
      <c r="L309" s="6">
        <v>389.93</v>
      </c>
      <c r="M309" s="6">
        <v>486.13</v>
      </c>
      <c r="N309" s="6">
        <f t="shared" si="72"/>
        <v>486.13</v>
      </c>
      <c r="O309" s="6" t="str">
        <f t="shared" si="86"/>
        <v>Low</v>
      </c>
      <c r="P309" s="6">
        <v>0.13200000000000001</v>
      </c>
      <c r="Q309" s="6">
        <f t="shared" si="73"/>
        <v>0.13200000000000001</v>
      </c>
      <c r="R309" s="6">
        <v>17</v>
      </c>
      <c r="S309" s="6" t="str">
        <f t="shared" si="74"/>
        <v>OK</v>
      </c>
      <c r="T309" s="4">
        <f t="shared" si="75"/>
        <v>45872</v>
      </c>
      <c r="U309" s="11">
        <f t="shared" si="76"/>
        <v>23</v>
      </c>
      <c r="V309" s="6">
        <f t="shared" si="77"/>
        <v>7173.3342799999991</v>
      </c>
      <c r="W309" s="6">
        <f t="shared" si="78"/>
        <v>6628.81</v>
      </c>
      <c r="X309" s="6">
        <f t="shared" si="79"/>
        <v>544.52427999999873</v>
      </c>
      <c r="Y309" s="6">
        <f t="shared" si="80"/>
        <v>7.5909508569562828E-2</v>
      </c>
      <c r="Z309" s="4" t="str">
        <f t="shared" si="81"/>
        <v>Q3-2025</v>
      </c>
      <c r="AA309" t="str">
        <f t="shared" si="82"/>
        <v>Phones</v>
      </c>
      <c r="AB309" t="str">
        <f t="shared" si="83"/>
        <v>Phones</v>
      </c>
      <c r="AC309" t="str">
        <f t="shared" si="84"/>
        <v>Compliant</v>
      </c>
      <c r="AD309" t="str">
        <f t="shared" si="85"/>
        <v>Late</v>
      </c>
      <c r="AE309" s="8">
        <f>MIN(Q309,Scenario!$B$2)</f>
        <v>0.13200000000000001</v>
      </c>
      <c r="AF309" s="33">
        <f>L309*(1+Scenario!$B$3)</f>
        <v>448.41949999999997</v>
      </c>
      <c r="AG309" s="6">
        <f>R309*(1+Scenario!$B$4)</f>
        <v>20.399999999999999</v>
      </c>
      <c r="AH309" s="33">
        <f t="shared" si="87"/>
        <v>8608.001135999999</v>
      </c>
      <c r="AI309" s="33">
        <f t="shared" si="88"/>
        <v>9147.7577999999994</v>
      </c>
      <c r="AJ309" s="33">
        <f t="shared" si="89"/>
        <v>-539.75666400000046</v>
      </c>
    </row>
    <row r="310" spans="1:36" hidden="1" x14ac:dyDescent="0.25">
      <c r="A310" s="12" t="s">
        <v>478</v>
      </c>
      <c r="B310" s="27">
        <v>45865</v>
      </c>
      <c r="C310" s="4">
        <v>45884</v>
      </c>
      <c r="D310" s="12" t="s">
        <v>647</v>
      </c>
      <c r="E310" s="12" t="s">
        <v>652</v>
      </c>
      <c r="F310" s="12" t="s">
        <v>689</v>
      </c>
      <c r="G310" s="12" t="s">
        <v>705</v>
      </c>
      <c r="H310" s="12" t="s">
        <v>709</v>
      </c>
      <c r="I310" s="12" t="s">
        <v>713</v>
      </c>
      <c r="J310" s="12" t="s">
        <v>727</v>
      </c>
      <c r="K310" s="12" t="s">
        <v>1197</v>
      </c>
      <c r="L310" s="6">
        <v>275.43</v>
      </c>
      <c r="M310" s="6">
        <v>608.36</v>
      </c>
      <c r="N310" s="6">
        <f t="shared" si="72"/>
        <v>608.36</v>
      </c>
      <c r="O310" s="6" t="str">
        <f t="shared" si="86"/>
        <v>Low</v>
      </c>
      <c r="P310" s="6">
        <v>0.25700000000000001</v>
      </c>
      <c r="Q310" s="6">
        <f t="shared" si="73"/>
        <v>0.25700000000000001</v>
      </c>
      <c r="R310" s="6">
        <v>4</v>
      </c>
      <c r="S310" s="6" t="str">
        <f t="shared" si="74"/>
        <v>OK</v>
      </c>
      <c r="T310" s="4">
        <f t="shared" si="75"/>
        <v>45884</v>
      </c>
      <c r="U310" s="11">
        <f t="shared" si="76"/>
        <v>19</v>
      </c>
      <c r="V310" s="6">
        <f t="shared" si="77"/>
        <v>1808.04592</v>
      </c>
      <c r="W310" s="6">
        <f t="shared" si="78"/>
        <v>1101.72</v>
      </c>
      <c r="X310" s="6">
        <f t="shared" si="79"/>
        <v>706.32592</v>
      </c>
      <c r="Y310" s="6">
        <f t="shared" si="80"/>
        <v>0.39065706915231446</v>
      </c>
      <c r="Z310" s="4" t="str">
        <f t="shared" si="81"/>
        <v>Q3-2025</v>
      </c>
      <c r="AA310" t="str">
        <f t="shared" si="82"/>
        <v>Components</v>
      </c>
      <c r="AB310" t="str">
        <f t="shared" si="83"/>
        <v>Components</v>
      </c>
      <c r="AC310" t="str">
        <f t="shared" si="84"/>
        <v>Non-compliant</v>
      </c>
      <c r="AD310" t="str">
        <f t="shared" si="85"/>
        <v>Late</v>
      </c>
      <c r="AE310" s="8">
        <f>MIN(Q310,Scenario!$B$2)</f>
        <v>0.2</v>
      </c>
      <c r="AF310" s="33">
        <f>L310*(1+Scenario!$B$3)</f>
        <v>316.74449999999996</v>
      </c>
      <c r="AG310" s="6">
        <f>R310*(1+Scenario!$B$4)</f>
        <v>4.8</v>
      </c>
      <c r="AH310" s="33">
        <f t="shared" si="87"/>
        <v>2336.1024000000002</v>
      </c>
      <c r="AI310" s="33">
        <f t="shared" si="88"/>
        <v>1520.3735999999997</v>
      </c>
      <c r="AJ310" s="33">
        <f t="shared" si="89"/>
        <v>815.72880000000055</v>
      </c>
    </row>
    <row r="311" spans="1:36" hidden="1" x14ac:dyDescent="0.25">
      <c r="A311" s="12" t="s">
        <v>506</v>
      </c>
      <c r="B311" s="27">
        <v>45861</v>
      </c>
      <c r="C311" s="4">
        <v>45888</v>
      </c>
      <c r="D311" s="12" t="s">
        <v>647</v>
      </c>
      <c r="E311" s="12" t="s">
        <v>652</v>
      </c>
      <c r="F311" s="12" t="s">
        <v>694</v>
      </c>
      <c r="G311" s="12" t="s">
        <v>704</v>
      </c>
      <c r="H311" s="12" t="s">
        <v>709</v>
      </c>
      <c r="I311" s="12" t="s">
        <v>717</v>
      </c>
      <c r="J311" s="12" t="s">
        <v>733</v>
      </c>
      <c r="K311" s="12" t="s">
        <v>1225</v>
      </c>
      <c r="L311" s="6">
        <v>896.09</v>
      </c>
      <c r="M311" s="6">
        <v>744.27</v>
      </c>
      <c r="N311" s="6">
        <f t="shared" si="72"/>
        <v>744.27</v>
      </c>
      <c r="O311" s="6" t="str">
        <f t="shared" si="86"/>
        <v>Middle</v>
      </c>
      <c r="P311" s="6">
        <v>8.3000000000000004E-2</v>
      </c>
      <c r="Q311" s="6">
        <f t="shared" si="73"/>
        <v>8.3000000000000004E-2</v>
      </c>
      <c r="R311" s="6">
        <v>11</v>
      </c>
      <c r="S311" s="6" t="str">
        <f t="shared" si="74"/>
        <v>OK</v>
      </c>
      <c r="T311" s="4">
        <f t="shared" si="75"/>
        <v>45888</v>
      </c>
      <c r="U311" s="11">
        <f t="shared" si="76"/>
        <v>27</v>
      </c>
      <c r="V311" s="6">
        <f t="shared" si="77"/>
        <v>7507.4514899999995</v>
      </c>
      <c r="W311" s="6">
        <f t="shared" si="78"/>
        <v>9856.99</v>
      </c>
      <c r="X311" s="6">
        <f t="shared" si="79"/>
        <v>-2349.5385100000003</v>
      </c>
      <c r="Y311" s="6">
        <f t="shared" si="80"/>
        <v>-0.31296086469950679</v>
      </c>
      <c r="Z311" s="4" t="str">
        <f t="shared" si="81"/>
        <v>Q3-2025</v>
      </c>
      <c r="AA311" t="str">
        <f t="shared" si="82"/>
        <v>Accessories</v>
      </c>
      <c r="AB311" t="str">
        <f t="shared" si="83"/>
        <v>Accessories</v>
      </c>
      <c r="AC311" t="str">
        <f t="shared" si="84"/>
        <v>Compliant</v>
      </c>
      <c r="AD311" t="str">
        <f t="shared" si="85"/>
        <v>Late</v>
      </c>
      <c r="AE311" s="8">
        <f>MIN(Q311,Scenario!$B$2)</f>
        <v>8.3000000000000004E-2</v>
      </c>
      <c r="AF311" s="33">
        <f>L311*(1+Scenario!$B$3)</f>
        <v>1030.5035</v>
      </c>
      <c r="AG311" s="6">
        <f>R311*(1+Scenario!$B$4)</f>
        <v>13.2</v>
      </c>
      <c r="AH311" s="33">
        <f t="shared" si="87"/>
        <v>9008.9417880000001</v>
      </c>
      <c r="AI311" s="33">
        <f t="shared" si="88"/>
        <v>13602.646199999999</v>
      </c>
      <c r="AJ311" s="33">
        <f t="shared" si="89"/>
        <v>-4593.7044119999991</v>
      </c>
    </row>
    <row r="312" spans="1:36" hidden="1" x14ac:dyDescent="0.25">
      <c r="A312" s="12" t="s">
        <v>637</v>
      </c>
      <c r="B312" s="27">
        <v>45857</v>
      </c>
      <c r="C312" s="4">
        <v>45869</v>
      </c>
      <c r="D312" s="12" t="s">
        <v>646</v>
      </c>
      <c r="E312" s="12" t="s">
        <v>650</v>
      </c>
      <c r="F312" s="12" t="s">
        <v>664</v>
      </c>
      <c r="G312" s="12" t="s">
        <v>705</v>
      </c>
      <c r="H312" s="12" t="s">
        <v>709</v>
      </c>
      <c r="I312" s="12" t="s">
        <v>719</v>
      </c>
      <c r="J312" s="12" t="s">
        <v>733</v>
      </c>
      <c r="K312" s="12" t="s">
        <v>1355</v>
      </c>
      <c r="L312" s="6">
        <v>619.64</v>
      </c>
      <c r="M312" s="6">
        <v>861.16</v>
      </c>
      <c r="N312" s="6">
        <f t="shared" si="72"/>
        <v>861.16</v>
      </c>
      <c r="O312" s="6" t="str">
        <f t="shared" si="86"/>
        <v>Middle</v>
      </c>
      <c r="P312" s="6">
        <v>0.113</v>
      </c>
      <c r="Q312" s="6">
        <f t="shared" si="73"/>
        <v>0.113</v>
      </c>
      <c r="R312" s="6">
        <v>14</v>
      </c>
      <c r="S312" s="6" t="str">
        <f t="shared" si="74"/>
        <v>OK</v>
      </c>
      <c r="T312" s="4">
        <f t="shared" si="75"/>
        <v>45869</v>
      </c>
      <c r="U312" s="11">
        <f t="shared" si="76"/>
        <v>12</v>
      </c>
      <c r="V312" s="6">
        <f t="shared" si="77"/>
        <v>10693.88488</v>
      </c>
      <c r="W312" s="6">
        <f t="shared" si="78"/>
        <v>8674.9599999999991</v>
      </c>
      <c r="X312" s="6">
        <f t="shared" si="79"/>
        <v>2018.9248800000005</v>
      </c>
      <c r="Y312" s="6">
        <f t="shared" si="80"/>
        <v>0.18879246435276761</v>
      </c>
      <c r="Z312" s="4" t="str">
        <f t="shared" si="81"/>
        <v>Q3-2025</v>
      </c>
      <c r="AA312" t="str">
        <f t="shared" si="82"/>
        <v>Accessories</v>
      </c>
      <c r="AB312" t="str">
        <f t="shared" si="83"/>
        <v>Accessories</v>
      </c>
      <c r="AC312" t="str">
        <f t="shared" si="84"/>
        <v>Compliant</v>
      </c>
      <c r="AD312" t="str">
        <f t="shared" si="85"/>
        <v>Late</v>
      </c>
      <c r="AE312" s="8">
        <f>MIN(Q312,Scenario!$B$2)</f>
        <v>0.113</v>
      </c>
      <c r="AF312" s="33">
        <f>L312*(1+Scenario!$B$3)</f>
        <v>712.5859999999999</v>
      </c>
      <c r="AG312" s="6">
        <f>R312*(1+Scenario!$B$4)</f>
        <v>16.8</v>
      </c>
      <c r="AH312" s="33">
        <f t="shared" si="87"/>
        <v>12832.661855999999</v>
      </c>
      <c r="AI312" s="33">
        <f t="shared" si="88"/>
        <v>11971.444799999999</v>
      </c>
      <c r="AJ312" s="33">
        <f t="shared" si="89"/>
        <v>861.2170559999995</v>
      </c>
    </row>
    <row r="313" spans="1:36" x14ac:dyDescent="0.25">
      <c r="A313" s="12" t="s">
        <v>632</v>
      </c>
      <c r="B313" s="27">
        <v>45849</v>
      </c>
      <c r="C313" s="4">
        <v>45854</v>
      </c>
      <c r="D313" s="12" t="s">
        <v>649</v>
      </c>
      <c r="E313" s="12" t="s">
        <v>658</v>
      </c>
      <c r="F313" s="12" t="s">
        <v>683</v>
      </c>
      <c r="G313" s="12" t="s">
        <v>706</v>
      </c>
      <c r="H313" s="12" t="s">
        <v>708</v>
      </c>
      <c r="I313" s="12" t="s">
        <v>723</v>
      </c>
      <c r="J313" s="12" t="s">
        <v>728</v>
      </c>
      <c r="K313" s="12" t="s">
        <v>1350</v>
      </c>
      <c r="L313" s="6">
        <v>930.03</v>
      </c>
      <c r="M313" s="6">
        <v>1086.68</v>
      </c>
      <c r="N313" s="6">
        <f t="shared" si="72"/>
        <v>1086.68</v>
      </c>
      <c r="O313" s="6" t="str">
        <f t="shared" si="86"/>
        <v>Middle</v>
      </c>
      <c r="P313" s="6">
        <v>0.109</v>
      </c>
      <c r="Q313" s="6">
        <f t="shared" si="73"/>
        <v>0.109</v>
      </c>
      <c r="R313" s="6">
        <v>26</v>
      </c>
      <c r="S313" s="6" t="str">
        <f t="shared" si="74"/>
        <v>OK</v>
      </c>
      <c r="T313" s="4">
        <f t="shared" si="75"/>
        <v>45854</v>
      </c>
      <c r="U313" s="11">
        <f t="shared" si="76"/>
        <v>5</v>
      </c>
      <c r="V313" s="6">
        <f t="shared" si="77"/>
        <v>25174.028880000002</v>
      </c>
      <c r="W313" s="6">
        <f t="shared" si="78"/>
        <v>24180.78</v>
      </c>
      <c r="X313" s="6">
        <f t="shared" si="79"/>
        <v>993.24888000000283</v>
      </c>
      <c r="Y313" s="6">
        <f t="shared" si="80"/>
        <v>3.9455300728168656E-2</v>
      </c>
      <c r="Z313" s="4" t="str">
        <f t="shared" si="81"/>
        <v>Q3-2025</v>
      </c>
      <c r="AA313" t="str">
        <f t="shared" si="82"/>
        <v>Printers</v>
      </c>
      <c r="AB313" t="str">
        <f t="shared" si="83"/>
        <v>Printers</v>
      </c>
      <c r="AC313" t="str">
        <f t="shared" si="84"/>
        <v>Compliant</v>
      </c>
      <c r="AD313" t="str">
        <f t="shared" si="85"/>
        <v>On-time</v>
      </c>
      <c r="AE313" s="8">
        <f>MIN(Q313,Scenario!$B$2)</f>
        <v>0.109</v>
      </c>
      <c r="AF313" s="33">
        <f>L313*(1+Scenario!$B$3)</f>
        <v>1069.5345</v>
      </c>
      <c r="AG313" s="6">
        <f>R313*(1+Scenario!$B$4)</f>
        <v>31.2</v>
      </c>
      <c r="AH313" s="33">
        <f t="shared" si="87"/>
        <v>30208.834656000006</v>
      </c>
      <c r="AI313" s="33">
        <f t="shared" si="88"/>
        <v>33369.4764</v>
      </c>
      <c r="AJ313" s="33">
        <f t="shared" si="89"/>
        <v>-3160.6417439999932</v>
      </c>
    </row>
    <row r="314" spans="1:36" hidden="1" x14ac:dyDescent="0.25">
      <c r="A314" s="12" t="s">
        <v>486</v>
      </c>
      <c r="B314" s="27">
        <v>45841</v>
      </c>
      <c r="C314" s="4">
        <v>45861</v>
      </c>
      <c r="D314" s="12" t="s">
        <v>647</v>
      </c>
      <c r="E314" s="12" t="s">
        <v>659</v>
      </c>
      <c r="F314" s="12" t="s">
        <v>699</v>
      </c>
      <c r="G314" s="12" t="s">
        <v>705</v>
      </c>
      <c r="H314" s="12" t="s">
        <v>708</v>
      </c>
      <c r="I314" s="12" t="s">
        <v>724</v>
      </c>
      <c r="J314" s="12" t="s">
        <v>727</v>
      </c>
      <c r="K314" s="12" t="s">
        <v>1205</v>
      </c>
      <c r="L314" s="6">
        <v>647.36</v>
      </c>
      <c r="M314" s="6">
        <v>1383.6</v>
      </c>
      <c r="N314" s="6">
        <f t="shared" si="72"/>
        <v>1383.6</v>
      </c>
      <c r="O314" s="6" t="str">
        <f t="shared" si="86"/>
        <v>High</v>
      </c>
      <c r="P314" s="6">
        <v>7.3999999999999996E-2</v>
      </c>
      <c r="Q314" s="6">
        <f t="shared" si="73"/>
        <v>7.3999999999999996E-2</v>
      </c>
      <c r="R314" s="6">
        <v>12</v>
      </c>
      <c r="S314" s="6" t="str">
        <f t="shared" si="74"/>
        <v>OK</v>
      </c>
      <c r="T314" s="4">
        <f t="shared" si="75"/>
        <v>45861</v>
      </c>
      <c r="U314" s="11">
        <f t="shared" si="76"/>
        <v>20</v>
      </c>
      <c r="V314" s="6">
        <f t="shared" si="77"/>
        <v>15374.563199999999</v>
      </c>
      <c r="W314" s="6">
        <f t="shared" si="78"/>
        <v>7768.32</v>
      </c>
      <c r="X314" s="6">
        <f t="shared" si="79"/>
        <v>7606.243199999999</v>
      </c>
      <c r="Y314" s="6">
        <f t="shared" si="80"/>
        <v>0.49472906000997802</v>
      </c>
      <c r="Z314" s="4" t="str">
        <f t="shared" si="81"/>
        <v>Q3-2025</v>
      </c>
      <c r="AA314" t="str">
        <f t="shared" si="82"/>
        <v>Components</v>
      </c>
      <c r="AB314" t="str">
        <f t="shared" si="83"/>
        <v>Components</v>
      </c>
      <c r="AC314" t="str">
        <f t="shared" si="84"/>
        <v>Compliant</v>
      </c>
      <c r="AD314" t="str">
        <f t="shared" si="85"/>
        <v>Late</v>
      </c>
      <c r="AE314" s="8">
        <f>MIN(Q314,Scenario!$B$2)</f>
        <v>7.3999999999999996E-2</v>
      </c>
      <c r="AF314" s="33">
        <f>L314*(1+Scenario!$B$3)</f>
        <v>744.46399999999994</v>
      </c>
      <c r="AG314" s="6">
        <f>R314*(1+Scenario!$B$4)</f>
        <v>14.399999999999999</v>
      </c>
      <c r="AH314" s="33">
        <f t="shared" si="87"/>
        <v>18449.475839999999</v>
      </c>
      <c r="AI314" s="33">
        <f t="shared" si="88"/>
        <v>10720.281599999998</v>
      </c>
      <c r="AJ314" s="33">
        <f t="shared" si="89"/>
        <v>7729.1942400000007</v>
      </c>
    </row>
    <row r="315" spans="1:36" x14ac:dyDescent="0.25">
      <c r="A315" s="12" t="s">
        <v>396</v>
      </c>
      <c r="B315" s="27">
        <v>45861</v>
      </c>
      <c r="C315" s="4">
        <v>45886</v>
      </c>
      <c r="D315" s="12" t="s">
        <v>649</v>
      </c>
      <c r="E315" s="12" t="s">
        <v>658</v>
      </c>
      <c r="F315" s="12" t="s">
        <v>674</v>
      </c>
      <c r="G315" s="12" t="s">
        <v>702</v>
      </c>
      <c r="H315" s="12" t="s">
        <v>708</v>
      </c>
      <c r="I315" s="12" t="s">
        <v>714</v>
      </c>
      <c r="J315" s="12" t="s">
        <v>728</v>
      </c>
      <c r="K315" s="12" t="s">
        <v>1115</v>
      </c>
      <c r="L315" s="6">
        <v>1142.06</v>
      </c>
      <c r="M315" s="6">
        <v>1455</v>
      </c>
      <c r="N315" s="6">
        <f t="shared" si="72"/>
        <v>1455</v>
      </c>
      <c r="O315" s="6" t="str">
        <f t="shared" si="86"/>
        <v>High</v>
      </c>
      <c r="P315" s="6">
        <v>7.8E-2</v>
      </c>
      <c r="Q315" s="6">
        <f t="shared" si="73"/>
        <v>7.8E-2</v>
      </c>
      <c r="R315" s="6">
        <v>28</v>
      </c>
      <c r="S315" s="6" t="str">
        <f t="shared" si="74"/>
        <v>OK</v>
      </c>
      <c r="T315" s="4">
        <f t="shared" si="75"/>
        <v>45886</v>
      </c>
      <c r="U315" s="11">
        <f t="shared" si="76"/>
        <v>25</v>
      </c>
      <c r="V315" s="6">
        <f t="shared" si="77"/>
        <v>37562.28</v>
      </c>
      <c r="W315" s="6">
        <f t="shared" si="78"/>
        <v>31977.68</v>
      </c>
      <c r="X315" s="6">
        <f t="shared" si="79"/>
        <v>5584.5999999999985</v>
      </c>
      <c r="Y315" s="6">
        <f t="shared" si="80"/>
        <v>0.1486757459877302</v>
      </c>
      <c r="Z315" s="4" t="str">
        <f t="shared" si="81"/>
        <v>Q3-2025</v>
      </c>
      <c r="AA315" t="str">
        <f t="shared" si="82"/>
        <v>Printers</v>
      </c>
      <c r="AB315" t="str">
        <f t="shared" si="83"/>
        <v>Printers</v>
      </c>
      <c r="AC315" t="str">
        <f t="shared" si="84"/>
        <v>Compliant</v>
      </c>
      <c r="AD315" t="str">
        <f t="shared" si="85"/>
        <v>Late</v>
      </c>
      <c r="AE315" s="8">
        <f>MIN(Q315,Scenario!$B$2)</f>
        <v>7.8E-2</v>
      </c>
      <c r="AF315" s="33">
        <f>L315*(1+Scenario!$B$3)</f>
        <v>1313.3689999999999</v>
      </c>
      <c r="AG315" s="6">
        <f>R315*(1+Scenario!$B$4)</f>
        <v>33.6</v>
      </c>
      <c r="AH315" s="33">
        <f t="shared" si="87"/>
        <v>45074.736000000004</v>
      </c>
      <c r="AI315" s="33">
        <f t="shared" si="88"/>
        <v>44129.198400000001</v>
      </c>
      <c r="AJ315" s="33">
        <f t="shared" si="89"/>
        <v>945.53760000000329</v>
      </c>
    </row>
    <row r="316" spans="1:36" hidden="1" x14ac:dyDescent="0.25">
      <c r="A316" s="12" t="s">
        <v>223</v>
      </c>
      <c r="B316" s="27">
        <v>45859</v>
      </c>
      <c r="C316" s="4">
        <v>45876</v>
      </c>
      <c r="D316" s="12" t="s">
        <v>646</v>
      </c>
      <c r="E316" s="12" t="s">
        <v>651</v>
      </c>
      <c r="F316" s="12" t="s">
        <v>665</v>
      </c>
      <c r="G316" s="12" t="s">
        <v>706</v>
      </c>
      <c r="H316" s="12" t="s">
        <v>711</v>
      </c>
      <c r="I316" s="12" t="s">
        <v>724</v>
      </c>
      <c r="J316" s="12" t="s">
        <v>733</v>
      </c>
      <c r="K316" s="12" t="s">
        <v>943</v>
      </c>
      <c r="L316" s="6">
        <v>1204.95</v>
      </c>
      <c r="M316" s="6">
        <v>2065.73</v>
      </c>
      <c r="N316" s="6">
        <f t="shared" si="72"/>
        <v>2065.73</v>
      </c>
      <c r="O316" s="6" t="str">
        <f t="shared" si="86"/>
        <v>High</v>
      </c>
      <c r="P316" s="6">
        <v>0.13600000000000001</v>
      </c>
      <c r="Q316" s="6">
        <f t="shared" si="73"/>
        <v>0.13600000000000001</v>
      </c>
      <c r="R316" s="6">
        <v>10</v>
      </c>
      <c r="S316" s="6" t="str">
        <f t="shared" si="74"/>
        <v>OK</v>
      </c>
      <c r="T316" s="4">
        <f t="shared" si="75"/>
        <v>45876</v>
      </c>
      <c r="U316" s="11">
        <f t="shared" si="76"/>
        <v>17</v>
      </c>
      <c r="V316" s="6">
        <f t="shared" si="77"/>
        <v>17847.907199999998</v>
      </c>
      <c r="W316" s="6">
        <f t="shared" si="78"/>
        <v>12049.5</v>
      </c>
      <c r="X316" s="6">
        <f t="shared" si="79"/>
        <v>5798.4071999999978</v>
      </c>
      <c r="Y316" s="6">
        <f t="shared" si="80"/>
        <v>0.32487882949100039</v>
      </c>
      <c r="Z316" s="4" t="str">
        <f t="shared" si="81"/>
        <v>Q3-2025</v>
      </c>
      <c r="AA316" t="str">
        <f t="shared" si="82"/>
        <v>Accessories</v>
      </c>
      <c r="AB316" t="str">
        <f t="shared" si="83"/>
        <v>Accessories</v>
      </c>
      <c r="AC316" t="str">
        <f t="shared" si="84"/>
        <v>Compliant</v>
      </c>
      <c r="AD316" t="str">
        <f t="shared" si="85"/>
        <v>Late</v>
      </c>
      <c r="AE316" s="8">
        <f>MIN(Q316,Scenario!$B$2)</f>
        <v>0.13600000000000001</v>
      </c>
      <c r="AF316" s="33">
        <f>L316*(1+Scenario!$B$3)</f>
        <v>1385.6924999999999</v>
      </c>
      <c r="AG316" s="6">
        <f>R316*(1+Scenario!$B$4)</f>
        <v>12</v>
      </c>
      <c r="AH316" s="33">
        <f t="shared" si="87"/>
        <v>21417.488640000003</v>
      </c>
      <c r="AI316" s="33">
        <f t="shared" si="88"/>
        <v>16628.309999999998</v>
      </c>
      <c r="AJ316" s="33">
        <f t="shared" si="89"/>
        <v>4789.1786400000055</v>
      </c>
    </row>
    <row r="317" spans="1:36" hidden="1" x14ac:dyDescent="0.25">
      <c r="A317" s="12" t="s">
        <v>33</v>
      </c>
      <c r="B317" s="27">
        <v>45858</v>
      </c>
      <c r="C317" s="4">
        <v>45874</v>
      </c>
      <c r="D317" s="12" t="s">
        <v>648</v>
      </c>
      <c r="E317" s="12" t="s">
        <v>655</v>
      </c>
      <c r="F317" s="12" t="s">
        <v>672</v>
      </c>
      <c r="G317" s="12" t="s">
        <v>706</v>
      </c>
      <c r="H317" s="12" t="s">
        <v>709</v>
      </c>
      <c r="I317" s="12" t="s">
        <v>715</v>
      </c>
      <c r="J317" s="12" t="s">
        <v>733</v>
      </c>
      <c r="K317" s="12" t="s">
        <v>752</v>
      </c>
      <c r="L317" s="6">
        <v>1068.17</v>
      </c>
      <c r="M317" s="6">
        <v>2375.37</v>
      </c>
      <c r="N317" s="6">
        <f t="shared" si="72"/>
        <v>2375.37</v>
      </c>
      <c r="O317" s="6" t="str">
        <f t="shared" si="86"/>
        <v>High</v>
      </c>
      <c r="P317" s="6">
        <v>0.109</v>
      </c>
      <c r="Q317" s="6">
        <f t="shared" si="73"/>
        <v>0.109</v>
      </c>
      <c r="R317" s="6">
        <v>18</v>
      </c>
      <c r="S317" s="6" t="str">
        <f t="shared" si="74"/>
        <v>OK</v>
      </c>
      <c r="T317" s="4">
        <f t="shared" si="75"/>
        <v>45874</v>
      </c>
      <c r="U317" s="11">
        <f t="shared" si="76"/>
        <v>16</v>
      </c>
      <c r="V317" s="6">
        <f t="shared" si="77"/>
        <v>38096.18406</v>
      </c>
      <c r="W317" s="6">
        <f t="shared" si="78"/>
        <v>19227.060000000001</v>
      </c>
      <c r="X317" s="6">
        <f t="shared" si="79"/>
        <v>18869.124059999998</v>
      </c>
      <c r="Y317" s="6">
        <f t="shared" si="80"/>
        <v>0.49530220744108822</v>
      </c>
      <c r="Z317" s="4" t="str">
        <f t="shared" si="81"/>
        <v>Q3-2025</v>
      </c>
      <c r="AA317" t="str">
        <f t="shared" si="82"/>
        <v>Accessories</v>
      </c>
      <c r="AB317" t="str">
        <f t="shared" si="83"/>
        <v>Accessories</v>
      </c>
      <c r="AC317" t="str">
        <f t="shared" si="84"/>
        <v>Compliant</v>
      </c>
      <c r="AD317" t="str">
        <f t="shared" si="85"/>
        <v>Late</v>
      </c>
      <c r="AE317" s="8">
        <f>MIN(Q317,Scenario!$B$2)</f>
        <v>0.109</v>
      </c>
      <c r="AF317" s="33">
        <f>L317*(1+Scenario!$B$3)</f>
        <v>1228.3955000000001</v>
      </c>
      <c r="AG317" s="6">
        <f>R317*(1+Scenario!$B$4)</f>
        <v>21.599999999999998</v>
      </c>
      <c r="AH317" s="33">
        <f t="shared" si="87"/>
        <v>45715.420871999995</v>
      </c>
      <c r="AI317" s="33">
        <f t="shared" si="88"/>
        <v>26533.342799999999</v>
      </c>
      <c r="AJ317" s="33">
        <f t="shared" si="89"/>
        <v>19182.078071999997</v>
      </c>
    </row>
    <row r="318" spans="1:36" hidden="1" x14ac:dyDescent="0.25">
      <c r="A318" s="12" t="s">
        <v>47</v>
      </c>
      <c r="B318" s="27">
        <v>45862</v>
      </c>
      <c r="C318" s="4">
        <v>45875</v>
      </c>
      <c r="D318" s="12" t="s">
        <v>646</v>
      </c>
      <c r="E318" s="12" t="s">
        <v>661</v>
      </c>
      <c r="F318" s="12" t="s">
        <v>682</v>
      </c>
      <c r="G318" s="12" t="s">
        <v>702</v>
      </c>
      <c r="H318" s="12" t="s">
        <v>709</v>
      </c>
      <c r="I318" s="12" t="s">
        <v>726</v>
      </c>
      <c r="J318" s="12" t="s">
        <v>729</v>
      </c>
      <c r="K318" s="12" t="s">
        <v>766</v>
      </c>
      <c r="L318" s="6">
        <v>1463.9</v>
      </c>
      <c r="M318" s="6">
        <v>2633.02</v>
      </c>
      <c r="N318" s="6">
        <f t="shared" si="72"/>
        <v>2633.02</v>
      </c>
      <c r="O318" s="6" t="str">
        <f t="shared" si="86"/>
        <v>High</v>
      </c>
      <c r="P318" s="6">
        <v>8.4000000000000005E-2</v>
      </c>
      <c r="Q318" s="6">
        <f t="shared" si="73"/>
        <v>8.4000000000000005E-2</v>
      </c>
      <c r="R318" s="6">
        <v>4</v>
      </c>
      <c r="S318" s="6" t="str">
        <f t="shared" si="74"/>
        <v>OK</v>
      </c>
      <c r="T318" s="4">
        <f t="shared" si="75"/>
        <v>45875</v>
      </c>
      <c r="U318" s="11">
        <f t="shared" si="76"/>
        <v>13</v>
      </c>
      <c r="V318" s="6">
        <f t="shared" si="77"/>
        <v>9647.3852800000004</v>
      </c>
      <c r="W318" s="6">
        <f t="shared" si="78"/>
        <v>5855.6</v>
      </c>
      <c r="X318" s="6">
        <f t="shared" si="79"/>
        <v>3791.7852800000001</v>
      </c>
      <c r="Y318" s="6">
        <f t="shared" si="80"/>
        <v>0.39303761277791527</v>
      </c>
      <c r="Z318" s="4" t="str">
        <f t="shared" si="81"/>
        <v>Q3-2025</v>
      </c>
      <c r="AA318" t="str">
        <f t="shared" si="82"/>
        <v>Networking</v>
      </c>
      <c r="AB318" t="str">
        <f t="shared" si="83"/>
        <v>Networking</v>
      </c>
      <c r="AC318" t="str">
        <f t="shared" si="84"/>
        <v>Compliant</v>
      </c>
      <c r="AD318" t="str">
        <f t="shared" si="85"/>
        <v>Late</v>
      </c>
      <c r="AE318" s="8">
        <f>MIN(Q318,Scenario!$B$2)</f>
        <v>8.4000000000000005E-2</v>
      </c>
      <c r="AF318" s="33">
        <f>L318*(1+Scenario!$B$3)</f>
        <v>1683.4849999999999</v>
      </c>
      <c r="AG318" s="6">
        <f>R318*(1+Scenario!$B$4)</f>
        <v>4.8</v>
      </c>
      <c r="AH318" s="33">
        <f t="shared" si="87"/>
        <v>11576.862336</v>
      </c>
      <c r="AI318" s="33">
        <f t="shared" si="88"/>
        <v>8080.7279999999992</v>
      </c>
      <c r="AJ318" s="33">
        <f t="shared" si="89"/>
        <v>3496.134336000001</v>
      </c>
    </row>
    <row r="319" spans="1:36" hidden="1" x14ac:dyDescent="0.25">
      <c r="A319" s="12" t="s">
        <v>251</v>
      </c>
      <c r="B319" s="27">
        <v>45855</v>
      </c>
      <c r="C319" s="4">
        <v>45861</v>
      </c>
      <c r="D319" s="12" t="s">
        <v>648</v>
      </c>
      <c r="E319" s="12" t="s">
        <v>653</v>
      </c>
      <c r="F319" s="12" t="s">
        <v>688</v>
      </c>
      <c r="G319" s="12" t="s">
        <v>704</v>
      </c>
      <c r="H319" s="12" t="s">
        <v>708</v>
      </c>
      <c r="I319" s="12" t="s">
        <v>722</v>
      </c>
      <c r="J319" s="12" t="s">
        <v>727</v>
      </c>
      <c r="K319" s="12" t="s">
        <v>971</v>
      </c>
      <c r="L319" s="6">
        <v>1364.89</v>
      </c>
      <c r="M319" s="6">
        <v>2757.54</v>
      </c>
      <c r="N319" s="6">
        <f t="shared" si="72"/>
        <v>2757.54</v>
      </c>
      <c r="O319" s="6" t="str">
        <f t="shared" si="86"/>
        <v>High</v>
      </c>
      <c r="P319" s="6">
        <v>0.17199999999999999</v>
      </c>
      <c r="Q319" s="6">
        <f t="shared" si="73"/>
        <v>0.17199999999999999</v>
      </c>
      <c r="R319" s="6">
        <v>61</v>
      </c>
      <c r="S319" s="6" t="str">
        <f t="shared" si="74"/>
        <v>OK</v>
      </c>
      <c r="T319" s="4">
        <f t="shared" si="75"/>
        <v>45861</v>
      </c>
      <c r="U319" s="11">
        <f t="shared" si="76"/>
        <v>6</v>
      </c>
      <c r="V319" s="6">
        <f t="shared" si="77"/>
        <v>139277.83032000001</v>
      </c>
      <c r="W319" s="6">
        <f t="shared" si="78"/>
        <v>83258.290000000008</v>
      </c>
      <c r="X319" s="6">
        <f t="shared" si="79"/>
        <v>56019.54032</v>
      </c>
      <c r="Y319" s="6">
        <f t="shared" si="80"/>
        <v>0.4022143379983118</v>
      </c>
      <c r="Z319" s="4" t="str">
        <f t="shared" si="81"/>
        <v>Q3-2025</v>
      </c>
      <c r="AA319" t="str">
        <f t="shared" si="82"/>
        <v>Components</v>
      </c>
      <c r="AB319" t="str">
        <f t="shared" si="83"/>
        <v>Components</v>
      </c>
      <c r="AC319" t="str">
        <f t="shared" si="84"/>
        <v>Compliant</v>
      </c>
      <c r="AD319" t="str">
        <f t="shared" si="85"/>
        <v>On-time</v>
      </c>
      <c r="AE319" s="8">
        <f>MIN(Q319,Scenario!$B$2)</f>
        <v>0.17199999999999999</v>
      </c>
      <c r="AF319" s="33">
        <f>L319*(1+Scenario!$B$3)</f>
        <v>1569.6234999999999</v>
      </c>
      <c r="AG319" s="6">
        <f>R319*(1+Scenario!$B$4)</f>
        <v>73.2</v>
      </c>
      <c r="AH319" s="33">
        <f t="shared" si="87"/>
        <v>167133.39638400002</v>
      </c>
      <c r="AI319" s="33">
        <f t="shared" si="88"/>
        <v>114896.4402</v>
      </c>
      <c r="AJ319" s="33">
        <f t="shared" si="89"/>
        <v>52236.956184000024</v>
      </c>
    </row>
    <row r="320" spans="1:36" hidden="1" x14ac:dyDescent="0.25">
      <c r="A320" s="12" t="s">
        <v>436</v>
      </c>
      <c r="B320" s="27">
        <v>45841</v>
      </c>
      <c r="C320" s="4">
        <v>45844</v>
      </c>
      <c r="D320" s="12" t="s">
        <v>646</v>
      </c>
      <c r="E320" s="12" t="s">
        <v>651</v>
      </c>
      <c r="F320" s="12" t="s">
        <v>665</v>
      </c>
      <c r="G320" s="12" t="s">
        <v>704</v>
      </c>
      <c r="H320" s="12" t="s">
        <v>708</v>
      </c>
      <c r="I320" s="14" t="s">
        <v>1368</v>
      </c>
      <c r="J320" s="12" t="s">
        <v>731</v>
      </c>
      <c r="K320" s="12" t="s">
        <v>1155</v>
      </c>
      <c r="L320" s="6">
        <v>1313.3</v>
      </c>
      <c r="M320" s="6">
        <v>2884.34</v>
      </c>
      <c r="N320" s="6">
        <f t="shared" si="72"/>
        <v>2884.34</v>
      </c>
      <c r="O320" s="6" t="str">
        <f t="shared" si="86"/>
        <v>High</v>
      </c>
      <c r="P320" s="6">
        <v>0.157</v>
      </c>
      <c r="Q320" s="6">
        <f t="shared" si="73"/>
        <v>0.157</v>
      </c>
      <c r="R320" s="6">
        <v>42</v>
      </c>
      <c r="S320" s="6" t="str">
        <f t="shared" si="74"/>
        <v>OK</v>
      </c>
      <c r="T320" s="4">
        <f t="shared" si="75"/>
        <v>45844</v>
      </c>
      <c r="U320" s="11">
        <f t="shared" si="76"/>
        <v>3</v>
      </c>
      <c r="V320" s="6">
        <f t="shared" si="77"/>
        <v>102122.94203999999</v>
      </c>
      <c r="W320" s="6">
        <f t="shared" si="78"/>
        <v>55158.6</v>
      </c>
      <c r="X320" s="6">
        <f t="shared" si="79"/>
        <v>46964.342039999996</v>
      </c>
      <c r="Y320" s="6">
        <f t="shared" si="80"/>
        <v>0.45988042551305253</v>
      </c>
      <c r="Z320" s="4" t="str">
        <f t="shared" si="81"/>
        <v>Q3-2025</v>
      </c>
      <c r="AA320" t="str">
        <f t="shared" si="82"/>
        <v>Laptops</v>
      </c>
      <c r="AB320" t="str">
        <f t="shared" si="83"/>
        <v>Laptops</v>
      </c>
      <c r="AC320" t="str">
        <f t="shared" si="84"/>
        <v>Compliant</v>
      </c>
      <c r="AD320" t="str">
        <f t="shared" si="85"/>
        <v>On-time</v>
      </c>
      <c r="AE320" s="8">
        <f>MIN(Q320,Scenario!$B$2)</f>
        <v>0.157</v>
      </c>
      <c r="AF320" s="33">
        <f>L320*(1+Scenario!$B$3)</f>
        <v>1510.2949999999998</v>
      </c>
      <c r="AG320" s="6">
        <f>R320*(1+Scenario!$B$4)</f>
        <v>50.4</v>
      </c>
      <c r="AH320" s="33">
        <f t="shared" si="87"/>
        <v>122547.530448</v>
      </c>
      <c r="AI320" s="33">
        <f t="shared" si="88"/>
        <v>76118.867999999988</v>
      </c>
      <c r="AJ320" s="33">
        <f t="shared" si="89"/>
        <v>46428.662448000017</v>
      </c>
    </row>
    <row r="321" spans="1:36" hidden="1" x14ac:dyDescent="0.25">
      <c r="A321" s="12" t="s">
        <v>237</v>
      </c>
      <c r="B321" s="27">
        <v>45854</v>
      </c>
      <c r="C321" s="4">
        <v>45855</v>
      </c>
      <c r="D321" s="12" t="s">
        <v>646</v>
      </c>
      <c r="E321" s="12" t="s">
        <v>661</v>
      </c>
      <c r="F321" s="12" t="s">
        <v>687</v>
      </c>
      <c r="G321" s="12" t="s">
        <v>705</v>
      </c>
      <c r="H321" s="12" t="s">
        <v>710</v>
      </c>
      <c r="I321" s="12" t="s">
        <v>717</v>
      </c>
      <c r="J321" s="12" t="s">
        <v>729</v>
      </c>
      <c r="K321" s="12" t="s">
        <v>957</v>
      </c>
      <c r="L321" s="6">
        <v>1198.9000000000001</v>
      </c>
      <c r="M321" s="6">
        <v>2941.2</v>
      </c>
      <c r="N321" s="6">
        <f t="shared" si="72"/>
        <v>2941.2</v>
      </c>
      <c r="O321" s="6" t="str">
        <f t="shared" si="86"/>
        <v>High</v>
      </c>
      <c r="P321" s="6">
        <v>5.0999999999999997E-2</v>
      </c>
      <c r="Q321" s="6">
        <f t="shared" si="73"/>
        <v>5.0999999999999997E-2</v>
      </c>
      <c r="R321" s="6">
        <v>24</v>
      </c>
      <c r="S321" s="6" t="str">
        <f t="shared" si="74"/>
        <v>OK</v>
      </c>
      <c r="T321" s="4">
        <f t="shared" si="75"/>
        <v>45855</v>
      </c>
      <c r="U321" s="11">
        <f t="shared" si="76"/>
        <v>1</v>
      </c>
      <c r="V321" s="6">
        <f t="shared" si="77"/>
        <v>66988.771199999988</v>
      </c>
      <c r="W321" s="6">
        <f t="shared" si="78"/>
        <v>28773.600000000002</v>
      </c>
      <c r="X321" s="6">
        <f t="shared" si="79"/>
        <v>38215.171199999982</v>
      </c>
      <c r="Y321" s="6">
        <f t="shared" si="80"/>
        <v>0.57047129713583977</v>
      </c>
      <c r="Z321" s="4" t="str">
        <f t="shared" si="81"/>
        <v>Q3-2025</v>
      </c>
      <c r="AA321" t="str">
        <f t="shared" si="82"/>
        <v>Networking</v>
      </c>
      <c r="AB321" t="str">
        <f t="shared" si="83"/>
        <v>Networking</v>
      </c>
      <c r="AC321" t="str">
        <f t="shared" si="84"/>
        <v>Compliant</v>
      </c>
      <c r="AD321" t="str">
        <f t="shared" si="85"/>
        <v>On-time</v>
      </c>
      <c r="AE321" s="8">
        <f>MIN(Q321,Scenario!$B$2)</f>
        <v>5.0999999999999997E-2</v>
      </c>
      <c r="AF321" s="33">
        <f>L321*(1+Scenario!$B$3)</f>
        <v>1378.7349999999999</v>
      </c>
      <c r="AG321" s="6">
        <f>R321*(1+Scenario!$B$4)</f>
        <v>28.799999999999997</v>
      </c>
      <c r="AH321" s="33">
        <f t="shared" si="87"/>
        <v>80386.525439999983</v>
      </c>
      <c r="AI321" s="33">
        <f t="shared" si="88"/>
        <v>39707.567999999992</v>
      </c>
      <c r="AJ321" s="33">
        <f t="shared" si="89"/>
        <v>40678.957439999991</v>
      </c>
    </row>
    <row r="322" spans="1:36" hidden="1" x14ac:dyDescent="0.25">
      <c r="A322" s="12" t="s">
        <v>358</v>
      </c>
      <c r="B322" s="27">
        <v>45486</v>
      </c>
      <c r="C322" s="4">
        <v>45485</v>
      </c>
      <c r="D322" s="12" t="s">
        <v>647</v>
      </c>
      <c r="E322" s="12" t="s">
        <v>652</v>
      </c>
      <c r="F322" s="12" t="s">
        <v>694</v>
      </c>
      <c r="G322" s="12" t="s">
        <v>705</v>
      </c>
      <c r="H322" s="12" t="s">
        <v>709</v>
      </c>
      <c r="I322" s="12" t="s">
        <v>721</v>
      </c>
      <c r="J322" s="12" t="s">
        <v>729</v>
      </c>
      <c r="K322" s="12" t="s">
        <v>1078</v>
      </c>
      <c r="L322" s="6">
        <v>105.13</v>
      </c>
      <c r="M322" s="6">
        <v>244.13</v>
      </c>
      <c r="N322" s="6">
        <f t="shared" ref="N322:N385" si="90">ABS(M322)</f>
        <v>244.13</v>
      </c>
      <c r="O322" s="6" t="str">
        <f t="shared" si="86"/>
        <v>Low</v>
      </c>
      <c r="P322" s="6">
        <v>7.0999999999999994E-2</v>
      </c>
      <c r="Q322" s="6">
        <f t="shared" ref="Q322:Q385" si="91">IF(P322&gt;0.3, 0.3, P322)</f>
        <v>7.0999999999999994E-2</v>
      </c>
      <c r="R322" s="6">
        <v>14</v>
      </c>
      <c r="S322" s="6" t="str">
        <f t="shared" ref="S322:S385" si="92">IFERROR(IF(C322&lt;B322,"Correct", "OK"), "Error")</f>
        <v>Correct</v>
      </c>
      <c r="T322" s="4">
        <f t="shared" ref="T322:T385" si="93">IF(C322&lt;B322,B322+7,C322)</f>
        <v>45493</v>
      </c>
      <c r="U322" s="11">
        <f t="shared" ref="U322:U385" si="94">T322-B322</f>
        <v>7</v>
      </c>
      <c r="V322" s="6">
        <f t="shared" ref="V322:V385" si="95">N322*R322*(1-Q322)</f>
        <v>3175.1547799999998</v>
      </c>
      <c r="W322" s="6">
        <f t="shared" ref="W322:W385" si="96">L322*R322</f>
        <v>1471.82</v>
      </c>
      <c r="X322" s="6">
        <f t="shared" ref="X322:X385" si="97">V322-W322</f>
        <v>1703.3347799999999</v>
      </c>
      <c r="Y322" s="6">
        <f t="shared" ref="Y322:Y385" si="98">IF(V322=0, 0, X322/V322)</f>
        <v>0.53645724319618837</v>
      </c>
      <c r="Z322" s="4" t="str">
        <f t="shared" ref="Z322:Z385" si="99">"Q"&amp;ROUNDUP(MONTH(B322)/3,0)&amp;"-"&amp;YEAR(B322)</f>
        <v>Q3-2024</v>
      </c>
      <c r="AA322" t="str">
        <f t="shared" ref="AA322:AA385" si="100">PROPER(J322)</f>
        <v>Networking</v>
      </c>
      <c r="AB322" t="str">
        <f t="shared" ref="AB322:AB385" si="101">TRIM(J322)</f>
        <v>Networking</v>
      </c>
      <c r="AC322" t="str">
        <f t="shared" ref="AC322:AC385" si="102">IF(Q322&gt;20%, "Non-compliant","Compliant")</f>
        <v>Compliant</v>
      </c>
      <c r="AD322" t="str">
        <f t="shared" ref="AD322:AD385" si="103">IF(U322&lt;=7,"On-time","Late")</f>
        <v>On-time</v>
      </c>
      <c r="AE322" s="8">
        <f>MIN(Q322,Scenario!$B$2)</f>
        <v>7.0999999999999994E-2</v>
      </c>
      <c r="AF322" s="33">
        <f>L322*(1+Scenario!$B$3)</f>
        <v>120.89949999999999</v>
      </c>
      <c r="AG322" s="6">
        <f>R322*(1+Scenario!$B$4)</f>
        <v>16.8</v>
      </c>
      <c r="AH322" s="33">
        <f t="shared" si="87"/>
        <v>3810.1857360000004</v>
      </c>
      <c r="AI322" s="33">
        <f t="shared" si="88"/>
        <v>2031.1116</v>
      </c>
      <c r="AJ322" s="33">
        <f t="shared" si="89"/>
        <v>1779.0741360000004</v>
      </c>
    </row>
    <row r="323" spans="1:36" hidden="1" x14ac:dyDescent="0.25">
      <c r="A323" s="12" t="s">
        <v>42</v>
      </c>
      <c r="B323" s="27">
        <v>45492</v>
      </c>
      <c r="C323" s="4">
        <v>45492</v>
      </c>
      <c r="D323" s="12" t="s">
        <v>646</v>
      </c>
      <c r="E323" s="12" t="s">
        <v>650</v>
      </c>
      <c r="F323" s="12" t="s">
        <v>662</v>
      </c>
      <c r="G323" s="12" t="s">
        <v>705</v>
      </c>
      <c r="H323" s="12" t="s">
        <v>707</v>
      </c>
      <c r="I323" s="12" t="s">
        <v>720</v>
      </c>
      <c r="J323" s="12" t="s">
        <v>730</v>
      </c>
      <c r="K323" s="12" t="s">
        <v>761</v>
      </c>
      <c r="L323" s="6">
        <v>857.24</v>
      </c>
      <c r="M323" s="6">
        <v>758.23</v>
      </c>
      <c r="N323" s="6">
        <f t="shared" si="90"/>
        <v>758.23</v>
      </c>
      <c r="O323" s="6" t="str">
        <f t="shared" ref="O323:O386" si="104">IF(N323&lt;=QUARTILE(N323:N953,1), "Low", IF(N323&lt;=QUARTILE(N323:N953,2),"Middle", "High"))</f>
        <v>Middle</v>
      </c>
      <c r="P323" s="6">
        <v>0.125</v>
      </c>
      <c r="Q323" s="6">
        <f t="shared" si="91"/>
        <v>0.125</v>
      </c>
      <c r="R323" s="6">
        <v>6</v>
      </c>
      <c r="S323" s="6" t="str">
        <f t="shared" si="92"/>
        <v>OK</v>
      </c>
      <c r="T323" s="4">
        <f t="shared" si="93"/>
        <v>45492</v>
      </c>
      <c r="U323" s="11">
        <f t="shared" si="94"/>
        <v>0</v>
      </c>
      <c r="V323" s="6">
        <f t="shared" si="95"/>
        <v>3980.7075</v>
      </c>
      <c r="W323" s="6">
        <f t="shared" si="96"/>
        <v>5143.4400000000005</v>
      </c>
      <c r="X323" s="6">
        <f t="shared" si="97"/>
        <v>-1162.7325000000005</v>
      </c>
      <c r="Y323" s="6">
        <f t="shared" si="98"/>
        <v>-0.29209192084572921</v>
      </c>
      <c r="Z323" s="4" t="str">
        <f t="shared" si="99"/>
        <v>Q3-2024</v>
      </c>
      <c r="AA323" t="str">
        <f t="shared" si="100"/>
        <v>Phones</v>
      </c>
      <c r="AB323" t="str">
        <f t="shared" si="101"/>
        <v>Phones</v>
      </c>
      <c r="AC323" t="str">
        <f t="shared" si="102"/>
        <v>Compliant</v>
      </c>
      <c r="AD323" t="str">
        <f t="shared" si="103"/>
        <v>On-time</v>
      </c>
      <c r="AE323" s="8">
        <f>MIN(Q323,Scenario!$B$2)</f>
        <v>0.125</v>
      </c>
      <c r="AF323" s="33">
        <f>L323*(1+Scenario!$B$3)</f>
        <v>985.82599999999991</v>
      </c>
      <c r="AG323" s="6">
        <f>R323*(1+Scenario!$B$4)</f>
        <v>7.1999999999999993</v>
      </c>
      <c r="AH323" s="33">
        <f t="shared" ref="AH323:AH386" si="105">N323*AG323*(1-AE323)</f>
        <v>4776.8489999999993</v>
      </c>
      <c r="AI323" s="33">
        <f t="shared" ref="AI323:AI386" si="106">AF323*AG323</f>
        <v>7097.9471999999987</v>
      </c>
      <c r="AJ323" s="33">
        <f t="shared" ref="AJ323:AJ386" si="107">AH323-AI323</f>
        <v>-2321.0981999999995</v>
      </c>
    </row>
    <row r="324" spans="1:36" x14ac:dyDescent="0.25">
      <c r="A324" s="12" t="s">
        <v>398</v>
      </c>
      <c r="B324" s="27">
        <v>45491</v>
      </c>
      <c r="C324" s="4">
        <v>45511</v>
      </c>
      <c r="D324" s="12" t="s">
        <v>649</v>
      </c>
      <c r="E324" s="12" t="s">
        <v>657</v>
      </c>
      <c r="F324" s="12" t="s">
        <v>673</v>
      </c>
      <c r="G324" s="12" t="s">
        <v>701</v>
      </c>
      <c r="H324" s="12" t="s">
        <v>707</v>
      </c>
      <c r="I324" s="12" t="s">
        <v>721</v>
      </c>
      <c r="J324" s="12" t="s">
        <v>732</v>
      </c>
      <c r="K324" s="12" t="s">
        <v>1117</v>
      </c>
      <c r="L324" s="6">
        <v>941.35</v>
      </c>
      <c r="M324" s="6">
        <v>899.83</v>
      </c>
      <c r="N324" s="6">
        <f t="shared" si="90"/>
        <v>899.83</v>
      </c>
      <c r="O324" s="6" t="str">
        <f t="shared" si="104"/>
        <v>Middle</v>
      </c>
      <c r="P324" s="6">
        <v>5.8000000000000003E-2</v>
      </c>
      <c r="Q324" s="6">
        <f t="shared" si="91"/>
        <v>5.8000000000000003E-2</v>
      </c>
      <c r="R324" s="6">
        <v>18</v>
      </c>
      <c r="S324" s="6" t="str">
        <f t="shared" si="92"/>
        <v>OK</v>
      </c>
      <c r="T324" s="4">
        <f t="shared" si="93"/>
        <v>45511</v>
      </c>
      <c r="U324" s="11">
        <f t="shared" si="94"/>
        <v>20</v>
      </c>
      <c r="V324" s="6">
        <f t="shared" si="95"/>
        <v>15257.51748</v>
      </c>
      <c r="W324" s="6">
        <f t="shared" si="96"/>
        <v>16944.3</v>
      </c>
      <c r="X324" s="6">
        <f t="shared" si="97"/>
        <v>-1686.7825199999988</v>
      </c>
      <c r="Y324" s="6">
        <f t="shared" si="98"/>
        <v>-0.11055419220139073</v>
      </c>
      <c r="Z324" s="4" t="str">
        <f t="shared" si="99"/>
        <v>Q3-2024</v>
      </c>
      <c r="AA324" t="str">
        <f t="shared" si="100"/>
        <v>Monitors</v>
      </c>
      <c r="AB324" t="str">
        <f t="shared" si="101"/>
        <v>Monitors</v>
      </c>
      <c r="AC324" t="str">
        <f t="shared" si="102"/>
        <v>Compliant</v>
      </c>
      <c r="AD324" t="str">
        <f t="shared" si="103"/>
        <v>Late</v>
      </c>
      <c r="AE324" s="8">
        <f>MIN(Q324,Scenario!$B$2)</f>
        <v>5.8000000000000003E-2</v>
      </c>
      <c r="AF324" s="33">
        <f>L324*(1+Scenario!$B$3)</f>
        <v>1082.5525</v>
      </c>
      <c r="AG324" s="6">
        <f>R324*(1+Scenario!$B$4)</f>
        <v>21.599999999999998</v>
      </c>
      <c r="AH324" s="33">
        <f t="shared" si="105"/>
        <v>18309.020975999996</v>
      </c>
      <c r="AI324" s="33">
        <f t="shared" si="106"/>
        <v>23383.133999999998</v>
      </c>
      <c r="AJ324" s="33">
        <f t="shared" si="107"/>
        <v>-5074.113024000002</v>
      </c>
    </row>
    <row r="325" spans="1:36" hidden="1" x14ac:dyDescent="0.25">
      <c r="A325" s="12" t="s">
        <v>536</v>
      </c>
      <c r="B325" s="27">
        <v>45482</v>
      </c>
      <c r="C325" s="4">
        <v>45485</v>
      </c>
      <c r="D325" s="12" t="s">
        <v>647</v>
      </c>
      <c r="E325" s="12" t="s">
        <v>659</v>
      </c>
      <c r="F325" s="12" t="s">
        <v>685</v>
      </c>
      <c r="G325" s="12" t="s">
        <v>705</v>
      </c>
      <c r="H325" s="12" t="s">
        <v>707</v>
      </c>
      <c r="I325" s="12" t="s">
        <v>726</v>
      </c>
      <c r="J325" s="12" t="s">
        <v>733</v>
      </c>
      <c r="K325" s="12" t="s">
        <v>1255</v>
      </c>
      <c r="L325" s="6">
        <v>748.39</v>
      </c>
      <c r="M325" s="6">
        <v>979.42</v>
      </c>
      <c r="N325" s="6">
        <f t="shared" si="90"/>
        <v>979.42</v>
      </c>
      <c r="O325" s="6" t="str">
        <f t="shared" si="104"/>
        <v>Middle</v>
      </c>
      <c r="P325" s="6">
        <v>0</v>
      </c>
      <c r="Q325" s="6">
        <f t="shared" si="91"/>
        <v>0</v>
      </c>
      <c r="R325" s="6">
        <v>23</v>
      </c>
      <c r="S325" s="6" t="str">
        <f t="shared" si="92"/>
        <v>OK</v>
      </c>
      <c r="T325" s="4">
        <f t="shared" si="93"/>
        <v>45485</v>
      </c>
      <c r="U325" s="11">
        <f t="shared" si="94"/>
        <v>3</v>
      </c>
      <c r="V325" s="6">
        <f t="shared" si="95"/>
        <v>22526.66</v>
      </c>
      <c r="W325" s="6">
        <f t="shared" si="96"/>
        <v>17212.97</v>
      </c>
      <c r="X325" s="6">
        <f t="shared" si="97"/>
        <v>5313.6899999999987</v>
      </c>
      <c r="Y325" s="6">
        <f t="shared" si="98"/>
        <v>0.23588450307324738</v>
      </c>
      <c r="Z325" s="4" t="str">
        <f t="shared" si="99"/>
        <v>Q3-2024</v>
      </c>
      <c r="AA325" t="str">
        <f t="shared" si="100"/>
        <v>Accessories</v>
      </c>
      <c r="AB325" t="str">
        <f t="shared" si="101"/>
        <v>Accessories</v>
      </c>
      <c r="AC325" t="str">
        <f t="shared" si="102"/>
        <v>Compliant</v>
      </c>
      <c r="AD325" t="str">
        <f t="shared" si="103"/>
        <v>On-time</v>
      </c>
      <c r="AE325" s="8">
        <f>MIN(Q325,Scenario!$B$2)</f>
        <v>0</v>
      </c>
      <c r="AF325" s="33">
        <f>L325*(1+Scenario!$B$3)</f>
        <v>860.6484999999999</v>
      </c>
      <c r="AG325" s="6">
        <f>R325*(1+Scenario!$B$4)</f>
        <v>27.599999999999998</v>
      </c>
      <c r="AH325" s="33">
        <f t="shared" si="105"/>
        <v>27031.991999999998</v>
      </c>
      <c r="AI325" s="33">
        <f t="shared" si="106"/>
        <v>23753.898599999997</v>
      </c>
      <c r="AJ325" s="33">
        <f t="shared" si="107"/>
        <v>3278.0934000000016</v>
      </c>
    </row>
    <row r="326" spans="1:36" hidden="1" x14ac:dyDescent="0.25">
      <c r="A326" s="12" t="s">
        <v>563</v>
      </c>
      <c r="B326" s="27">
        <v>45486</v>
      </c>
      <c r="C326" s="4">
        <v>45507</v>
      </c>
      <c r="D326" s="12" t="s">
        <v>648</v>
      </c>
      <c r="E326" s="12" t="s">
        <v>655</v>
      </c>
      <c r="F326" s="12" t="s">
        <v>692</v>
      </c>
      <c r="G326" s="12" t="s">
        <v>701</v>
      </c>
      <c r="H326" s="12" t="s">
        <v>709</v>
      </c>
      <c r="I326" s="12" t="s">
        <v>724</v>
      </c>
      <c r="J326" s="12" t="s">
        <v>732</v>
      </c>
      <c r="K326" s="12" t="s">
        <v>1281</v>
      </c>
      <c r="L326" s="6">
        <v>702.98</v>
      </c>
      <c r="M326" s="6">
        <v>1104.8</v>
      </c>
      <c r="N326" s="6">
        <f t="shared" si="90"/>
        <v>1104.8</v>
      </c>
      <c r="O326" s="6" t="str">
        <f t="shared" si="104"/>
        <v>Middle</v>
      </c>
      <c r="P326" s="6">
        <v>0.17499999999999999</v>
      </c>
      <c r="Q326" s="6">
        <f t="shared" si="91"/>
        <v>0.17499999999999999</v>
      </c>
      <c r="R326" s="6">
        <v>12</v>
      </c>
      <c r="S326" s="6" t="str">
        <f t="shared" si="92"/>
        <v>OK</v>
      </c>
      <c r="T326" s="4">
        <f t="shared" si="93"/>
        <v>45507</v>
      </c>
      <c r="U326" s="11">
        <f t="shared" si="94"/>
        <v>21</v>
      </c>
      <c r="V326" s="6">
        <f t="shared" si="95"/>
        <v>10937.519999999999</v>
      </c>
      <c r="W326" s="6">
        <f t="shared" si="96"/>
        <v>8435.76</v>
      </c>
      <c r="X326" s="6">
        <f t="shared" si="97"/>
        <v>2501.7599999999984</v>
      </c>
      <c r="Y326" s="6">
        <f t="shared" si="98"/>
        <v>0.22873192460448061</v>
      </c>
      <c r="Z326" s="4" t="str">
        <f t="shared" si="99"/>
        <v>Q3-2024</v>
      </c>
      <c r="AA326" t="str">
        <f t="shared" si="100"/>
        <v>Monitors</v>
      </c>
      <c r="AB326" t="str">
        <f t="shared" si="101"/>
        <v>Monitors</v>
      </c>
      <c r="AC326" t="str">
        <f t="shared" si="102"/>
        <v>Compliant</v>
      </c>
      <c r="AD326" t="str">
        <f t="shared" si="103"/>
        <v>Late</v>
      </c>
      <c r="AE326" s="8">
        <f>MIN(Q326,Scenario!$B$2)</f>
        <v>0.17499999999999999</v>
      </c>
      <c r="AF326" s="33">
        <f>L326*(1+Scenario!$B$3)</f>
        <v>808.42699999999991</v>
      </c>
      <c r="AG326" s="6">
        <f>R326*(1+Scenario!$B$4)</f>
        <v>14.399999999999999</v>
      </c>
      <c r="AH326" s="33">
        <f t="shared" si="105"/>
        <v>13125.023999999998</v>
      </c>
      <c r="AI326" s="33">
        <f t="shared" si="106"/>
        <v>11641.348799999998</v>
      </c>
      <c r="AJ326" s="33">
        <f t="shared" si="107"/>
        <v>1483.6751999999997</v>
      </c>
    </row>
    <row r="327" spans="1:36" x14ac:dyDescent="0.25">
      <c r="A327" s="12" t="s">
        <v>417</v>
      </c>
      <c r="B327" s="27">
        <v>45497</v>
      </c>
      <c r="C327" s="4">
        <v>45512</v>
      </c>
      <c r="D327" s="12" t="s">
        <v>649</v>
      </c>
      <c r="E327" s="12" t="s">
        <v>657</v>
      </c>
      <c r="F327" s="12" t="s">
        <v>673</v>
      </c>
      <c r="G327" s="12" t="s">
        <v>706</v>
      </c>
      <c r="H327" s="12" t="s">
        <v>709</v>
      </c>
      <c r="I327" s="12" t="s">
        <v>722</v>
      </c>
      <c r="J327" s="12" t="s">
        <v>731</v>
      </c>
      <c r="K327" s="12" t="s">
        <v>1136</v>
      </c>
      <c r="L327" s="6">
        <v>501.5</v>
      </c>
      <c r="M327" s="6">
        <v>1201.47</v>
      </c>
      <c r="N327" s="6">
        <f t="shared" si="90"/>
        <v>1201.47</v>
      </c>
      <c r="O327" s="6" t="str">
        <f t="shared" si="104"/>
        <v>Middle</v>
      </c>
      <c r="P327" s="6">
        <v>0.126</v>
      </c>
      <c r="Q327" s="6">
        <f t="shared" si="91"/>
        <v>0.126</v>
      </c>
      <c r="R327" s="6">
        <v>5</v>
      </c>
      <c r="S327" s="6" t="str">
        <f t="shared" si="92"/>
        <v>OK</v>
      </c>
      <c r="T327" s="4">
        <f t="shared" si="93"/>
        <v>45512</v>
      </c>
      <c r="U327" s="11">
        <f t="shared" si="94"/>
        <v>15</v>
      </c>
      <c r="V327" s="6">
        <f t="shared" si="95"/>
        <v>5250.4239000000007</v>
      </c>
      <c r="W327" s="6">
        <f t="shared" si="96"/>
        <v>2507.5</v>
      </c>
      <c r="X327" s="6">
        <f t="shared" si="97"/>
        <v>2742.9239000000007</v>
      </c>
      <c r="Y327" s="6">
        <f t="shared" si="98"/>
        <v>0.52241951359394057</v>
      </c>
      <c r="Z327" s="4" t="str">
        <f t="shared" si="99"/>
        <v>Q3-2024</v>
      </c>
      <c r="AA327" t="str">
        <f t="shared" si="100"/>
        <v>Laptops</v>
      </c>
      <c r="AB327" t="str">
        <f t="shared" si="101"/>
        <v>Laptops</v>
      </c>
      <c r="AC327" t="str">
        <f t="shared" si="102"/>
        <v>Compliant</v>
      </c>
      <c r="AD327" t="str">
        <f t="shared" si="103"/>
        <v>Late</v>
      </c>
      <c r="AE327" s="8">
        <f>MIN(Q327,Scenario!$B$2)</f>
        <v>0.126</v>
      </c>
      <c r="AF327" s="33">
        <f>L327*(1+Scenario!$B$3)</f>
        <v>576.72499999999991</v>
      </c>
      <c r="AG327" s="6">
        <f>R327*(1+Scenario!$B$4)</f>
        <v>6</v>
      </c>
      <c r="AH327" s="33">
        <f t="shared" si="105"/>
        <v>6300.5086799999999</v>
      </c>
      <c r="AI327" s="33">
        <f t="shared" si="106"/>
        <v>3460.3499999999995</v>
      </c>
      <c r="AJ327" s="33">
        <f t="shared" si="107"/>
        <v>2840.1586800000005</v>
      </c>
    </row>
    <row r="328" spans="1:36" hidden="1" x14ac:dyDescent="0.25">
      <c r="A328" s="12" t="s">
        <v>185</v>
      </c>
      <c r="B328" s="27">
        <v>45488</v>
      </c>
      <c r="C328" s="4">
        <v>45488</v>
      </c>
      <c r="D328" s="12" t="s">
        <v>647</v>
      </c>
      <c r="E328" s="12" t="s">
        <v>652</v>
      </c>
      <c r="F328" s="12" t="s">
        <v>689</v>
      </c>
      <c r="G328" s="12" t="s">
        <v>705</v>
      </c>
      <c r="H328" s="12" t="s">
        <v>709</v>
      </c>
      <c r="I328" s="12" t="s">
        <v>715</v>
      </c>
      <c r="J328" s="12" t="s">
        <v>733</v>
      </c>
      <c r="K328" s="12" t="s">
        <v>904</v>
      </c>
      <c r="L328" s="6">
        <v>801.77</v>
      </c>
      <c r="M328" s="6">
        <v>1218.92</v>
      </c>
      <c r="N328" s="6">
        <f t="shared" si="90"/>
        <v>1218.92</v>
      </c>
      <c r="O328" s="6" t="str">
        <f t="shared" si="104"/>
        <v>Middle</v>
      </c>
      <c r="P328" s="6">
        <v>0.254</v>
      </c>
      <c r="Q328" s="6">
        <f t="shared" si="91"/>
        <v>0.254</v>
      </c>
      <c r="R328" s="6">
        <v>16</v>
      </c>
      <c r="S328" s="6" t="str">
        <f t="shared" si="92"/>
        <v>OK</v>
      </c>
      <c r="T328" s="4">
        <f t="shared" si="93"/>
        <v>45488</v>
      </c>
      <c r="U328" s="11">
        <f t="shared" si="94"/>
        <v>0</v>
      </c>
      <c r="V328" s="6">
        <f t="shared" si="95"/>
        <v>14549.029120000001</v>
      </c>
      <c r="W328" s="6">
        <f t="shared" si="96"/>
        <v>12828.32</v>
      </c>
      <c r="X328" s="6">
        <f t="shared" si="97"/>
        <v>1720.7091200000013</v>
      </c>
      <c r="Y328" s="6">
        <f t="shared" si="98"/>
        <v>0.11826968698788344</v>
      </c>
      <c r="Z328" s="4" t="str">
        <f t="shared" si="99"/>
        <v>Q3-2024</v>
      </c>
      <c r="AA328" t="str">
        <f t="shared" si="100"/>
        <v>Accessories</v>
      </c>
      <c r="AB328" t="str">
        <f t="shared" si="101"/>
        <v>Accessories</v>
      </c>
      <c r="AC328" t="str">
        <f t="shared" si="102"/>
        <v>Non-compliant</v>
      </c>
      <c r="AD328" t="str">
        <f t="shared" si="103"/>
        <v>On-time</v>
      </c>
      <c r="AE328" s="8">
        <f>MIN(Q328,Scenario!$B$2)</f>
        <v>0.2</v>
      </c>
      <c r="AF328" s="33">
        <f>L328*(1+Scenario!$B$3)</f>
        <v>922.03549999999996</v>
      </c>
      <c r="AG328" s="6">
        <f>R328*(1+Scenario!$B$4)</f>
        <v>19.2</v>
      </c>
      <c r="AH328" s="33">
        <f t="shared" si="105"/>
        <v>18722.611199999999</v>
      </c>
      <c r="AI328" s="33">
        <f t="shared" si="106"/>
        <v>17703.081599999998</v>
      </c>
      <c r="AJ328" s="33">
        <f t="shared" si="107"/>
        <v>1019.5296000000017</v>
      </c>
    </row>
    <row r="329" spans="1:36" hidden="1" x14ac:dyDescent="0.25">
      <c r="A329" s="12" t="s">
        <v>350</v>
      </c>
      <c r="B329" s="27">
        <v>45484</v>
      </c>
      <c r="C329" s="4">
        <v>45504</v>
      </c>
      <c r="D329" s="12" t="s">
        <v>647</v>
      </c>
      <c r="E329" s="12" t="s">
        <v>659</v>
      </c>
      <c r="F329" s="12" t="s">
        <v>676</v>
      </c>
      <c r="G329" s="12" t="s">
        <v>704</v>
      </c>
      <c r="H329" s="12" t="s">
        <v>708</v>
      </c>
      <c r="I329" s="12" t="s">
        <v>715</v>
      </c>
      <c r="J329" s="12" t="s">
        <v>730</v>
      </c>
      <c r="K329" s="12" t="s">
        <v>1070</v>
      </c>
      <c r="L329" s="6">
        <v>647.26</v>
      </c>
      <c r="M329" s="6">
        <v>1374.72</v>
      </c>
      <c r="N329" s="6">
        <f t="shared" si="90"/>
        <v>1374.72</v>
      </c>
      <c r="O329" s="6" t="str">
        <f t="shared" si="104"/>
        <v>High</v>
      </c>
      <c r="P329" s="6">
        <v>6.6000000000000003E-2</v>
      </c>
      <c r="Q329" s="6">
        <f t="shared" si="91"/>
        <v>6.6000000000000003E-2</v>
      </c>
      <c r="R329" s="6">
        <v>22</v>
      </c>
      <c r="S329" s="6" t="str">
        <f t="shared" si="92"/>
        <v>OK</v>
      </c>
      <c r="T329" s="4">
        <f t="shared" si="93"/>
        <v>45504</v>
      </c>
      <c r="U329" s="11">
        <f t="shared" si="94"/>
        <v>20</v>
      </c>
      <c r="V329" s="6">
        <f t="shared" si="95"/>
        <v>28247.74656</v>
      </c>
      <c r="W329" s="6">
        <f t="shared" si="96"/>
        <v>14239.72</v>
      </c>
      <c r="X329" s="6">
        <f t="shared" si="97"/>
        <v>14008.02656</v>
      </c>
      <c r="Y329" s="6">
        <f t="shared" si="98"/>
        <v>0.49589890401508901</v>
      </c>
      <c r="Z329" s="4" t="str">
        <f t="shared" si="99"/>
        <v>Q3-2024</v>
      </c>
      <c r="AA329" t="str">
        <f t="shared" si="100"/>
        <v>Phones</v>
      </c>
      <c r="AB329" t="str">
        <f t="shared" si="101"/>
        <v>Phones</v>
      </c>
      <c r="AC329" t="str">
        <f t="shared" si="102"/>
        <v>Compliant</v>
      </c>
      <c r="AD329" t="str">
        <f t="shared" si="103"/>
        <v>Late</v>
      </c>
      <c r="AE329" s="8">
        <f>MIN(Q329,Scenario!$B$2)</f>
        <v>6.6000000000000003E-2</v>
      </c>
      <c r="AF329" s="33">
        <f>L329*(1+Scenario!$B$3)</f>
        <v>744.34899999999993</v>
      </c>
      <c r="AG329" s="6">
        <f>R329*(1+Scenario!$B$4)</f>
        <v>26.4</v>
      </c>
      <c r="AH329" s="33">
        <f t="shared" si="105"/>
        <v>33897.295871999995</v>
      </c>
      <c r="AI329" s="33">
        <f t="shared" si="106"/>
        <v>19650.813599999998</v>
      </c>
      <c r="AJ329" s="33">
        <f t="shared" si="107"/>
        <v>14246.482271999997</v>
      </c>
    </row>
    <row r="330" spans="1:36" hidden="1" x14ac:dyDescent="0.25">
      <c r="A330" s="12" t="s">
        <v>607</v>
      </c>
      <c r="B330" s="27">
        <v>45504</v>
      </c>
      <c r="C330" s="4">
        <v>45519</v>
      </c>
      <c r="D330" s="12" t="s">
        <v>647</v>
      </c>
      <c r="E330" s="12" t="s">
        <v>652</v>
      </c>
      <c r="F330" s="12" t="s">
        <v>689</v>
      </c>
      <c r="G330" s="12" t="s">
        <v>701</v>
      </c>
      <c r="H330" s="12" t="s">
        <v>709</v>
      </c>
      <c r="I330" s="12" t="s">
        <v>721</v>
      </c>
      <c r="J330" s="12" t="s">
        <v>732</v>
      </c>
      <c r="K330" s="12" t="s">
        <v>1325</v>
      </c>
      <c r="L330" s="6">
        <v>1252.52</v>
      </c>
      <c r="M330" s="6">
        <v>1417.24</v>
      </c>
      <c r="N330" s="6">
        <f t="shared" si="90"/>
        <v>1417.24</v>
      </c>
      <c r="O330" s="6" t="str">
        <f t="shared" si="104"/>
        <v>High</v>
      </c>
      <c r="P330" s="6">
        <v>0.192</v>
      </c>
      <c r="Q330" s="6">
        <f t="shared" si="91"/>
        <v>0.192</v>
      </c>
      <c r="R330" s="6">
        <v>5</v>
      </c>
      <c r="S330" s="6" t="str">
        <f t="shared" si="92"/>
        <v>OK</v>
      </c>
      <c r="T330" s="4">
        <f t="shared" si="93"/>
        <v>45519</v>
      </c>
      <c r="U330" s="11">
        <f t="shared" si="94"/>
        <v>15</v>
      </c>
      <c r="V330" s="6">
        <f t="shared" si="95"/>
        <v>5725.6496000000006</v>
      </c>
      <c r="W330" s="6">
        <f t="shared" si="96"/>
        <v>6262.6</v>
      </c>
      <c r="X330" s="6">
        <f t="shared" si="97"/>
        <v>-536.95039999999972</v>
      </c>
      <c r="Y330" s="6">
        <f t="shared" si="98"/>
        <v>-9.3779821943696953E-2</v>
      </c>
      <c r="Z330" s="4" t="str">
        <f t="shared" si="99"/>
        <v>Q3-2024</v>
      </c>
      <c r="AA330" t="str">
        <f t="shared" si="100"/>
        <v>Monitors</v>
      </c>
      <c r="AB330" t="str">
        <f t="shared" si="101"/>
        <v>Monitors</v>
      </c>
      <c r="AC330" t="str">
        <f t="shared" si="102"/>
        <v>Compliant</v>
      </c>
      <c r="AD330" t="str">
        <f t="shared" si="103"/>
        <v>Late</v>
      </c>
      <c r="AE330" s="8">
        <f>MIN(Q330,Scenario!$B$2)</f>
        <v>0.192</v>
      </c>
      <c r="AF330" s="33">
        <f>L330*(1+Scenario!$B$3)</f>
        <v>1440.3979999999999</v>
      </c>
      <c r="AG330" s="6">
        <f>R330*(1+Scenario!$B$4)</f>
        <v>6</v>
      </c>
      <c r="AH330" s="33">
        <f t="shared" si="105"/>
        <v>6870.779520000001</v>
      </c>
      <c r="AI330" s="33">
        <f t="shared" si="106"/>
        <v>8642.387999999999</v>
      </c>
      <c r="AJ330" s="33">
        <f t="shared" si="107"/>
        <v>-1771.6084799999981</v>
      </c>
    </row>
    <row r="331" spans="1:36" x14ac:dyDescent="0.25">
      <c r="A331" s="12" t="s">
        <v>534</v>
      </c>
      <c r="B331" s="27">
        <v>45482</v>
      </c>
      <c r="C331" s="4">
        <v>45512</v>
      </c>
      <c r="D331" s="12" t="s">
        <v>649</v>
      </c>
      <c r="E331" s="12" t="s">
        <v>657</v>
      </c>
      <c r="F331" s="12" t="s">
        <v>673</v>
      </c>
      <c r="G331" s="12" t="s">
        <v>701</v>
      </c>
      <c r="H331" s="12" t="s">
        <v>711</v>
      </c>
      <c r="I331" s="12" t="s">
        <v>713</v>
      </c>
      <c r="J331" s="12" t="s">
        <v>727</v>
      </c>
      <c r="K331" s="12" t="s">
        <v>1253</v>
      </c>
      <c r="L331" s="6">
        <v>1062.3800000000001</v>
      </c>
      <c r="M331" s="6">
        <v>1503.96</v>
      </c>
      <c r="N331" s="6">
        <f t="shared" si="90"/>
        <v>1503.96</v>
      </c>
      <c r="O331" s="6" t="str">
        <f t="shared" si="104"/>
        <v>High</v>
      </c>
      <c r="P331" s="6">
        <v>0.18</v>
      </c>
      <c r="Q331" s="6">
        <f t="shared" si="91"/>
        <v>0.18</v>
      </c>
      <c r="R331" s="6">
        <v>6</v>
      </c>
      <c r="S331" s="6" t="str">
        <f t="shared" si="92"/>
        <v>OK</v>
      </c>
      <c r="T331" s="4">
        <f t="shared" si="93"/>
        <v>45512</v>
      </c>
      <c r="U331" s="11">
        <f t="shared" si="94"/>
        <v>30</v>
      </c>
      <c r="V331" s="6">
        <f t="shared" si="95"/>
        <v>7399.4832000000006</v>
      </c>
      <c r="W331" s="6">
        <f t="shared" si="96"/>
        <v>6374.2800000000007</v>
      </c>
      <c r="X331" s="6">
        <f t="shared" si="97"/>
        <v>1025.2031999999999</v>
      </c>
      <c r="Y331" s="6">
        <f t="shared" si="98"/>
        <v>0.13855064905073369</v>
      </c>
      <c r="Z331" s="4" t="str">
        <f t="shared" si="99"/>
        <v>Q3-2024</v>
      </c>
      <c r="AA331" t="str">
        <f t="shared" si="100"/>
        <v>Components</v>
      </c>
      <c r="AB331" t="str">
        <f t="shared" si="101"/>
        <v>Components</v>
      </c>
      <c r="AC331" t="str">
        <f t="shared" si="102"/>
        <v>Compliant</v>
      </c>
      <c r="AD331" t="str">
        <f t="shared" si="103"/>
        <v>Late</v>
      </c>
      <c r="AE331" s="8">
        <f>MIN(Q331,Scenario!$B$2)</f>
        <v>0.18</v>
      </c>
      <c r="AF331" s="33">
        <f>L331*(1+Scenario!$B$3)</f>
        <v>1221.7370000000001</v>
      </c>
      <c r="AG331" s="6">
        <f>R331*(1+Scenario!$B$4)</f>
        <v>7.1999999999999993</v>
      </c>
      <c r="AH331" s="33">
        <f t="shared" si="105"/>
        <v>8879.3798399999996</v>
      </c>
      <c r="AI331" s="33">
        <f t="shared" si="106"/>
        <v>8796.5064000000002</v>
      </c>
      <c r="AJ331" s="33">
        <f t="shared" si="107"/>
        <v>82.873439999999391</v>
      </c>
    </row>
    <row r="332" spans="1:36" hidden="1" x14ac:dyDescent="0.25">
      <c r="A332" s="12" t="s">
        <v>636</v>
      </c>
      <c r="B332" s="27">
        <v>45501</v>
      </c>
      <c r="C332" s="4">
        <v>45527</v>
      </c>
      <c r="D332" s="12" t="s">
        <v>647</v>
      </c>
      <c r="E332" s="12" t="s">
        <v>654</v>
      </c>
      <c r="F332" s="12" t="s">
        <v>696</v>
      </c>
      <c r="G332" s="12" t="s">
        <v>701</v>
      </c>
      <c r="H332" s="12" t="s">
        <v>707</v>
      </c>
      <c r="I332" s="12" t="s">
        <v>713</v>
      </c>
      <c r="J332" s="12" t="s">
        <v>729</v>
      </c>
      <c r="K332" s="12" t="s">
        <v>1354</v>
      </c>
      <c r="L332" s="6">
        <v>1339.24</v>
      </c>
      <c r="M332" s="6">
        <v>1558.89</v>
      </c>
      <c r="N332" s="6">
        <f t="shared" si="90"/>
        <v>1558.89</v>
      </c>
      <c r="O332" s="6" t="str">
        <f t="shared" si="104"/>
        <v>High</v>
      </c>
      <c r="P332" s="6">
        <v>0.192</v>
      </c>
      <c r="Q332" s="6">
        <f t="shared" si="91"/>
        <v>0.192</v>
      </c>
      <c r="R332" s="6">
        <v>24</v>
      </c>
      <c r="S332" s="6" t="str">
        <f t="shared" si="92"/>
        <v>OK</v>
      </c>
      <c r="T332" s="4">
        <f t="shared" si="93"/>
        <v>45527</v>
      </c>
      <c r="U332" s="11">
        <f t="shared" si="94"/>
        <v>26</v>
      </c>
      <c r="V332" s="6">
        <f t="shared" si="95"/>
        <v>30229.994880000002</v>
      </c>
      <c r="W332" s="6">
        <f t="shared" si="96"/>
        <v>32141.760000000002</v>
      </c>
      <c r="X332" s="6">
        <f t="shared" si="97"/>
        <v>-1911.76512</v>
      </c>
      <c r="Y332" s="6">
        <f t="shared" si="98"/>
        <v>-6.3240669659021781E-2</v>
      </c>
      <c r="Z332" s="4" t="str">
        <f t="shared" si="99"/>
        <v>Q3-2024</v>
      </c>
      <c r="AA332" t="str">
        <f t="shared" si="100"/>
        <v>Networking</v>
      </c>
      <c r="AB332" t="str">
        <f t="shared" si="101"/>
        <v>Networking</v>
      </c>
      <c r="AC332" t="str">
        <f t="shared" si="102"/>
        <v>Compliant</v>
      </c>
      <c r="AD332" t="str">
        <f t="shared" si="103"/>
        <v>Late</v>
      </c>
      <c r="AE332" s="8">
        <f>MIN(Q332,Scenario!$B$2)</f>
        <v>0.192</v>
      </c>
      <c r="AF332" s="33">
        <f>L332*(1+Scenario!$B$3)</f>
        <v>1540.126</v>
      </c>
      <c r="AG332" s="6">
        <f>R332*(1+Scenario!$B$4)</f>
        <v>28.799999999999997</v>
      </c>
      <c r="AH332" s="33">
        <f t="shared" si="105"/>
        <v>36275.993856000001</v>
      </c>
      <c r="AI332" s="33">
        <f t="shared" si="106"/>
        <v>44355.628799999991</v>
      </c>
      <c r="AJ332" s="33">
        <f t="shared" si="107"/>
        <v>-8079.6349439999904</v>
      </c>
    </row>
    <row r="333" spans="1:36" hidden="1" x14ac:dyDescent="0.25">
      <c r="A333" s="12" t="s">
        <v>267</v>
      </c>
      <c r="B333" s="27">
        <v>45502</v>
      </c>
      <c r="C333" s="4">
        <v>45504</v>
      </c>
      <c r="D333" s="12" t="s">
        <v>648</v>
      </c>
      <c r="E333" s="12" t="s">
        <v>660</v>
      </c>
      <c r="F333" s="12" t="s">
        <v>700</v>
      </c>
      <c r="G333" s="12" t="s">
        <v>702</v>
      </c>
      <c r="H333" s="12" t="s">
        <v>709</v>
      </c>
      <c r="I333" s="12" t="s">
        <v>714</v>
      </c>
      <c r="J333" s="12" t="s">
        <v>728</v>
      </c>
      <c r="K333" s="12" t="s">
        <v>987</v>
      </c>
      <c r="L333" s="6">
        <v>798.97</v>
      </c>
      <c r="M333" s="6">
        <v>1814.06</v>
      </c>
      <c r="N333" s="6">
        <f t="shared" si="90"/>
        <v>1814.06</v>
      </c>
      <c r="O333" s="6" t="str">
        <f t="shared" si="104"/>
        <v>High</v>
      </c>
      <c r="P333" s="6">
        <v>0.122</v>
      </c>
      <c r="Q333" s="6">
        <f t="shared" si="91"/>
        <v>0.122</v>
      </c>
      <c r="R333" s="6">
        <v>16</v>
      </c>
      <c r="S333" s="6" t="str">
        <f t="shared" si="92"/>
        <v>OK</v>
      </c>
      <c r="T333" s="4">
        <f t="shared" si="93"/>
        <v>45504</v>
      </c>
      <c r="U333" s="11">
        <f t="shared" si="94"/>
        <v>2</v>
      </c>
      <c r="V333" s="6">
        <f t="shared" si="95"/>
        <v>25483.91488</v>
      </c>
      <c r="W333" s="6">
        <f t="shared" si="96"/>
        <v>12783.52</v>
      </c>
      <c r="X333" s="6">
        <f t="shared" si="97"/>
        <v>12700.39488</v>
      </c>
      <c r="Y333" s="6">
        <f t="shared" si="98"/>
        <v>0.49836906691159061</v>
      </c>
      <c r="Z333" s="4" t="str">
        <f t="shared" si="99"/>
        <v>Q3-2024</v>
      </c>
      <c r="AA333" t="str">
        <f t="shared" si="100"/>
        <v>Printers</v>
      </c>
      <c r="AB333" t="str">
        <f t="shared" si="101"/>
        <v>Printers</v>
      </c>
      <c r="AC333" t="str">
        <f t="shared" si="102"/>
        <v>Compliant</v>
      </c>
      <c r="AD333" t="str">
        <f t="shared" si="103"/>
        <v>On-time</v>
      </c>
      <c r="AE333" s="8">
        <f>MIN(Q333,Scenario!$B$2)</f>
        <v>0.122</v>
      </c>
      <c r="AF333" s="33">
        <f>L333*(1+Scenario!$B$3)</f>
        <v>918.81549999999993</v>
      </c>
      <c r="AG333" s="6">
        <f>R333*(1+Scenario!$B$4)</f>
        <v>19.2</v>
      </c>
      <c r="AH333" s="33">
        <f t="shared" si="105"/>
        <v>30580.697855999999</v>
      </c>
      <c r="AI333" s="33">
        <f t="shared" si="106"/>
        <v>17641.257599999997</v>
      </c>
      <c r="AJ333" s="33">
        <f t="shared" si="107"/>
        <v>12939.440256000002</v>
      </c>
    </row>
    <row r="334" spans="1:36" hidden="1" x14ac:dyDescent="0.25">
      <c r="A334" s="12" t="s">
        <v>360</v>
      </c>
      <c r="B334" s="27">
        <v>45498</v>
      </c>
      <c r="C334" s="4">
        <v>45506</v>
      </c>
      <c r="D334" s="12" t="s">
        <v>648</v>
      </c>
      <c r="E334" s="12" t="s">
        <v>653</v>
      </c>
      <c r="F334" s="12" t="s">
        <v>681</v>
      </c>
      <c r="G334" s="12" t="s">
        <v>704</v>
      </c>
      <c r="H334" s="12" t="s">
        <v>711</v>
      </c>
      <c r="I334" s="12" t="s">
        <v>713</v>
      </c>
      <c r="J334" s="12" t="s">
        <v>733</v>
      </c>
      <c r="K334" s="12" t="s">
        <v>1080</v>
      </c>
      <c r="L334" s="6">
        <v>986.81</v>
      </c>
      <c r="M334" s="6">
        <v>2050.31</v>
      </c>
      <c r="N334" s="6">
        <f t="shared" si="90"/>
        <v>2050.31</v>
      </c>
      <c r="O334" s="6" t="str">
        <f t="shared" si="104"/>
        <v>High</v>
      </c>
      <c r="P334" s="6">
        <v>0.10299999999999999</v>
      </c>
      <c r="Q334" s="6">
        <f t="shared" si="91"/>
        <v>0.10299999999999999</v>
      </c>
      <c r="R334" s="6">
        <v>43</v>
      </c>
      <c r="S334" s="6" t="str">
        <f t="shared" si="92"/>
        <v>OK</v>
      </c>
      <c r="T334" s="4">
        <f t="shared" si="93"/>
        <v>45506</v>
      </c>
      <c r="U334" s="11">
        <f t="shared" si="94"/>
        <v>8</v>
      </c>
      <c r="V334" s="6">
        <f t="shared" si="95"/>
        <v>79082.507010000001</v>
      </c>
      <c r="W334" s="6">
        <f t="shared" si="96"/>
        <v>42432.829999999994</v>
      </c>
      <c r="X334" s="6">
        <f t="shared" si="97"/>
        <v>36649.677010000007</v>
      </c>
      <c r="Y334" s="6">
        <f t="shared" si="98"/>
        <v>0.46343595310358138</v>
      </c>
      <c r="Z334" s="4" t="str">
        <f t="shared" si="99"/>
        <v>Q3-2024</v>
      </c>
      <c r="AA334" t="str">
        <f t="shared" si="100"/>
        <v>Accessories</v>
      </c>
      <c r="AB334" t="str">
        <f t="shared" si="101"/>
        <v>Accessories</v>
      </c>
      <c r="AC334" t="str">
        <f t="shared" si="102"/>
        <v>Compliant</v>
      </c>
      <c r="AD334" t="str">
        <f t="shared" si="103"/>
        <v>Late</v>
      </c>
      <c r="AE334" s="8">
        <f>MIN(Q334,Scenario!$B$2)</f>
        <v>0.10299999999999999</v>
      </c>
      <c r="AF334" s="33">
        <f>L334*(1+Scenario!$B$3)</f>
        <v>1134.8314999999998</v>
      </c>
      <c r="AG334" s="6">
        <f>R334*(1+Scenario!$B$4)</f>
        <v>51.6</v>
      </c>
      <c r="AH334" s="33">
        <f t="shared" si="105"/>
        <v>94899.008411999996</v>
      </c>
      <c r="AI334" s="33">
        <f t="shared" si="106"/>
        <v>58557.30539999999</v>
      </c>
      <c r="AJ334" s="33">
        <f t="shared" si="107"/>
        <v>36341.703012000005</v>
      </c>
    </row>
    <row r="335" spans="1:36" hidden="1" x14ac:dyDescent="0.25">
      <c r="A335" s="12" t="s">
        <v>35</v>
      </c>
      <c r="B335" s="27">
        <v>45498</v>
      </c>
      <c r="C335" s="4">
        <v>45497</v>
      </c>
      <c r="D335" s="12" t="s">
        <v>646</v>
      </c>
      <c r="E335" s="12" t="s">
        <v>650</v>
      </c>
      <c r="F335" s="12" t="s">
        <v>675</v>
      </c>
      <c r="G335" s="12" t="s">
        <v>703</v>
      </c>
      <c r="H335" s="12" t="s">
        <v>711</v>
      </c>
      <c r="I335" s="12" t="s">
        <v>713</v>
      </c>
      <c r="J335" s="12" t="s">
        <v>731</v>
      </c>
      <c r="K335" s="12" t="s">
        <v>754</v>
      </c>
      <c r="L335" s="6">
        <v>1494.4</v>
      </c>
      <c r="M335" s="6">
        <v>3661.07</v>
      </c>
      <c r="N335" s="6">
        <f t="shared" si="90"/>
        <v>3661.07</v>
      </c>
      <c r="O335" s="6" t="str">
        <f t="shared" si="104"/>
        <v>High</v>
      </c>
      <c r="P335" s="6">
        <v>7.1999999999999995E-2</v>
      </c>
      <c r="Q335" s="6">
        <f t="shared" si="91"/>
        <v>7.1999999999999995E-2</v>
      </c>
      <c r="R335" s="6">
        <v>7</v>
      </c>
      <c r="S335" s="6" t="str">
        <f t="shared" si="92"/>
        <v>Correct</v>
      </c>
      <c r="T335" s="4">
        <f t="shared" si="93"/>
        <v>45505</v>
      </c>
      <c r="U335" s="11">
        <f t="shared" si="94"/>
        <v>7</v>
      </c>
      <c r="V335" s="6">
        <f t="shared" si="95"/>
        <v>23782.310720000001</v>
      </c>
      <c r="W335" s="6">
        <f t="shared" si="96"/>
        <v>10460.800000000001</v>
      </c>
      <c r="X335" s="6">
        <f t="shared" si="97"/>
        <v>13321.51072</v>
      </c>
      <c r="Y335" s="6">
        <f t="shared" si="98"/>
        <v>0.56014366630897339</v>
      </c>
      <c r="Z335" s="4" t="str">
        <f t="shared" si="99"/>
        <v>Q3-2024</v>
      </c>
      <c r="AA335" t="str">
        <f t="shared" si="100"/>
        <v>Laptops</v>
      </c>
      <c r="AB335" t="str">
        <f t="shared" si="101"/>
        <v>Laptops</v>
      </c>
      <c r="AC335" t="str">
        <f t="shared" si="102"/>
        <v>Compliant</v>
      </c>
      <c r="AD335" t="str">
        <f t="shared" si="103"/>
        <v>On-time</v>
      </c>
      <c r="AE335" s="8">
        <f>MIN(Q335,Scenario!$B$2)</f>
        <v>7.1999999999999995E-2</v>
      </c>
      <c r="AF335" s="33">
        <f>L335*(1+Scenario!$B$3)</f>
        <v>1718.56</v>
      </c>
      <c r="AG335" s="6">
        <f>R335*(1+Scenario!$B$4)</f>
        <v>8.4</v>
      </c>
      <c r="AH335" s="33">
        <f t="shared" si="105"/>
        <v>28538.772864000002</v>
      </c>
      <c r="AI335" s="33">
        <f t="shared" si="106"/>
        <v>14435.904</v>
      </c>
      <c r="AJ335" s="33">
        <f t="shared" si="107"/>
        <v>14102.868864000002</v>
      </c>
    </row>
    <row r="336" spans="1:36" x14ac:dyDescent="0.25">
      <c r="A336" s="12" t="s">
        <v>220</v>
      </c>
      <c r="B336" s="27">
        <v>45109</v>
      </c>
      <c r="C336" s="4">
        <v>45139</v>
      </c>
      <c r="D336" s="12" t="s">
        <v>649</v>
      </c>
      <c r="E336" s="12" t="s">
        <v>658</v>
      </c>
      <c r="F336" s="12" t="s">
        <v>674</v>
      </c>
      <c r="G336" s="12" t="s">
        <v>705</v>
      </c>
      <c r="H336" s="12" t="s">
        <v>707</v>
      </c>
      <c r="I336" s="12" t="s">
        <v>717</v>
      </c>
      <c r="J336" s="12" t="s">
        <v>727</v>
      </c>
      <c r="K336" s="12" t="s">
        <v>940</v>
      </c>
      <c r="L336" s="6">
        <v>137.46</v>
      </c>
      <c r="M336" s="6">
        <v>188.3</v>
      </c>
      <c r="N336" s="6">
        <f t="shared" si="90"/>
        <v>188.3</v>
      </c>
      <c r="O336" s="6" t="str">
        <f t="shared" si="104"/>
        <v>Low</v>
      </c>
      <c r="P336" s="6">
        <v>3.7999999999999999E-2</v>
      </c>
      <c r="Q336" s="6">
        <f t="shared" si="91"/>
        <v>3.7999999999999999E-2</v>
      </c>
      <c r="R336" s="6">
        <v>37</v>
      </c>
      <c r="S336" s="6" t="str">
        <f t="shared" si="92"/>
        <v>OK</v>
      </c>
      <c r="T336" s="4">
        <f t="shared" si="93"/>
        <v>45139</v>
      </c>
      <c r="U336" s="11">
        <f t="shared" si="94"/>
        <v>30</v>
      </c>
      <c r="V336" s="6">
        <f t="shared" si="95"/>
        <v>6702.3501999999999</v>
      </c>
      <c r="W336" s="6">
        <f t="shared" si="96"/>
        <v>5086.0200000000004</v>
      </c>
      <c r="X336" s="6">
        <f t="shared" si="97"/>
        <v>1616.3301999999994</v>
      </c>
      <c r="Y336" s="6">
        <f t="shared" si="98"/>
        <v>0.24115872071262398</v>
      </c>
      <c r="Z336" s="4" t="str">
        <f t="shared" si="99"/>
        <v>Q3-2023</v>
      </c>
      <c r="AA336" t="str">
        <f t="shared" si="100"/>
        <v>Components</v>
      </c>
      <c r="AB336" t="str">
        <f t="shared" si="101"/>
        <v>Components</v>
      </c>
      <c r="AC336" t="str">
        <f t="shared" si="102"/>
        <v>Compliant</v>
      </c>
      <c r="AD336" t="str">
        <f t="shared" si="103"/>
        <v>Late</v>
      </c>
      <c r="AE336" s="8">
        <f>MIN(Q336,Scenario!$B$2)</f>
        <v>3.7999999999999999E-2</v>
      </c>
      <c r="AF336" s="33">
        <f>L336*(1+Scenario!$B$3)</f>
        <v>158.07900000000001</v>
      </c>
      <c r="AG336" s="6">
        <f>R336*(1+Scenario!$B$4)</f>
        <v>44.4</v>
      </c>
      <c r="AH336" s="33">
        <f t="shared" si="105"/>
        <v>8042.82024</v>
      </c>
      <c r="AI336" s="33">
        <f t="shared" si="106"/>
        <v>7018.7075999999997</v>
      </c>
      <c r="AJ336" s="33">
        <f t="shared" si="107"/>
        <v>1024.1126400000003</v>
      </c>
    </row>
    <row r="337" spans="1:36" hidden="1" x14ac:dyDescent="0.25">
      <c r="A337" s="12" t="s">
        <v>474</v>
      </c>
      <c r="B337" s="27">
        <v>45116</v>
      </c>
      <c r="C337" s="4">
        <v>45126</v>
      </c>
      <c r="D337" s="12" t="s">
        <v>647</v>
      </c>
      <c r="E337" s="12" t="s">
        <v>652</v>
      </c>
      <c r="F337" s="12" t="s">
        <v>689</v>
      </c>
      <c r="G337" s="12" t="s">
        <v>706</v>
      </c>
      <c r="H337" s="12" t="s">
        <v>710</v>
      </c>
      <c r="I337" s="12" t="s">
        <v>725</v>
      </c>
      <c r="J337" s="12" t="s">
        <v>727</v>
      </c>
      <c r="K337" s="12" t="s">
        <v>1193</v>
      </c>
      <c r="L337" s="6">
        <v>141.26</v>
      </c>
      <c r="M337" s="6">
        <v>206.88</v>
      </c>
      <c r="N337" s="6">
        <f t="shared" si="90"/>
        <v>206.88</v>
      </c>
      <c r="O337" s="6" t="str">
        <f t="shared" si="104"/>
        <v>Low</v>
      </c>
      <c r="P337" s="6">
        <v>0.107</v>
      </c>
      <c r="Q337" s="6">
        <f t="shared" si="91"/>
        <v>0.107</v>
      </c>
      <c r="R337" s="6">
        <v>9</v>
      </c>
      <c r="S337" s="6" t="str">
        <f t="shared" si="92"/>
        <v>OK</v>
      </c>
      <c r="T337" s="4">
        <f t="shared" si="93"/>
        <v>45126</v>
      </c>
      <c r="U337" s="11">
        <f t="shared" si="94"/>
        <v>10</v>
      </c>
      <c r="V337" s="6">
        <f t="shared" si="95"/>
        <v>1662.6945600000001</v>
      </c>
      <c r="W337" s="6">
        <f t="shared" si="96"/>
        <v>1271.3399999999999</v>
      </c>
      <c r="X337" s="6">
        <f t="shared" si="97"/>
        <v>391.35456000000022</v>
      </c>
      <c r="Y337" s="6">
        <f t="shared" si="98"/>
        <v>0.23537369365062469</v>
      </c>
      <c r="Z337" s="4" t="str">
        <f t="shared" si="99"/>
        <v>Q3-2023</v>
      </c>
      <c r="AA337" t="str">
        <f t="shared" si="100"/>
        <v>Components</v>
      </c>
      <c r="AB337" t="str">
        <f t="shared" si="101"/>
        <v>Components</v>
      </c>
      <c r="AC337" t="str">
        <f t="shared" si="102"/>
        <v>Compliant</v>
      </c>
      <c r="AD337" t="str">
        <f t="shared" si="103"/>
        <v>Late</v>
      </c>
      <c r="AE337" s="8">
        <f>MIN(Q337,Scenario!$B$2)</f>
        <v>0.107</v>
      </c>
      <c r="AF337" s="33">
        <f>L337*(1+Scenario!$B$3)</f>
        <v>162.44899999999998</v>
      </c>
      <c r="AG337" s="6">
        <f>R337*(1+Scenario!$B$4)</f>
        <v>10.799999999999999</v>
      </c>
      <c r="AH337" s="33">
        <f t="shared" si="105"/>
        <v>1995.2334719999997</v>
      </c>
      <c r="AI337" s="33">
        <f t="shared" si="106"/>
        <v>1754.4491999999996</v>
      </c>
      <c r="AJ337" s="33">
        <f t="shared" si="107"/>
        <v>240.7842720000001</v>
      </c>
    </row>
    <row r="338" spans="1:36" hidden="1" x14ac:dyDescent="0.25">
      <c r="A338" s="12" t="s">
        <v>352</v>
      </c>
      <c r="B338" s="27">
        <v>45132</v>
      </c>
      <c r="C338" s="4">
        <v>45148</v>
      </c>
      <c r="D338" s="12" t="s">
        <v>646</v>
      </c>
      <c r="E338" s="12" t="s">
        <v>651</v>
      </c>
      <c r="F338" s="12" t="s">
        <v>663</v>
      </c>
      <c r="G338" s="12" t="s">
        <v>701</v>
      </c>
      <c r="H338" s="12" t="s">
        <v>710</v>
      </c>
      <c r="I338" s="12" t="s">
        <v>714</v>
      </c>
      <c r="J338" s="12" t="s">
        <v>733</v>
      </c>
      <c r="K338" s="12" t="s">
        <v>1072</v>
      </c>
      <c r="L338" s="6">
        <v>506.83</v>
      </c>
      <c r="M338" s="6">
        <v>441.74</v>
      </c>
      <c r="N338" s="6">
        <f t="shared" si="90"/>
        <v>441.74</v>
      </c>
      <c r="O338" s="6" t="str">
        <f t="shared" si="104"/>
        <v>Low</v>
      </c>
      <c r="P338" s="6">
        <v>0.24</v>
      </c>
      <c r="Q338" s="6">
        <f t="shared" si="91"/>
        <v>0.24</v>
      </c>
      <c r="R338" s="6">
        <v>9</v>
      </c>
      <c r="S338" s="6" t="str">
        <f t="shared" si="92"/>
        <v>OK</v>
      </c>
      <c r="T338" s="4">
        <f t="shared" si="93"/>
        <v>45148</v>
      </c>
      <c r="U338" s="11">
        <f t="shared" si="94"/>
        <v>16</v>
      </c>
      <c r="V338" s="6">
        <f t="shared" si="95"/>
        <v>3021.5016000000001</v>
      </c>
      <c r="W338" s="6">
        <f t="shared" si="96"/>
        <v>4561.47</v>
      </c>
      <c r="X338" s="6">
        <f t="shared" si="97"/>
        <v>-1539.9684000000002</v>
      </c>
      <c r="Y338" s="6">
        <f t="shared" si="98"/>
        <v>-0.50966989393618067</v>
      </c>
      <c r="Z338" s="4" t="str">
        <f t="shared" si="99"/>
        <v>Q3-2023</v>
      </c>
      <c r="AA338" t="str">
        <f t="shared" si="100"/>
        <v>Accessories</v>
      </c>
      <c r="AB338" t="str">
        <f t="shared" si="101"/>
        <v>Accessories</v>
      </c>
      <c r="AC338" t="str">
        <f t="shared" si="102"/>
        <v>Non-compliant</v>
      </c>
      <c r="AD338" t="str">
        <f t="shared" si="103"/>
        <v>Late</v>
      </c>
      <c r="AE338" s="8">
        <f>MIN(Q338,Scenario!$B$2)</f>
        <v>0.2</v>
      </c>
      <c r="AF338" s="33">
        <f>L338*(1+Scenario!$B$3)</f>
        <v>582.85449999999992</v>
      </c>
      <c r="AG338" s="6">
        <f>R338*(1+Scenario!$B$4)</f>
        <v>10.799999999999999</v>
      </c>
      <c r="AH338" s="33">
        <f t="shared" si="105"/>
        <v>3816.6335999999997</v>
      </c>
      <c r="AI338" s="33">
        <f t="shared" si="106"/>
        <v>6294.8285999999989</v>
      </c>
      <c r="AJ338" s="33">
        <f t="shared" si="107"/>
        <v>-2478.1949999999993</v>
      </c>
    </row>
    <row r="339" spans="1:36" x14ac:dyDescent="0.25">
      <c r="A339" s="12" t="s">
        <v>550</v>
      </c>
      <c r="B339" s="27">
        <v>45108</v>
      </c>
      <c r="C339" s="4">
        <v>45118</v>
      </c>
      <c r="D339" s="12" t="s">
        <v>649</v>
      </c>
      <c r="E339" s="12" t="s">
        <v>657</v>
      </c>
      <c r="F339" s="12" t="s">
        <v>690</v>
      </c>
      <c r="G339" s="12" t="s">
        <v>701</v>
      </c>
      <c r="H339" s="12" t="s">
        <v>711</v>
      </c>
      <c r="I339" s="12" t="s">
        <v>721</v>
      </c>
      <c r="J339" s="12" t="s">
        <v>729</v>
      </c>
      <c r="K339" s="12" t="s">
        <v>1269</v>
      </c>
      <c r="L339" s="6">
        <v>479.5</v>
      </c>
      <c r="M339" s="6">
        <v>656.66</v>
      </c>
      <c r="N339" s="6">
        <f t="shared" si="90"/>
        <v>656.66</v>
      </c>
      <c r="O339" s="6" t="str">
        <f t="shared" si="104"/>
        <v>Middle</v>
      </c>
      <c r="P339" s="6">
        <v>0.14899999999999999</v>
      </c>
      <c r="Q339" s="6">
        <f t="shared" si="91"/>
        <v>0.14899999999999999</v>
      </c>
      <c r="R339" s="6">
        <v>14</v>
      </c>
      <c r="S339" s="6" t="str">
        <f t="shared" si="92"/>
        <v>OK</v>
      </c>
      <c r="T339" s="4">
        <f t="shared" si="93"/>
        <v>45118</v>
      </c>
      <c r="U339" s="11">
        <f t="shared" si="94"/>
        <v>10</v>
      </c>
      <c r="V339" s="6">
        <f t="shared" si="95"/>
        <v>7823.4472399999995</v>
      </c>
      <c r="W339" s="6">
        <f t="shared" si="96"/>
        <v>6713</v>
      </c>
      <c r="X339" s="6">
        <f t="shared" si="97"/>
        <v>1110.4472399999995</v>
      </c>
      <c r="Y339" s="6">
        <f t="shared" si="98"/>
        <v>0.14193835606412289</v>
      </c>
      <c r="Z339" s="4" t="str">
        <f t="shared" si="99"/>
        <v>Q3-2023</v>
      </c>
      <c r="AA339" t="str">
        <f t="shared" si="100"/>
        <v>Networking</v>
      </c>
      <c r="AB339" t="str">
        <f t="shared" si="101"/>
        <v>Networking</v>
      </c>
      <c r="AC339" t="str">
        <f t="shared" si="102"/>
        <v>Compliant</v>
      </c>
      <c r="AD339" t="str">
        <f t="shared" si="103"/>
        <v>Late</v>
      </c>
      <c r="AE339" s="8">
        <f>MIN(Q339,Scenario!$B$2)</f>
        <v>0.14899999999999999</v>
      </c>
      <c r="AF339" s="33">
        <f>L339*(1+Scenario!$B$3)</f>
        <v>551.42499999999995</v>
      </c>
      <c r="AG339" s="6">
        <f>R339*(1+Scenario!$B$4)</f>
        <v>16.8</v>
      </c>
      <c r="AH339" s="33">
        <f t="shared" si="105"/>
        <v>9388.1366880000005</v>
      </c>
      <c r="AI339" s="33">
        <f t="shared" si="106"/>
        <v>9263.94</v>
      </c>
      <c r="AJ339" s="33">
        <f t="shared" si="107"/>
        <v>124.19668799999999</v>
      </c>
    </row>
    <row r="340" spans="1:36" hidden="1" x14ac:dyDescent="0.25">
      <c r="A340" s="12" t="s">
        <v>303</v>
      </c>
      <c r="B340" s="27">
        <v>45125</v>
      </c>
      <c r="C340" s="4">
        <v>45148</v>
      </c>
      <c r="D340" s="12" t="s">
        <v>646</v>
      </c>
      <c r="E340" s="12" t="s">
        <v>661</v>
      </c>
      <c r="F340" s="12" t="s">
        <v>682</v>
      </c>
      <c r="G340" s="12" t="s">
        <v>705</v>
      </c>
      <c r="H340" s="12" t="s">
        <v>707</v>
      </c>
      <c r="I340" s="12" t="s">
        <v>716</v>
      </c>
      <c r="J340" s="12" t="s">
        <v>727</v>
      </c>
      <c r="K340" s="12" t="s">
        <v>1023</v>
      </c>
      <c r="L340" s="6">
        <v>1271.56</v>
      </c>
      <c r="M340" s="6">
        <v>995.47</v>
      </c>
      <c r="N340" s="6">
        <f t="shared" si="90"/>
        <v>995.47</v>
      </c>
      <c r="O340" s="6" t="str">
        <f t="shared" si="104"/>
        <v>Middle</v>
      </c>
      <c r="P340" s="6">
        <v>0.192</v>
      </c>
      <c r="Q340" s="6">
        <f t="shared" si="91"/>
        <v>0.192</v>
      </c>
      <c r="R340" s="6">
        <v>13</v>
      </c>
      <c r="S340" s="6" t="str">
        <f t="shared" si="92"/>
        <v>OK</v>
      </c>
      <c r="T340" s="4">
        <f t="shared" si="93"/>
        <v>45148</v>
      </c>
      <c r="U340" s="11">
        <f t="shared" si="94"/>
        <v>23</v>
      </c>
      <c r="V340" s="6">
        <f t="shared" si="95"/>
        <v>10456.416880000001</v>
      </c>
      <c r="W340" s="6">
        <f t="shared" si="96"/>
        <v>16530.28</v>
      </c>
      <c r="X340" s="6">
        <f t="shared" si="97"/>
        <v>-6073.8631199999982</v>
      </c>
      <c r="Y340" s="6">
        <f t="shared" si="98"/>
        <v>-0.58087423155607754</v>
      </c>
      <c r="Z340" s="4" t="str">
        <f t="shared" si="99"/>
        <v>Q3-2023</v>
      </c>
      <c r="AA340" t="str">
        <f t="shared" si="100"/>
        <v>Components</v>
      </c>
      <c r="AB340" t="str">
        <f t="shared" si="101"/>
        <v>Components</v>
      </c>
      <c r="AC340" t="str">
        <f t="shared" si="102"/>
        <v>Compliant</v>
      </c>
      <c r="AD340" t="str">
        <f t="shared" si="103"/>
        <v>Late</v>
      </c>
      <c r="AE340" s="8">
        <f>MIN(Q340,Scenario!$B$2)</f>
        <v>0.192</v>
      </c>
      <c r="AF340" s="33">
        <f>L340*(1+Scenario!$B$3)</f>
        <v>1462.2939999999999</v>
      </c>
      <c r="AG340" s="6">
        <f>R340*(1+Scenario!$B$4)</f>
        <v>15.6</v>
      </c>
      <c r="AH340" s="33">
        <f t="shared" si="105"/>
        <v>12547.700256000002</v>
      </c>
      <c r="AI340" s="33">
        <f t="shared" si="106"/>
        <v>22811.786399999997</v>
      </c>
      <c r="AJ340" s="33">
        <f t="shared" si="107"/>
        <v>-10264.086143999995</v>
      </c>
    </row>
    <row r="341" spans="1:36" hidden="1" x14ac:dyDescent="0.25">
      <c r="A341" s="12" t="s">
        <v>159</v>
      </c>
      <c r="B341" s="27">
        <v>45112</v>
      </c>
      <c r="C341" s="4">
        <v>45121</v>
      </c>
      <c r="D341" s="12" t="s">
        <v>648</v>
      </c>
      <c r="E341" s="12" t="s">
        <v>655</v>
      </c>
      <c r="F341" s="12" t="s">
        <v>672</v>
      </c>
      <c r="G341" s="12" t="s">
        <v>706</v>
      </c>
      <c r="H341" s="12" t="s">
        <v>711</v>
      </c>
      <c r="I341" s="12" t="s">
        <v>717</v>
      </c>
      <c r="J341" s="12" t="s">
        <v>729</v>
      </c>
      <c r="K341" s="12" t="s">
        <v>878</v>
      </c>
      <c r="L341" s="6">
        <v>578.85</v>
      </c>
      <c r="M341" s="6">
        <v>998.76</v>
      </c>
      <c r="N341" s="6">
        <f t="shared" si="90"/>
        <v>998.76</v>
      </c>
      <c r="O341" s="6" t="str">
        <f t="shared" si="104"/>
        <v>Middle</v>
      </c>
      <c r="P341" s="6">
        <v>8.2000000000000003E-2</v>
      </c>
      <c r="Q341" s="6">
        <f t="shared" si="91"/>
        <v>8.2000000000000003E-2</v>
      </c>
      <c r="R341" s="6">
        <v>28</v>
      </c>
      <c r="S341" s="6" t="str">
        <f t="shared" si="92"/>
        <v>OK</v>
      </c>
      <c r="T341" s="4">
        <f t="shared" si="93"/>
        <v>45121</v>
      </c>
      <c r="U341" s="11">
        <f t="shared" si="94"/>
        <v>9</v>
      </c>
      <c r="V341" s="6">
        <f t="shared" si="95"/>
        <v>25672.127039999999</v>
      </c>
      <c r="W341" s="6">
        <f t="shared" si="96"/>
        <v>16207.800000000001</v>
      </c>
      <c r="X341" s="6">
        <f t="shared" si="97"/>
        <v>9464.3270399999983</v>
      </c>
      <c r="Y341" s="6">
        <f t="shared" si="98"/>
        <v>0.36866158480960831</v>
      </c>
      <c r="Z341" s="4" t="str">
        <f t="shared" si="99"/>
        <v>Q3-2023</v>
      </c>
      <c r="AA341" t="str">
        <f t="shared" si="100"/>
        <v>Networking</v>
      </c>
      <c r="AB341" t="str">
        <f t="shared" si="101"/>
        <v>Networking</v>
      </c>
      <c r="AC341" t="str">
        <f t="shared" si="102"/>
        <v>Compliant</v>
      </c>
      <c r="AD341" t="str">
        <f t="shared" si="103"/>
        <v>Late</v>
      </c>
      <c r="AE341" s="8">
        <f>MIN(Q341,Scenario!$B$2)</f>
        <v>8.2000000000000003E-2</v>
      </c>
      <c r="AF341" s="33">
        <f>L341*(1+Scenario!$B$3)</f>
        <v>665.67750000000001</v>
      </c>
      <c r="AG341" s="6">
        <f>R341*(1+Scenario!$B$4)</f>
        <v>33.6</v>
      </c>
      <c r="AH341" s="33">
        <f t="shared" si="105"/>
        <v>30806.552448000006</v>
      </c>
      <c r="AI341" s="33">
        <f t="shared" si="106"/>
        <v>22366.764000000003</v>
      </c>
      <c r="AJ341" s="33">
        <f t="shared" si="107"/>
        <v>8439.788448000003</v>
      </c>
    </row>
    <row r="342" spans="1:36" x14ac:dyDescent="0.25">
      <c r="A342" s="12" t="s">
        <v>558</v>
      </c>
      <c r="B342" s="27">
        <v>45108</v>
      </c>
      <c r="C342" s="4">
        <v>45115</v>
      </c>
      <c r="D342" s="12" t="s">
        <v>649</v>
      </c>
      <c r="E342" s="12" t="s">
        <v>656</v>
      </c>
      <c r="F342" s="12" t="s">
        <v>698</v>
      </c>
      <c r="G342" s="12" t="s">
        <v>705</v>
      </c>
      <c r="H342" s="12" t="s">
        <v>710</v>
      </c>
      <c r="I342" s="12" t="s">
        <v>725</v>
      </c>
      <c r="J342" s="12" t="s">
        <v>731</v>
      </c>
      <c r="K342" s="12" t="s">
        <v>1276</v>
      </c>
      <c r="L342" s="6">
        <v>460.21</v>
      </c>
      <c r="M342" s="6">
        <v>1139.1500000000001</v>
      </c>
      <c r="N342" s="6">
        <f t="shared" si="90"/>
        <v>1139.1500000000001</v>
      </c>
      <c r="O342" s="6" t="str">
        <f t="shared" si="104"/>
        <v>Middle</v>
      </c>
      <c r="P342" s="6">
        <v>0.115</v>
      </c>
      <c r="Q342" s="6">
        <f t="shared" si="91"/>
        <v>0.115</v>
      </c>
      <c r="R342" s="6">
        <v>14</v>
      </c>
      <c r="S342" s="6" t="str">
        <f t="shared" si="92"/>
        <v>OK</v>
      </c>
      <c r="T342" s="4">
        <f t="shared" si="93"/>
        <v>45115</v>
      </c>
      <c r="U342" s="11">
        <f t="shared" si="94"/>
        <v>7</v>
      </c>
      <c r="V342" s="6">
        <f t="shared" si="95"/>
        <v>14114.068500000001</v>
      </c>
      <c r="W342" s="6">
        <f t="shared" si="96"/>
        <v>6442.94</v>
      </c>
      <c r="X342" s="6">
        <f t="shared" si="97"/>
        <v>7671.1285000000016</v>
      </c>
      <c r="Y342" s="6">
        <f t="shared" si="98"/>
        <v>0.54350937151821255</v>
      </c>
      <c r="Z342" s="4" t="str">
        <f t="shared" si="99"/>
        <v>Q3-2023</v>
      </c>
      <c r="AA342" t="str">
        <f t="shared" si="100"/>
        <v>Laptops</v>
      </c>
      <c r="AB342" t="str">
        <f t="shared" si="101"/>
        <v>Laptops</v>
      </c>
      <c r="AC342" t="str">
        <f t="shared" si="102"/>
        <v>Compliant</v>
      </c>
      <c r="AD342" t="str">
        <f t="shared" si="103"/>
        <v>On-time</v>
      </c>
      <c r="AE342" s="8">
        <f>MIN(Q342,Scenario!$B$2)</f>
        <v>0.115</v>
      </c>
      <c r="AF342" s="33">
        <f>L342*(1+Scenario!$B$3)</f>
        <v>529.24149999999997</v>
      </c>
      <c r="AG342" s="6">
        <f>R342*(1+Scenario!$B$4)</f>
        <v>16.8</v>
      </c>
      <c r="AH342" s="33">
        <f t="shared" si="105"/>
        <v>16936.8822</v>
      </c>
      <c r="AI342" s="33">
        <f t="shared" si="106"/>
        <v>8891.2572</v>
      </c>
      <c r="AJ342" s="33">
        <f t="shared" si="107"/>
        <v>8045.625</v>
      </c>
    </row>
    <row r="343" spans="1:36" hidden="1" x14ac:dyDescent="0.25">
      <c r="A343" s="12" t="s">
        <v>166</v>
      </c>
      <c r="B343" s="27">
        <v>45110</v>
      </c>
      <c r="C343" s="4">
        <v>45130</v>
      </c>
      <c r="D343" s="12" t="s">
        <v>646</v>
      </c>
      <c r="E343" s="12" t="s">
        <v>661</v>
      </c>
      <c r="F343" s="12" t="s">
        <v>682</v>
      </c>
      <c r="G343" s="12" t="s">
        <v>705</v>
      </c>
      <c r="H343" s="12" t="s">
        <v>710</v>
      </c>
      <c r="I343" s="12" t="s">
        <v>721</v>
      </c>
      <c r="J343" s="12" t="s">
        <v>731</v>
      </c>
      <c r="K343" s="12" t="s">
        <v>885</v>
      </c>
      <c r="L343" s="6">
        <v>1001.96</v>
      </c>
      <c r="M343" s="6">
        <v>1254.95</v>
      </c>
      <c r="N343" s="6">
        <f t="shared" si="90"/>
        <v>1254.95</v>
      </c>
      <c r="O343" s="6" t="str">
        <f t="shared" si="104"/>
        <v>High</v>
      </c>
      <c r="P343" s="6">
        <v>4.4999999999999998E-2</v>
      </c>
      <c r="Q343" s="6">
        <f t="shared" si="91"/>
        <v>4.4999999999999998E-2</v>
      </c>
      <c r="R343" s="6">
        <v>18</v>
      </c>
      <c r="S343" s="6" t="str">
        <f t="shared" si="92"/>
        <v>OK</v>
      </c>
      <c r="T343" s="4">
        <f t="shared" si="93"/>
        <v>45130</v>
      </c>
      <c r="U343" s="11">
        <f t="shared" si="94"/>
        <v>20</v>
      </c>
      <c r="V343" s="6">
        <f t="shared" si="95"/>
        <v>21572.590500000002</v>
      </c>
      <c r="W343" s="6">
        <f t="shared" si="96"/>
        <v>18035.28</v>
      </c>
      <c r="X343" s="6">
        <f t="shared" si="97"/>
        <v>3537.3105000000032</v>
      </c>
      <c r="Y343" s="6">
        <f t="shared" si="98"/>
        <v>0.16397244920585699</v>
      </c>
      <c r="Z343" s="4" t="str">
        <f t="shared" si="99"/>
        <v>Q3-2023</v>
      </c>
      <c r="AA343" t="str">
        <f t="shared" si="100"/>
        <v>Laptops</v>
      </c>
      <c r="AB343" t="str">
        <f t="shared" si="101"/>
        <v>Laptops</v>
      </c>
      <c r="AC343" t="str">
        <f t="shared" si="102"/>
        <v>Compliant</v>
      </c>
      <c r="AD343" t="str">
        <f t="shared" si="103"/>
        <v>Late</v>
      </c>
      <c r="AE343" s="8">
        <f>MIN(Q343,Scenario!$B$2)</f>
        <v>4.4999999999999998E-2</v>
      </c>
      <c r="AF343" s="33">
        <f>L343*(1+Scenario!$B$3)</f>
        <v>1152.2539999999999</v>
      </c>
      <c r="AG343" s="6">
        <f>R343*(1+Scenario!$B$4)</f>
        <v>21.599999999999998</v>
      </c>
      <c r="AH343" s="33">
        <f t="shared" si="105"/>
        <v>25887.108599999996</v>
      </c>
      <c r="AI343" s="33">
        <f t="shared" si="106"/>
        <v>24888.686399999995</v>
      </c>
      <c r="AJ343" s="33">
        <f t="shared" si="107"/>
        <v>998.42220000000088</v>
      </c>
    </row>
    <row r="344" spans="1:36" hidden="1" x14ac:dyDescent="0.25">
      <c r="A344" s="12" t="s">
        <v>353</v>
      </c>
      <c r="B344" s="27">
        <v>45121</v>
      </c>
      <c r="C344" s="4">
        <v>45128</v>
      </c>
      <c r="D344" s="12" t="s">
        <v>646</v>
      </c>
      <c r="E344" s="12" t="s">
        <v>661</v>
      </c>
      <c r="F344" s="12" t="s">
        <v>687</v>
      </c>
      <c r="G344" s="12" t="s">
        <v>706</v>
      </c>
      <c r="H344" s="12" t="s">
        <v>709</v>
      </c>
      <c r="I344" s="14" t="s">
        <v>1368</v>
      </c>
      <c r="J344" s="12" t="s">
        <v>732</v>
      </c>
      <c r="K344" s="12" t="s">
        <v>1073</v>
      </c>
      <c r="L344" s="6">
        <v>620.74</v>
      </c>
      <c r="M344" s="6">
        <v>1330.07</v>
      </c>
      <c r="N344" s="6">
        <f t="shared" si="90"/>
        <v>1330.07</v>
      </c>
      <c r="O344" s="6" t="str">
        <f t="shared" si="104"/>
        <v>High</v>
      </c>
      <c r="P344" s="6">
        <v>0.29899999999999999</v>
      </c>
      <c r="Q344" s="6">
        <f t="shared" si="91"/>
        <v>0.29899999999999999</v>
      </c>
      <c r="R344" s="6">
        <v>28</v>
      </c>
      <c r="S344" s="6" t="str">
        <f t="shared" si="92"/>
        <v>OK</v>
      </c>
      <c r="T344" s="4">
        <f t="shared" si="93"/>
        <v>45128</v>
      </c>
      <c r="U344" s="11">
        <f t="shared" si="94"/>
        <v>7</v>
      </c>
      <c r="V344" s="6">
        <f t="shared" si="95"/>
        <v>26106.613960000002</v>
      </c>
      <c r="W344" s="6">
        <f t="shared" si="96"/>
        <v>17380.72</v>
      </c>
      <c r="X344" s="6">
        <f t="shared" si="97"/>
        <v>8725.8939600000012</v>
      </c>
      <c r="Y344" s="6">
        <f t="shared" si="98"/>
        <v>0.33424073965967516</v>
      </c>
      <c r="Z344" s="4" t="str">
        <f t="shared" si="99"/>
        <v>Q3-2023</v>
      </c>
      <c r="AA344" t="str">
        <f t="shared" si="100"/>
        <v>Monitors</v>
      </c>
      <c r="AB344" t="str">
        <f t="shared" si="101"/>
        <v>Monitors</v>
      </c>
      <c r="AC344" t="str">
        <f t="shared" si="102"/>
        <v>Non-compliant</v>
      </c>
      <c r="AD344" t="str">
        <f t="shared" si="103"/>
        <v>On-time</v>
      </c>
      <c r="AE344" s="8">
        <f>MIN(Q344,Scenario!$B$2)</f>
        <v>0.2</v>
      </c>
      <c r="AF344" s="33">
        <f>L344*(1+Scenario!$B$3)</f>
        <v>713.851</v>
      </c>
      <c r="AG344" s="6">
        <f>R344*(1+Scenario!$B$4)</f>
        <v>33.6</v>
      </c>
      <c r="AH344" s="33">
        <f t="shared" si="105"/>
        <v>35752.281600000002</v>
      </c>
      <c r="AI344" s="33">
        <f t="shared" si="106"/>
        <v>23985.393599999999</v>
      </c>
      <c r="AJ344" s="33">
        <f t="shared" si="107"/>
        <v>11766.888000000003</v>
      </c>
    </row>
    <row r="345" spans="1:36" hidden="1" x14ac:dyDescent="0.25">
      <c r="A345" s="12" t="s">
        <v>552</v>
      </c>
      <c r="B345" s="27">
        <v>45114</v>
      </c>
      <c r="C345" s="4">
        <v>45120</v>
      </c>
      <c r="D345" s="12" t="s">
        <v>646</v>
      </c>
      <c r="E345" s="12" t="s">
        <v>661</v>
      </c>
      <c r="F345" s="12" t="s">
        <v>695</v>
      </c>
      <c r="G345" s="12" t="s">
        <v>705</v>
      </c>
      <c r="H345" s="12" t="s">
        <v>709</v>
      </c>
      <c r="I345" s="12" t="s">
        <v>717</v>
      </c>
      <c r="J345" s="12" t="s">
        <v>733</v>
      </c>
      <c r="K345" s="12" t="s">
        <v>1270</v>
      </c>
      <c r="L345" s="6">
        <v>612.59</v>
      </c>
      <c r="M345" s="6">
        <v>1424.74</v>
      </c>
      <c r="N345" s="6">
        <f t="shared" si="90"/>
        <v>1424.74</v>
      </c>
      <c r="O345" s="6" t="str">
        <f t="shared" si="104"/>
        <v>High</v>
      </c>
      <c r="P345" s="6">
        <v>4.3999999999999997E-2</v>
      </c>
      <c r="Q345" s="6">
        <f t="shared" si="91"/>
        <v>4.3999999999999997E-2</v>
      </c>
      <c r="R345" s="6">
        <v>15</v>
      </c>
      <c r="S345" s="6" t="str">
        <f t="shared" si="92"/>
        <v>OK</v>
      </c>
      <c r="T345" s="4">
        <f t="shared" si="93"/>
        <v>45120</v>
      </c>
      <c r="U345" s="11">
        <f t="shared" si="94"/>
        <v>6</v>
      </c>
      <c r="V345" s="6">
        <f t="shared" si="95"/>
        <v>20430.771599999996</v>
      </c>
      <c r="W345" s="6">
        <f t="shared" si="96"/>
        <v>9188.85</v>
      </c>
      <c r="X345" s="6">
        <f t="shared" si="97"/>
        <v>11241.921599999996</v>
      </c>
      <c r="Y345" s="6">
        <f t="shared" si="98"/>
        <v>0.55024459281802152</v>
      </c>
      <c r="Z345" s="4" t="str">
        <f t="shared" si="99"/>
        <v>Q3-2023</v>
      </c>
      <c r="AA345" t="str">
        <f t="shared" si="100"/>
        <v>Accessories</v>
      </c>
      <c r="AB345" t="str">
        <f t="shared" si="101"/>
        <v>Accessories</v>
      </c>
      <c r="AC345" t="str">
        <f t="shared" si="102"/>
        <v>Compliant</v>
      </c>
      <c r="AD345" t="str">
        <f t="shared" si="103"/>
        <v>On-time</v>
      </c>
      <c r="AE345" s="8">
        <f>MIN(Q345,Scenario!$B$2)</f>
        <v>4.3999999999999997E-2</v>
      </c>
      <c r="AF345" s="33">
        <f>L345*(1+Scenario!$B$3)</f>
        <v>704.47849999999994</v>
      </c>
      <c r="AG345" s="6">
        <f>R345*(1+Scenario!$B$4)</f>
        <v>18</v>
      </c>
      <c r="AH345" s="33">
        <f t="shared" si="105"/>
        <v>24516.925919999998</v>
      </c>
      <c r="AI345" s="33">
        <f t="shared" si="106"/>
        <v>12680.612999999999</v>
      </c>
      <c r="AJ345" s="33">
        <f t="shared" si="107"/>
        <v>11836.312919999998</v>
      </c>
    </row>
    <row r="346" spans="1:36" hidden="1" x14ac:dyDescent="0.25">
      <c r="A346" s="12" t="s">
        <v>366</v>
      </c>
      <c r="B346" s="27">
        <v>45121</v>
      </c>
      <c r="C346" s="4">
        <v>45121</v>
      </c>
      <c r="D346" s="12" t="s">
        <v>646</v>
      </c>
      <c r="E346" s="12" t="s">
        <v>651</v>
      </c>
      <c r="F346" s="12" t="s">
        <v>665</v>
      </c>
      <c r="G346" s="12" t="s">
        <v>702</v>
      </c>
      <c r="H346" s="12" t="s">
        <v>707</v>
      </c>
      <c r="I346" s="12" t="s">
        <v>714</v>
      </c>
      <c r="J346" s="12" t="s">
        <v>733</v>
      </c>
      <c r="K346" s="12" t="s">
        <v>1086</v>
      </c>
      <c r="L346" s="6">
        <v>956.38</v>
      </c>
      <c r="M346" s="6">
        <v>1454.22</v>
      </c>
      <c r="N346" s="6">
        <f t="shared" si="90"/>
        <v>1454.22</v>
      </c>
      <c r="O346" s="6" t="str">
        <f t="shared" si="104"/>
        <v>High</v>
      </c>
      <c r="P346" s="6">
        <v>3.9E-2</v>
      </c>
      <c r="Q346" s="6">
        <f t="shared" si="91"/>
        <v>3.9E-2</v>
      </c>
      <c r="R346" s="6">
        <v>19</v>
      </c>
      <c r="S346" s="6" t="str">
        <f t="shared" si="92"/>
        <v>OK</v>
      </c>
      <c r="T346" s="4">
        <f t="shared" si="93"/>
        <v>45121</v>
      </c>
      <c r="U346" s="11">
        <f t="shared" si="94"/>
        <v>0</v>
      </c>
      <c r="V346" s="6">
        <f t="shared" si="95"/>
        <v>26552.60298</v>
      </c>
      <c r="W346" s="6">
        <f t="shared" si="96"/>
        <v>18171.22</v>
      </c>
      <c r="X346" s="6">
        <f t="shared" si="97"/>
        <v>8381.3829799999985</v>
      </c>
      <c r="Y346" s="6">
        <f t="shared" si="98"/>
        <v>0.31565202802576603</v>
      </c>
      <c r="Z346" s="4" t="str">
        <f t="shared" si="99"/>
        <v>Q3-2023</v>
      </c>
      <c r="AA346" t="str">
        <f t="shared" si="100"/>
        <v>Accessories</v>
      </c>
      <c r="AB346" t="str">
        <f t="shared" si="101"/>
        <v>Accessories</v>
      </c>
      <c r="AC346" t="str">
        <f t="shared" si="102"/>
        <v>Compliant</v>
      </c>
      <c r="AD346" t="str">
        <f t="shared" si="103"/>
        <v>On-time</v>
      </c>
      <c r="AE346" s="8">
        <f>MIN(Q346,Scenario!$B$2)</f>
        <v>3.9E-2</v>
      </c>
      <c r="AF346" s="33">
        <f>L346*(1+Scenario!$B$3)</f>
        <v>1099.837</v>
      </c>
      <c r="AG346" s="6">
        <f>R346*(1+Scenario!$B$4)</f>
        <v>22.8</v>
      </c>
      <c r="AH346" s="33">
        <f t="shared" si="105"/>
        <v>31863.123575999998</v>
      </c>
      <c r="AI346" s="33">
        <f t="shared" si="106"/>
        <v>25076.283599999999</v>
      </c>
      <c r="AJ346" s="33">
        <f t="shared" si="107"/>
        <v>6786.8399759999993</v>
      </c>
    </row>
    <row r="347" spans="1:36" hidden="1" x14ac:dyDescent="0.25">
      <c r="A347" s="12" t="s">
        <v>354</v>
      </c>
      <c r="B347" s="27">
        <v>45131</v>
      </c>
      <c r="C347" s="4">
        <v>45157</v>
      </c>
      <c r="D347" s="12" t="s">
        <v>646</v>
      </c>
      <c r="E347" s="12" t="s">
        <v>650</v>
      </c>
      <c r="F347" s="12" t="s">
        <v>664</v>
      </c>
      <c r="G347" s="12" t="s">
        <v>706</v>
      </c>
      <c r="H347" s="12" t="s">
        <v>710</v>
      </c>
      <c r="I347" s="12" t="s">
        <v>724</v>
      </c>
      <c r="J347" s="12" t="s">
        <v>733</v>
      </c>
      <c r="K347" s="12" t="s">
        <v>1074</v>
      </c>
      <c r="L347" s="6">
        <v>661.45</v>
      </c>
      <c r="M347" s="6">
        <v>1634.86</v>
      </c>
      <c r="N347" s="6">
        <f t="shared" si="90"/>
        <v>1634.86</v>
      </c>
      <c r="O347" s="6" t="str">
        <f t="shared" si="104"/>
        <v>High</v>
      </c>
      <c r="P347" s="6">
        <v>0.56499999999999995</v>
      </c>
      <c r="Q347" s="6">
        <f t="shared" si="91"/>
        <v>0.3</v>
      </c>
      <c r="R347" s="6">
        <v>24</v>
      </c>
      <c r="S347" s="6" t="str">
        <f t="shared" si="92"/>
        <v>OK</v>
      </c>
      <c r="T347" s="4">
        <f t="shared" si="93"/>
        <v>45157</v>
      </c>
      <c r="U347" s="11">
        <f t="shared" si="94"/>
        <v>26</v>
      </c>
      <c r="V347" s="6">
        <f t="shared" si="95"/>
        <v>27465.647999999997</v>
      </c>
      <c r="W347" s="6">
        <f t="shared" si="96"/>
        <v>15874.800000000001</v>
      </c>
      <c r="X347" s="6">
        <f t="shared" si="97"/>
        <v>11590.847999999996</v>
      </c>
      <c r="Y347" s="6">
        <f t="shared" si="98"/>
        <v>0.42201254454291404</v>
      </c>
      <c r="Z347" s="4" t="str">
        <f t="shared" si="99"/>
        <v>Q3-2023</v>
      </c>
      <c r="AA347" t="str">
        <f t="shared" si="100"/>
        <v>Accessories</v>
      </c>
      <c r="AB347" t="str">
        <f t="shared" si="101"/>
        <v>Accessories</v>
      </c>
      <c r="AC347" t="str">
        <f t="shared" si="102"/>
        <v>Non-compliant</v>
      </c>
      <c r="AD347" t="str">
        <f t="shared" si="103"/>
        <v>Late</v>
      </c>
      <c r="AE347" s="8">
        <f>MIN(Q347,Scenario!$B$2)</f>
        <v>0.2</v>
      </c>
      <c r="AF347" s="33">
        <f>L347*(1+Scenario!$B$3)</f>
        <v>760.66750000000002</v>
      </c>
      <c r="AG347" s="6">
        <f>R347*(1+Scenario!$B$4)</f>
        <v>28.799999999999997</v>
      </c>
      <c r="AH347" s="33">
        <f t="shared" si="105"/>
        <v>37667.174399999996</v>
      </c>
      <c r="AI347" s="33">
        <f t="shared" si="106"/>
        <v>21907.223999999998</v>
      </c>
      <c r="AJ347" s="33">
        <f t="shared" si="107"/>
        <v>15759.950399999998</v>
      </c>
    </row>
    <row r="348" spans="1:36" hidden="1" x14ac:dyDescent="0.25">
      <c r="A348" s="12" t="s">
        <v>157</v>
      </c>
      <c r="B348" s="27">
        <v>45133</v>
      </c>
      <c r="C348" s="4">
        <v>45163</v>
      </c>
      <c r="D348" s="12" t="s">
        <v>648</v>
      </c>
      <c r="E348" s="12" t="s">
        <v>660</v>
      </c>
      <c r="F348" s="12" t="s">
        <v>700</v>
      </c>
      <c r="G348" s="12" t="s">
        <v>704</v>
      </c>
      <c r="H348" s="12" t="s">
        <v>707</v>
      </c>
      <c r="I348" s="12" t="s">
        <v>724</v>
      </c>
      <c r="J348" s="12" t="s">
        <v>733</v>
      </c>
      <c r="K348" s="12" t="s">
        <v>876</v>
      </c>
      <c r="L348" s="6">
        <v>1261.48</v>
      </c>
      <c r="M348" s="6">
        <v>1643.18</v>
      </c>
      <c r="N348" s="6">
        <f t="shared" si="90"/>
        <v>1643.18</v>
      </c>
      <c r="O348" s="6" t="str">
        <f t="shared" si="104"/>
        <v>High</v>
      </c>
      <c r="P348" s="6">
        <v>0.151</v>
      </c>
      <c r="Q348" s="6">
        <f t="shared" si="91"/>
        <v>0.151</v>
      </c>
      <c r="R348" s="6">
        <v>23</v>
      </c>
      <c r="S348" s="6" t="str">
        <f t="shared" si="92"/>
        <v>OK</v>
      </c>
      <c r="T348" s="4">
        <f t="shared" si="93"/>
        <v>45163</v>
      </c>
      <c r="U348" s="11">
        <f t="shared" si="94"/>
        <v>30</v>
      </c>
      <c r="V348" s="6">
        <f t="shared" si="95"/>
        <v>32086.37586</v>
      </c>
      <c r="W348" s="6">
        <f t="shared" si="96"/>
        <v>29014.04</v>
      </c>
      <c r="X348" s="6">
        <f t="shared" si="97"/>
        <v>3072.3358599999992</v>
      </c>
      <c r="Y348" s="6">
        <f t="shared" si="98"/>
        <v>9.5752037357079045E-2</v>
      </c>
      <c r="Z348" s="4" t="str">
        <f t="shared" si="99"/>
        <v>Q3-2023</v>
      </c>
      <c r="AA348" t="str">
        <f t="shared" si="100"/>
        <v>Accessories</v>
      </c>
      <c r="AB348" t="str">
        <f t="shared" si="101"/>
        <v>Accessories</v>
      </c>
      <c r="AC348" t="str">
        <f t="shared" si="102"/>
        <v>Compliant</v>
      </c>
      <c r="AD348" t="str">
        <f t="shared" si="103"/>
        <v>Late</v>
      </c>
      <c r="AE348" s="8">
        <f>MIN(Q348,Scenario!$B$2)</f>
        <v>0.151</v>
      </c>
      <c r="AF348" s="33">
        <f>L348*(1+Scenario!$B$3)</f>
        <v>1450.702</v>
      </c>
      <c r="AG348" s="6">
        <f>R348*(1+Scenario!$B$4)</f>
        <v>27.599999999999998</v>
      </c>
      <c r="AH348" s="33">
        <f t="shared" si="105"/>
        <v>38503.651031999994</v>
      </c>
      <c r="AI348" s="33">
        <f t="shared" si="106"/>
        <v>40039.375199999995</v>
      </c>
      <c r="AJ348" s="33">
        <f t="shared" si="107"/>
        <v>-1535.7241680000006</v>
      </c>
    </row>
    <row r="349" spans="1:36" hidden="1" x14ac:dyDescent="0.25">
      <c r="A349" s="12" t="s">
        <v>287</v>
      </c>
      <c r="B349" s="27">
        <v>45131</v>
      </c>
      <c r="C349" s="4">
        <v>45151</v>
      </c>
      <c r="D349" s="12" t="s">
        <v>648</v>
      </c>
      <c r="E349" s="12" t="s">
        <v>653</v>
      </c>
      <c r="F349" s="12" t="s">
        <v>681</v>
      </c>
      <c r="G349" s="12" t="s">
        <v>702</v>
      </c>
      <c r="H349" s="12" t="s">
        <v>711</v>
      </c>
      <c r="I349" s="12" t="s">
        <v>712</v>
      </c>
      <c r="J349" s="12" t="s">
        <v>732</v>
      </c>
      <c r="K349" s="12" t="s">
        <v>1007</v>
      </c>
      <c r="L349" s="6">
        <v>1082.3800000000001</v>
      </c>
      <c r="M349" s="6">
        <v>1766.55</v>
      </c>
      <c r="N349" s="6">
        <f t="shared" si="90"/>
        <v>1766.55</v>
      </c>
      <c r="O349" s="6" t="str">
        <f t="shared" si="104"/>
        <v>High</v>
      </c>
      <c r="P349" s="6">
        <v>0.16400000000000001</v>
      </c>
      <c r="Q349" s="6">
        <f t="shared" si="91"/>
        <v>0.16400000000000001</v>
      </c>
      <c r="R349" s="6">
        <v>20</v>
      </c>
      <c r="S349" s="6" t="str">
        <f t="shared" si="92"/>
        <v>OK</v>
      </c>
      <c r="T349" s="4">
        <f t="shared" si="93"/>
        <v>45151</v>
      </c>
      <c r="U349" s="11">
        <f t="shared" si="94"/>
        <v>20</v>
      </c>
      <c r="V349" s="6">
        <f t="shared" si="95"/>
        <v>29536.716</v>
      </c>
      <c r="W349" s="6">
        <f t="shared" si="96"/>
        <v>21647.600000000002</v>
      </c>
      <c r="X349" s="6">
        <f t="shared" si="97"/>
        <v>7889.1159999999982</v>
      </c>
      <c r="Y349" s="6">
        <f t="shared" si="98"/>
        <v>0.26709523157550752</v>
      </c>
      <c r="Z349" s="4" t="str">
        <f t="shared" si="99"/>
        <v>Q3-2023</v>
      </c>
      <c r="AA349" t="str">
        <f t="shared" si="100"/>
        <v>Monitors</v>
      </c>
      <c r="AB349" t="str">
        <f t="shared" si="101"/>
        <v>Monitors</v>
      </c>
      <c r="AC349" t="str">
        <f t="shared" si="102"/>
        <v>Compliant</v>
      </c>
      <c r="AD349" t="str">
        <f t="shared" si="103"/>
        <v>Late</v>
      </c>
      <c r="AE349" s="8">
        <f>MIN(Q349,Scenario!$B$2)</f>
        <v>0.16400000000000001</v>
      </c>
      <c r="AF349" s="33">
        <f>L349*(1+Scenario!$B$3)</f>
        <v>1244.7370000000001</v>
      </c>
      <c r="AG349" s="6">
        <f>R349*(1+Scenario!$B$4)</f>
        <v>24</v>
      </c>
      <c r="AH349" s="33">
        <f t="shared" si="105"/>
        <v>35444.059199999996</v>
      </c>
      <c r="AI349" s="33">
        <f t="shared" si="106"/>
        <v>29873.688000000002</v>
      </c>
      <c r="AJ349" s="33">
        <f t="shared" si="107"/>
        <v>5570.3711999999941</v>
      </c>
    </row>
    <row r="350" spans="1:36" hidden="1" x14ac:dyDescent="0.25">
      <c r="A350" s="12" t="s">
        <v>376</v>
      </c>
      <c r="B350" s="27">
        <v>45108</v>
      </c>
      <c r="C350" s="4">
        <v>45115</v>
      </c>
      <c r="D350" s="12" t="s">
        <v>646</v>
      </c>
      <c r="E350" s="12" t="s">
        <v>651</v>
      </c>
      <c r="F350" s="12" t="s">
        <v>663</v>
      </c>
      <c r="G350" s="12" t="s">
        <v>701</v>
      </c>
      <c r="H350" s="12" t="s">
        <v>707</v>
      </c>
      <c r="I350" s="12" t="s">
        <v>720</v>
      </c>
      <c r="J350" s="12" t="s">
        <v>731</v>
      </c>
      <c r="K350" s="12" t="s">
        <v>1096</v>
      </c>
      <c r="L350" s="6">
        <v>834.26</v>
      </c>
      <c r="M350" s="6">
        <v>1780.56</v>
      </c>
      <c r="N350" s="6">
        <f t="shared" si="90"/>
        <v>1780.56</v>
      </c>
      <c r="O350" s="6" t="str">
        <f t="shared" si="104"/>
        <v>High</v>
      </c>
      <c r="P350" s="6">
        <v>1.4E-2</v>
      </c>
      <c r="Q350" s="6">
        <f t="shared" si="91"/>
        <v>1.4E-2</v>
      </c>
      <c r="R350" s="6">
        <v>47</v>
      </c>
      <c r="S350" s="6" t="str">
        <f t="shared" si="92"/>
        <v>OK</v>
      </c>
      <c r="T350" s="4">
        <f t="shared" si="93"/>
        <v>45115</v>
      </c>
      <c r="U350" s="11">
        <f t="shared" si="94"/>
        <v>7</v>
      </c>
      <c r="V350" s="6">
        <f t="shared" si="95"/>
        <v>82514.711519999997</v>
      </c>
      <c r="W350" s="6">
        <f t="shared" si="96"/>
        <v>39210.22</v>
      </c>
      <c r="X350" s="6">
        <f t="shared" si="97"/>
        <v>43304.491519999996</v>
      </c>
      <c r="Y350" s="6">
        <f t="shared" si="98"/>
        <v>0.5248093427497933</v>
      </c>
      <c r="Z350" s="4" t="str">
        <f t="shared" si="99"/>
        <v>Q3-2023</v>
      </c>
      <c r="AA350" t="str">
        <f t="shared" si="100"/>
        <v>Laptops</v>
      </c>
      <c r="AB350" t="str">
        <f t="shared" si="101"/>
        <v>Laptops</v>
      </c>
      <c r="AC350" t="str">
        <f t="shared" si="102"/>
        <v>Compliant</v>
      </c>
      <c r="AD350" t="str">
        <f t="shared" si="103"/>
        <v>On-time</v>
      </c>
      <c r="AE350" s="8">
        <f>MIN(Q350,Scenario!$B$2)</f>
        <v>1.4E-2</v>
      </c>
      <c r="AF350" s="33">
        <f>L350*(1+Scenario!$B$3)</f>
        <v>959.39899999999989</v>
      </c>
      <c r="AG350" s="6">
        <f>R350*(1+Scenario!$B$4)</f>
        <v>56.4</v>
      </c>
      <c r="AH350" s="33">
        <f t="shared" si="105"/>
        <v>99017.653823999994</v>
      </c>
      <c r="AI350" s="33">
        <f t="shared" si="106"/>
        <v>54110.103599999995</v>
      </c>
      <c r="AJ350" s="33">
        <f t="shared" si="107"/>
        <v>44907.550223999999</v>
      </c>
    </row>
    <row r="351" spans="1:36" x14ac:dyDescent="0.25">
      <c r="A351" s="12" t="s">
        <v>64</v>
      </c>
      <c r="B351" s="27">
        <v>45117</v>
      </c>
      <c r="C351" s="4">
        <v>45139</v>
      </c>
      <c r="D351" s="12" t="s">
        <v>649</v>
      </c>
      <c r="E351" s="12" t="s">
        <v>657</v>
      </c>
      <c r="F351" s="12" t="s">
        <v>673</v>
      </c>
      <c r="G351" s="12" t="s">
        <v>704</v>
      </c>
      <c r="H351" s="12" t="s">
        <v>709</v>
      </c>
      <c r="I351" s="12" t="s">
        <v>717</v>
      </c>
      <c r="J351" s="12" t="s">
        <v>728</v>
      </c>
      <c r="K351" s="12" t="s">
        <v>783</v>
      </c>
      <c r="L351" s="6">
        <v>1303.56</v>
      </c>
      <c r="M351" s="6">
        <v>1791.37</v>
      </c>
      <c r="N351" s="6">
        <f t="shared" si="90"/>
        <v>1791.37</v>
      </c>
      <c r="O351" s="6" t="str">
        <f t="shared" si="104"/>
        <v>High</v>
      </c>
      <c r="P351" s="6">
        <v>0.126</v>
      </c>
      <c r="Q351" s="6">
        <f t="shared" si="91"/>
        <v>0.126</v>
      </c>
      <c r="R351" s="6">
        <v>22</v>
      </c>
      <c r="S351" s="6" t="str">
        <f t="shared" si="92"/>
        <v>OK</v>
      </c>
      <c r="T351" s="4">
        <f t="shared" si="93"/>
        <v>45139</v>
      </c>
      <c r="U351" s="11">
        <f t="shared" si="94"/>
        <v>22</v>
      </c>
      <c r="V351" s="6">
        <f t="shared" si="95"/>
        <v>34444.462359999998</v>
      </c>
      <c r="W351" s="6">
        <f t="shared" si="96"/>
        <v>28678.32</v>
      </c>
      <c r="X351" s="6">
        <f t="shared" si="97"/>
        <v>5766.142359999998</v>
      </c>
      <c r="Y351" s="6">
        <f t="shared" si="98"/>
        <v>0.16740404596055358</v>
      </c>
      <c r="Z351" s="4" t="str">
        <f t="shared" si="99"/>
        <v>Q3-2023</v>
      </c>
      <c r="AA351" t="str">
        <f t="shared" si="100"/>
        <v>Printers</v>
      </c>
      <c r="AB351" t="str">
        <f t="shared" si="101"/>
        <v>Printers</v>
      </c>
      <c r="AC351" t="str">
        <f t="shared" si="102"/>
        <v>Compliant</v>
      </c>
      <c r="AD351" t="str">
        <f t="shared" si="103"/>
        <v>Late</v>
      </c>
      <c r="AE351" s="8">
        <f>MIN(Q351,Scenario!$B$2)</f>
        <v>0.126</v>
      </c>
      <c r="AF351" s="33">
        <f>L351*(1+Scenario!$B$3)</f>
        <v>1499.0939999999998</v>
      </c>
      <c r="AG351" s="6">
        <f>R351*(1+Scenario!$B$4)</f>
        <v>26.4</v>
      </c>
      <c r="AH351" s="33">
        <f t="shared" si="105"/>
        <v>41333.354831999997</v>
      </c>
      <c r="AI351" s="33">
        <f t="shared" si="106"/>
        <v>39576.08159999999</v>
      </c>
      <c r="AJ351" s="33">
        <f t="shared" si="107"/>
        <v>1757.2732320000068</v>
      </c>
    </row>
    <row r="352" spans="1:36" hidden="1" x14ac:dyDescent="0.25">
      <c r="A352" s="12" t="s">
        <v>316</v>
      </c>
      <c r="B352" s="27">
        <v>45125</v>
      </c>
      <c r="C352" s="4">
        <v>45129</v>
      </c>
      <c r="D352" s="12" t="s">
        <v>648</v>
      </c>
      <c r="E352" s="12" t="s">
        <v>655</v>
      </c>
      <c r="F352" s="12" t="s">
        <v>670</v>
      </c>
      <c r="G352" s="12" t="s">
        <v>704</v>
      </c>
      <c r="H352" s="12" t="s">
        <v>711</v>
      </c>
      <c r="I352" s="12" t="s">
        <v>721</v>
      </c>
      <c r="J352" s="12" t="s">
        <v>729</v>
      </c>
      <c r="K352" s="12" t="s">
        <v>1036</v>
      </c>
      <c r="L352" s="6">
        <v>1269.55</v>
      </c>
      <c r="M352" s="6">
        <v>2071.1</v>
      </c>
      <c r="N352" s="6">
        <f t="shared" si="90"/>
        <v>2071.1</v>
      </c>
      <c r="O352" s="6" t="str">
        <f t="shared" si="104"/>
        <v>High</v>
      </c>
      <c r="P352" s="6">
        <v>0.129</v>
      </c>
      <c r="Q352" s="6">
        <f t="shared" si="91"/>
        <v>0.129</v>
      </c>
      <c r="R352" s="6">
        <v>22</v>
      </c>
      <c r="S352" s="6" t="str">
        <f t="shared" si="92"/>
        <v>OK</v>
      </c>
      <c r="T352" s="4">
        <f t="shared" si="93"/>
        <v>45129</v>
      </c>
      <c r="U352" s="11">
        <f t="shared" si="94"/>
        <v>4</v>
      </c>
      <c r="V352" s="6">
        <f t="shared" si="95"/>
        <v>39686.4182</v>
      </c>
      <c r="W352" s="6">
        <f t="shared" si="96"/>
        <v>27930.1</v>
      </c>
      <c r="X352" s="6">
        <f t="shared" si="97"/>
        <v>11756.318200000002</v>
      </c>
      <c r="Y352" s="6">
        <f t="shared" si="98"/>
        <v>0.29623026549672354</v>
      </c>
      <c r="Z352" s="4" t="str">
        <f t="shared" si="99"/>
        <v>Q3-2023</v>
      </c>
      <c r="AA352" t="str">
        <f t="shared" si="100"/>
        <v>Networking</v>
      </c>
      <c r="AB352" t="str">
        <f t="shared" si="101"/>
        <v>Networking</v>
      </c>
      <c r="AC352" t="str">
        <f t="shared" si="102"/>
        <v>Compliant</v>
      </c>
      <c r="AD352" t="str">
        <f t="shared" si="103"/>
        <v>On-time</v>
      </c>
      <c r="AE352" s="8">
        <f>MIN(Q352,Scenario!$B$2)</f>
        <v>0.129</v>
      </c>
      <c r="AF352" s="33">
        <f>L352*(1+Scenario!$B$3)</f>
        <v>1459.9824999999998</v>
      </c>
      <c r="AG352" s="6">
        <f>R352*(1+Scenario!$B$4)</f>
        <v>26.4</v>
      </c>
      <c r="AH352" s="33">
        <f t="shared" si="105"/>
        <v>47623.701839999994</v>
      </c>
      <c r="AI352" s="33">
        <f t="shared" si="106"/>
        <v>38543.537999999993</v>
      </c>
      <c r="AJ352" s="33">
        <f t="shared" si="107"/>
        <v>9080.1638400000011</v>
      </c>
    </row>
    <row r="353" spans="1:36" hidden="1" x14ac:dyDescent="0.25">
      <c r="A353" s="12" t="s">
        <v>464</v>
      </c>
      <c r="B353" s="27">
        <v>45129</v>
      </c>
      <c r="C353" s="4">
        <v>45128</v>
      </c>
      <c r="D353" s="12" t="s">
        <v>647</v>
      </c>
      <c r="E353" s="12" t="s">
        <v>654</v>
      </c>
      <c r="F353" s="12" t="s">
        <v>680</v>
      </c>
      <c r="G353" s="12" t="s">
        <v>705</v>
      </c>
      <c r="H353" s="12" t="s">
        <v>710</v>
      </c>
      <c r="I353" s="12" t="s">
        <v>718</v>
      </c>
      <c r="J353" s="12" t="s">
        <v>728</v>
      </c>
      <c r="K353" s="12" t="s">
        <v>1183</v>
      </c>
      <c r="L353" s="6">
        <v>946.99</v>
      </c>
      <c r="M353" s="6">
        <v>2132.19</v>
      </c>
      <c r="N353" s="6">
        <f t="shared" si="90"/>
        <v>2132.19</v>
      </c>
      <c r="O353" s="6" t="str">
        <f t="shared" si="104"/>
        <v>High</v>
      </c>
      <c r="P353" s="6">
        <v>0.16500000000000001</v>
      </c>
      <c r="Q353" s="6">
        <f t="shared" si="91"/>
        <v>0.16500000000000001</v>
      </c>
      <c r="R353" s="6">
        <v>7</v>
      </c>
      <c r="S353" s="6" t="str">
        <f t="shared" si="92"/>
        <v>Correct</v>
      </c>
      <c r="T353" s="4">
        <f t="shared" si="93"/>
        <v>45136</v>
      </c>
      <c r="U353" s="11">
        <f t="shared" si="94"/>
        <v>7</v>
      </c>
      <c r="V353" s="6">
        <f t="shared" si="95"/>
        <v>12462.65055</v>
      </c>
      <c r="W353" s="6">
        <f t="shared" si="96"/>
        <v>6628.93</v>
      </c>
      <c r="X353" s="6">
        <f t="shared" si="97"/>
        <v>5833.72055</v>
      </c>
      <c r="Y353" s="6">
        <f t="shared" si="98"/>
        <v>0.46809629513362228</v>
      </c>
      <c r="Z353" s="4" t="str">
        <f t="shared" si="99"/>
        <v>Q3-2023</v>
      </c>
      <c r="AA353" t="str">
        <f t="shared" si="100"/>
        <v>Printers</v>
      </c>
      <c r="AB353" t="str">
        <f t="shared" si="101"/>
        <v>Printers</v>
      </c>
      <c r="AC353" t="str">
        <f t="shared" si="102"/>
        <v>Compliant</v>
      </c>
      <c r="AD353" t="str">
        <f t="shared" si="103"/>
        <v>On-time</v>
      </c>
      <c r="AE353" s="8">
        <f>MIN(Q353,Scenario!$B$2)</f>
        <v>0.16500000000000001</v>
      </c>
      <c r="AF353" s="33">
        <f>L353*(1+Scenario!$B$3)</f>
        <v>1089.0384999999999</v>
      </c>
      <c r="AG353" s="6">
        <f>R353*(1+Scenario!$B$4)</f>
        <v>8.4</v>
      </c>
      <c r="AH353" s="33">
        <f t="shared" si="105"/>
        <v>14955.18066</v>
      </c>
      <c r="AI353" s="33">
        <f t="shared" si="106"/>
        <v>9147.9233999999997</v>
      </c>
      <c r="AJ353" s="33">
        <f t="shared" si="107"/>
        <v>5807.2572600000003</v>
      </c>
    </row>
    <row r="354" spans="1:36" hidden="1" x14ac:dyDescent="0.25">
      <c r="A354" s="12" t="s">
        <v>202</v>
      </c>
      <c r="B354" s="27">
        <v>45126</v>
      </c>
      <c r="C354" s="4">
        <v>45138</v>
      </c>
      <c r="D354" s="12" t="s">
        <v>648</v>
      </c>
      <c r="E354" s="12" t="s">
        <v>655</v>
      </c>
      <c r="F354" s="12" t="s">
        <v>692</v>
      </c>
      <c r="G354" s="12" t="s">
        <v>701</v>
      </c>
      <c r="H354" s="12" t="s">
        <v>707</v>
      </c>
      <c r="I354" s="12" t="s">
        <v>712</v>
      </c>
      <c r="J354" s="12" t="s">
        <v>732</v>
      </c>
      <c r="K354" s="12" t="s">
        <v>922</v>
      </c>
      <c r="L354" s="6">
        <v>1334.64</v>
      </c>
      <c r="M354" s="6">
        <v>2273.42</v>
      </c>
      <c r="N354" s="6">
        <f t="shared" si="90"/>
        <v>2273.42</v>
      </c>
      <c r="O354" s="6" t="str">
        <f t="shared" si="104"/>
        <v>High</v>
      </c>
      <c r="P354" s="6">
        <v>0.11799999999999999</v>
      </c>
      <c r="Q354" s="6">
        <f t="shared" si="91"/>
        <v>0.11799999999999999</v>
      </c>
      <c r="R354" s="6">
        <v>14</v>
      </c>
      <c r="S354" s="6" t="str">
        <f t="shared" si="92"/>
        <v>OK</v>
      </c>
      <c r="T354" s="4">
        <f t="shared" si="93"/>
        <v>45138</v>
      </c>
      <c r="U354" s="11">
        <f t="shared" si="94"/>
        <v>12</v>
      </c>
      <c r="V354" s="6">
        <f t="shared" si="95"/>
        <v>28072.190160000002</v>
      </c>
      <c r="W354" s="6">
        <f t="shared" si="96"/>
        <v>18684.960000000003</v>
      </c>
      <c r="X354" s="6">
        <f t="shared" si="97"/>
        <v>9387.2301599999992</v>
      </c>
      <c r="Y354" s="6">
        <f t="shared" si="98"/>
        <v>0.33439607335575267</v>
      </c>
      <c r="Z354" s="4" t="str">
        <f t="shared" si="99"/>
        <v>Q3-2023</v>
      </c>
      <c r="AA354" t="str">
        <f t="shared" si="100"/>
        <v>Monitors</v>
      </c>
      <c r="AB354" t="str">
        <f t="shared" si="101"/>
        <v>Monitors</v>
      </c>
      <c r="AC354" t="str">
        <f t="shared" si="102"/>
        <v>Compliant</v>
      </c>
      <c r="AD354" t="str">
        <f t="shared" si="103"/>
        <v>Late</v>
      </c>
      <c r="AE354" s="8">
        <f>MIN(Q354,Scenario!$B$2)</f>
        <v>0.11799999999999999</v>
      </c>
      <c r="AF354" s="33">
        <f>L354*(1+Scenario!$B$3)</f>
        <v>1534.836</v>
      </c>
      <c r="AG354" s="6">
        <f>R354*(1+Scenario!$B$4)</f>
        <v>16.8</v>
      </c>
      <c r="AH354" s="33">
        <f t="shared" si="105"/>
        <v>33686.628192000004</v>
      </c>
      <c r="AI354" s="33">
        <f t="shared" si="106"/>
        <v>25785.2448</v>
      </c>
      <c r="AJ354" s="33">
        <f t="shared" si="107"/>
        <v>7901.3833920000034</v>
      </c>
    </row>
    <row r="355" spans="1:36" x14ac:dyDescent="0.25">
      <c r="A355" s="12" t="s">
        <v>492</v>
      </c>
      <c r="B355" s="27">
        <v>45123</v>
      </c>
      <c r="C355" s="4">
        <v>45151</v>
      </c>
      <c r="D355" s="12" t="s">
        <v>649</v>
      </c>
      <c r="E355" s="12" t="s">
        <v>658</v>
      </c>
      <c r="F355" s="12" t="s">
        <v>693</v>
      </c>
      <c r="G355" s="12" t="s">
        <v>703</v>
      </c>
      <c r="H355" s="12" t="s">
        <v>708</v>
      </c>
      <c r="I355" s="12" t="s">
        <v>713</v>
      </c>
      <c r="J355" s="12" t="s">
        <v>731</v>
      </c>
      <c r="K355" s="12" t="s">
        <v>1211</v>
      </c>
      <c r="L355" s="6">
        <v>1039.03</v>
      </c>
      <c r="M355" s="6">
        <v>2545.81</v>
      </c>
      <c r="N355" s="6">
        <f t="shared" si="90"/>
        <v>2545.81</v>
      </c>
      <c r="O355" s="6" t="str">
        <f t="shared" si="104"/>
        <v>High</v>
      </c>
      <c r="P355" s="6">
        <v>0.216</v>
      </c>
      <c r="Q355" s="6">
        <f t="shared" si="91"/>
        <v>0.216</v>
      </c>
      <c r="R355" s="6">
        <v>21</v>
      </c>
      <c r="S355" s="6" t="str">
        <f t="shared" si="92"/>
        <v>OK</v>
      </c>
      <c r="T355" s="4">
        <f t="shared" si="93"/>
        <v>45151</v>
      </c>
      <c r="U355" s="11">
        <f t="shared" si="94"/>
        <v>28</v>
      </c>
      <c r="V355" s="6">
        <f t="shared" si="95"/>
        <v>41914.215840000004</v>
      </c>
      <c r="W355" s="6">
        <f t="shared" si="96"/>
        <v>21819.63</v>
      </c>
      <c r="X355" s="6">
        <f t="shared" si="97"/>
        <v>20094.585840000003</v>
      </c>
      <c r="Y355" s="6">
        <f t="shared" si="98"/>
        <v>0.47942172929364774</v>
      </c>
      <c r="Z355" s="4" t="str">
        <f t="shared" si="99"/>
        <v>Q3-2023</v>
      </c>
      <c r="AA355" t="str">
        <f t="shared" si="100"/>
        <v>Laptops</v>
      </c>
      <c r="AB355" t="str">
        <f t="shared" si="101"/>
        <v>Laptops</v>
      </c>
      <c r="AC355" t="str">
        <f t="shared" si="102"/>
        <v>Non-compliant</v>
      </c>
      <c r="AD355" t="str">
        <f t="shared" si="103"/>
        <v>Late</v>
      </c>
      <c r="AE355" s="8">
        <f>MIN(Q355,Scenario!$B$2)</f>
        <v>0.2</v>
      </c>
      <c r="AF355" s="33">
        <f>L355*(1+Scenario!$B$3)</f>
        <v>1194.8844999999999</v>
      </c>
      <c r="AG355" s="6">
        <f>R355*(1+Scenario!$B$4)</f>
        <v>25.2</v>
      </c>
      <c r="AH355" s="33">
        <f t="shared" si="105"/>
        <v>51323.529600000002</v>
      </c>
      <c r="AI355" s="33">
        <f t="shared" si="106"/>
        <v>30111.089399999997</v>
      </c>
      <c r="AJ355" s="33">
        <f t="shared" si="107"/>
        <v>21212.440200000005</v>
      </c>
    </row>
    <row r="356" spans="1:36" hidden="1" x14ac:dyDescent="0.25">
      <c r="A356" s="12" t="s">
        <v>240</v>
      </c>
      <c r="B356" s="27">
        <v>45137</v>
      </c>
      <c r="C356" s="4">
        <v>45145</v>
      </c>
      <c r="D356" s="12" t="s">
        <v>647</v>
      </c>
      <c r="E356" s="12" t="s">
        <v>652</v>
      </c>
      <c r="F356" s="12" t="s">
        <v>694</v>
      </c>
      <c r="G356" s="12" t="s">
        <v>702</v>
      </c>
      <c r="H356" s="12" t="s">
        <v>709</v>
      </c>
      <c r="I356" s="12" t="s">
        <v>720</v>
      </c>
      <c r="J356" s="12" t="s">
        <v>729</v>
      </c>
      <c r="K356" s="12" t="s">
        <v>960</v>
      </c>
      <c r="L356" s="6">
        <v>1352.44</v>
      </c>
      <c r="M356" s="6">
        <v>2698.01</v>
      </c>
      <c r="N356" s="6">
        <f t="shared" si="90"/>
        <v>2698.01</v>
      </c>
      <c r="O356" s="6" t="str">
        <f t="shared" si="104"/>
        <v>High</v>
      </c>
      <c r="P356" s="6">
        <v>0.13100000000000001</v>
      </c>
      <c r="Q356" s="6">
        <f t="shared" si="91"/>
        <v>0.13100000000000001</v>
      </c>
      <c r="R356" s="6">
        <v>13</v>
      </c>
      <c r="S356" s="6" t="str">
        <f t="shared" si="92"/>
        <v>OK</v>
      </c>
      <c r="T356" s="4">
        <f t="shared" si="93"/>
        <v>45145</v>
      </c>
      <c r="U356" s="11">
        <f t="shared" si="94"/>
        <v>8</v>
      </c>
      <c r="V356" s="6">
        <f t="shared" si="95"/>
        <v>30479.418970000002</v>
      </c>
      <c r="W356" s="6">
        <f t="shared" si="96"/>
        <v>17581.72</v>
      </c>
      <c r="X356" s="6">
        <f t="shared" si="97"/>
        <v>12897.698970000001</v>
      </c>
      <c r="Y356" s="6">
        <f t="shared" si="98"/>
        <v>0.42316091992090887</v>
      </c>
      <c r="Z356" s="4" t="str">
        <f t="shared" si="99"/>
        <v>Q3-2023</v>
      </c>
      <c r="AA356" t="str">
        <f t="shared" si="100"/>
        <v>Networking</v>
      </c>
      <c r="AB356" t="str">
        <f t="shared" si="101"/>
        <v>Networking</v>
      </c>
      <c r="AC356" t="str">
        <f t="shared" si="102"/>
        <v>Compliant</v>
      </c>
      <c r="AD356" t="str">
        <f t="shared" si="103"/>
        <v>Late</v>
      </c>
      <c r="AE356" s="8">
        <f>MIN(Q356,Scenario!$B$2)</f>
        <v>0.13100000000000001</v>
      </c>
      <c r="AF356" s="33">
        <f>L356*(1+Scenario!$B$3)</f>
        <v>1555.306</v>
      </c>
      <c r="AG356" s="6">
        <f>R356*(1+Scenario!$B$4)</f>
        <v>15.6</v>
      </c>
      <c r="AH356" s="33">
        <f t="shared" si="105"/>
        <v>36575.302764000007</v>
      </c>
      <c r="AI356" s="33">
        <f t="shared" si="106"/>
        <v>24262.7736</v>
      </c>
      <c r="AJ356" s="33">
        <f t="shared" si="107"/>
        <v>12312.529164000007</v>
      </c>
    </row>
    <row r="357" spans="1:36" x14ac:dyDescent="0.25">
      <c r="A357" s="12" t="s">
        <v>628</v>
      </c>
      <c r="B357" s="27">
        <v>45137</v>
      </c>
      <c r="C357" s="4">
        <v>45157</v>
      </c>
      <c r="D357" s="12" t="s">
        <v>649</v>
      </c>
      <c r="E357" s="12" t="s">
        <v>657</v>
      </c>
      <c r="F357" s="12" t="s">
        <v>690</v>
      </c>
      <c r="G357" s="12" t="s">
        <v>706</v>
      </c>
      <c r="H357" s="12" t="s">
        <v>709</v>
      </c>
      <c r="I357" s="12" t="s">
        <v>715</v>
      </c>
      <c r="J357" s="12" t="s">
        <v>729</v>
      </c>
      <c r="K357" s="12" t="s">
        <v>1346</v>
      </c>
      <c r="L357" s="6">
        <v>1418.51</v>
      </c>
      <c r="M357" s="6">
        <v>2789.61</v>
      </c>
      <c r="N357" s="6">
        <f t="shared" si="90"/>
        <v>2789.61</v>
      </c>
      <c r="O357" s="6" t="str">
        <f t="shared" si="104"/>
        <v>High</v>
      </c>
      <c r="P357" s="6">
        <v>0.17100000000000001</v>
      </c>
      <c r="Q357" s="6">
        <f t="shared" si="91"/>
        <v>0.17100000000000001</v>
      </c>
      <c r="R357" s="6">
        <v>8</v>
      </c>
      <c r="S357" s="6" t="str">
        <f t="shared" si="92"/>
        <v>OK</v>
      </c>
      <c r="T357" s="4">
        <f t="shared" si="93"/>
        <v>45157</v>
      </c>
      <c r="U357" s="11">
        <f t="shared" si="94"/>
        <v>20</v>
      </c>
      <c r="V357" s="6">
        <f t="shared" si="95"/>
        <v>18500.693520000001</v>
      </c>
      <c r="W357" s="6">
        <f t="shared" si="96"/>
        <v>11348.08</v>
      </c>
      <c r="X357" s="6">
        <f t="shared" si="97"/>
        <v>7152.6135200000008</v>
      </c>
      <c r="Y357" s="6">
        <f t="shared" si="98"/>
        <v>0.38661326464695689</v>
      </c>
      <c r="Z357" s="4" t="str">
        <f t="shared" si="99"/>
        <v>Q3-2023</v>
      </c>
      <c r="AA357" t="str">
        <f t="shared" si="100"/>
        <v>Networking</v>
      </c>
      <c r="AB357" t="str">
        <f t="shared" si="101"/>
        <v>Networking</v>
      </c>
      <c r="AC357" t="str">
        <f t="shared" si="102"/>
        <v>Compliant</v>
      </c>
      <c r="AD357" t="str">
        <f t="shared" si="103"/>
        <v>Late</v>
      </c>
      <c r="AE357" s="8">
        <f>MIN(Q357,Scenario!$B$2)</f>
        <v>0.17100000000000001</v>
      </c>
      <c r="AF357" s="33">
        <f>L357*(1+Scenario!$B$3)</f>
        <v>1631.2864999999999</v>
      </c>
      <c r="AG357" s="6">
        <f>R357*(1+Scenario!$B$4)</f>
        <v>9.6</v>
      </c>
      <c r="AH357" s="33">
        <f t="shared" si="105"/>
        <v>22200.832224000002</v>
      </c>
      <c r="AI357" s="33">
        <f t="shared" si="106"/>
        <v>15660.350399999999</v>
      </c>
      <c r="AJ357" s="33">
        <f t="shared" si="107"/>
        <v>6540.4818240000022</v>
      </c>
    </row>
    <row r="358" spans="1:36" hidden="1" x14ac:dyDescent="0.25">
      <c r="A358" s="12" t="s">
        <v>555</v>
      </c>
      <c r="B358" s="27">
        <v>45115</v>
      </c>
      <c r="C358" s="4">
        <v>45116</v>
      </c>
      <c r="D358" s="12" t="s">
        <v>646</v>
      </c>
      <c r="E358" s="12" t="s">
        <v>650</v>
      </c>
      <c r="F358" s="12" t="s">
        <v>664</v>
      </c>
      <c r="G358" s="12" t="s">
        <v>704</v>
      </c>
      <c r="H358" s="12" t="s">
        <v>708</v>
      </c>
      <c r="I358" s="12" t="s">
        <v>726</v>
      </c>
      <c r="J358" s="12" t="s">
        <v>731</v>
      </c>
      <c r="K358" s="12" t="s">
        <v>1273</v>
      </c>
      <c r="L358" s="6">
        <v>1258.72</v>
      </c>
      <c r="M358" s="6">
        <v>2797.41</v>
      </c>
      <c r="N358" s="6">
        <f t="shared" si="90"/>
        <v>2797.41</v>
      </c>
      <c r="O358" s="6" t="str">
        <f t="shared" si="104"/>
        <v>High</v>
      </c>
      <c r="P358" s="6">
        <v>0</v>
      </c>
      <c r="Q358" s="6">
        <f t="shared" si="91"/>
        <v>0</v>
      </c>
      <c r="R358" s="6">
        <v>7</v>
      </c>
      <c r="S358" s="6" t="str">
        <f t="shared" si="92"/>
        <v>OK</v>
      </c>
      <c r="T358" s="4">
        <f t="shared" si="93"/>
        <v>45116</v>
      </c>
      <c r="U358" s="11">
        <f t="shared" si="94"/>
        <v>1</v>
      </c>
      <c r="V358" s="6">
        <f t="shared" si="95"/>
        <v>19581.87</v>
      </c>
      <c r="W358" s="6">
        <f t="shared" si="96"/>
        <v>8811.0400000000009</v>
      </c>
      <c r="X358" s="6">
        <f t="shared" si="97"/>
        <v>10770.829999999998</v>
      </c>
      <c r="Y358" s="6">
        <f t="shared" si="98"/>
        <v>0.55004093071805704</v>
      </c>
      <c r="Z358" s="4" t="str">
        <f t="shared" si="99"/>
        <v>Q3-2023</v>
      </c>
      <c r="AA358" t="str">
        <f t="shared" si="100"/>
        <v>Laptops</v>
      </c>
      <c r="AB358" t="str">
        <f t="shared" si="101"/>
        <v>Laptops</v>
      </c>
      <c r="AC358" t="str">
        <f t="shared" si="102"/>
        <v>Compliant</v>
      </c>
      <c r="AD358" t="str">
        <f t="shared" si="103"/>
        <v>On-time</v>
      </c>
      <c r="AE358" s="8">
        <f>MIN(Q358,Scenario!$B$2)</f>
        <v>0</v>
      </c>
      <c r="AF358" s="33">
        <f>L358*(1+Scenario!$B$3)</f>
        <v>1447.528</v>
      </c>
      <c r="AG358" s="6">
        <f>R358*(1+Scenario!$B$4)</f>
        <v>8.4</v>
      </c>
      <c r="AH358" s="33">
        <f t="shared" si="105"/>
        <v>23498.243999999999</v>
      </c>
      <c r="AI358" s="33">
        <f t="shared" si="106"/>
        <v>12159.235200000001</v>
      </c>
      <c r="AJ358" s="33">
        <f t="shared" si="107"/>
        <v>11339.008799999998</v>
      </c>
    </row>
    <row r="359" spans="1:36" hidden="1" x14ac:dyDescent="0.25">
      <c r="A359" s="12" t="s">
        <v>128</v>
      </c>
      <c r="B359" s="27">
        <v>45674</v>
      </c>
      <c r="C359" s="4">
        <v>45681</v>
      </c>
      <c r="D359" s="12" t="s">
        <v>648</v>
      </c>
      <c r="E359" s="12" t="s">
        <v>660</v>
      </c>
      <c r="F359" s="12" t="s">
        <v>697</v>
      </c>
      <c r="G359" s="12" t="s">
        <v>706</v>
      </c>
      <c r="H359" s="12" t="s">
        <v>708</v>
      </c>
      <c r="I359" s="12" t="s">
        <v>715</v>
      </c>
      <c r="J359" s="12" t="s">
        <v>733</v>
      </c>
      <c r="K359" s="12" t="s">
        <v>847</v>
      </c>
      <c r="L359" s="6">
        <v>142.09</v>
      </c>
      <c r="M359" s="6">
        <v>218.5</v>
      </c>
      <c r="N359" s="6">
        <f t="shared" si="90"/>
        <v>218.5</v>
      </c>
      <c r="O359" s="6" t="str">
        <f t="shared" si="104"/>
        <v>Low</v>
      </c>
      <c r="P359" s="6">
        <v>0.11899999999999999</v>
      </c>
      <c r="Q359" s="6">
        <f t="shared" si="91"/>
        <v>0.11899999999999999</v>
      </c>
      <c r="R359" s="6">
        <v>11</v>
      </c>
      <c r="S359" s="6" t="str">
        <f t="shared" si="92"/>
        <v>OK</v>
      </c>
      <c r="T359" s="4">
        <f t="shared" si="93"/>
        <v>45681</v>
      </c>
      <c r="U359" s="11">
        <f t="shared" si="94"/>
        <v>7</v>
      </c>
      <c r="V359" s="6">
        <f t="shared" si="95"/>
        <v>2117.4834999999998</v>
      </c>
      <c r="W359" s="6">
        <f t="shared" si="96"/>
        <v>1562.99</v>
      </c>
      <c r="X359" s="6">
        <f t="shared" si="97"/>
        <v>554.49349999999981</v>
      </c>
      <c r="Y359" s="6">
        <f t="shared" si="98"/>
        <v>0.26186437816398561</v>
      </c>
      <c r="Z359" s="4" t="str">
        <f t="shared" si="99"/>
        <v>Q1-2025</v>
      </c>
      <c r="AA359" t="str">
        <f t="shared" si="100"/>
        <v>Accessories</v>
      </c>
      <c r="AB359" t="str">
        <f t="shared" si="101"/>
        <v>Accessories</v>
      </c>
      <c r="AC359" t="str">
        <f t="shared" si="102"/>
        <v>Compliant</v>
      </c>
      <c r="AD359" t="str">
        <f t="shared" si="103"/>
        <v>On-time</v>
      </c>
      <c r="AE359" s="8">
        <f>MIN(Q359,Scenario!$B$2)</f>
        <v>0.11899999999999999</v>
      </c>
      <c r="AF359" s="33">
        <f>L359*(1+Scenario!$B$3)</f>
        <v>163.40349999999998</v>
      </c>
      <c r="AG359" s="6">
        <f>R359*(1+Scenario!$B$4)</f>
        <v>13.2</v>
      </c>
      <c r="AH359" s="33">
        <f t="shared" si="105"/>
        <v>2540.9802</v>
      </c>
      <c r="AI359" s="33">
        <f t="shared" si="106"/>
        <v>2156.9261999999994</v>
      </c>
      <c r="AJ359" s="33">
        <f t="shared" si="107"/>
        <v>384.05400000000054</v>
      </c>
    </row>
    <row r="360" spans="1:36" hidden="1" x14ac:dyDescent="0.25">
      <c r="A360" s="12" t="s">
        <v>322</v>
      </c>
      <c r="B360" s="27">
        <v>45679</v>
      </c>
      <c r="C360" s="4">
        <v>45692</v>
      </c>
      <c r="D360" s="12" t="s">
        <v>647</v>
      </c>
      <c r="E360" s="12" t="s">
        <v>652</v>
      </c>
      <c r="F360" s="12" t="s">
        <v>689</v>
      </c>
      <c r="G360" s="12" t="s">
        <v>705</v>
      </c>
      <c r="H360" s="12" t="s">
        <v>710</v>
      </c>
      <c r="I360" s="12" t="s">
        <v>716</v>
      </c>
      <c r="J360" s="12" t="s">
        <v>728</v>
      </c>
      <c r="K360" s="12" t="s">
        <v>1042</v>
      </c>
      <c r="L360" s="6">
        <v>122.29</v>
      </c>
      <c r="M360" s="6">
        <v>224.95</v>
      </c>
      <c r="N360" s="6">
        <f t="shared" si="90"/>
        <v>224.95</v>
      </c>
      <c r="O360" s="6" t="str">
        <f t="shared" si="104"/>
        <v>Low</v>
      </c>
      <c r="P360" s="6">
        <v>0.153</v>
      </c>
      <c r="Q360" s="6">
        <f t="shared" si="91"/>
        <v>0.153</v>
      </c>
      <c r="R360" s="6">
        <v>28</v>
      </c>
      <c r="S360" s="6" t="str">
        <f t="shared" si="92"/>
        <v>OK</v>
      </c>
      <c r="T360" s="4">
        <f t="shared" si="93"/>
        <v>45692</v>
      </c>
      <c r="U360" s="11">
        <f t="shared" si="94"/>
        <v>13</v>
      </c>
      <c r="V360" s="6">
        <f t="shared" si="95"/>
        <v>5334.9141999999993</v>
      </c>
      <c r="W360" s="6">
        <f t="shared" si="96"/>
        <v>3424.1200000000003</v>
      </c>
      <c r="X360" s="6">
        <f t="shared" si="97"/>
        <v>1910.7941999999989</v>
      </c>
      <c r="Y360" s="6">
        <f t="shared" si="98"/>
        <v>0.3581677471026618</v>
      </c>
      <c r="Z360" s="4" t="str">
        <f t="shared" si="99"/>
        <v>Q1-2025</v>
      </c>
      <c r="AA360" t="str">
        <f t="shared" si="100"/>
        <v>Printers</v>
      </c>
      <c r="AB360" t="str">
        <f t="shared" si="101"/>
        <v>Printers</v>
      </c>
      <c r="AC360" t="str">
        <f t="shared" si="102"/>
        <v>Compliant</v>
      </c>
      <c r="AD360" t="str">
        <f t="shared" si="103"/>
        <v>Late</v>
      </c>
      <c r="AE360" s="8">
        <f>MIN(Q360,Scenario!$B$2)</f>
        <v>0.153</v>
      </c>
      <c r="AF360" s="33">
        <f>L360*(1+Scenario!$B$3)</f>
        <v>140.6335</v>
      </c>
      <c r="AG360" s="6">
        <f>R360*(1+Scenario!$B$4)</f>
        <v>33.6</v>
      </c>
      <c r="AH360" s="33">
        <f t="shared" si="105"/>
        <v>6401.8970399999998</v>
      </c>
      <c r="AI360" s="33">
        <f t="shared" si="106"/>
        <v>4725.2856000000002</v>
      </c>
      <c r="AJ360" s="33">
        <f t="shared" si="107"/>
        <v>1676.6114399999997</v>
      </c>
    </row>
    <row r="361" spans="1:36" hidden="1" x14ac:dyDescent="0.25">
      <c r="A361" s="12" t="s">
        <v>344</v>
      </c>
      <c r="B361" s="27">
        <v>45668</v>
      </c>
      <c r="C361" s="4">
        <v>45680</v>
      </c>
      <c r="D361" s="12" t="s">
        <v>648</v>
      </c>
      <c r="E361" s="12" t="s">
        <v>660</v>
      </c>
      <c r="F361" s="12" t="s">
        <v>697</v>
      </c>
      <c r="G361" s="12" t="s">
        <v>704</v>
      </c>
      <c r="H361" s="12" t="s">
        <v>710</v>
      </c>
      <c r="I361" s="12" t="s">
        <v>722</v>
      </c>
      <c r="J361" s="12" t="s">
        <v>730</v>
      </c>
      <c r="K361" s="12" t="s">
        <v>1064</v>
      </c>
      <c r="L361" s="6">
        <v>100.69</v>
      </c>
      <c r="M361" s="6">
        <v>226.14</v>
      </c>
      <c r="N361" s="6">
        <f t="shared" si="90"/>
        <v>226.14</v>
      </c>
      <c r="O361" s="6" t="str">
        <f t="shared" si="104"/>
        <v>Low</v>
      </c>
      <c r="P361" s="6">
        <v>6.5000000000000002E-2</v>
      </c>
      <c r="Q361" s="6">
        <f t="shared" si="91"/>
        <v>6.5000000000000002E-2</v>
      </c>
      <c r="R361" s="6">
        <v>12</v>
      </c>
      <c r="S361" s="6" t="str">
        <f t="shared" si="92"/>
        <v>OK</v>
      </c>
      <c r="T361" s="4">
        <f t="shared" si="93"/>
        <v>45680</v>
      </c>
      <c r="U361" s="11">
        <f t="shared" si="94"/>
        <v>12</v>
      </c>
      <c r="V361" s="6">
        <f t="shared" si="95"/>
        <v>2537.2908000000002</v>
      </c>
      <c r="W361" s="6">
        <f t="shared" si="96"/>
        <v>1208.28</v>
      </c>
      <c r="X361" s="6">
        <f t="shared" si="97"/>
        <v>1329.0108000000002</v>
      </c>
      <c r="Y361" s="6">
        <f t="shared" si="98"/>
        <v>0.52379128162999689</v>
      </c>
      <c r="Z361" s="4" t="str">
        <f t="shared" si="99"/>
        <v>Q1-2025</v>
      </c>
      <c r="AA361" t="str">
        <f t="shared" si="100"/>
        <v>Phones</v>
      </c>
      <c r="AB361" t="str">
        <f t="shared" si="101"/>
        <v>Phones</v>
      </c>
      <c r="AC361" t="str">
        <f t="shared" si="102"/>
        <v>Compliant</v>
      </c>
      <c r="AD361" t="str">
        <f t="shared" si="103"/>
        <v>Late</v>
      </c>
      <c r="AE361" s="8">
        <f>MIN(Q361,Scenario!$B$2)</f>
        <v>6.5000000000000002E-2</v>
      </c>
      <c r="AF361" s="33">
        <f>L361*(1+Scenario!$B$3)</f>
        <v>115.79349999999999</v>
      </c>
      <c r="AG361" s="6">
        <f>R361*(1+Scenario!$B$4)</f>
        <v>14.399999999999999</v>
      </c>
      <c r="AH361" s="33">
        <f t="shared" si="105"/>
        <v>3044.7489599999994</v>
      </c>
      <c r="AI361" s="33">
        <f t="shared" si="106"/>
        <v>1667.4263999999998</v>
      </c>
      <c r="AJ361" s="33">
        <f t="shared" si="107"/>
        <v>1377.3225599999996</v>
      </c>
    </row>
    <row r="362" spans="1:36" x14ac:dyDescent="0.25">
      <c r="A362" s="12" t="s">
        <v>68</v>
      </c>
      <c r="B362" s="27">
        <v>45678</v>
      </c>
      <c r="C362" s="4">
        <v>45704</v>
      </c>
      <c r="D362" s="12" t="s">
        <v>649</v>
      </c>
      <c r="E362" s="12" t="s">
        <v>657</v>
      </c>
      <c r="F362" s="12" t="s">
        <v>679</v>
      </c>
      <c r="G362" s="12" t="s">
        <v>701</v>
      </c>
      <c r="H362" s="12" t="s">
        <v>710</v>
      </c>
      <c r="I362" s="12" t="s">
        <v>719</v>
      </c>
      <c r="J362" s="12" t="s">
        <v>731</v>
      </c>
      <c r="K362" s="12" t="s">
        <v>787</v>
      </c>
      <c r="L362" s="6">
        <v>204.11</v>
      </c>
      <c r="M362" s="6">
        <v>236.87</v>
      </c>
      <c r="N362" s="6">
        <f t="shared" si="90"/>
        <v>236.87</v>
      </c>
      <c r="O362" s="6" t="str">
        <f t="shared" si="104"/>
        <v>Low</v>
      </c>
      <c r="P362" s="6">
        <v>0.182</v>
      </c>
      <c r="Q362" s="6">
        <f t="shared" si="91"/>
        <v>0.182</v>
      </c>
      <c r="R362" s="6">
        <v>13</v>
      </c>
      <c r="S362" s="6" t="str">
        <f t="shared" si="92"/>
        <v>OK</v>
      </c>
      <c r="T362" s="4">
        <f t="shared" si="93"/>
        <v>45704</v>
      </c>
      <c r="U362" s="11">
        <f t="shared" si="94"/>
        <v>26</v>
      </c>
      <c r="V362" s="6">
        <f t="shared" si="95"/>
        <v>2518.8755800000004</v>
      </c>
      <c r="W362" s="6">
        <f t="shared" si="96"/>
        <v>2653.4300000000003</v>
      </c>
      <c r="X362" s="6">
        <f t="shared" si="97"/>
        <v>-134.55441999999994</v>
      </c>
      <c r="Y362" s="6">
        <f t="shared" si="98"/>
        <v>-5.3418446337075494E-2</v>
      </c>
      <c r="Z362" s="4" t="str">
        <f t="shared" si="99"/>
        <v>Q1-2025</v>
      </c>
      <c r="AA362" t="str">
        <f t="shared" si="100"/>
        <v>Laptops</v>
      </c>
      <c r="AB362" t="str">
        <f t="shared" si="101"/>
        <v>Laptops</v>
      </c>
      <c r="AC362" t="str">
        <f t="shared" si="102"/>
        <v>Compliant</v>
      </c>
      <c r="AD362" t="str">
        <f t="shared" si="103"/>
        <v>Late</v>
      </c>
      <c r="AE362" s="8">
        <f>MIN(Q362,Scenario!$B$2)</f>
        <v>0.182</v>
      </c>
      <c r="AF362" s="33">
        <f>L362*(1+Scenario!$B$3)</f>
        <v>234.72649999999999</v>
      </c>
      <c r="AG362" s="6">
        <f>R362*(1+Scenario!$B$4)</f>
        <v>15.6</v>
      </c>
      <c r="AH362" s="33">
        <f t="shared" si="105"/>
        <v>3022.6506960000002</v>
      </c>
      <c r="AI362" s="33">
        <f t="shared" si="106"/>
        <v>3661.7333999999996</v>
      </c>
      <c r="AJ362" s="33">
        <f t="shared" si="107"/>
        <v>-639.08270399999947</v>
      </c>
    </row>
    <row r="363" spans="1:36" hidden="1" x14ac:dyDescent="0.25">
      <c r="A363" s="12" t="s">
        <v>148</v>
      </c>
      <c r="B363" s="27">
        <v>45666</v>
      </c>
      <c r="C363" s="4">
        <v>45672</v>
      </c>
      <c r="D363" s="12" t="s">
        <v>647</v>
      </c>
      <c r="E363" s="12" t="s">
        <v>659</v>
      </c>
      <c r="F363" s="12" t="s">
        <v>699</v>
      </c>
      <c r="G363" s="12" t="s">
        <v>702</v>
      </c>
      <c r="H363" s="12" t="s">
        <v>708</v>
      </c>
      <c r="I363" s="12" t="s">
        <v>712</v>
      </c>
      <c r="J363" s="12" t="s">
        <v>730</v>
      </c>
      <c r="K363" s="12" t="s">
        <v>867</v>
      </c>
      <c r="L363" s="6">
        <v>304.77999999999997</v>
      </c>
      <c r="M363" s="6">
        <v>537.27</v>
      </c>
      <c r="N363" s="6">
        <f t="shared" si="90"/>
        <v>537.27</v>
      </c>
      <c r="O363" s="6" t="str">
        <f t="shared" si="104"/>
        <v>Low</v>
      </c>
      <c r="P363" s="6">
        <v>0.187</v>
      </c>
      <c r="Q363" s="6">
        <f t="shared" si="91"/>
        <v>0.187</v>
      </c>
      <c r="R363" s="6">
        <v>8</v>
      </c>
      <c r="S363" s="6" t="str">
        <f t="shared" si="92"/>
        <v>OK</v>
      </c>
      <c r="T363" s="4">
        <f t="shared" si="93"/>
        <v>45672</v>
      </c>
      <c r="U363" s="11">
        <f t="shared" si="94"/>
        <v>6</v>
      </c>
      <c r="V363" s="6">
        <f t="shared" si="95"/>
        <v>3494.4040799999998</v>
      </c>
      <c r="W363" s="6">
        <f t="shared" si="96"/>
        <v>2438.2399999999998</v>
      </c>
      <c r="X363" s="6">
        <f t="shared" si="97"/>
        <v>1056.16408</v>
      </c>
      <c r="Y363" s="6">
        <f t="shared" si="98"/>
        <v>0.3022444044307549</v>
      </c>
      <c r="Z363" s="4" t="str">
        <f t="shared" si="99"/>
        <v>Q1-2025</v>
      </c>
      <c r="AA363" t="str">
        <f t="shared" si="100"/>
        <v>Phones</v>
      </c>
      <c r="AB363" t="str">
        <f t="shared" si="101"/>
        <v>Phones</v>
      </c>
      <c r="AC363" t="str">
        <f t="shared" si="102"/>
        <v>Compliant</v>
      </c>
      <c r="AD363" t="str">
        <f t="shared" si="103"/>
        <v>On-time</v>
      </c>
      <c r="AE363" s="8">
        <f>MIN(Q363,Scenario!$B$2)</f>
        <v>0.187</v>
      </c>
      <c r="AF363" s="33">
        <f>L363*(1+Scenario!$B$3)</f>
        <v>350.49699999999996</v>
      </c>
      <c r="AG363" s="6">
        <f>R363*(1+Scenario!$B$4)</f>
        <v>9.6</v>
      </c>
      <c r="AH363" s="33">
        <f t="shared" si="105"/>
        <v>4193.2848959999992</v>
      </c>
      <c r="AI363" s="33">
        <f t="shared" si="106"/>
        <v>3364.7711999999997</v>
      </c>
      <c r="AJ363" s="33">
        <f t="shared" si="107"/>
        <v>828.51369599999953</v>
      </c>
    </row>
    <row r="364" spans="1:36" x14ac:dyDescent="0.25">
      <c r="A364" s="12" t="s">
        <v>394</v>
      </c>
      <c r="B364" s="27">
        <v>45688</v>
      </c>
      <c r="C364" s="4">
        <v>45705</v>
      </c>
      <c r="D364" s="12" t="s">
        <v>649</v>
      </c>
      <c r="E364" s="12" t="s">
        <v>658</v>
      </c>
      <c r="F364" s="12" t="s">
        <v>683</v>
      </c>
      <c r="G364" s="12" t="s">
        <v>706</v>
      </c>
      <c r="H364" s="12" t="s">
        <v>707</v>
      </c>
      <c r="I364" s="12" t="s">
        <v>722</v>
      </c>
      <c r="J364" s="12" t="s">
        <v>727</v>
      </c>
      <c r="K364" s="12" t="s">
        <v>812</v>
      </c>
      <c r="L364" s="6">
        <v>378.26</v>
      </c>
      <c r="M364" s="6">
        <v>541.55999999999995</v>
      </c>
      <c r="N364" s="6">
        <f t="shared" si="90"/>
        <v>541.55999999999995</v>
      </c>
      <c r="O364" s="6" t="str">
        <f t="shared" si="104"/>
        <v>Low</v>
      </c>
      <c r="P364" s="6">
        <v>0.16300000000000001</v>
      </c>
      <c r="Q364" s="6">
        <f t="shared" si="91"/>
        <v>0.16300000000000001</v>
      </c>
      <c r="R364" s="6">
        <v>25</v>
      </c>
      <c r="S364" s="6" t="str">
        <f t="shared" si="92"/>
        <v>OK</v>
      </c>
      <c r="T364" s="4">
        <f t="shared" si="93"/>
        <v>45705</v>
      </c>
      <c r="U364" s="11">
        <f t="shared" si="94"/>
        <v>17</v>
      </c>
      <c r="V364" s="6">
        <f t="shared" si="95"/>
        <v>11332.142999999998</v>
      </c>
      <c r="W364" s="6">
        <f t="shared" si="96"/>
        <v>9456.5</v>
      </c>
      <c r="X364" s="6">
        <f t="shared" si="97"/>
        <v>1875.6429999999982</v>
      </c>
      <c r="Y364" s="6">
        <f t="shared" si="98"/>
        <v>0.16551529573885526</v>
      </c>
      <c r="Z364" s="4" t="str">
        <f t="shared" si="99"/>
        <v>Q1-2025</v>
      </c>
      <c r="AA364" t="str">
        <f t="shared" si="100"/>
        <v>Components</v>
      </c>
      <c r="AB364" t="str">
        <f t="shared" si="101"/>
        <v>Components</v>
      </c>
      <c r="AC364" t="str">
        <f t="shared" si="102"/>
        <v>Compliant</v>
      </c>
      <c r="AD364" t="str">
        <f t="shared" si="103"/>
        <v>Late</v>
      </c>
      <c r="AE364" s="8">
        <f>MIN(Q364,Scenario!$B$2)</f>
        <v>0.16300000000000001</v>
      </c>
      <c r="AF364" s="33">
        <f>L364*(1+Scenario!$B$3)</f>
        <v>434.99899999999997</v>
      </c>
      <c r="AG364" s="6">
        <f>R364*(1+Scenario!$B$4)</f>
        <v>30</v>
      </c>
      <c r="AH364" s="33">
        <f t="shared" si="105"/>
        <v>13598.571599999999</v>
      </c>
      <c r="AI364" s="33">
        <f t="shared" si="106"/>
        <v>13049.97</v>
      </c>
      <c r="AJ364" s="33">
        <f t="shared" si="107"/>
        <v>548.60159999999996</v>
      </c>
    </row>
    <row r="365" spans="1:36" x14ac:dyDescent="0.25">
      <c r="A365" s="12" t="s">
        <v>313</v>
      </c>
      <c r="B365" s="27">
        <v>45679</v>
      </c>
      <c r="C365" s="4">
        <v>45679</v>
      </c>
      <c r="D365" s="12" t="s">
        <v>649</v>
      </c>
      <c r="E365" s="12" t="s">
        <v>657</v>
      </c>
      <c r="F365" s="12" t="s">
        <v>679</v>
      </c>
      <c r="G365" s="12" t="s">
        <v>705</v>
      </c>
      <c r="H365" s="12" t="s">
        <v>708</v>
      </c>
      <c r="I365" s="12" t="s">
        <v>717</v>
      </c>
      <c r="J365" s="12" t="s">
        <v>733</v>
      </c>
      <c r="K365" s="12" t="s">
        <v>1033</v>
      </c>
      <c r="L365" s="6">
        <v>591.72</v>
      </c>
      <c r="M365" s="6">
        <v>577.24</v>
      </c>
      <c r="N365" s="6">
        <f t="shared" si="90"/>
        <v>577.24</v>
      </c>
      <c r="O365" s="6" t="str">
        <f t="shared" si="104"/>
        <v>Low</v>
      </c>
      <c r="P365" s="6">
        <v>0</v>
      </c>
      <c r="Q365" s="6">
        <f t="shared" si="91"/>
        <v>0</v>
      </c>
      <c r="R365" s="6">
        <v>22</v>
      </c>
      <c r="S365" s="6" t="str">
        <f t="shared" si="92"/>
        <v>OK</v>
      </c>
      <c r="T365" s="4">
        <f t="shared" si="93"/>
        <v>45679</v>
      </c>
      <c r="U365" s="11">
        <f t="shared" si="94"/>
        <v>0</v>
      </c>
      <c r="V365" s="6">
        <f t="shared" si="95"/>
        <v>12699.28</v>
      </c>
      <c r="W365" s="6">
        <f t="shared" si="96"/>
        <v>13017.84</v>
      </c>
      <c r="X365" s="6">
        <f t="shared" si="97"/>
        <v>-318.55999999999949</v>
      </c>
      <c r="Y365" s="6">
        <f t="shared" si="98"/>
        <v>-2.5084886702238195E-2</v>
      </c>
      <c r="Z365" s="4" t="str">
        <f t="shared" si="99"/>
        <v>Q1-2025</v>
      </c>
      <c r="AA365" t="str">
        <f t="shared" si="100"/>
        <v>Accessories</v>
      </c>
      <c r="AB365" t="str">
        <f t="shared" si="101"/>
        <v>Accessories</v>
      </c>
      <c r="AC365" t="str">
        <f t="shared" si="102"/>
        <v>Compliant</v>
      </c>
      <c r="AD365" t="str">
        <f t="shared" si="103"/>
        <v>On-time</v>
      </c>
      <c r="AE365" s="8">
        <f>MIN(Q365,Scenario!$B$2)</f>
        <v>0</v>
      </c>
      <c r="AF365" s="33">
        <f>L365*(1+Scenario!$B$3)</f>
        <v>680.47799999999995</v>
      </c>
      <c r="AG365" s="6">
        <f>R365*(1+Scenario!$B$4)</f>
        <v>26.4</v>
      </c>
      <c r="AH365" s="33">
        <f t="shared" si="105"/>
        <v>15239.135999999999</v>
      </c>
      <c r="AI365" s="33">
        <f t="shared" si="106"/>
        <v>17964.619199999997</v>
      </c>
      <c r="AJ365" s="33">
        <f t="shared" si="107"/>
        <v>-2725.4831999999988</v>
      </c>
    </row>
    <row r="366" spans="1:36" hidden="1" x14ac:dyDescent="0.25">
      <c r="A366" s="12" t="s">
        <v>26</v>
      </c>
      <c r="B366" s="27">
        <v>45660</v>
      </c>
      <c r="C366" s="4">
        <v>45680</v>
      </c>
      <c r="D366" s="12" t="s">
        <v>647</v>
      </c>
      <c r="E366" s="12" t="s">
        <v>652</v>
      </c>
      <c r="F366" s="12" t="s">
        <v>666</v>
      </c>
      <c r="G366" s="12" t="s">
        <v>701</v>
      </c>
      <c r="H366" s="12" t="s">
        <v>710</v>
      </c>
      <c r="I366" s="12" t="s">
        <v>721</v>
      </c>
      <c r="J366" s="12" t="s">
        <v>730</v>
      </c>
      <c r="K366" s="12" t="s">
        <v>745</v>
      </c>
      <c r="L366" s="6">
        <v>908.6</v>
      </c>
      <c r="M366" s="6">
        <v>691.37</v>
      </c>
      <c r="N366" s="6">
        <f t="shared" si="90"/>
        <v>691.37</v>
      </c>
      <c r="O366" s="6" t="str">
        <f t="shared" si="104"/>
        <v>Middle</v>
      </c>
      <c r="P366" s="6">
        <v>0.25</v>
      </c>
      <c r="Q366" s="6">
        <f t="shared" si="91"/>
        <v>0.25</v>
      </c>
      <c r="R366" s="6">
        <v>20</v>
      </c>
      <c r="S366" s="6" t="str">
        <f t="shared" si="92"/>
        <v>OK</v>
      </c>
      <c r="T366" s="4">
        <f t="shared" si="93"/>
        <v>45680</v>
      </c>
      <c r="U366" s="11">
        <f t="shared" si="94"/>
        <v>20</v>
      </c>
      <c r="V366" s="6">
        <f t="shared" si="95"/>
        <v>10370.549999999999</v>
      </c>
      <c r="W366" s="6">
        <f t="shared" si="96"/>
        <v>18172</v>
      </c>
      <c r="X366" s="6">
        <f t="shared" si="97"/>
        <v>-7801.4500000000007</v>
      </c>
      <c r="Y366" s="6">
        <f t="shared" si="98"/>
        <v>-0.75226964818645115</v>
      </c>
      <c r="Z366" s="4" t="str">
        <f t="shared" si="99"/>
        <v>Q1-2025</v>
      </c>
      <c r="AA366" t="str">
        <f t="shared" si="100"/>
        <v>Phones</v>
      </c>
      <c r="AB366" t="str">
        <f t="shared" si="101"/>
        <v>Phones</v>
      </c>
      <c r="AC366" t="str">
        <f t="shared" si="102"/>
        <v>Non-compliant</v>
      </c>
      <c r="AD366" t="str">
        <f t="shared" si="103"/>
        <v>Late</v>
      </c>
      <c r="AE366" s="8">
        <f>MIN(Q366,Scenario!$B$2)</f>
        <v>0.2</v>
      </c>
      <c r="AF366" s="33">
        <f>L366*(1+Scenario!$B$3)</f>
        <v>1044.8899999999999</v>
      </c>
      <c r="AG366" s="6">
        <f>R366*(1+Scenario!$B$4)</f>
        <v>24</v>
      </c>
      <c r="AH366" s="33">
        <f t="shared" si="105"/>
        <v>13274.304000000002</v>
      </c>
      <c r="AI366" s="33">
        <f t="shared" si="106"/>
        <v>25077.359999999997</v>
      </c>
      <c r="AJ366" s="33">
        <f t="shared" si="107"/>
        <v>-11803.055999999995</v>
      </c>
    </row>
    <row r="367" spans="1:36" hidden="1" x14ac:dyDescent="0.25">
      <c r="A367" s="12" t="s">
        <v>418</v>
      </c>
      <c r="B367" s="27">
        <v>45677</v>
      </c>
      <c r="C367" s="4">
        <v>45691</v>
      </c>
      <c r="D367" s="12" t="s">
        <v>648</v>
      </c>
      <c r="E367" s="12" t="s">
        <v>655</v>
      </c>
      <c r="F367" s="12" t="s">
        <v>672</v>
      </c>
      <c r="G367" s="12" t="s">
        <v>706</v>
      </c>
      <c r="H367" s="12" t="s">
        <v>709</v>
      </c>
      <c r="I367" s="12" t="s">
        <v>721</v>
      </c>
      <c r="J367" s="12" t="s">
        <v>727</v>
      </c>
      <c r="K367" s="12" t="s">
        <v>1137</v>
      </c>
      <c r="L367" s="6">
        <v>974.11</v>
      </c>
      <c r="M367" s="6">
        <v>880.99</v>
      </c>
      <c r="N367" s="6">
        <f t="shared" si="90"/>
        <v>880.99</v>
      </c>
      <c r="O367" s="6" t="str">
        <f t="shared" si="104"/>
        <v>Middle</v>
      </c>
      <c r="P367" s="6">
        <v>0.111</v>
      </c>
      <c r="Q367" s="6">
        <f t="shared" si="91"/>
        <v>0.111</v>
      </c>
      <c r="R367" s="6">
        <v>10</v>
      </c>
      <c r="S367" s="6" t="str">
        <f t="shared" si="92"/>
        <v>OK</v>
      </c>
      <c r="T367" s="4">
        <f t="shared" si="93"/>
        <v>45691</v>
      </c>
      <c r="U367" s="11">
        <f t="shared" si="94"/>
        <v>14</v>
      </c>
      <c r="V367" s="6">
        <f t="shared" si="95"/>
        <v>7832.0010999999995</v>
      </c>
      <c r="W367" s="6">
        <f t="shared" si="96"/>
        <v>9741.1</v>
      </c>
      <c r="X367" s="6">
        <f t="shared" si="97"/>
        <v>-1909.0989000000009</v>
      </c>
      <c r="Y367" s="6">
        <f t="shared" si="98"/>
        <v>-0.2437562093805121</v>
      </c>
      <c r="Z367" s="4" t="str">
        <f t="shared" si="99"/>
        <v>Q1-2025</v>
      </c>
      <c r="AA367" t="str">
        <f t="shared" si="100"/>
        <v>Components</v>
      </c>
      <c r="AB367" t="str">
        <f t="shared" si="101"/>
        <v>Components</v>
      </c>
      <c r="AC367" t="str">
        <f t="shared" si="102"/>
        <v>Compliant</v>
      </c>
      <c r="AD367" t="str">
        <f t="shared" si="103"/>
        <v>Late</v>
      </c>
      <c r="AE367" s="8">
        <f>MIN(Q367,Scenario!$B$2)</f>
        <v>0.111</v>
      </c>
      <c r="AF367" s="33">
        <f>L367*(1+Scenario!$B$3)</f>
        <v>1120.2265</v>
      </c>
      <c r="AG367" s="6">
        <f>R367*(1+Scenario!$B$4)</f>
        <v>12</v>
      </c>
      <c r="AH367" s="33">
        <f t="shared" si="105"/>
        <v>9398.4013200000009</v>
      </c>
      <c r="AI367" s="33">
        <f t="shared" si="106"/>
        <v>13442.718000000001</v>
      </c>
      <c r="AJ367" s="33">
        <f t="shared" si="107"/>
        <v>-4044.3166799999999</v>
      </c>
    </row>
    <row r="368" spans="1:36" x14ac:dyDescent="0.25">
      <c r="A368" s="12" t="s">
        <v>201</v>
      </c>
      <c r="B368" s="27">
        <v>45670</v>
      </c>
      <c r="C368" s="4">
        <v>45696</v>
      </c>
      <c r="D368" s="12" t="s">
        <v>649</v>
      </c>
      <c r="E368" s="12" t="s">
        <v>657</v>
      </c>
      <c r="F368" s="12" t="s">
        <v>690</v>
      </c>
      <c r="G368" s="12" t="s">
        <v>703</v>
      </c>
      <c r="H368" s="14" t="s">
        <v>1379</v>
      </c>
      <c r="I368" s="12" t="s">
        <v>718</v>
      </c>
      <c r="J368" s="12" t="s">
        <v>732</v>
      </c>
      <c r="K368" s="12" t="s">
        <v>920</v>
      </c>
      <c r="L368" s="6">
        <v>594.74</v>
      </c>
      <c r="M368" s="6">
        <v>1020.69</v>
      </c>
      <c r="N368" s="6">
        <f t="shared" si="90"/>
        <v>1020.69</v>
      </c>
      <c r="O368" s="6" t="str">
        <f t="shared" si="104"/>
        <v>Middle</v>
      </c>
      <c r="P368" s="6">
        <v>0.21099999999999999</v>
      </c>
      <c r="Q368" s="6">
        <f t="shared" si="91"/>
        <v>0.21099999999999999</v>
      </c>
      <c r="R368" s="6">
        <v>6</v>
      </c>
      <c r="S368" s="6" t="str">
        <f t="shared" si="92"/>
        <v>OK</v>
      </c>
      <c r="T368" s="4">
        <f t="shared" si="93"/>
        <v>45696</v>
      </c>
      <c r="U368" s="11">
        <f t="shared" si="94"/>
        <v>26</v>
      </c>
      <c r="V368" s="6">
        <f t="shared" si="95"/>
        <v>4831.9464600000001</v>
      </c>
      <c r="W368" s="6">
        <f t="shared" si="96"/>
        <v>3568.44</v>
      </c>
      <c r="X368" s="6">
        <f t="shared" si="97"/>
        <v>1263.5064600000001</v>
      </c>
      <c r="Y368" s="6">
        <f t="shared" si="98"/>
        <v>0.26149016146176424</v>
      </c>
      <c r="Z368" s="4" t="str">
        <f t="shared" si="99"/>
        <v>Q1-2025</v>
      </c>
      <c r="AA368" t="str">
        <f t="shared" si="100"/>
        <v>Monitors</v>
      </c>
      <c r="AB368" t="str">
        <f t="shared" si="101"/>
        <v>Monitors</v>
      </c>
      <c r="AC368" t="str">
        <f t="shared" si="102"/>
        <v>Non-compliant</v>
      </c>
      <c r="AD368" t="str">
        <f t="shared" si="103"/>
        <v>Late</v>
      </c>
      <c r="AE368" s="8">
        <f>MIN(Q368,Scenario!$B$2)</f>
        <v>0.2</v>
      </c>
      <c r="AF368" s="33">
        <f>L368*(1+Scenario!$B$3)</f>
        <v>683.95099999999991</v>
      </c>
      <c r="AG368" s="6">
        <f>R368*(1+Scenario!$B$4)</f>
        <v>7.1999999999999993</v>
      </c>
      <c r="AH368" s="33">
        <f t="shared" si="105"/>
        <v>5879.1743999999999</v>
      </c>
      <c r="AI368" s="33">
        <f t="shared" si="106"/>
        <v>4924.4471999999987</v>
      </c>
      <c r="AJ368" s="33">
        <f t="shared" si="107"/>
        <v>954.72720000000118</v>
      </c>
    </row>
    <row r="369" spans="1:36" hidden="1" x14ac:dyDescent="0.25">
      <c r="A369" s="12" t="s">
        <v>392</v>
      </c>
      <c r="B369" s="27">
        <v>45664</v>
      </c>
      <c r="C369" s="4">
        <v>45677</v>
      </c>
      <c r="D369" s="12" t="s">
        <v>646</v>
      </c>
      <c r="E369" s="12" t="s">
        <v>661</v>
      </c>
      <c r="F369" s="12" t="s">
        <v>695</v>
      </c>
      <c r="G369" s="12" t="s">
        <v>701</v>
      </c>
      <c r="H369" s="12" t="s">
        <v>711</v>
      </c>
      <c r="I369" s="12" t="s">
        <v>723</v>
      </c>
      <c r="J369" s="12" t="s">
        <v>729</v>
      </c>
      <c r="K369" s="12" t="s">
        <v>1112</v>
      </c>
      <c r="L369" s="6">
        <v>432.13</v>
      </c>
      <c r="M369" s="6">
        <v>1034.6600000000001</v>
      </c>
      <c r="N369" s="6">
        <f t="shared" si="90"/>
        <v>1034.6600000000001</v>
      </c>
      <c r="O369" s="6" t="str">
        <f t="shared" si="104"/>
        <v>Middle</v>
      </c>
      <c r="P369" s="6">
        <v>9.1999999999999998E-2</v>
      </c>
      <c r="Q369" s="6">
        <f t="shared" si="91"/>
        <v>9.1999999999999998E-2</v>
      </c>
      <c r="R369" s="6">
        <v>7</v>
      </c>
      <c r="S369" s="6" t="str">
        <f t="shared" si="92"/>
        <v>OK</v>
      </c>
      <c r="T369" s="4">
        <f t="shared" si="93"/>
        <v>45677</v>
      </c>
      <c r="U369" s="11">
        <f t="shared" si="94"/>
        <v>13</v>
      </c>
      <c r="V369" s="6">
        <f t="shared" si="95"/>
        <v>6576.298960000001</v>
      </c>
      <c r="W369" s="6">
        <f t="shared" si="96"/>
        <v>3024.91</v>
      </c>
      <c r="X369" s="6">
        <f t="shared" si="97"/>
        <v>3551.3889600000011</v>
      </c>
      <c r="Y369" s="6">
        <f t="shared" si="98"/>
        <v>0.54002851476204794</v>
      </c>
      <c r="Z369" s="4" t="str">
        <f t="shared" si="99"/>
        <v>Q1-2025</v>
      </c>
      <c r="AA369" t="str">
        <f t="shared" si="100"/>
        <v>Networking</v>
      </c>
      <c r="AB369" t="str">
        <f t="shared" si="101"/>
        <v>Networking</v>
      </c>
      <c r="AC369" t="str">
        <f t="shared" si="102"/>
        <v>Compliant</v>
      </c>
      <c r="AD369" t="str">
        <f t="shared" si="103"/>
        <v>Late</v>
      </c>
      <c r="AE369" s="8">
        <f>MIN(Q369,Scenario!$B$2)</f>
        <v>9.1999999999999998E-2</v>
      </c>
      <c r="AF369" s="33">
        <f>L369*(1+Scenario!$B$3)</f>
        <v>496.94949999999994</v>
      </c>
      <c r="AG369" s="6">
        <f>R369*(1+Scenario!$B$4)</f>
        <v>8.4</v>
      </c>
      <c r="AH369" s="33">
        <f t="shared" si="105"/>
        <v>7891.5587520000008</v>
      </c>
      <c r="AI369" s="33">
        <f t="shared" si="106"/>
        <v>4174.3757999999998</v>
      </c>
      <c r="AJ369" s="33">
        <f t="shared" si="107"/>
        <v>3717.182952000001</v>
      </c>
    </row>
    <row r="370" spans="1:36" hidden="1" x14ac:dyDescent="0.25">
      <c r="A370" s="12" t="s">
        <v>549</v>
      </c>
      <c r="B370" s="27">
        <v>45667</v>
      </c>
      <c r="C370" s="4">
        <v>45694</v>
      </c>
      <c r="D370" s="12" t="s">
        <v>648</v>
      </c>
      <c r="E370" s="12" t="s">
        <v>655</v>
      </c>
      <c r="F370" s="12" t="s">
        <v>672</v>
      </c>
      <c r="G370" s="12" t="s">
        <v>703</v>
      </c>
      <c r="H370" s="12" t="s">
        <v>707</v>
      </c>
      <c r="I370" s="12" t="s">
        <v>717</v>
      </c>
      <c r="J370" s="12" t="s">
        <v>731</v>
      </c>
      <c r="K370" s="12" t="s">
        <v>1268</v>
      </c>
      <c r="L370" s="6">
        <v>725.62</v>
      </c>
      <c r="M370" s="6">
        <v>1559.19</v>
      </c>
      <c r="N370" s="6">
        <f t="shared" si="90"/>
        <v>1559.19</v>
      </c>
      <c r="O370" s="6" t="str">
        <f t="shared" si="104"/>
        <v>High</v>
      </c>
      <c r="P370" s="6">
        <v>0.19</v>
      </c>
      <c r="Q370" s="6">
        <f t="shared" si="91"/>
        <v>0.19</v>
      </c>
      <c r="R370" s="6">
        <v>12</v>
      </c>
      <c r="S370" s="6" t="str">
        <f t="shared" si="92"/>
        <v>OK</v>
      </c>
      <c r="T370" s="4">
        <f t="shared" si="93"/>
        <v>45694</v>
      </c>
      <c r="U370" s="11">
        <f t="shared" si="94"/>
        <v>27</v>
      </c>
      <c r="V370" s="6">
        <f t="shared" si="95"/>
        <v>15155.326800000001</v>
      </c>
      <c r="W370" s="6">
        <f t="shared" si="96"/>
        <v>8707.44</v>
      </c>
      <c r="X370" s="6">
        <f t="shared" si="97"/>
        <v>6447.8868000000002</v>
      </c>
      <c r="Y370" s="6">
        <f t="shared" si="98"/>
        <v>0.42545349797405885</v>
      </c>
      <c r="Z370" s="4" t="str">
        <f t="shared" si="99"/>
        <v>Q1-2025</v>
      </c>
      <c r="AA370" t="str">
        <f t="shared" si="100"/>
        <v>Laptops</v>
      </c>
      <c r="AB370" t="str">
        <f t="shared" si="101"/>
        <v>Laptops</v>
      </c>
      <c r="AC370" t="str">
        <f t="shared" si="102"/>
        <v>Compliant</v>
      </c>
      <c r="AD370" t="str">
        <f t="shared" si="103"/>
        <v>Late</v>
      </c>
      <c r="AE370" s="8">
        <f>MIN(Q370,Scenario!$B$2)</f>
        <v>0.19</v>
      </c>
      <c r="AF370" s="33">
        <f>L370*(1+Scenario!$B$3)</f>
        <v>834.46299999999997</v>
      </c>
      <c r="AG370" s="6">
        <f>R370*(1+Scenario!$B$4)</f>
        <v>14.399999999999999</v>
      </c>
      <c r="AH370" s="33">
        <f t="shared" si="105"/>
        <v>18186.392159999999</v>
      </c>
      <c r="AI370" s="33">
        <f t="shared" si="106"/>
        <v>12016.267199999998</v>
      </c>
      <c r="AJ370" s="33">
        <f t="shared" si="107"/>
        <v>6170.124960000001</v>
      </c>
    </row>
    <row r="371" spans="1:36" hidden="1" x14ac:dyDescent="0.25">
      <c r="A371" s="12" t="s">
        <v>221</v>
      </c>
      <c r="B371" s="27">
        <v>45678</v>
      </c>
      <c r="C371" s="4">
        <v>45702</v>
      </c>
      <c r="D371" s="12" t="s">
        <v>646</v>
      </c>
      <c r="E371" s="12" t="s">
        <v>650</v>
      </c>
      <c r="F371" s="12" t="s">
        <v>664</v>
      </c>
      <c r="G371" s="12" t="s">
        <v>705</v>
      </c>
      <c r="H371" s="12" t="s">
        <v>707</v>
      </c>
      <c r="I371" s="12" t="s">
        <v>713</v>
      </c>
      <c r="J371" s="12" t="s">
        <v>733</v>
      </c>
      <c r="K371" s="12" t="s">
        <v>941</v>
      </c>
      <c r="L371" s="6">
        <v>1030.44</v>
      </c>
      <c r="M371" s="6">
        <v>2562.84</v>
      </c>
      <c r="N371" s="6">
        <f t="shared" si="90"/>
        <v>2562.84</v>
      </c>
      <c r="O371" s="6" t="str">
        <f t="shared" si="104"/>
        <v>High</v>
      </c>
      <c r="P371" s="6">
        <v>0.14799999999999999</v>
      </c>
      <c r="Q371" s="6">
        <f t="shared" si="91"/>
        <v>0.14799999999999999</v>
      </c>
      <c r="R371" s="6">
        <v>13</v>
      </c>
      <c r="S371" s="6" t="str">
        <f t="shared" si="92"/>
        <v>OK</v>
      </c>
      <c r="T371" s="4">
        <f t="shared" si="93"/>
        <v>45702</v>
      </c>
      <c r="U371" s="11">
        <f t="shared" si="94"/>
        <v>24</v>
      </c>
      <c r="V371" s="6">
        <f t="shared" si="95"/>
        <v>28386.015839999996</v>
      </c>
      <c r="W371" s="6">
        <f t="shared" si="96"/>
        <v>13395.720000000001</v>
      </c>
      <c r="X371" s="6">
        <f t="shared" si="97"/>
        <v>14990.295839999995</v>
      </c>
      <c r="Y371" s="6">
        <f t="shared" si="98"/>
        <v>0.52808734852027039</v>
      </c>
      <c r="Z371" s="4" t="str">
        <f t="shared" si="99"/>
        <v>Q1-2025</v>
      </c>
      <c r="AA371" t="str">
        <f t="shared" si="100"/>
        <v>Accessories</v>
      </c>
      <c r="AB371" t="str">
        <f t="shared" si="101"/>
        <v>Accessories</v>
      </c>
      <c r="AC371" t="str">
        <f t="shared" si="102"/>
        <v>Compliant</v>
      </c>
      <c r="AD371" t="str">
        <f t="shared" si="103"/>
        <v>Late</v>
      </c>
      <c r="AE371" s="8">
        <f>MIN(Q371,Scenario!$B$2)</f>
        <v>0.14799999999999999</v>
      </c>
      <c r="AF371" s="33">
        <f>L371*(1+Scenario!$B$3)</f>
        <v>1185.0059999999999</v>
      </c>
      <c r="AG371" s="6">
        <f>R371*(1+Scenario!$B$4)</f>
        <v>15.6</v>
      </c>
      <c r="AH371" s="33">
        <f t="shared" si="105"/>
        <v>34063.219008</v>
      </c>
      <c r="AI371" s="33">
        <f t="shared" si="106"/>
        <v>18486.093599999997</v>
      </c>
      <c r="AJ371" s="33">
        <f t="shared" si="107"/>
        <v>15577.125408000004</v>
      </c>
    </row>
    <row r="372" spans="1:36" hidden="1" x14ac:dyDescent="0.25">
      <c r="A372" s="12" t="s">
        <v>227</v>
      </c>
      <c r="B372" s="27">
        <v>45686</v>
      </c>
      <c r="C372" s="4">
        <v>45694</v>
      </c>
      <c r="D372" s="12" t="s">
        <v>646</v>
      </c>
      <c r="E372" s="12" t="s">
        <v>650</v>
      </c>
      <c r="F372" s="12" t="s">
        <v>662</v>
      </c>
      <c r="G372" s="12" t="s">
        <v>702</v>
      </c>
      <c r="H372" s="12" t="s">
        <v>707</v>
      </c>
      <c r="I372" s="12" t="s">
        <v>717</v>
      </c>
      <c r="J372" s="12" t="s">
        <v>730</v>
      </c>
      <c r="K372" s="12" t="s">
        <v>947</v>
      </c>
      <c r="L372" s="6">
        <v>1445.27</v>
      </c>
      <c r="M372" s="6">
        <v>2691.45</v>
      </c>
      <c r="N372" s="6">
        <f t="shared" si="90"/>
        <v>2691.45</v>
      </c>
      <c r="O372" s="6" t="str">
        <f t="shared" si="104"/>
        <v>High</v>
      </c>
      <c r="P372" s="6">
        <v>0</v>
      </c>
      <c r="Q372" s="6">
        <f t="shared" si="91"/>
        <v>0</v>
      </c>
      <c r="R372" s="6">
        <v>9</v>
      </c>
      <c r="S372" s="6" t="str">
        <f t="shared" si="92"/>
        <v>OK</v>
      </c>
      <c r="T372" s="4">
        <f t="shared" si="93"/>
        <v>45694</v>
      </c>
      <c r="U372" s="11">
        <f t="shared" si="94"/>
        <v>8</v>
      </c>
      <c r="V372" s="6">
        <f t="shared" si="95"/>
        <v>24223.05</v>
      </c>
      <c r="W372" s="6">
        <f t="shared" si="96"/>
        <v>13007.43</v>
      </c>
      <c r="X372" s="6">
        <f t="shared" si="97"/>
        <v>11215.619999999999</v>
      </c>
      <c r="Y372" s="6">
        <f t="shared" si="98"/>
        <v>0.46301436028906351</v>
      </c>
      <c r="Z372" s="4" t="str">
        <f t="shared" si="99"/>
        <v>Q1-2025</v>
      </c>
      <c r="AA372" t="str">
        <f t="shared" si="100"/>
        <v>Phones</v>
      </c>
      <c r="AB372" t="str">
        <f t="shared" si="101"/>
        <v>Phones</v>
      </c>
      <c r="AC372" t="str">
        <f t="shared" si="102"/>
        <v>Compliant</v>
      </c>
      <c r="AD372" t="str">
        <f t="shared" si="103"/>
        <v>Late</v>
      </c>
      <c r="AE372" s="8">
        <f>MIN(Q372,Scenario!$B$2)</f>
        <v>0</v>
      </c>
      <c r="AF372" s="33">
        <f>L372*(1+Scenario!$B$3)</f>
        <v>1662.0604999999998</v>
      </c>
      <c r="AG372" s="6">
        <f>R372*(1+Scenario!$B$4)</f>
        <v>10.799999999999999</v>
      </c>
      <c r="AH372" s="33">
        <f t="shared" si="105"/>
        <v>29067.659999999996</v>
      </c>
      <c r="AI372" s="33">
        <f t="shared" si="106"/>
        <v>17950.253399999998</v>
      </c>
      <c r="AJ372" s="33">
        <f t="shared" si="107"/>
        <v>11117.406599999998</v>
      </c>
    </row>
    <row r="373" spans="1:36" hidden="1" x14ac:dyDescent="0.25">
      <c r="A373" s="12" t="s">
        <v>528</v>
      </c>
      <c r="B373" s="27">
        <v>45661</v>
      </c>
      <c r="C373" s="4">
        <v>45662</v>
      </c>
      <c r="D373" s="12" t="s">
        <v>647</v>
      </c>
      <c r="E373" s="12" t="s">
        <v>654</v>
      </c>
      <c r="F373" s="12" t="s">
        <v>680</v>
      </c>
      <c r="G373" s="12" t="s">
        <v>702</v>
      </c>
      <c r="H373" s="12" t="s">
        <v>707</v>
      </c>
      <c r="I373" s="12" t="s">
        <v>714</v>
      </c>
      <c r="J373" s="12" t="s">
        <v>727</v>
      </c>
      <c r="K373" s="12" t="s">
        <v>1247</v>
      </c>
      <c r="L373" s="6">
        <v>1428.33</v>
      </c>
      <c r="M373" s="6">
        <v>3028.05</v>
      </c>
      <c r="N373" s="6">
        <f t="shared" si="90"/>
        <v>3028.05</v>
      </c>
      <c r="O373" s="6" t="str">
        <f t="shared" si="104"/>
        <v>High</v>
      </c>
      <c r="P373" s="6">
        <v>0</v>
      </c>
      <c r="Q373" s="6">
        <f t="shared" si="91"/>
        <v>0</v>
      </c>
      <c r="R373" s="6">
        <v>11</v>
      </c>
      <c r="S373" s="6" t="str">
        <f t="shared" si="92"/>
        <v>OK</v>
      </c>
      <c r="T373" s="4">
        <f t="shared" si="93"/>
        <v>45662</v>
      </c>
      <c r="U373" s="11">
        <f t="shared" si="94"/>
        <v>1</v>
      </c>
      <c r="V373" s="6">
        <f t="shared" si="95"/>
        <v>33308.550000000003</v>
      </c>
      <c r="W373" s="6">
        <f t="shared" si="96"/>
        <v>15711.63</v>
      </c>
      <c r="X373" s="6">
        <f t="shared" si="97"/>
        <v>17596.920000000006</v>
      </c>
      <c r="Y373" s="6">
        <f t="shared" si="98"/>
        <v>0.52830039134096207</v>
      </c>
      <c r="Z373" s="4" t="str">
        <f t="shared" si="99"/>
        <v>Q1-2025</v>
      </c>
      <c r="AA373" t="str">
        <f t="shared" si="100"/>
        <v>Components</v>
      </c>
      <c r="AB373" t="str">
        <f t="shared" si="101"/>
        <v>Components</v>
      </c>
      <c r="AC373" t="str">
        <f t="shared" si="102"/>
        <v>Compliant</v>
      </c>
      <c r="AD373" t="str">
        <f t="shared" si="103"/>
        <v>On-time</v>
      </c>
      <c r="AE373" s="8">
        <f>MIN(Q373,Scenario!$B$2)</f>
        <v>0</v>
      </c>
      <c r="AF373" s="33">
        <f>L373*(1+Scenario!$B$3)</f>
        <v>1642.5794999999998</v>
      </c>
      <c r="AG373" s="6">
        <f>R373*(1+Scenario!$B$4)</f>
        <v>13.2</v>
      </c>
      <c r="AH373" s="33">
        <f t="shared" si="105"/>
        <v>39970.26</v>
      </c>
      <c r="AI373" s="33">
        <f t="shared" si="106"/>
        <v>21682.049399999996</v>
      </c>
      <c r="AJ373" s="33">
        <f t="shared" si="107"/>
        <v>18288.210600000006</v>
      </c>
    </row>
    <row r="374" spans="1:36" hidden="1" x14ac:dyDescent="0.25">
      <c r="A374" s="12" t="s">
        <v>115</v>
      </c>
      <c r="B374" s="27">
        <v>45684</v>
      </c>
      <c r="C374" s="4">
        <v>45703</v>
      </c>
      <c r="D374" s="12" t="s">
        <v>647</v>
      </c>
      <c r="E374" s="12" t="s">
        <v>659</v>
      </c>
      <c r="F374" s="12" t="s">
        <v>676</v>
      </c>
      <c r="G374" s="12" t="s">
        <v>703</v>
      </c>
      <c r="H374" s="12" t="s">
        <v>711</v>
      </c>
      <c r="I374" s="12" t="s">
        <v>716</v>
      </c>
      <c r="J374" s="12" t="s">
        <v>730</v>
      </c>
      <c r="K374" s="12" t="s">
        <v>834</v>
      </c>
      <c r="L374" s="6">
        <v>1253.22</v>
      </c>
      <c r="M374" s="6">
        <v>3104.71</v>
      </c>
      <c r="N374" s="6">
        <f t="shared" si="90"/>
        <v>3104.71</v>
      </c>
      <c r="O374" s="6" t="str">
        <f t="shared" si="104"/>
        <v>High</v>
      </c>
      <c r="P374" s="6">
        <v>0</v>
      </c>
      <c r="Q374" s="6">
        <f t="shared" si="91"/>
        <v>0</v>
      </c>
      <c r="R374" s="6">
        <v>17</v>
      </c>
      <c r="S374" s="6" t="str">
        <f t="shared" si="92"/>
        <v>OK</v>
      </c>
      <c r="T374" s="4">
        <f t="shared" si="93"/>
        <v>45703</v>
      </c>
      <c r="U374" s="11">
        <f t="shared" si="94"/>
        <v>19</v>
      </c>
      <c r="V374" s="6">
        <f t="shared" si="95"/>
        <v>52780.07</v>
      </c>
      <c r="W374" s="6">
        <f t="shared" si="96"/>
        <v>21304.74</v>
      </c>
      <c r="X374" s="6">
        <f t="shared" si="97"/>
        <v>31475.329999999998</v>
      </c>
      <c r="Y374" s="6">
        <f t="shared" si="98"/>
        <v>0.59634877331538205</v>
      </c>
      <c r="Z374" s="4" t="str">
        <f t="shared" si="99"/>
        <v>Q1-2025</v>
      </c>
      <c r="AA374" t="str">
        <f t="shared" si="100"/>
        <v>Phones</v>
      </c>
      <c r="AB374" t="str">
        <f t="shared" si="101"/>
        <v>Phones</v>
      </c>
      <c r="AC374" t="str">
        <f t="shared" si="102"/>
        <v>Compliant</v>
      </c>
      <c r="AD374" t="str">
        <f t="shared" si="103"/>
        <v>Late</v>
      </c>
      <c r="AE374" s="8">
        <f>MIN(Q374,Scenario!$B$2)</f>
        <v>0</v>
      </c>
      <c r="AF374" s="33">
        <f>L374*(1+Scenario!$B$3)</f>
        <v>1441.203</v>
      </c>
      <c r="AG374" s="6">
        <f>R374*(1+Scenario!$B$4)</f>
        <v>20.399999999999999</v>
      </c>
      <c r="AH374" s="33">
        <f t="shared" si="105"/>
        <v>63336.083999999995</v>
      </c>
      <c r="AI374" s="33">
        <f t="shared" si="106"/>
        <v>29400.541199999996</v>
      </c>
      <c r="AJ374" s="33">
        <f t="shared" si="107"/>
        <v>33935.542799999996</v>
      </c>
    </row>
    <row r="375" spans="1:36" hidden="1" x14ac:dyDescent="0.25">
      <c r="A375" s="12" t="s">
        <v>623</v>
      </c>
      <c r="B375" s="27">
        <v>45319</v>
      </c>
      <c r="C375" s="4">
        <v>45318</v>
      </c>
      <c r="D375" s="12" t="s">
        <v>646</v>
      </c>
      <c r="E375" s="12" t="s">
        <v>661</v>
      </c>
      <c r="F375" s="12" t="s">
        <v>695</v>
      </c>
      <c r="G375" s="12" t="s">
        <v>706</v>
      </c>
      <c r="H375" s="12" t="s">
        <v>711</v>
      </c>
      <c r="I375" s="12" t="s">
        <v>719</v>
      </c>
      <c r="J375" s="12" t="s">
        <v>727</v>
      </c>
      <c r="K375" s="12" t="s">
        <v>1341</v>
      </c>
      <c r="L375" s="6">
        <v>109.75</v>
      </c>
      <c r="M375" s="6">
        <v>124.25</v>
      </c>
      <c r="N375" s="6">
        <f t="shared" si="90"/>
        <v>124.25</v>
      </c>
      <c r="O375" s="6" t="str">
        <f t="shared" si="104"/>
        <v>Low</v>
      </c>
      <c r="P375" s="6">
        <v>0.12</v>
      </c>
      <c r="Q375" s="6">
        <f t="shared" si="91"/>
        <v>0.12</v>
      </c>
      <c r="R375" s="6">
        <v>19</v>
      </c>
      <c r="S375" s="6" t="str">
        <f t="shared" si="92"/>
        <v>Correct</v>
      </c>
      <c r="T375" s="4">
        <f t="shared" si="93"/>
        <v>45326</v>
      </c>
      <c r="U375" s="11">
        <f t="shared" si="94"/>
        <v>7</v>
      </c>
      <c r="V375" s="6">
        <f t="shared" si="95"/>
        <v>2077.46</v>
      </c>
      <c r="W375" s="6">
        <f t="shared" si="96"/>
        <v>2085.25</v>
      </c>
      <c r="X375" s="6">
        <f t="shared" si="97"/>
        <v>-7.7899999999999636</v>
      </c>
      <c r="Y375" s="6">
        <f t="shared" si="98"/>
        <v>-3.7497713554051405E-3</v>
      </c>
      <c r="Z375" s="4" t="str">
        <f t="shared" si="99"/>
        <v>Q1-2024</v>
      </c>
      <c r="AA375" t="str">
        <f t="shared" si="100"/>
        <v>Components</v>
      </c>
      <c r="AB375" t="str">
        <f t="shared" si="101"/>
        <v>Components</v>
      </c>
      <c r="AC375" t="str">
        <f t="shared" si="102"/>
        <v>Compliant</v>
      </c>
      <c r="AD375" t="str">
        <f t="shared" si="103"/>
        <v>On-time</v>
      </c>
      <c r="AE375" s="8">
        <f>MIN(Q375,Scenario!$B$2)</f>
        <v>0.12</v>
      </c>
      <c r="AF375" s="33">
        <f>L375*(1+Scenario!$B$3)</f>
        <v>126.21249999999999</v>
      </c>
      <c r="AG375" s="6">
        <f>R375*(1+Scenario!$B$4)</f>
        <v>22.8</v>
      </c>
      <c r="AH375" s="33">
        <f t="shared" si="105"/>
        <v>2492.9520000000002</v>
      </c>
      <c r="AI375" s="33">
        <f t="shared" si="106"/>
        <v>2877.645</v>
      </c>
      <c r="AJ375" s="33">
        <f t="shared" si="107"/>
        <v>-384.69299999999976</v>
      </c>
    </row>
    <row r="376" spans="1:36" hidden="1" x14ac:dyDescent="0.25">
      <c r="A376" s="12" t="s">
        <v>116</v>
      </c>
      <c r="B376" s="27">
        <v>45304</v>
      </c>
      <c r="C376" s="4">
        <v>45313</v>
      </c>
      <c r="D376" s="12" t="s">
        <v>647</v>
      </c>
      <c r="E376" s="12" t="s">
        <v>654</v>
      </c>
      <c r="F376" s="12" t="s">
        <v>691</v>
      </c>
      <c r="G376" s="12" t="s">
        <v>706</v>
      </c>
      <c r="H376" s="12" t="s">
        <v>709</v>
      </c>
      <c r="I376" s="12" t="s">
        <v>713</v>
      </c>
      <c r="J376" s="12" t="s">
        <v>727</v>
      </c>
      <c r="K376" s="12" t="s">
        <v>835</v>
      </c>
      <c r="L376" s="6">
        <v>313.60000000000002</v>
      </c>
      <c r="M376" s="6">
        <v>334.28</v>
      </c>
      <c r="N376" s="6">
        <f t="shared" si="90"/>
        <v>334.28</v>
      </c>
      <c r="O376" s="6" t="str">
        <f t="shared" si="104"/>
        <v>Low</v>
      </c>
      <c r="P376" s="6">
        <v>0.14000000000000001</v>
      </c>
      <c r="Q376" s="6">
        <f t="shared" si="91"/>
        <v>0.14000000000000001</v>
      </c>
      <c r="R376" s="6">
        <v>22</v>
      </c>
      <c r="S376" s="6" t="str">
        <f t="shared" si="92"/>
        <v>OK</v>
      </c>
      <c r="T376" s="4">
        <f t="shared" si="93"/>
        <v>45313</v>
      </c>
      <c r="U376" s="11">
        <f t="shared" si="94"/>
        <v>9</v>
      </c>
      <c r="V376" s="6">
        <f t="shared" si="95"/>
        <v>6324.5775999999996</v>
      </c>
      <c r="W376" s="6">
        <f t="shared" si="96"/>
        <v>6899.2000000000007</v>
      </c>
      <c r="X376" s="6">
        <f t="shared" si="97"/>
        <v>-574.62240000000111</v>
      </c>
      <c r="Y376" s="6">
        <f t="shared" si="98"/>
        <v>-9.0855458868905517E-2</v>
      </c>
      <c r="Z376" s="4" t="str">
        <f t="shared" si="99"/>
        <v>Q1-2024</v>
      </c>
      <c r="AA376" t="str">
        <f t="shared" si="100"/>
        <v>Components</v>
      </c>
      <c r="AB376" t="str">
        <f t="shared" si="101"/>
        <v>Components</v>
      </c>
      <c r="AC376" t="str">
        <f t="shared" si="102"/>
        <v>Compliant</v>
      </c>
      <c r="AD376" t="str">
        <f t="shared" si="103"/>
        <v>Late</v>
      </c>
      <c r="AE376" s="8">
        <f>MIN(Q376,Scenario!$B$2)</f>
        <v>0.14000000000000001</v>
      </c>
      <c r="AF376" s="33">
        <f>L376*(1+Scenario!$B$3)</f>
        <v>360.64</v>
      </c>
      <c r="AG376" s="6">
        <f>R376*(1+Scenario!$B$4)</f>
        <v>26.4</v>
      </c>
      <c r="AH376" s="33">
        <f t="shared" si="105"/>
        <v>7589.4931199999983</v>
      </c>
      <c r="AI376" s="33">
        <f t="shared" si="106"/>
        <v>9520.8959999999988</v>
      </c>
      <c r="AJ376" s="33">
        <f t="shared" si="107"/>
        <v>-1931.4028800000006</v>
      </c>
    </row>
    <row r="377" spans="1:36" hidden="1" x14ac:dyDescent="0.25">
      <c r="A377" s="12" t="s">
        <v>335</v>
      </c>
      <c r="B377" s="27">
        <v>45293</v>
      </c>
      <c r="C377" s="4">
        <v>45292</v>
      </c>
      <c r="D377" s="12" t="s">
        <v>648</v>
      </c>
      <c r="E377" s="12" t="s">
        <v>660</v>
      </c>
      <c r="F377" s="12" t="s">
        <v>677</v>
      </c>
      <c r="G377" s="12" t="s">
        <v>702</v>
      </c>
      <c r="H377" s="12" t="s">
        <v>709</v>
      </c>
      <c r="I377" s="12" t="s">
        <v>717</v>
      </c>
      <c r="J377" s="12" t="s">
        <v>729</v>
      </c>
      <c r="K377" s="12" t="s">
        <v>1055</v>
      </c>
      <c r="L377" s="6">
        <v>404.77</v>
      </c>
      <c r="M377" s="6">
        <v>433.88</v>
      </c>
      <c r="N377" s="6">
        <f t="shared" si="90"/>
        <v>433.88</v>
      </c>
      <c r="O377" s="6" t="str">
        <f t="shared" si="104"/>
        <v>Low</v>
      </c>
      <c r="P377" s="6">
        <v>0.215</v>
      </c>
      <c r="Q377" s="6">
        <f t="shared" si="91"/>
        <v>0.215</v>
      </c>
      <c r="R377" s="6">
        <v>22</v>
      </c>
      <c r="S377" s="6" t="str">
        <f t="shared" si="92"/>
        <v>Correct</v>
      </c>
      <c r="T377" s="4">
        <f t="shared" si="93"/>
        <v>45300</v>
      </c>
      <c r="U377" s="11">
        <f t="shared" si="94"/>
        <v>7</v>
      </c>
      <c r="V377" s="6">
        <f t="shared" si="95"/>
        <v>7493.1076000000012</v>
      </c>
      <c r="W377" s="6">
        <f t="shared" si="96"/>
        <v>8904.9399999999987</v>
      </c>
      <c r="X377" s="6">
        <f t="shared" si="97"/>
        <v>-1411.8323999999975</v>
      </c>
      <c r="Y377" s="6">
        <f t="shared" si="98"/>
        <v>-0.18841747314558746</v>
      </c>
      <c r="Z377" s="4" t="str">
        <f t="shared" si="99"/>
        <v>Q1-2024</v>
      </c>
      <c r="AA377" t="str">
        <f t="shared" si="100"/>
        <v>Networking</v>
      </c>
      <c r="AB377" t="str">
        <f t="shared" si="101"/>
        <v>Networking</v>
      </c>
      <c r="AC377" t="str">
        <f t="shared" si="102"/>
        <v>Non-compliant</v>
      </c>
      <c r="AD377" t="str">
        <f t="shared" si="103"/>
        <v>On-time</v>
      </c>
      <c r="AE377" s="8">
        <f>MIN(Q377,Scenario!$B$2)</f>
        <v>0.2</v>
      </c>
      <c r="AF377" s="33">
        <f>L377*(1+Scenario!$B$3)</f>
        <v>465.48549999999994</v>
      </c>
      <c r="AG377" s="6">
        <f>R377*(1+Scenario!$B$4)</f>
        <v>26.4</v>
      </c>
      <c r="AH377" s="33">
        <f t="shared" si="105"/>
        <v>9163.5455999999995</v>
      </c>
      <c r="AI377" s="33">
        <f t="shared" si="106"/>
        <v>12288.817199999998</v>
      </c>
      <c r="AJ377" s="33">
        <f t="shared" si="107"/>
        <v>-3125.2715999999982</v>
      </c>
    </row>
    <row r="378" spans="1:36" hidden="1" x14ac:dyDescent="0.25">
      <c r="A378" s="12" t="s">
        <v>574</v>
      </c>
      <c r="B378" s="27">
        <v>45299</v>
      </c>
      <c r="C378" s="4">
        <v>45303</v>
      </c>
      <c r="D378" s="12" t="s">
        <v>647</v>
      </c>
      <c r="E378" s="12" t="s">
        <v>654</v>
      </c>
      <c r="F378" s="12" t="s">
        <v>668</v>
      </c>
      <c r="G378" s="12" t="s">
        <v>701</v>
      </c>
      <c r="H378" s="12" t="s">
        <v>711</v>
      </c>
      <c r="I378" s="12" t="s">
        <v>718</v>
      </c>
      <c r="J378" s="12" t="s">
        <v>728</v>
      </c>
      <c r="K378" s="12" t="s">
        <v>1292</v>
      </c>
      <c r="L378" s="6">
        <v>802.32</v>
      </c>
      <c r="M378" s="6">
        <v>602.34</v>
      </c>
      <c r="N378" s="6">
        <f t="shared" si="90"/>
        <v>602.34</v>
      </c>
      <c r="O378" s="6" t="str">
        <f t="shared" si="104"/>
        <v>Middle</v>
      </c>
      <c r="P378" s="6">
        <v>0.12</v>
      </c>
      <c r="Q378" s="6">
        <f t="shared" si="91"/>
        <v>0.12</v>
      </c>
      <c r="R378" s="6">
        <v>25</v>
      </c>
      <c r="S378" s="6" t="str">
        <f t="shared" si="92"/>
        <v>OK</v>
      </c>
      <c r="T378" s="4">
        <f t="shared" si="93"/>
        <v>45303</v>
      </c>
      <c r="U378" s="11">
        <f t="shared" si="94"/>
        <v>4</v>
      </c>
      <c r="V378" s="6">
        <f t="shared" si="95"/>
        <v>13251.48</v>
      </c>
      <c r="W378" s="6">
        <f t="shared" si="96"/>
        <v>20058</v>
      </c>
      <c r="X378" s="6">
        <f t="shared" si="97"/>
        <v>-6806.52</v>
      </c>
      <c r="Y378" s="6">
        <f t="shared" si="98"/>
        <v>-0.51364224977134632</v>
      </c>
      <c r="Z378" s="4" t="str">
        <f t="shared" si="99"/>
        <v>Q1-2024</v>
      </c>
      <c r="AA378" t="str">
        <f t="shared" si="100"/>
        <v>Printers</v>
      </c>
      <c r="AB378" t="str">
        <f t="shared" si="101"/>
        <v>Printers</v>
      </c>
      <c r="AC378" t="str">
        <f t="shared" si="102"/>
        <v>Compliant</v>
      </c>
      <c r="AD378" t="str">
        <f t="shared" si="103"/>
        <v>On-time</v>
      </c>
      <c r="AE378" s="8">
        <f>MIN(Q378,Scenario!$B$2)</f>
        <v>0.12</v>
      </c>
      <c r="AF378" s="33">
        <f>L378*(1+Scenario!$B$3)</f>
        <v>922.66800000000001</v>
      </c>
      <c r="AG378" s="6">
        <f>R378*(1+Scenario!$B$4)</f>
        <v>30</v>
      </c>
      <c r="AH378" s="33">
        <f t="shared" si="105"/>
        <v>15901.776</v>
      </c>
      <c r="AI378" s="33">
        <f t="shared" si="106"/>
        <v>27680.04</v>
      </c>
      <c r="AJ378" s="33">
        <f t="shared" si="107"/>
        <v>-11778.264000000001</v>
      </c>
    </row>
    <row r="379" spans="1:36" hidden="1" x14ac:dyDescent="0.25">
      <c r="A379" s="12" t="s">
        <v>340</v>
      </c>
      <c r="B379" s="27">
        <v>45303</v>
      </c>
      <c r="C379" s="4">
        <v>45320</v>
      </c>
      <c r="D379" s="12" t="s">
        <v>647</v>
      </c>
      <c r="E379" s="12" t="s">
        <v>654</v>
      </c>
      <c r="F379" s="12" t="s">
        <v>696</v>
      </c>
      <c r="G379" s="12" t="s">
        <v>705</v>
      </c>
      <c r="H379" s="12" t="s">
        <v>711</v>
      </c>
      <c r="I379" s="12" t="s">
        <v>717</v>
      </c>
      <c r="J379" s="12" t="s">
        <v>727</v>
      </c>
      <c r="K379" s="12" t="s">
        <v>1060</v>
      </c>
      <c r="L379" s="6">
        <v>310.02</v>
      </c>
      <c r="M379" s="6">
        <v>619.51</v>
      </c>
      <c r="N379" s="6">
        <f t="shared" si="90"/>
        <v>619.51</v>
      </c>
      <c r="O379" s="6" t="str">
        <f t="shared" si="104"/>
        <v>Middle</v>
      </c>
      <c r="P379" s="6">
        <v>4.2000000000000003E-2</v>
      </c>
      <c r="Q379" s="6">
        <f t="shared" si="91"/>
        <v>4.2000000000000003E-2</v>
      </c>
      <c r="R379" s="6">
        <v>4</v>
      </c>
      <c r="S379" s="6" t="str">
        <f t="shared" si="92"/>
        <v>OK</v>
      </c>
      <c r="T379" s="4">
        <f t="shared" si="93"/>
        <v>45320</v>
      </c>
      <c r="U379" s="11">
        <f t="shared" si="94"/>
        <v>17</v>
      </c>
      <c r="V379" s="6">
        <f t="shared" si="95"/>
        <v>2373.9623200000001</v>
      </c>
      <c r="W379" s="6">
        <f t="shared" si="96"/>
        <v>1240.08</v>
      </c>
      <c r="X379" s="6">
        <f t="shared" si="97"/>
        <v>1133.8823200000002</v>
      </c>
      <c r="Y379" s="6">
        <f t="shared" si="98"/>
        <v>0.47763282106347843</v>
      </c>
      <c r="Z379" s="4" t="str">
        <f t="shared" si="99"/>
        <v>Q1-2024</v>
      </c>
      <c r="AA379" t="str">
        <f t="shared" si="100"/>
        <v>Components</v>
      </c>
      <c r="AB379" t="str">
        <f t="shared" si="101"/>
        <v>Components</v>
      </c>
      <c r="AC379" t="str">
        <f t="shared" si="102"/>
        <v>Compliant</v>
      </c>
      <c r="AD379" t="str">
        <f t="shared" si="103"/>
        <v>Late</v>
      </c>
      <c r="AE379" s="8">
        <f>MIN(Q379,Scenario!$B$2)</f>
        <v>4.2000000000000003E-2</v>
      </c>
      <c r="AF379" s="33">
        <f>L379*(1+Scenario!$B$3)</f>
        <v>356.52299999999997</v>
      </c>
      <c r="AG379" s="6">
        <f>R379*(1+Scenario!$B$4)</f>
        <v>4.8</v>
      </c>
      <c r="AH379" s="33">
        <f t="shared" si="105"/>
        <v>2848.7547839999997</v>
      </c>
      <c r="AI379" s="33">
        <f t="shared" si="106"/>
        <v>1711.3103999999998</v>
      </c>
      <c r="AJ379" s="33">
        <f t="shared" si="107"/>
        <v>1137.4443839999999</v>
      </c>
    </row>
    <row r="380" spans="1:36" hidden="1" x14ac:dyDescent="0.25">
      <c r="A380" s="12" t="s">
        <v>215</v>
      </c>
      <c r="B380" s="27">
        <v>45303</v>
      </c>
      <c r="C380" s="4">
        <v>45320</v>
      </c>
      <c r="D380" s="12" t="s">
        <v>648</v>
      </c>
      <c r="E380" s="12" t="s">
        <v>660</v>
      </c>
      <c r="F380" s="12" t="s">
        <v>677</v>
      </c>
      <c r="G380" s="12" t="s">
        <v>702</v>
      </c>
      <c r="H380" s="12" t="s">
        <v>710</v>
      </c>
      <c r="I380" s="12" t="s">
        <v>720</v>
      </c>
      <c r="J380" s="12" t="s">
        <v>728</v>
      </c>
      <c r="K380" s="12" t="s">
        <v>935</v>
      </c>
      <c r="L380" s="6">
        <v>493.76</v>
      </c>
      <c r="M380" s="6">
        <v>625.04</v>
      </c>
      <c r="N380" s="6">
        <f t="shared" si="90"/>
        <v>625.04</v>
      </c>
      <c r="O380" s="6" t="str">
        <f t="shared" si="104"/>
        <v>Middle</v>
      </c>
      <c r="P380" s="6">
        <v>0.25800000000000001</v>
      </c>
      <c r="Q380" s="6">
        <f t="shared" si="91"/>
        <v>0.25800000000000001</v>
      </c>
      <c r="R380" s="6">
        <v>10</v>
      </c>
      <c r="S380" s="6" t="str">
        <f t="shared" si="92"/>
        <v>OK</v>
      </c>
      <c r="T380" s="4">
        <f t="shared" si="93"/>
        <v>45320</v>
      </c>
      <c r="U380" s="11">
        <f t="shared" si="94"/>
        <v>17</v>
      </c>
      <c r="V380" s="6">
        <f t="shared" si="95"/>
        <v>4637.7968000000001</v>
      </c>
      <c r="W380" s="6">
        <f t="shared" si="96"/>
        <v>4937.6000000000004</v>
      </c>
      <c r="X380" s="6">
        <f t="shared" si="97"/>
        <v>-299.80320000000029</v>
      </c>
      <c r="Y380" s="6">
        <f t="shared" si="98"/>
        <v>-6.464345311549663E-2</v>
      </c>
      <c r="Z380" s="4" t="str">
        <f t="shared" si="99"/>
        <v>Q1-2024</v>
      </c>
      <c r="AA380" t="str">
        <f t="shared" si="100"/>
        <v>Printers</v>
      </c>
      <c r="AB380" t="str">
        <f t="shared" si="101"/>
        <v>Printers</v>
      </c>
      <c r="AC380" t="str">
        <f t="shared" si="102"/>
        <v>Non-compliant</v>
      </c>
      <c r="AD380" t="str">
        <f t="shared" si="103"/>
        <v>Late</v>
      </c>
      <c r="AE380" s="8">
        <f>MIN(Q380,Scenario!$B$2)</f>
        <v>0.2</v>
      </c>
      <c r="AF380" s="33">
        <f>L380*(1+Scenario!$B$3)</f>
        <v>567.82399999999996</v>
      </c>
      <c r="AG380" s="6">
        <f>R380*(1+Scenario!$B$4)</f>
        <v>12</v>
      </c>
      <c r="AH380" s="33">
        <f t="shared" si="105"/>
        <v>6000.384</v>
      </c>
      <c r="AI380" s="33">
        <f t="shared" si="106"/>
        <v>6813.887999999999</v>
      </c>
      <c r="AJ380" s="33">
        <f t="shared" si="107"/>
        <v>-813.503999999999</v>
      </c>
    </row>
    <row r="381" spans="1:36" x14ac:dyDescent="0.25">
      <c r="A381" s="12" t="s">
        <v>25</v>
      </c>
      <c r="B381" s="27">
        <v>45319</v>
      </c>
      <c r="C381" s="4">
        <v>45331</v>
      </c>
      <c r="D381" s="12" t="s">
        <v>649</v>
      </c>
      <c r="E381" s="12" t="s">
        <v>656</v>
      </c>
      <c r="F381" s="12" t="s">
        <v>671</v>
      </c>
      <c r="G381" s="12" t="s">
        <v>701</v>
      </c>
      <c r="H381" s="12" t="s">
        <v>708</v>
      </c>
      <c r="I381" s="12" t="s">
        <v>715</v>
      </c>
      <c r="J381" s="12" t="s">
        <v>733</v>
      </c>
      <c r="K381" s="12" t="s">
        <v>744</v>
      </c>
      <c r="L381" s="6">
        <v>644.16999999999996</v>
      </c>
      <c r="M381" s="6">
        <v>700.12</v>
      </c>
      <c r="N381" s="6">
        <f t="shared" si="90"/>
        <v>700.12</v>
      </c>
      <c r="O381" s="6" t="str">
        <f t="shared" si="104"/>
        <v>Middle</v>
      </c>
      <c r="P381" s="6">
        <v>6.0000000000000001E-3</v>
      </c>
      <c r="Q381" s="6">
        <f t="shared" si="91"/>
        <v>6.0000000000000001E-3</v>
      </c>
      <c r="R381" s="6">
        <v>23</v>
      </c>
      <c r="S381" s="6" t="str">
        <f t="shared" si="92"/>
        <v>OK</v>
      </c>
      <c r="T381" s="4">
        <f t="shared" si="93"/>
        <v>45331</v>
      </c>
      <c r="U381" s="11">
        <f t="shared" si="94"/>
        <v>12</v>
      </c>
      <c r="V381" s="6">
        <f t="shared" si="95"/>
        <v>16006.14344</v>
      </c>
      <c r="W381" s="6">
        <f t="shared" si="96"/>
        <v>14815.91</v>
      </c>
      <c r="X381" s="6">
        <f t="shared" si="97"/>
        <v>1190.23344</v>
      </c>
      <c r="Y381" s="6">
        <f t="shared" si="98"/>
        <v>7.436103796405813E-2</v>
      </c>
      <c r="Z381" s="4" t="str">
        <f t="shared" si="99"/>
        <v>Q1-2024</v>
      </c>
      <c r="AA381" t="str">
        <f t="shared" si="100"/>
        <v>Accessories</v>
      </c>
      <c r="AB381" t="str">
        <f t="shared" si="101"/>
        <v>Accessories</v>
      </c>
      <c r="AC381" t="str">
        <f t="shared" si="102"/>
        <v>Compliant</v>
      </c>
      <c r="AD381" t="str">
        <f t="shared" si="103"/>
        <v>Late</v>
      </c>
      <c r="AE381" s="8">
        <f>MIN(Q381,Scenario!$B$2)</f>
        <v>6.0000000000000001E-3</v>
      </c>
      <c r="AF381" s="33">
        <f>L381*(1+Scenario!$B$3)</f>
        <v>740.79549999999995</v>
      </c>
      <c r="AG381" s="6">
        <f>R381*(1+Scenario!$B$4)</f>
        <v>27.599999999999998</v>
      </c>
      <c r="AH381" s="33">
        <f t="shared" si="105"/>
        <v>19207.372127999999</v>
      </c>
      <c r="AI381" s="33">
        <f t="shared" si="106"/>
        <v>20445.955799999996</v>
      </c>
      <c r="AJ381" s="33">
        <f t="shared" si="107"/>
        <v>-1238.583671999997</v>
      </c>
    </row>
    <row r="382" spans="1:36" hidden="1" x14ac:dyDescent="0.25">
      <c r="A382" s="12" t="s">
        <v>587</v>
      </c>
      <c r="B382" s="27">
        <v>45293</v>
      </c>
      <c r="C382" s="4">
        <v>45293</v>
      </c>
      <c r="D382" s="12" t="s">
        <v>648</v>
      </c>
      <c r="E382" s="12" t="s">
        <v>653</v>
      </c>
      <c r="F382" s="12" t="s">
        <v>688</v>
      </c>
      <c r="G382" s="12" t="s">
        <v>702</v>
      </c>
      <c r="H382" s="12" t="s">
        <v>711</v>
      </c>
      <c r="I382" s="12" t="s">
        <v>720</v>
      </c>
      <c r="J382" s="12" t="s">
        <v>731</v>
      </c>
      <c r="K382" s="12" t="s">
        <v>1305</v>
      </c>
      <c r="L382" s="6">
        <v>444.41</v>
      </c>
      <c r="M382" s="6">
        <v>754.24</v>
      </c>
      <c r="N382" s="6">
        <f t="shared" si="90"/>
        <v>754.24</v>
      </c>
      <c r="O382" s="6" t="str">
        <f t="shared" si="104"/>
        <v>Middle</v>
      </c>
      <c r="P382" s="6">
        <v>0.20699999999999999</v>
      </c>
      <c r="Q382" s="6">
        <f t="shared" si="91"/>
        <v>0.20699999999999999</v>
      </c>
      <c r="R382" s="6">
        <v>32</v>
      </c>
      <c r="S382" s="6" t="str">
        <f t="shared" si="92"/>
        <v>OK</v>
      </c>
      <c r="T382" s="4">
        <f t="shared" si="93"/>
        <v>45293</v>
      </c>
      <c r="U382" s="11">
        <f t="shared" si="94"/>
        <v>0</v>
      </c>
      <c r="V382" s="6">
        <f t="shared" si="95"/>
        <v>19139.594240000002</v>
      </c>
      <c r="W382" s="6">
        <f t="shared" si="96"/>
        <v>14221.12</v>
      </c>
      <c r="X382" s="6">
        <f t="shared" si="97"/>
        <v>4918.4742400000014</v>
      </c>
      <c r="Y382" s="6">
        <f t="shared" si="98"/>
        <v>0.25697902360546598</v>
      </c>
      <c r="Z382" s="4" t="str">
        <f t="shared" si="99"/>
        <v>Q1-2024</v>
      </c>
      <c r="AA382" t="str">
        <f t="shared" si="100"/>
        <v>Laptops</v>
      </c>
      <c r="AB382" t="str">
        <f t="shared" si="101"/>
        <v>Laptops</v>
      </c>
      <c r="AC382" t="str">
        <f t="shared" si="102"/>
        <v>Non-compliant</v>
      </c>
      <c r="AD382" t="str">
        <f t="shared" si="103"/>
        <v>On-time</v>
      </c>
      <c r="AE382" s="8">
        <f>MIN(Q382,Scenario!$B$2)</f>
        <v>0.2</v>
      </c>
      <c r="AF382" s="33">
        <f>L382*(1+Scenario!$B$3)</f>
        <v>511.07150000000001</v>
      </c>
      <c r="AG382" s="6">
        <f>R382*(1+Scenario!$B$4)</f>
        <v>38.4</v>
      </c>
      <c r="AH382" s="33">
        <f t="shared" si="105"/>
        <v>23170.252800000002</v>
      </c>
      <c r="AI382" s="33">
        <f t="shared" si="106"/>
        <v>19625.1456</v>
      </c>
      <c r="AJ382" s="33">
        <f t="shared" si="107"/>
        <v>3545.1072000000022</v>
      </c>
    </row>
    <row r="383" spans="1:36" x14ac:dyDescent="0.25">
      <c r="A383" s="12" t="s">
        <v>433</v>
      </c>
      <c r="B383" s="27">
        <v>45307</v>
      </c>
      <c r="C383" s="4">
        <v>45333</v>
      </c>
      <c r="D383" s="12" t="s">
        <v>649</v>
      </c>
      <c r="E383" s="12" t="s">
        <v>656</v>
      </c>
      <c r="F383" s="12" t="s">
        <v>698</v>
      </c>
      <c r="G383" s="12" t="s">
        <v>703</v>
      </c>
      <c r="H383" s="12" t="s">
        <v>710</v>
      </c>
      <c r="I383" s="12" t="s">
        <v>718</v>
      </c>
      <c r="J383" s="12" t="s">
        <v>732</v>
      </c>
      <c r="K383" s="12" t="s">
        <v>1152</v>
      </c>
      <c r="L383" s="6">
        <v>504.93</v>
      </c>
      <c r="M383" s="6">
        <v>819.06</v>
      </c>
      <c r="N383" s="6">
        <f t="shared" si="90"/>
        <v>819.06</v>
      </c>
      <c r="O383" s="6" t="str">
        <f t="shared" si="104"/>
        <v>Middle</v>
      </c>
      <c r="P383" s="6">
        <v>0.22600000000000001</v>
      </c>
      <c r="Q383" s="6">
        <f t="shared" si="91"/>
        <v>0.22600000000000001</v>
      </c>
      <c r="R383" s="6">
        <v>15</v>
      </c>
      <c r="S383" s="6" t="str">
        <f t="shared" si="92"/>
        <v>OK</v>
      </c>
      <c r="T383" s="4">
        <f t="shared" si="93"/>
        <v>45333</v>
      </c>
      <c r="U383" s="11">
        <f t="shared" si="94"/>
        <v>26</v>
      </c>
      <c r="V383" s="6">
        <f t="shared" si="95"/>
        <v>9509.2865999999995</v>
      </c>
      <c r="W383" s="6">
        <f t="shared" si="96"/>
        <v>7573.95</v>
      </c>
      <c r="X383" s="6">
        <f t="shared" si="97"/>
        <v>1935.3365999999996</v>
      </c>
      <c r="Y383" s="6">
        <f t="shared" si="98"/>
        <v>0.20352069312959814</v>
      </c>
      <c r="Z383" s="4" t="str">
        <f t="shared" si="99"/>
        <v>Q1-2024</v>
      </c>
      <c r="AA383" t="str">
        <f t="shared" si="100"/>
        <v>Monitors</v>
      </c>
      <c r="AB383" t="str">
        <f t="shared" si="101"/>
        <v>Monitors</v>
      </c>
      <c r="AC383" t="str">
        <f t="shared" si="102"/>
        <v>Non-compliant</v>
      </c>
      <c r="AD383" t="str">
        <f t="shared" si="103"/>
        <v>Late</v>
      </c>
      <c r="AE383" s="8">
        <f>MIN(Q383,Scenario!$B$2)</f>
        <v>0.2</v>
      </c>
      <c r="AF383" s="33">
        <f>L383*(1+Scenario!$B$3)</f>
        <v>580.66949999999997</v>
      </c>
      <c r="AG383" s="6">
        <f>R383*(1+Scenario!$B$4)</f>
        <v>18</v>
      </c>
      <c r="AH383" s="33">
        <f t="shared" si="105"/>
        <v>11794.464</v>
      </c>
      <c r="AI383" s="33">
        <f t="shared" si="106"/>
        <v>10452.050999999999</v>
      </c>
      <c r="AJ383" s="33">
        <f t="shared" si="107"/>
        <v>1342.4130000000005</v>
      </c>
    </row>
    <row r="384" spans="1:36" x14ac:dyDescent="0.25">
      <c r="A384" s="12" t="s">
        <v>283</v>
      </c>
      <c r="B384" s="27">
        <v>45301</v>
      </c>
      <c r="C384" s="4">
        <v>45314</v>
      </c>
      <c r="D384" s="12" t="s">
        <v>649</v>
      </c>
      <c r="E384" s="12" t="s">
        <v>657</v>
      </c>
      <c r="F384" s="12" t="s">
        <v>673</v>
      </c>
      <c r="G384" s="12" t="s">
        <v>701</v>
      </c>
      <c r="H384" s="12" t="s">
        <v>711</v>
      </c>
      <c r="I384" s="12" t="s">
        <v>720</v>
      </c>
      <c r="J384" s="12" t="s">
        <v>728</v>
      </c>
      <c r="K384" s="12" t="s">
        <v>1003</v>
      </c>
      <c r="L384" s="6">
        <v>720</v>
      </c>
      <c r="M384" s="6">
        <v>907.59</v>
      </c>
      <c r="N384" s="6">
        <f t="shared" si="90"/>
        <v>907.59</v>
      </c>
      <c r="O384" s="6" t="str">
        <f t="shared" si="104"/>
        <v>Middle</v>
      </c>
      <c r="P384" s="6">
        <v>0.154</v>
      </c>
      <c r="Q384" s="6">
        <f t="shared" si="91"/>
        <v>0.154</v>
      </c>
      <c r="R384" s="6">
        <v>10</v>
      </c>
      <c r="S384" s="6" t="str">
        <f t="shared" si="92"/>
        <v>OK</v>
      </c>
      <c r="T384" s="4">
        <f t="shared" si="93"/>
        <v>45314</v>
      </c>
      <c r="U384" s="11">
        <f t="shared" si="94"/>
        <v>13</v>
      </c>
      <c r="V384" s="6">
        <f t="shared" si="95"/>
        <v>7678.2113999999992</v>
      </c>
      <c r="W384" s="6">
        <f t="shared" si="96"/>
        <v>7200</v>
      </c>
      <c r="X384" s="6">
        <f t="shared" si="97"/>
        <v>478.21139999999923</v>
      </c>
      <c r="Y384" s="6">
        <f t="shared" si="98"/>
        <v>6.2281614179052078E-2</v>
      </c>
      <c r="Z384" s="4" t="str">
        <f t="shared" si="99"/>
        <v>Q1-2024</v>
      </c>
      <c r="AA384" t="str">
        <f t="shared" si="100"/>
        <v>Printers</v>
      </c>
      <c r="AB384" t="str">
        <f t="shared" si="101"/>
        <v>Printers</v>
      </c>
      <c r="AC384" t="str">
        <f t="shared" si="102"/>
        <v>Compliant</v>
      </c>
      <c r="AD384" t="str">
        <f t="shared" si="103"/>
        <v>Late</v>
      </c>
      <c r="AE384" s="8">
        <f>MIN(Q384,Scenario!$B$2)</f>
        <v>0.154</v>
      </c>
      <c r="AF384" s="33">
        <f>L384*(1+Scenario!$B$3)</f>
        <v>827.99999999999989</v>
      </c>
      <c r="AG384" s="6">
        <f>R384*(1+Scenario!$B$4)</f>
        <v>12</v>
      </c>
      <c r="AH384" s="33">
        <f t="shared" si="105"/>
        <v>9213.8536800000002</v>
      </c>
      <c r="AI384" s="33">
        <f t="shared" si="106"/>
        <v>9935.9999999999982</v>
      </c>
      <c r="AJ384" s="33">
        <f t="shared" si="107"/>
        <v>-722.14631999999801</v>
      </c>
    </row>
    <row r="385" spans="1:36" hidden="1" x14ac:dyDescent="0.25">
      <c r="A385" s="12" t="s">
        <v>544</v>
      </c>
      <c r="B385" s="27">
        <v>45316</v>
      </c>
      <c r="C385" s="4">
        <v>45330</v>
      </c>
      <c r="D385" s="12" t="s">
        <v>647</v>
      </c>
      <c r="E385" s="12" t="s">
        <v>652</v>
      </c>
      <c r="F385" s="12" t="s">
        <v>666</v>
      </c>
      <c r="G385" s="12" t="s">
        <v>704</v>
      </c>
      <c r="H385" s="12" t="s">
        <v>709</v>
      </c>
      <c r="I385" s="12" t="s">
        <v>714</v>
      </c>
      <c r="J385" s="12" t="s">
        <v>729</v>
      </c>
      <c r="K385" s="12" t="s">
        <v>1263</v>
      </c>
      <c r="L385" s="6">
        <v>937.16</v>
      </c>
      <c r="M385" s="6">
        <v>1069.77</v>
      </c>
      <c r="N385" s="6">
        <f t="shared" si="90"/>
        <v>1069.77</v>
      </c>
      <c r="O385" s="6" t="str">
        <f t="shared" si="104"/>
        <v>Middle</v>
      </c>
      <c r="P385" s="6">
        <v>3.7999999999999999E-2</v>
      </c>
      <c r="Q385" s="6">
        <f t="shared" si="91"/>
        <v>3.7999999999999999E-2</v>
      </c>
      <c r="R385" s="6">
        <v>9</v>
      </c>
      <c r="S385" s="6" t="str">
        <f t="shared" si="92"/>
        <v>OK</v>
      </c>
      <c r="T385" s="4">
        <f t="shared" si="93"/>
        <v>45330</v>
      </c>
      <c r="U385" s="11">
        <f t="shared" si="94"/>
        <v>14</v>
      </c>
      <c r="V385" s="6">
        <f t="shared" si="95"/>
        <v>9262.0686600000008</v>
      </c>
      <c r="W385" s="6">
        <f t="shared" si="96"/>
        <v>8434.44</v>
      </c>
      <c r="X385" s="6">
        <f t="shared" si="97"/>
        <v>827.62866000000031</v>
      </c>
      <c r="Y385" s="6">
        <f t="shared" si="98"/>
        <v>8.9356783066645962E-2</v>
      </c>
      <c r="Z385" s="4" t="str">
        <f t="shared" si="99"/>
        <v>Q1-2024</v>
      </c>
      <c r="AA385" t="str">
        <f t="shared" si="100"/>
        <v>Networking</v>
      </c>
      <c r="AB385" t="str">
        <f t="shared" si="101"/>
        <v>Networking</v>
      </c>
      <c r="AC385" t="str">
        <f t="shared" si="102"/>
        <v>Compliant</v>
      </c>
      <c r="AD385" t="str">
        <f t="shared" si="103"/>
        <v>Late</v>
      </c>
      <c r="AE385" s="8">
        <f>MIN(Q385,Scenario!$B$2)</f>
        <v>3.7999999999999999E-2</v>
      </c>
      <c r="AF385" s="33">
        <f>L385*(1+Scenario!$B$3)</f>
        <v>1077.7339999999999</v>
      </c>
      <c r="AG385" s="6">
        <f>R385*(1+Scenario!$B$4)</f>
        <v>10.799999999999999</v>
      </c>
      <c r="AH385" s="33">
        <f t="shared" si="105"/>
        <v>11114.482391999998</v>
      </c>
      <c r="AI385" s="33">
        <f t="shared" si="106"/>
        <v>11639.527199999999</v>
      </c>
      <c r="AJ385" s="33">
        <f t="shared" si="107"/>
        <v>-525.04480800000056</v>
      </c>
    </row>
    <row r="386" spans="1:36" hidden="1" x14ac:dyDescent="0.25">
      <c r="A386" s="12" t="s">
        <v>103</v>
      </c>
      <c r="B386" s="27">
        <v>45312</v>
      </c>
      <c r="C386" s="4">
        <v>45316</v>
      </c>
      <c r="D386" s="12" t="s">
        <v>647</v>
      </c>
      <c r="E386" s="12" t="s">
        <v>654</v>
      </c>
      <c r="F386" s="12" t="s">
        <v>680</v>
      </c>
      <c r="G386" s="12" t="s">
        <v>704</v>
      </c>
      <c r="H386" s="12" t="s">
        <v>711</v>
      </c>
      <c r="I386" s="12" t="s">
        <v>712</v>
      </c>
      <c r="J386" s="12" t="s">
        <v>732</v>
      </c>
      <c r="K386" s="12" t="s">
        <v>822</v>
      </c>
      <c r="L386" s="6">
        <v>523.70000000000005</v>
      </c>
      <c r="M386" s="6">
        <v>1109.92</v>
      </c>
      <c r="N386" s="6">
        <f t="shared" ref="N386:N449" si="108">ABS(M386)</f>
        <v>1109.92</v>
      </c>
      <c r="O386" s="6" t="str">
        <f t="shared" si="104"/>
        <v>Middle</v>
      </c>
      <c r="P386" s="6">
        <v>0.03</v>
      </c>
      <c r="Q386" s="6">
        <f t="shared" ref="Q386:Q449" si="109">IF(P386&gt;0.3, 0.3, P386)</f>
        <v>0.03</v>
      </c>
      <c r="R386" s="6">
        <v>11</v>
      </c>
      <c r="S386" s="6" t="str">
        <f t="shared" ref="S386:S449" si="110">IFERROR(IF(C386&lt;B386,"Correct", "OK"), "Error")</f>
        <v>OK</v>
      </c>
      <c r="T386" s="4">
        <f t="shared" ref="T386:T449" si="111">IF(C386&lt;B386,B386+7,C386)</f>
        <v>45316</v>
      </c>
      <c r="U386" s="11">
        <f t="shared" ref="U386:U449" si="112">T386-B386</f>
        <v>4</v>
      </c>
      <c r="V386" s="6">
        <f t="shared" ref="V386:V449" si="113">N386*R386*(1-Q386)</f>
        <v>11842.8464</v>
      </c>
      <c r="W386" s="6">
        <f t="shared" ref="W386:W449" si="114">L386*R386</f>
        <v>5760.7000000000007</v>
      </c>
      <c r="X386" s="6">
        <f t="shared" ref="X386:X449" si="115">V386-W386</f>
        <v>6082.1463999999996</v>
      </c>
      <c r="Y386" s="6">
        <f t="shared" ref="Y386:Y449" si="116">IF(V386=0, 0, X386/V386)</f>
        <v>0.51357133197302973</v>
      </c>
      <c r="Z386" s="4" t="str">
        <f t="shared" ref="Z386:Z449" si="117">"Q"&amp;ROUNDUP(MONTH(B386)/3,0)&amp;"-"&amp;YEAR(B386)</f>
        <v>Q1-2024</v>
      </c>
      <c r="AA386" t="str">
        <f t="shared" ref="AA386:AA449" si="118">PROPER(J386)</f>
        <v>Monitors</v>
      </c>
      <c r="AB386" t="str">
        <f t="shared" ref="AB386:AB449" si="119">TRIM(J386)</f>
        <v>Monitors</v>
      </c>
      <c r="AC386" t="str">
        <f t="shared" ref="AC386:AC449" si="120">IF(Q386&gt;20%, "Non-compliant","Compliant")</f>
        <v>Compliant</v>
      </c>
      <c r="AD386" t="str">
        <f t="shared" ref="AD386:AD449" si="121">IF(U386&lt;=7,"On-time","Late")</f>
        <v>On-time</v>
      </c>
      <c r="AE386" s="8">
        <f>MIN(Q386,Scenario!$B$2)</f>
        <v>0.03</v>
      </c>
      <c r="AF386" s="33">
        <f>L386*(1+Scenario!$B$3)</f>
        <v>602.255</v>
      </c>
      <c r="AG386" s="6">
        <f>R386*(1+Scenario!$B$4)</f>
        <v>13.2</v>
      </c>
      <c r="AH386" s="33">
        <f t="shared" si="105"/>
        <v>14211.415679999998</v>
      </c>
      <c r="AI386" s="33">
        <f t="shared" si="106"/>
        <v>7949.7659999999996</v>
      </c>
      <c r="AJ386" s="33">
        <f t="shared" si="107"/>
        <v>6261.6496799999986</v>
      </c>
    </row>
    <row r="387" spans="1:36" x14ac:dyDescent="0.25">
      <c r="A387" s="12" t="s">
        <v>579</v>
      </c>
      <c r="B387" s="27">
        <v>45315</v>
      </c>
      <c r="C387" s="4">
        <v>45326</v>
      </c>
      <c r="D387" s="12" t="s">
        <v>649</v>
      </c>
      <c r="E387" s="12" t="s">
        <v>658</v>
      </c>
      <c r="F387" s="12" t="s">
        <v>693</v>
      </c>
      <c r="G387" s="12" t="s">
        <v>704</v>
      </c>
      <c r="H387" s="12" t="s">
        <v>707</v>
      </c>
      <c r="I387" s="12" t="s">
        <v>717</v>
      </c>
      <c r="J387" s="12" t="s">
        <v>731</v>
      </c>
      <c r="K387" s="12" t="s">
        <v>1297</v>
      </c>
      <c r="L387" s="6">
        <v>525.34</v>
      </c>
      <c r="M387" s="6">
        <v>1233.79</v>
      </c>
      <c r="N387" s="6">
        <f t="shared" si="108"/>
        <v>1233.79</v>
      </c>
      <c r="O387" s="6" t="str">
        <f t="shared" ref="O387:O450" si="122">IF(N387&lt;=QUARTILE(N387:N1017,1), "Low", IF(N387&lt;=QUARTILE(N387:N1017,2),"Middle", "High"))</f>
        <v>High</v>
      </c>
      <c r="P387" s="6">
        <v>0.14299999999999999</v>
      </c>
      <c r="Q387" s="6">
        <f t="shared" si="109"/>
        <v>0.14299999999999999</v>
      </c>
      <c r="R387" s="6">
        <v>4</v>
      </c>
      <c r="S387" s="6" t="str">
        <f t="shared" si="110"/>
        <v>OK</v>
      </c>
      <c r="T387" s="4">
        <f t="shared" si="111"/>
        <v>45326</v>
      </c>
      <c r="U387" s="11">
        <f t="shared" si="112"/>
        <v>11</v>
      </c>
      <c r="V387" s="6">
        <f t="shared" si="113"/>
        <v>4229.4321199999995</v>
      </c>
      <c r="W387" s="6">
        <f t="shared" si="114"/>
        <v>2101.36</v>
      </c>
      <c r="X387" s="6">
        <f t="shared" si="115"/>
        <v>2128.0721199999994</v>
      </c>
      <c r="Y387" s="6">
        <f t="shared" si="116"/>
        <v>0.50315788494082736</v>
      </c>
      <c r="Z387" s="4" t="str">
        <f t="shared" si="117"/>
        <v>Q1-2024</v>
      </c>
      <c r="AA387" t="str">
        <f t="shared" si="118"/>
        <v>Laptops</v>
      </c>
      <c r="AB387" t="str">
        <f t="shared" si="119"/>
        <v>Laptops</v>
      </c>
      <c r="AC387" t="str">
        <f t="shared" si="120"/>
        <v>Compliant</v>
      </c>
      <c r="AD387" t="str">
        <f t="shared" si="121"/>
        <v>Late</v>
      </c>
      <c r="AE387" s="8">
        <f>MIN(Q387,Scenario!$B$2)</f>
        <v>0.14299999999999999</v>
      </c>
      <c r="AF387" s="33">
        <f>L387*(1+Scenario!$B$3)</f>
        <v>604.14099999999996</v>
      </c>
      <c r="AG387" s="6">
        <f>R387*(1+Scenario!$B$4)</f>
        <v>4.8</v>
      </c>
      <c r="AH387" s="33">
        <f t="shared" ref="AH387:AH450" si="123">N387*AG387*(1-AE387)</f>
        <v>5075.3185439999997</v>
      </c>
      <c r="AI387" s="33">
        <f t="shared" ref="AI387:AI450" si="124">AF387*AG387</f>
        <v>2899.8767999999995</v>
      </c>
      <c r="AJ387" s="33">
        <f t="shared" ref="AJ387:AJ450" si="125">AH387-AI387</f>
        <v>2175.4417440000002</v>
      </c>
    </row>
    <row r="388" spans="1:36" x14ac:dyDescent="0.25">
      <c r="A388" s="12" t="s">
        <v>369</v>
      </c>
      <c r="B388" s="27">
        <v>45292</v>
      </c>
      <c r="C388" s="4">
        <v>45318</v>
      </c>
      <c r="D388" s="12" t="s">
        <v>649</v>
      </c>
      <c r="E388" s="12" t="s">
        <v>658</v>
      </c>
      <c r="F388" s="12" t="s">
        <v>693</v>
      </c>
      <c r="G388" s="12" t="s">
        <v>702</v>
      </c>
      <c r="H388" s="12" t="s">
        <v>710</v>
      </c>
      <c r="I388" s="12" t="s">
        <v>726</v>
      </c>
      <c r="J388" s="12" t="s">
        <v>733</v>
      </c>
      <c r="K388" s="12" t="s">
        <v>1089</v>
      </c>
      <c r="L388" s="6">
        <v>657.45</v>
      </c>
      <c r="M388" s="6">
        <v>1325.96</v>
      </c>
      <c r="N388" s="6">
        <f t="shared" si="108"/>
        <v>1325.96</v>
      </c>
      <c r="O388" s="6" t="str">
        <f t="shared" si="122"/>
        <v>High</v>
      </c>
      <c r="P388" s="6">
        <v>0.16700000000000001</v>
      </c>
      <c r="Q388" s="6">
        <f t="shared" si="109"/>
        <v>0.16700000000000001</v>
      </c>
      <c r="R388" s="6">
        <v>21</v>
      </c>
      <c r="S388" s="6" t="str">
        <f t="shared" si="110"/>
        <v>OK</v>
      </c>
      <c r="T388" s="4">
        <f t="shared" si="111"/>
        <v>45318</v>
      </c>
      <c r="U388" s="11">
        <f t="shared" si="112"/>
        <v>26</v>
      </c>
      <c r="V388" s="6">
        <f t="shared" si="113"/>
        <v>23195.01828</v>
      </c>
      <c r="W388" s="6">
        <f t="shared" si="114"/>
        <v>13806.45</v>
      </c>
      <c r="X388" s="6">
        <f t="shared" si="115"/>
        <v>9388.5682799999995</v>
      </c>
      <c r="Y388" s="6">
        <f t="shared" si="116"/>
        <v>0.40476658249048808</v>
      </c>
      <c r="Z388" s="4" t="str">
        <f t="shared" si="117"/>
        <v>Q1-2024</v>
      </c>
      <c r="AA388" t="str">
        <f t="shared" si="118"/>
        <v>Accessories</v>
      </c>
      <c r="AB388" t="str">
        <f t="shared" si="119"/>
        <v>Accessories</v>
      </c>
      <c r="AC388" t="str">
        <f t="shared" si="120"/>
        <v>Compliant</v>
      </c>
      <c r="AD388" t="str">
        <f t="shared" si="121"/>
        <v>Late</v>
      </c>
      <c r="AE388" s="8">
        <f>MIN(Q388,Scenario!$B$2)</f>
        <v>0.16700000000000001</v>
      </c>
      <c r="AF388" s="33">
        <f>L388*(1+Scenario!$B$3)</f>
        <v>756.0675</v>
      </c>
      <c r="AG388" s="6">
        <f>R388*(1+Scenario!$B$4)</f>
        <v>25.2</v>
      </c>
      <c r="AH388" s="33">
        <f t="shared" si="123"/>
        <v>27834.021936000001</v>
      </c>
      <c r="AI388" s="33">
        <f t="shared" si="124"/>
        <v>19052.900999999998</v>
      </c>
      <c r="AJ388" s="33">
        <f t="shared" si="125"/>
        <v>8781.120936000003</v>
      </c>
    </row>
    <row r="389" spans="1:36" hidden="1" x14ac:dyDescent="0.25">
      <c r="A389" s="12" t="s">
        <v>373</v>
      </c>
      <c r="B389" s="27">
        <v>45309</v>
      </c>
      <c r="C389" s="4">
        <v>45325</v>
      </c>
      <c r="D389" s="12" t="s">
        <v>646</v>
      </c>
      <c r="E389" s="12" t="s">
        <v>661</v>
      </c>
      <c r="F389" s="12" t="s">
        <v>695</v>
      </c>
      <c r="G389" s="12" t="s">
        <v>703</v>
      </c>
      <c r="H389" s="12" t="s">
        <v>710</v>
      </c>
      <c r="I389" s="12" t="s">
        <v>716</v>
      </c>
      <c r="J389" s="12" t="s">
        <v>728</v>
      </c>
      <c r="K389" s="12" t="s">
        <v>1093</v>
      </c>
      <c r="L389" s="6">
        <v>666.23</v>
      </c>
      <c r="M389" s="6">
        <v>1382.91</v>
      </c>
      <c r="N389" s="6">
        <f t="shared" si="108"/>
        <v>1382.91</v>
      </c>
      <c r="O389" s="6" t="str">
        <f t="shared" si="122"/>
        <v>High</v>
      </c>
      <c r="P389" s="6">
        <v>0.17599999999999999</v>
      </c>
      <c r="Q389" s="6">
        <f t="shared" si="109"/>
        <v>0.17599999999999999</v>
      </c>
      <c r="R389" s="6">
        <v>13</v>
      </c>
      <c r="S389" s="6" t="str">
        <f t="shared" si="110"/>
        <v>OK</v>
      </c>
      <c r="T389" s="4">
        <f t="shared" si="111"/>
        <v>45325</v>
      </c>
      <c r="U389" s="11">
        <f t="shared" si="112"/>
        <v>16</v>
      </c>
      <c r="V389" s="6">
        <f t="shared" si="113"/>
        <v>14813.731920000002</v>
      </c>
      <c r="W389" s="6">
        <f t="shared" si="114"/>
        <v>8660.99</v>
      </c>
      <c r="X389" s="6">
        <f t="shared" si="115"/>
        <v>6152.7419200000022</v>
      </c>
      <c r="Y389" s="6">
        <f t="shared" si="116"/>
        <v>0.41534043907553048</v>
      </c>
      <c r="Z389" s="4" t="str">
        <f t="shared" si="117"/>
        <v>Q1-2024</v>
      </c>
      <c r="AA389" t="str">
        <f t="shared" si="118"/>
        <v>Printers</v>
      </c>
      <c r="AB389" t="str">
        <f t="shared" si="119"/>
        <v>Printers</v>
      </c>
      <c r="AC389" t="str">
        <f t="shared" si="120"/>
        <v>Compliant</v>
      </c>
      <c r="AD389" t="str">
        <f t="shared" si="121"/>
        <v>Late</v>
      </c>
      <c r="AE389" s="8">
        <f>MIN(Q389,Scenario!$B$2)</f>
        <v>0.17599999999999999</v>
      </c>
      <c r="AF389" s="33">
        <f>L389*(1+Scenario!$B$3)</f>
        <v>766.16449999999998</v>
      </c>
      <c r="AG389" s="6">
        <f>R389*(1+Scenario!$B$4)</f>
        <v>15.6</v>
      </c>
      <c r="AH389" s="33">
        <f t="shared" si="123"/>
        <v>17776.478304</v>
      </c>
      <c r="AI389" s="33">
        <f t="shared" si="124"/>
        <v>11952.1662</v>
      </c>
      <c r="AJ389" s="33">
        <f t="shared" si="125"/>
        <v>5824.3121040000005</v>
      </c>
    </row>
    <row r="390" spans="1:36" hidden="1" x14ac:dyDescent="0.25">
      <c r="A390" s="12" t="s">
        <v>249</v>
      </c>
      <c r="B390" s="27">
        <v>45302</v>
      </c>
      <c r="C390" s="4">
        <v>45324</v>
      </c>
      <c r="D390" s="12" t="s">
        <v>647</v>
      </c>
      <c r="E390" s="12" t="s">
        <v>652</v>
      </c>
      <c r="F390" s="12" t="s">
        <v>694</v>
      </c>
      <c r="G390" s="12" t="s">
        <v>705</v>
      </c>
      <c r="H390" s="12" t="s">
        <v>708</v>
      </c>
      <c r="I390" s="14" t="s">
        <v>1368</v>
      </c>
      <c r="J390" s="12" t="s">
        <v>728</v>
      </c>
      <c r="K390" s="12" t="s">
        <v>969</v>
      </c>
      <c r="L390" s="6">
        <v>1237.68</v>
      </c>
      <c r="M390" s="6">
        <v>1432.8</v>
      </c>
      <c r="N390" s="6">
        <f t="shared" si="108"/>
        <v>1432.8</v>
      </c>
      <c r="O390" s="6" t="str">
        <f t="shared" si="122"/>
        <v>High</v>
      </c>
      <c r="P390" s="6">
        <v>6.8000000000000005E-2</v>
      </c>
      <c r="Q390" s="6">
        <f t="shared" si="109"/>
        <v>6.8000000000000005E-2</v>
      </c>
      <c r="R390" s="6">
        <v>13</v>
      </c>
      <c r="S390" s="6" t="str">
        <f t="shared" si="110"/>
        <v>OK</v>
      </c>
      <c r="T390" s="4">
        <f t="shared" si="111"/>
        <v>45324</v>
      </c>
      <c r="U390" s="11">
        <f t="shared" si="112"/>
        <v>22</v>
      </c>
      <c r="V390" s="6">
        <f t="shared" si="113"/>
        <v>17359.804799999998</v>
      </c>
      <c r="W390" s="6">
        <f t="shared" si="114"/>
        <v>16089.84</v>
      </c>
      <c r="X390" s="6">
        <f t="shared" si="115"/>
        <v>1269.9647999999979</v>
      </c>
      <c r="Y390" s="6">
        <f t="shared" si="116"/>
        <v>7.315547695559331E-2</v>
      </c>
      <c r="Z390" s="4" t="str">
        <f t="shared" si="117"/>
        <v>Q1-2024</v>
      </c>
      <c r="AA390" t="str">
        <f t="shared" si="118"/>
        <v>Printers</v>
      </c>
      <c r="AB390" t="str">
        <f t="shared" si="119"/>
        <v>Printers</v>
      </c>
      <c r="AC390" t="str">
        <f t="shared" si="120"/>
        <v>Compliant</v>
      </c>
      <c r="AD390" t="str">
        <f t="shared" si="121"/>
        <v>Late</v>
      </c>
      <c r="AE390" s="8">
        <f>MIN(Q390,Scenario!$B$2)</f>
        <v>6.8000000000000005E-2</v>
      </c>
      <c r="AF390" s="33">
        <f>L390*(1+Scenario!$B$3)</f>
        <v>1423.3319999999999</v>
      </c>
      <c r="AG390" s="6">
        <f>R390*(1+Scenario!$B$4)</f>
        <v>15.6</v>
      </c>
      <c r="AH390" s="33">
        <f t="shared" si="123"/>
        <v>20831.765759999998</v>
      </c>
      <c r="AI390" s="33">
        <f t="shared" si="124"/>
        <v>22203.979199999998</v>
      </c>
      <c r="AJ390" s="33">
        <f t="shared" si="125"/>
        <v>-1372.2134399999995</v>
      </c>
    </row>
    <row r="391" spans="1:36" x14ac:dyDescent="0.25">
      <c r="A391" s="12" t="s">
        <v>28</v>
      </c>
      <c r="B391" s="27">
        <v>45311</v>
      </c>
      <c r="C391" s="4">
        <v>45335</v>
      </c>
      <c r="D391" s="12" t="s">
        <v>649</v>
      </c>
      <c r="E391" s="12" t="s">
        <v>657</v>
      </c>
      <c r="F391" s="12" t="s">
        <v>673</v>
      </c>
      <c r="G391" s="12" t="s">
        <v>701</v>
      </c>
      <c r="H391" s="12" t="s">
        <v>707</v>
      </c>
      <c r="I391" s="12" t="s">
        <v>722</v>
      </c>
      <c r="J391" s="12" t="s">
        <v>728</v>
      </c>
      <c r="K391" s="12" t="s">
        <v>747</v>
      </c>
      <c r="L391" s="6">
        <v>643.53</v>
      </c>
      <c r="M391" s="6">
        <v>1439.01</v>
      </c>
      <c r="N391" s="6">
        <f t="shared" si="108"/>
        <v>1439.01</v>
      </c>
      <c r="O391" s="6" t="str">
        <f t="shared" si="122"/>
        <v>High</v>
      </c>
      <c r="P391" s="6">
        <v>0</v>
      </c>
      <c r="Q391" s="6">
        <f t="shared" si="109"/>
        <v>0</v>
      </c>
      <c r="R391" s="6">
        <v>15</v>
      </c>
      <c r="S391" s="6" t="str">
        <f t="shared" si="110"/>
        <v>OK</v>
      </c>
      <c r="T391" s="4">
        <f t="shared" si="111"/>
        <v>45335</v>
      </c>
      <c r="U391" s="11">
        <f t="shared" si="112"/>
        <v>24</v>
      </c>
      <c r="V391" s="6">
        <f t="shared" si="113"/>
        <v>21585.15</v>
      </c>
      <c r="W391" s="6">
        <f t="shared" si="114"/>
        <v>9652.9499999999989</v>
      </c>
      <c r="X391" s="6">
        <f t="shared" si="115"/>
        <v>11932.200000000003</v>
      </c>
      <c r="Y391" s="6">
        <f t="shared" si="116"/>
        <v>0.55279671440782208</v>
      </c>
      <c r="Z391" s="4" t="str">
        <f t="shared" si="117"/>
        <v>Q1-2024</v>
      </c>
      <c r="AA391" t="str">
        <f t="shared" si="118"/>
        <v>Printers</v>
      </c>
      <c r="AB391" t="str">
        <f t="shared" si="119"/>
        <v>Printers</v>
      </c>
      <c r="AC391" t="str">
        <f t="shared" si="120"/>
        <v>Compliant</v>
      </c>
      <c r="AD391" t="str">
        <f t="shared" si="121"/>
        <v>Late</v>
      </c>
      <c r="AE391" s="8">
        <f>MIN(Q391,Scenario!$B$2)</f>
        <v>0</v>
      </c>
      <c r="AF391" s="33">
        <f>L391*(1+Scenario!$B$3)</f>
        <v>740.05949999999996</v>
      </c>
      <c r="AG391" s="6">
        <f>R391*(1+Scenario!$B$4)</f>
        <v>18</v>
      </c>
      <c r="AH391" s="33">
        <f t="shared" si="123"/>
        <v>25902.18</v>
      </c>
      <c r="AI391" s="33">
        <f t="shared" si="124"/>
        <v>13321.071</v>
      </c>
      <c r="AJ391" s="33">
        <f t="shared" si="125"/>
        <v>12581.109</v>
      </c>
    </row>
    <row r="392" spans="1:36" x14ac:dyDescent="0.25">
      <c r="A392" s="12" t="s">
        <v>298</v>
      </c>
      <c r="B392" s="27">
        <v>45304</v>
      </c>
      <c r="C392" s="4">
        <v>45327</v>
      </c>
      <c r="D392" s="12" t="s">
        <v>649</v>
      </c>
      <c r="E392" s="12" t="s">
        <v>656</v>
      </c>
      <c r="F392" s="12" t="s">
        <v>698</v>
      </c>
      <c r="G392" s="12" t="s">
        <v>702</v>
      </c>
      <c r="H392" s="12" t="s">
        <v>711</v>
      </c>
      <c r="I392" s="12" t="s">
        <v>717</v>
      </c>
      <c r="J392" s="12" t="s">
        <v>731</v>
      </c>
      <c r="K392" s="12" t="s">
        <v>1018</v>
      </c>
      <c r="L392" s="6">
        <v>1017.93</v>
      </c>
      <c r="M392" s="6">
        <v>1529.14</v>
      </c>
      <c r="N392" s="6">
        <f t="shared" si="108"/>
        <v>1529.14</v>
      </c>
      <c r="O392" s="6" t="str">
        <f t="shared" si="122"/>
        <v>High</v>
      </c>
      <c r="P392" s="6">
        <v>0.155</v>
      </c>
      <c r="Q392" s="6">
        <f t="shared" si="109"/>
        <v>0.155</v>
      </c>
      <c r="R392" s="6">
        <v>12</v>
      </c>
      <c r="S392" s="6" t="str">
        <f t="shared" si="110"/>
        <v>OK</v>
      </c>
      <c r="T392" s="4">
        <f t="shared" si="111"/>
        <v>45327</v>
      </c>
      <c r="U392" s="11">
        <f t="shared" si="112"/>
        <v>23</v>
      </c>
      <c r="V392" s="6">
        <f t="shared" si="113"/>
        <v>15505.479600000001</v>
      </c>
      <c r="W392" s="6">
        <f t="shared" si="114"/>
        <v>12215.16</v>
      </c>
      <c r="X392" s="6">
        <f t="shared" si="115"/>
        <v>3290.3196000000007</v>
      </c>
      <c r="Y392" s="6">
        <f t="shared" si="116"/>
        <v>0.21220366508366503</v>
      </c>
      <c r="Z392" s="4" t="str">
        <f t="shared" si="117"/>
        <v>Q1-2024</v>
      </c>
      <c r="AA392" t="str">
        <f t="shared" si="118"/>
        <v>Laptops</v>
      </c>
      <c r="AB392" t="str">
        <f t="shared" si="119"/>
        <v>Laptops</v>
      </c>
      <c r="AC392" t="str">
        <f t="shared" si="120"/>
        <v>Compliant</v>
      </c>
      <c r="AD392" t="str">
        <f t="shared" si="121"/>
        <v>Late</v>
      </c>
      <c r="AE392" s="8">
        <f>MIN(Q392,Scenario!$B$2)</f>
        <v>0.155</v>
      </c>
      <c r="AF392" s="33">
        <f>L392*(1+Scenario!$B$3)</f>
        <v>1170.6194999999998</v>
      </c>
      <c r="AG392" s="6">
        <f>R392*(1+Scenario!$B$4)</f>
        <v>14.399999999999999</v>
      </c>
      <c r="AH392" s="33">
        <f t="shared" si="123"/>
        <v>18606.575519999999</v>
      </c>
      <c r="AI392" s="33">
        <f t="shared" si="124"/>
        <v>16856.920799999996</v>
      </c>
      <c r="AJ392" s="33">
        <f t="shared" si="125"/>
        <v>1749.6547200000023</v>
      </c>
    </row>
    <row r="393" spans="1:36" hidden="1" x14ac:dyDescent="0.25">
      <c r="A393" s="12" t="s">
        <v>302</v>
      </c>
      <c r="B393" s="27">
        <v>45319</v>
      </c>
      <c r="C393" s="4">
        <v>45321</v>
      </c>
      <c r="D393" s="12" t="s">
        <v>646</v>
      </c>
      <c r="E393" s="12" t="s">
        <v>661</v>
      </c>
      <c r="F393" s="12" t="s">
        <v>695</v>
      </c>
      <c r="G393" s="12" t="s">
        <v>704</v>
      </c>
      <c r="H393" s="12" t="s">
        <v>711</v>
      </c>
      <c r="I393" s="12" t="s">
        <v>721</v>
      </c>
      <c r="J393" s="12" t="s">
        <v>733</v>
      </c>
      <c r="K393" s="12" t="s">
        <v>1022</v>
      </c>
      <c r="L393" s="6">
        <v>798.45</v>
      </c>
      <c r="M393" s="6">
        <v>1592.02</v>
      </c>
      <c r="N393" s="6">
        <f t="shared" si="108"/>
        <v>1592.02</v>
      </c>
      <c r="O393" s="6" t="str">
        <f t="shared" si="122"/>
        <v>High</v>
      </c>
      <c r="P393" s="6">
        <v>6.6000000000000003E-2</v>
      </c>
      <c r="Q393" s="6">
        <f t="shared" si="109"/>
        <v>6.6000000000000003E-2</v>
      </c>
      <c r="R393" s="6">
        <v>18</v>
      </c>
      <c r="S393" s="6" t="str">
        <f t="shared" si="110"/>
        <v>OK</v>
      </c>
      <c r="T393" s="4">
        <f t="shared" si="111"/>
        <v>45321</v>
      </c>
      <c r="U393" s="11">
        <f t="shared" si="112"/>
        <v>2</v>
      </c>
      <c r="V393" s="6">
        <f t="shared" si="113"/>
        <v>26765.040239999998</v>
      </c>
      <c r="W393" s="6">
        <f t="shared" si="114"/>
        <v>14372.1</v>
      </c>
      <c r="X393" s="6">
        <f t="shared" si="115"/>
        <v>12392.940239999998</v>
      </c>
      <c r="Y393" s="6">
        <f t="shared" si="116"/>
        <v>0.46302714768494585</v>
      </c>
      <c r="Z393" s="4" t="str">
        <f t="shared" si="117"/>
        <v>Q1-2024</v>
      </c>
      <c r="AA393" t="str">
        <f t="shared" si="118"/>
        <v>Accessories</v>
      </c>
      <c r="AB393" t="str">
        <f t="shared" si="119"/>
        <v>Accessories</v>
      </c>
      <c r="AC393" t="str">
        <f t="shared" si="120"/>
        <v>Compliant</v>
      </c>
      <c r="AD393" t="str">
        <f t="shared" si="121"/>
        <v>On-time</v>
      </c>
      <c r="AE393" s="8">
        <f>MIN(Q393,Scenario!$B$2)</f>
        <v>6.6000000000000003E-2</v>
      </c>
      <c r="AF393" s="33">
        <f>L393*(1+Scenario!$B$3)</f>
        <v>918.21749999999997</v>
      </c>
      <c r="AG393" s="6">
        <f>R393*(1+Scenario!$B$4)</f>
        <v>21.599999999999998</v>
      </c>
      <c r="AH393" s="33">
        <f t="shared" si="123"/>
        <v>32118.048287999994</v>
      </c>
      <c r="AI393" s="33">
        <f t="shared" si="124"/>
        <v>19833.497999999996</v>
      </c>
      <c r="AJ393" s="33">
        <f t="shared" si="125"/>
        <v>12284.550287999999</v>
      </c>
    </row>
    <row r="394" spans="1:36" hidden="1" x14ac:dyDescent="0.25">
      <c r="A394" s="12" t="s">
        <v>289</v>
      </c>
      <c r="B394" s="27">
        <v>45316</v>
      </c>
      <c r="C394" s="4">
        <v>45318</v>
      </c>
      <c r="D394" s="12" t="s">
        <v>648</v>
      </c>
      <c r="E394" s="12" t="s">
        <v>655</v>
      </c>
      <c r="F394" s="12" t="s">
        <v>670</v>
      </c>
      <c r="G394" s="12" t="s">
        <v>703</v>
      </c>
      <c r="H394" s="12" t="s">
        <v>709</v>
      </c>
      <c r="I394" s="12" t="s">
        <v>725</v>
      </c>
      <c r="J394" s="12" t="s">
        <v>731</v>
      </c>
      <c r="K394" s="12" t="s">
        <v>1009</v>
      </c>
      <c r="L394" s="6">
        <v>1410.97</v>
      </c>
      <c r="M394" s="6">
        <v>1650.75</v>
      </c>
      <c r="N394" s="6">
        <f t="shared" si="108"/>
        <v>1650.75</v>
      </c>
      <c r="O394" s="6" t="str">
        <f t="shared" si="122"/>
        <v>High</v>
      </c>
      <c r="P394" s="6">
        <v>0.13500000000000001</v>
      </c>
      <c r="Q394" s="6">
        <f t="shared" si="109"/>
        <v>0.13500000000000001</v>
      </c>
      <c r="R394" s="6">
        <v>6</v>
      </c>
      <c r="S394" s="6" t="str">
        <f t="shared" si="110"/>
        <v>OK</v>
      </c>
      <c r="T394" s="4">
        <f t="shared" si="111"/>
        <v>45318</v>
      </c>
      <c r="U394" s="11">
        <f t="shared" si="112"/>
        <v>2</v>
      </c>
      <c r="V394" s="6">
        <f t="shared" si="113"/>
        <v>8567.3924999999999</v>
      </c>
      <c r="W394" s="6">
        <f t="shared" si="114"/>
        <v>8465.82</v>
      </c>
      <c r="X394" s="6">
        <f t="shared" si="115"/>
        <v>101.57250000000022</v>
      </c>
      <c r="Y394" s="6">
        <f t="shared" si="116"/>
        <v>1.1855707556295596E-2</v>
      </c>
      <c r="Z394" s="4" t="str">
        <f t="shared" si="117"/>
        <v>Q1-2024</v>
      </c>
      <c r="AA394" t="str">
        <f t="shared" si="118"/>
        <v>Laptops</v>
      </c>
      <c r="AB394" t="str">
        <f t="shared" si="119"/>
        <v>Laptops</v>
      </c>
      <c r="AC394" t="str">
        <f t="shared" si="120"/>
        <v>Compliant</v>
      </c>
      <c r="AD394" t="str">
        <f t="shared" si="121"/>
        <v>On-time</v>
      </c>
      <c r="AE394" s="8">
        <f>MIN(Q394,Scenario!$B$2)</f>
        <v>0.13500000000000001</v>
      </c>
      <c r="AF394" s="33">
        <f>L394*(1+Scenario!$B$3)</f>
        <v>1622.6154999999999</v>
      </c>
      <c r="AG394" s="6">
        <f>R394*(1+Scenario!$B$4)</f>
        <v>7.1999999999999993</v>
      </c>
      <c r="AH394" s="33">
        <f t="shared" si="123"/>
        <v>10280.870999999999</v>
      </c>
      <c r="AI394" s="33">
        <f t="shared" si="124"/>
        <v>11682.831599999998</v>
      </c>
      <c r="AJ394" s="33">
        <f t="shared" si="125"/>
        <v>-1401.9605999999985</v>
      </c>
    </row>
    <row r="395" spans="1:36" hidden="1" x14ac:dyDescent="0.25">
      <c r="A395" s="12" t="s">
        <v>56</v>
      </c>
      <c r="B395" s="27">
        <v>45302</v>
      </c>
      <c r="C395" s="4">
        <v>45324</v>
      </c>
      <c r="D395" s="12" t="s">
        <v>646</v>
      </c>
      <c r="E395" s="12" t="s">
        <v>661</v>
      </c>
      <c r="F395" s="12" t="s">
        <v>687</v>
      </c>
      <c r="G395" s="12" t="s">
        <v>704</v>
      </c>
      <c r="H395" s="12" t="s">
        <v>708</v>
      </c>
      <c r="I395" s="12" t="s">
        <v>723</v>
      </c>
      <c r="J395" s="12" t="s">
        <v>729</v>
      </c>
      <c r="K395" s="12" t="s">
        <v>775</v>
      </c>
      <c r="L395" s="6">
        <v>1206.2</v>
      </c>
      <c r="M395" s="6">
        <v>1759.79</v>
      </c>
      <c r="N395" s="6">
        <f t="shared" si="108"/>
        <v>1759.79</v>
      </c>
      <c r="O395" s="6" t="str">
        <f t="shared" si="122"/>
        <v>High</v>
      </c>
      <c r="P395" s="6">
        <v>0</v>
      </c>
      <c r="Q395" s="6">
        <f t="shared" si="109"/>
        <v>0</v>
      </c>
      <c r="R395" s="6">
        <v>6</v>
      </c>
      <c r="S395" s="6" t="str">
        <f t="shared" si="110"/>
        <v>OK</v>
      </c>
      <c r="T395" s="4">
        <f t="shared" si="111"/>
        <v>45324</v>
      </c>
      <c r="U395" s="11">
        <f t="shared" si="112"/>
        <v>22</v>
      </c>
      <c r="V395" s="6">
        <f t="shared" si="113"/>
        <v>10558.74</v>
      </c>
      <c r="W395" s="6">
        <f t="shared" si="114"/>
        <v>7237.2000000000007</v>
      </c>
      <c r="X395" s="6">
        <f t="shared" si="115"/>
        <v>3321.5399999999991</v>
      </c>
      <c r="Y395" s="6">
        <f t="shared" si="116"/>
        <v>0.31457730751964713</v>
      </c>
      <c r="Z395" s="4" t="str">
        <f t="shared" si="117"/>
        <v>Q1-2024</v>
      </c>
      <c r="AA395" t="str">
        <f t="shared" si="118"/>
        <v>Networking</v>
      </c>
      <c r="AB395" t="str">
        <f t="shared" si="119"/>
        <v>Networking</v>
      </c>
      <c r="AC395" t="str">
        <f t="shared" si="120"/>
        <v>Compliant</v>
      </c>
      <c r="AD395" t="str">
        <f t="shared" si="121"/>
        <v>Late</v>
      </c>
      <c r="AE395" s="8">
        <f>MIN(Q395,Scenario!$B$2)</f>
        <v>0</v>
      </c>
      <c r="AF395" s="33">
        <f>L395*(1+Scenario!$B$3)</f>
        <v>1387.1299999999999</v>
      </c>
      <c r="AG395" s="6">
        <f>R395*(1+Scenario!$B$4)</f>
        <v>7.1999999999999993</v>
      </c>
      <c r="AH395" s="33">
        <f t="shared" si="123"/>
        <v>12670.487999999999</v>
      </c>
      <c r="AI395" s="33">
        <f t="shared" si="124"/>
        <v>9987.3359999999975</v>
      </c>
      <c r="AJ395" s="33">
        <f t="shared" si="125"/>
        <v>2683.1520000000019</v>
      </c>
    </row>
    <row r="396" spans="1:36" hidden="1" x14ac:dyDescent="0.25">
      <c r="A396" s="12" t="s">
        <v>538</v>
      </c>
      <c r="B396" s="27">
        <v>45304</v>
      </c>
      <c r="C396" s="4">
        <v>45306</v>
      </c>
      <c r="D396" s="12" t="s">
        <v>648</v>
      </c>
      <c r="E396" s="12" t="s">
        <v>660</v>
      </c>
      <c r="F396" s="12" t="s">
        <v>686</v>
      </c>
      <c r="G396" s="12" t="s">
        <v>703</v>
      </c>
      <c r="H396" s="12" t="s">
        <v>711</v>
      </c>
      <c r="I396" s="12" t="s">
        <v>718</v>
      </c>
      <c r="J396" s="12" t="s">
        <v>727</v>
      </c>
      <c r="K396" s="12" t="s">
        <v>1257</v>
      </c>
      <c r="L396" s="6">
        <v>1061.3699999999999</v>
      </c>
      <c r="M396" s="6">
        <v>1938.33</v>
      </c>
      <c r="N396" s="6">
        <f t="shared" si="108"/>
        <v>1938.33</v>
      </c>
      <c r="O396" s="6" t="str">
        <f t="shared" si="122"/>
        <v>High</v>
      </c>
      <c r="P396" s="6">
        <v>0.17</v>
      </c>
      <c r="Q396" s="6">
        <f t="shared" si="109"/>
        <v>0.17</v>
      </c>
      <c r="R396" s="6">
        <v>4</v>
      </c>
      <c r="S396" s="6" t="str">
        <f t="shared" si="110"/>
        <v>OK</v>
      </c>
      <c r="T396" s="4">
        <f t="shared" si="111"/>
        <v>45306</v>
      </c>
      <c r="U396" s="11">
        <f t="shared" si="112"/>
        <v>2</v>
      </c>
      <c r="V396" s="6">
        <f t="shared" si="113"/>
        <v>6435.2555999999995</v>
      </c>
      <c r="W396" s="6">
        <f t="shared" si="114"/>
        <v>4245.4799999999996</v>
      </c>
      <c r="X396" s="6">
        <f t="shared" si="115"/>
        <v>2189.7755999999999</v>
      </c>
      <c r="Y396" s="6">
        <f t="shared" si="116"/>
        <v>0.34027795259600879</v>
      </c>
      <c r="Z396" s="4" t="str">
        <f t="shared" si="117"/>
        <v>Q1-2024</v>
      </c>
      <c r="AA396" t="str">
        <f t="shared" si="118"/>
        <v>Components</v>
      </c>
      <c r="AB396" t="str">
        <f t="shared" si="119"/>
        <v>Components</v>
      </c>
      <c r="AC396" t="str">
        <f t="shared" si="120"/>
        <v>Compliant</v>
      </c>
      <c r="AD396" t="str">
        <f t="shared" si="121"/>
        <v>On-time</v>
      </c>
      <c r="AE396" s="8">
        <f>MIN(Q396,Scenario!$B$2)</f>
        <v>0.17</v>
      </c>
      <c r="AF396" s="33">
        <f>L396*(1+Scenario!$B$3)</f>
        <v>1220.5754999999997</v>
      </c>
      <c r="AG396" s="6">
        <f>R396*(1+Scenario!$B$4)</f>
        <v>4.8</v>
      </c>
      <c r="AH396" s="33">
        <f t="shared" si="123"/>
        <v>7722.3067199999987</v>
      </c>
      <c r="AI396" s="33">
        <f t="shared" si="124"/>
        <v>5858.7623999999987</v>
      </c>
      <c r="AJ396" s="33">
        <f t="shared" si="125"/>
        <v>1863.54432</v>
      </c>
    </row>
    <row r="397" spans="1:36" hidden="1" x14ac:dyDescent="0.25">
      <c r="A397" s="12" t="s">
        <v>494</v>
      </c>
      <c r="B397" s="27">
        <v>45293</v>
      </c>
      <c r="C397" s="4">
        <v>45306</v>
      </c>
      <c r="D397" s="12" t="s">
        <v>647</v>
      </c>
      <c r="E397" s="12" t="s">
        <v>652</v>
      </c>
      <c r="F397" s="12" t="s">
        <v>694</v>
      </c>
      <c r="G397" s="12" t="s">
        <v>705</v>
      </c>
      <c r="H397" s="12" t="s">
        <v>709</v>
      </c>
      <c r="I397" s="12" t="s">
        <v>715</v>
      </c>
      <c r="J397" s="12" t="s">
        <v>729</v>
      </c>
      <c r="K397" s="12" t="s">
        <v>1213</v>
      </c>
      <c r="L397" s="6">
        <v>1219.06</v>
      </c>
      <c r="M397" s="6">
        <v>2738.69</v>
      </c>
      <c r="N397" s="6">
        <f t="shared" si="108"/>
        <v>2738.69</v>
      </c>
      <c r="O397" s="6" t="str">
        <f t="shared" si="122"/>
        <v>High</v>
      </c>
      <c r="P397" s="6">
        <v>7.5999999999999998E-2</v>
      </c>
      <c r="Q397" s="6">
        <f t="shared" si="109"/>
        <v>7.5999999999999998E-2</v>
      </c>
      <c r="R397" s="6">
        <v>16</v>
      </c>
      <c r="S397" s="6" t="str">
        <f t="shared" si="110"/>
        <v>OK</v>
      </c>
      <c r="T397" s="4">
        <f t="shared" si="111"/>
        <v>45306</v>
      </c>
      <c r="U397" s="11">
        <f t="shared" si="112"/>
        <v>13</v>
      </c>
      <c r="V397" s="6">
        <f t="shared" si="113"/>
        <v>40488.792960000006</v>
      </c>
      <c r="W397" s="6">
        <f t="shared" si="114"/>
        <v>19504.96</v>
      </c>
      <c r="X397" s="6">
        <f t="shared" si="115"/>
        <v>20983.832960000007</v>
      </c>
      <c r="Y397" s="6">
        <f t="shared" si="116"/>
        <v>0.51826274447673737</v>
      </c>
      <c r="Z397" s="4" t="str">
        <f t="shared" si="117"/>
        <v>Q1-2024</v>
      </c>
      <c r="AA397" t="str">
        <f t="shared" si="118"/>
        <v>Networking</v>
      </c>
      <c r="AB397" t="str">
        <f t="shared" si="119"/>
        <v>Networking</v>
      </c>
      <c r="AC397" t="str">
        <f t="shared" si="120"/>
        <v>Compliant</v>
      </c>
      <c r="AD397" t="str">
        <f t="shared" si="121"/>
        <v>Late</v>
      </c>
      <c r="AE397" s="8">
        <f>MIN(Q397,Scenario!$B$2)</f>
        <v>7.5999999999999998E-2</v>
      </c>
      <c r="AF397" s="33">
        <f>L397*(1+Scenario!$B$3)</f>
        <v>1401.9189999999999</v>
      </c>
      <c r="AG397" s="6">
        <f>R397*(1+Scenario!$B$4)</f>
        <v>19.2</v>
      </c>
      <c r="AH397" s="33">
        <f t="shared" si="123"/>
        <v>48586.551551999997</v>
      </c>
      <c r="AI397" s="33">
        <f t="shared" si="124"/>
        <v>26916.844799999995</v>
      </c>
      <c r="AJ397" s="33">
        <f t="shared" si="125"/>
        <v>21669.706752000002</v>
      </c>
    </row>
    <row r="398" spans="1:36" hidden="1" x14ac:dyDescent="0.25">
      <c r="A398" s="12" t="s">
        <v>22</v>
      </c>
      <c r="B398" s="27">
        <v>44941</v>
      </c>
      <c r="C398" s="4">
        <v>44939</v>
      </c>
      <c r="D398" s="12" t="s">
        <v>646</v>
      </c>
      <c r="E398" s="12" t="s">
        <v>651</v>
      </c>
      <c r="F398" s="12" t="s">
        <v>669</v>
      </c>
      <c r="G398" s="12" t="s">
        <v>702</v>
      </c>
      <c r="H398" s="12" t="s">
        <v>708</v>
      </c>
      <c r="I398" s="12" t="s">
        <v>719</v>
      </c>
      <c r="J398" s="12" t="s">
        <v>728</v>
      </c>
      <c r="K398" s="12" t="s">
        <v>741</v>
      </c>
      <c r="L398" s="6">
        <v>28.38</v>
      </c>
      <c r="M398" s="6">
        <v>47.22</v>
      </c>
      <c r="N398" s="6">
        <f t="shared" si="108"/>
        <v>47.22</v>
      </c>
      <c r="O398" s="6" t="str">
        <f t="shared" si="122"/>
        <v>Low</v>
      </c>
      <c r="P398" s="6">
        <v>0.19400000000000001</v>
      </c>
      <c r="Q398" s="6">
        <f t="shared" si="109"/>
        <v>0.19400000000000001</v>
      </c>
      <c r="R398" s="6">
        <v>18</v>
      </c>
      <c r="S398" s="6" t="str">
        <f t="shared" si="110"/>
        <v>Correct</v>
      </c>
      <c r="T398" s="4">
        <f t="shared" si="111"/>
        <v>44948</v>
      </c>
      <c r="U398" s="11">
        <f t="shared" si="112"/>
        <v>7</v>
      </c>
      <c r="V398" s="6">
        <f t="shared" si="113"/>
        <v>685.06776000000002</v>
      </c>
      <c r="W398" s="6">
        <f t="shared" si="114"/>
        <v>510.84</v>
      </c>
      <c r="X398" s="6">
        <f t="shared" si="115"/>
        <v>174.22776000000005</v>
      </c>
      <c r="Y398" s="6">
        <f t="shared" si="116"/>
        <v>0.25432193743871417</v>
      </c>
      <c r="Z398" s="4" t="str">
        <f t="shared" si="117"/>
        <v>Q1-2023</v>
      </c>
      <c r="AA398" t="str">
        <f t="shared" si="118"/>
        <v>Printers</v>
      </c>
      <c r="AB398" t="str">
        <f t="shared" si="119"/>
        <v>Printers</v>
      </c>
      <c r="AC398" t="str">
        <f t="shared" si="120"/>
        <v>Compliant</v>
      </c>
      <c r="AD398" t="str">
        <f t="shared" si="121"/>
        <v>On-time</v>
      </c>
      <c r="AE398" s="8">
        <f>MIN(Q398,Scenario!$B$2)</f>
        <v>0.19400000000000001</v>
      </c>
      <c r="AF398" s="33">
        <f>L398*(1+Scenario!$B$3)</f>
        <v>32.636999999999993</v>
      </c>
      <c r="AG398" s="6">
        <f>R398*(1+Scenario!$B$4)</f>
        <v>21.599999999999998</v>
      </c>
      <c r="AH398" s="33">
        <f t="shared" si="123"/>
        <v>822.08131199999991</v>
      </c>
      <c r="AI398" s="33">
        <f t="shared" si="124"/>
        <v>704.95919999999978</v>
      </c>
      <c r="AJ398" s="33">
        <f t="shared" si="125"/>
        <v>117.12211200000013</v>
      </c>
    </row>
    <row r="399" spans="1:36" hidden="1" x14ac:dyDescent="0.25">
      <c r="A399" s="12" t="s">
        <v>596</v>
      </c>
      <c r="B399" s="27">
        <v>44955</v>
      </c>
      <c r="C399" s="4">
        <v>44963</v>
      </c>
      <c r="D399" s="12" t="s">
        <v>648</v>
      </c>
      <c r="E399" s="12" t="s">
        <v>655</v>
      </c>
      <c r="F399" s="12" t="s">
        <v>672</v>
      </c>
      <c r="G399" s="12" t="s">
        <v>701</v>
      </c>
      <c r="H399" s="12" t="s">
        <v>709</v>
      </c>
      <c r="I399" s="12" t="s">
        <v>726</v>
      </c>
      <c r="J399" s="12" t="s">
        <v>732</v>
      </c>
      <c r="K399" s="12" t="s">
        <v>1314</v>
      </c>
      <c r="L399" s="6">
        <v>41.84</v>
      </c>
      <c r="M399" s="6">
        <v>86.2</v>
      </c>
      <c r="N399" s="6">
        <f t="shared" si="108"/>
        <v>86.2</v>
      </c>
      <c r="O399" s="6" t="str">
        <f t="shared" si="122"/>
        <v>Low</v>
      </c>
      <c r="P399" s="6">
        <v>0.22600000000000001</v>
      </c>
      <c r="Q399" s="6">
        <f t="shared" si="109"/>
        <v>0.22600000000000001</v>
      </c>
      <c r="R399" s="6">
        <v>27</v>
      </c>
      <c r="S399" s="6" t="str">
        <f t="shared" si="110"/>
        <v>OK</v>
      </c>
      <c r="T399" s="4">
        <f t="shared" si="111"/>
        <v>44963</v>
      </c>
      <c r="U399" s="11">
        <f t="shared" si="112"/>
        <v>8</v>
      </c>
      <c r="V399" s="6">
        <f t="shared" si="113"/>
        <v>1801.4076000000002</v>
      </c>
      <c r="W399" s="6">
        <f t="shared" si="114"/>
        <v>1129.68</v>
      </c>
      <c r="X399" s="6">
        <f t="shared" si="115"/>
        <v>671.72760000000017</v>
      </c>
      <c r="Y399" s="6">
        <f t="shared" si="116"/>
        <v>0.37289039970742882</v>
      </c>
      <c r="Z399" s="4" t="str">
        <f t="shared" si="117"/>
        <v>Q1-2023</v>
      </c>
      <c r="AA399" t="str">
        <f t="shared" si="118"/>
        <v>Monitors</v>
      </c>
      <c r="AB399" t="str">
        <f t="shared" si="119"/>
        <v>Monitors</v>
      </c>
      <c r="AC399" t="str">
        <f t="shared" si="120"/>
        <v>Non-compliant</v>
      </c>
      <c r="AD399" t="str">
        <f t="shared" si="121"/>
        <v>Late</v>
      </c>
      <c r="AE399" s="8">
        <f>MIN(Q399,Scenario!$B$2)</f>
        <v>0.2</v>
      </c>
      <c r="AF399" s="33">
        <f>L399*(1+Scenario!$B$3)</f>
        <v>48.116</v>
      </c>
      <c r="AG399" s="6">
        <f>R399*(1+Scenario!$B$4)</f>
        <v>32.4</v>
      </c>
      <c r="AH399" s="33">
        <f t="shared" si="123"/>
        <v>2234.3040000000001</v>
      </c>
      <c r="AI399" s="33">
        <f t="shared" si="124"/>
        <v>1558.9584</v>
      </c>
      <c r="AJ399" s="33">
        <f t="shared" si="125"/>
        <v>675.3456000000001</v>
      </c>
    </row>
    <row r="400" spans="1:36" x14ac:dyDescent="0.25">
      <c r="A400" s="12" t="s">
        <v>231</v>
      </c>
      <c r="B400" s="27">
        <v>44948</v>
      </c>
      <c r="C400" s="4">
        <v>44947</v>
      </c>
      <c r="D400" s="12" t="s">
        <v>649</v>
      </c>
      <c r="E400" s="12" t="s">
        <v>656</v>
      </c>
      <c r="F400" s="12" t="s">
        <v>684</v>
      </c>
      <c r="G400" s="12" t="s">
        <v>701</v>
      </c>
      <c r="H400" s="12" t="s">
        <v>711</v>
      </c>
      <c r="I400" s="12" t="s">
        <v>721</v>
      </c>
      <c r="J400" s="12" t="s">
        <v>732</v>
      </c>
      <c r="K400" s="12" t="s">
        <v>951</v>
      </c>
      <c r="L400" s="6">
        <v>150.86000000000001</v>
      </c>
      <c r="M400" s="6">
        <v>346.96</v>
      </c>
      <c r="N400" s="6">
        <f t="shared" si="108"/>
        <v>346.96</v>
      </c>
      <c r="O400" s="6" t="str">
        <f t="shared" si="122"/>
        <v>Low</v>
      </c>
      <c r="P400" s="6">
        <v>0.19600000000000001</v>
      </c>
      <c r="Q400" s="6">
        <f t="shared" si="109"/>
        <v>0.19600000000000001</v>
      </c>
      <c r="R400" s="6">
        <v>8</v>
      </c>
      <c r="S400" s="6" t="str">
        <f t="shared" si="110"/>
        <v>Correct</v>
      </c>
      <c r="T400" s="4">
        <f t="shared" si="111"/>
        <v>44955</v>
      </c>
      <c r="U400" s="11">
        <f t="shared" si="112"/>
        <v>7</v>
      </c>
      <c r="V400" s="6">
        <f t="shared" si="113"/>
        <v>2231.6467200000002</v>
      </c>
      <c r="W400" s="6">
        <f t="shared" si="114"/>
        <v>1206.8800000000001</v>
      </c>
      <c r="X400" s="6">
        <f t="shared" si="115"/>
        <v>1024.7667200000001</v>
      </c>
      <c r="Y400" s="6">
        <f t="shared" si="116"/>
        <v>0.45919755614365343</v>
      </c>
      <c r="Z400" s="4" t="str">
        <f t="shared" si="117"/>
        <v>Q1-2023</v>
      </c>
      <c r="AA400" t="str">
        <f t="shared" si="118"/>
        <v>Monitors</v>
      </c>
      <c r="AB400" t="str">
        <f t="shared" si="119"/>
        <v>Monitors</v>
      </c>
      <c r="AC400" t="str">
        <f t="shared" si="120"/>
        <v>Compliant</v>
      </c>
      <c r="AD400" t="str">
        <f t="shared" si="121"/>
        <v>On-time</v>
      </c>
      <c r="AE400" s="8">
        <f>MIN(Q400,Scenario!$B$2)</f>
        <v>0.19600000000000001</v>
      </c>
      <c r="AF400" s="33">
        <f>L400*(1+Scenario!$B$3)</f>
        <v>173.489</v>
      </c>
      <c r="AG400" s="6">
        <f>R400*(1+Scenario!$B$4)</f>
        <v>9.6</v>
      </c>
      <c r="AH400" s="33">
        <f t="shared" si="123"/>
        <v>2677.976064</v>
      </c>
      <c r="AI400" s="33">
        <f t="shared" si="124"/>
        <v>1665.4944</v>
      </c>
      <c r="AJ400" s="33">
        <f t="shared" si="125"/>
        <v>1012.4816639999999</v>
      </c>
    </row>
    <row r="401" spans="1:36" x14ac:dyDescent="0.25">
      <c r="A401" s="12" t="s">
        <v>554</v>
      </c>
      <c r="B401" s="27">
        <v>44952</v>
      </c>
      <c r="C401" s="4">
        <v>44972</v>
      </c>
      <c r="D401" s="12" t="s">
        <v>649</v>
      </c>
      <c r="E401" s="12" t="s">
        <v>656</v>
      </c>
      <c r="F401" s="12" t="s">
        <v>671</v>
      </c>
      <c r="G401" s="12" t="s">
        <v>705</v>
      </c>
      <c r="H401" s="12" t="s">
        <v>708</v>
      </c>
      <c r="I401" s="12" t="s">
        <v>719</v>
      </c>
      <c r="J401" s="12" t="s">
        <v>729</v>
      </c>
      <c r="K401" s="12" t="s">
        <v>1272</v>
      </c>
      <c r="L401" s="6">
        <v>492.62</v>
      </c>
      <c r="M401" s="6">
        <v>366.7</v>
      </c>
      <c r="N401" s="6">
        <f t="shared" si="108"/>
        <v>366.7</v>
      </c>
      <c r="O401" s="6" t="str">
        <f t="shared" si="122"/>
        <v>Low</v>
      </c>
      <c r="P401" s="6">
        <v>8.8999999999999996E-2</v>
      </c>
      <c r="Q401" s="6">
        <f t="shared" si="109"/>
        <v>8.8999999999999996E-2</v>
      </c>
      <c r="R401" s="6">
        <v>10</v>
      </c>
      <c r="S401" s="6" t="str">
        <f t="shared" si="110"/>
        <v>OK</v>
      </c>
      <c r="T401" s="4">
        <f t="shared" si="111"/>
        <v>44972</v>
      </c>
      <c r="U401" s="11">
        <f t="shared" si="112"/>
        <v>20</v>
      </c>
      <c r="V401" s="6">
        <f t="shared" si="113"/>
        <v>3340.6370000000002</v>
      </c>
      <c r="W401" s="6">
        <f t="shared" si="114"/>
        <v>4926.2</v>
      </c>
      <c r="X401" s="6">
        <f t="shared" si="115"/>
        <v>-1585.5629999999996</v>
      </c>
      <c r="Y401" s="6">
        <f t="shared" si="116"/>
        <v>-0.47462894052840809</v>
      </c>
      <c r="Z401" s="4" t="str">
        <f t="shared" si="117"/>
        <v>Q1-2023</v>
      </c>
      <c r="AA401" t="str">
        <f t="shared" si="118"/>
        <v>Networking</v>
      </c>
      <c r="AB401" t="str">
        <f t="shared" si="119"/>
        <v>Networking</v>
      </c>
      <c r="AC401" t="str">
        <f t="shared" si="120"/>
        <v>Compliant</v>
      </c>
      <c r="AD401" t="str">
        <f t="shared" si="121"/>
        <v>Late</v>
      </c>
      <c r="AE401" s="8">
        <f>MIN(Q401,Scenario!$B$2)</f>
        <v>8.8999999999999996E-2</v>
      </c>
      <c r="AF401" s="33">
        <f>L401*(1+Scenario!$B$3)</f>
        <v>566.51299999999992</v>
      </c>
      <c r="AG401" s="6">
        <f>R401*(1+Scenario!$B$4)</f>
        <v>12</v>
      </c>
      <c r="AH401" s="33">
        <f t="shared" si="123"/>
        <v>4008.7644</v>
      </c>
      <c r="AI401" s="33">
        <f t="shared" si="124"/>
        <v>6798.155999999999</v>
      </c>
      <c r="AJ401" s="33">
        <f t="shared" si="125"/>
        <v>-2789.391599999999</v>
      </c>
    </row>
    <row r="402" spans="1:36" hidden="1" x14ac:dyDescent="0.25">
      <c r="A402" s="12" t="s">
        <v>20</v>
      </c>
      <c r="B402" s="27">
        <v>44928</v>
      </c>
      <c r="C402" s="4">
        <v>44931</v>
      </c>
      <c r="D402" s="12" t="s">
        <v>648</v>
      </c>
      <c r="E402" s="12" t="s">
        <v>653</v>
      </c>
      <c r="F402" s="12" t="s">
        <v>667</v>
      </c>
      <c r="G402" s="12" t="s">
        <v>701</v>
      </c>
      <c r="H402" s="12" t="s">
        <v>710</v>
      </c>
      <c r="I402" s="12" t="s">
        <v>717</v>
      </c>
      <c r="J402" s="12" t="s">
        <v>731</v>
      </c>
      <c r="K402" s="12" t="s">
        <v>739</v>
      </c>
      <c r="L402" s="6">
        <v>315.87</v>
      </c>
      <c r="M402" s="6">
        <v>591.67999999999995</v>
      </c>
      <c r="N402" s="6">
        <f t="shared" si="108"/>
        <v>591.67999999999995</v>
      </c>
      <c r="O402" s="6" t="str">
        <f t="shared" si="122"/>
        <v>Middle</v>
      </c>
      <c r="P402" s="6">
        <v>0</v>
      </c>
      <c r="Q402" s="6">
        <f t="shared" si="109"/>
        <v>0</v>
      </c>
      <c r="R402" s="6">
        <v>7</v>
      </c>
      <c r="S402" s="6" t="str">
        <f t="shared" si="110"/>
        <v>OK</v>
      </c>
      <c r="T402" s="4">
        <f t="shared" si="111"/>
        <v>44931</v>
      </c>
      <c r="U402" s="11">
        <f t="shared" si="112"/>
        <v>3</v>
      </c>
      <c r="V402" s="6">
        <f t="shared" si="113"/>
        <v>4141.7599999999993</v>
      </c>
      <c r="W402" s="6">
        <f t="shared" si="114"/>
        <v>2211.09</v>
      </c>
      <c r="X402" s="6">
        <f t="shared" si="115"/>
        <v>1930.6699999999992</v>
      </c>
      <c r="Y402" s="6">
        <f t="shared" si="116"/>
        <v>0.46614724175229844</v>
      </c>
      <c r="Z402" s="4" t="str">
        <f t="shared" si="117"/>
        <v>Q1-2023</v>
      </c>
      <c r="AA402" t="str">
        <f t="shared" si="118"/>
        <v>Laptops</v>
      </c>
      <c r="AB402" t="str">
        <f t="shared" si="119"/>
        <v>Laptops</v>
      </c>
      <c r="AC402" t="str">
        <f t="shared" si="120"/>
        <v>Compliant</v>
      </c>
      <c r="AD402" t="str">
        <f t="shared" si="121"/>
        <v>On-time</v>
      </c>
      <c r="AE402" s="8">
        <f>MIN(Q402,Scenario!$B$2)</f>
        <v>0</v>
      </c>
      <c r="AF402" s="33">
        <f>L402*(1+Scenario!$B$3)</f>
        <v>363.25049999999999</v>
      </c>
      <c r="AG402" s="6">
        <f>R402*(1+Scenario!$B$4)</f>
        <v>8.4</v>
      </c>
      <c r="AH402" s="33">
        <f t="shared" si="123"/>
        <v>4970.1120000000001</v>
      </c>
      <c r="AI402" s="33">
        <f t="shared" si="124"/>
        <v>3051.3042</v>
      </c>
      <c r="AJ402" s="33">
        <f t="shared" si="125"/>
        <v>1918.8078</v>
      </c>
    </row>
    <row r="403" spans="1:36" x14ac:dyDescent="0.25">
      <c r="A403" s="12" t="s">
        <v>147</v>
      </c>
      <c r="B403" s="27">
        <v>44953</v>
      </c>
      <c r="C403" s="4">
        <v>44957</v>
      </c>
      <c r="D403" s="12" t="s">
        <v>649</v>
      </c>
      <c r="E403" s="12" t="s">
        <v>658</v>
      </c>
      <c r="F403" s="12" t="s">
        <v>693</v>
      </c>
      <c r="G403" s="12" t="s">
        <v>706</v>
      </c>
      <c r="H403" s="12" t="s">
        <v>708</v>
      </c>
      <c r="I403" s="12" t="s">
        <v>725</v>
      </c>
      <c r="J403" s="12" t="s">
        <v>731</v>
      </c>
      <c r="K403" s="12" t="s">
        <v>866</v>
      </c>
      <c r="L403" s="6">
        <v>941.2</v>
      </c>
      <c r="M403" s="6">
        <v>668.02</v>
      </c>
      <c r="N403" s="6">
        <f t="shared" si="108"/>
        <v>668.02</v>
      </c>
      <c r="O403" s="6" t="str">
        <f t="shared" si="122"/>
        <v>Middle</v>
      </c>
      <c r="P403" s="6">
        <v>0.22</v>
      </c>
      <c r="Q403" s="6">
        <f t="shared" si="109"/>
        <v>0.22</v>
      </c>
      <c r="R403" s="6">
        <v>16</v>
      </c>
      <c r="S403" s="6" t="str">
        <f t="shared" si="110"/>
        <v>OK</v>
      </c>
      <c r="T403" s="4">
        <f t="shared" si="111"/>
        <v>44957</v>
      </c>
      <c r="U403" s="11">
        <f t="shared" si="112"/>
        <v>4</v>
      </c>
      <c r="V403" s="6">
        <f t="shared" si="113"/>
        <v>8336.8896000000004</v>
      </c>
      <c r="W403" s="6">
        <f t="shared" si="114"/>
        <v>15059.2</v>
      </c>
      <c r="X403" s="6">
        <f t="shared" si="115"/>
        <v>-6722.3104000000003</v>
      </c>
      <c r="Y403" s="6">
        <f t="shared" si="116"/>
        <v>-0.80633314371825193</v>
      </c>
      <c r="Z403" s="4" t="str">
        <f t="shared" si="117"/>
        <v>Q1-2023</v>
      </c>
      <c r="AA403" t="str">
        <f t="shared" si="118"/>
        <v>Laptops</v>
      </c>
      <c r="AB403" t="str">
        <f t="shared" si="119"/>
        <v>Laptops</v>
      </c>
      <c r="AC403" t="str">
        <f t="shared" si="120"/>
        <v>Non-compliant</v>
      </c>
      <c r="AD403" t="str">
        <f t="shared" si="121"/>
        <v>On-time</v>
      </c>
      <c r="AE403" s="8">
        <f>MIN(Q403,Scenario!$B$2)</f>
        <v>0.2</v>
      </c>
      <c r="AF403" s="33">
        <f>L403*(1+Scenario!$B$3)</f>
        <v>1082.3799999999999</v>
      </c>
      <c r="AG403" s="6">
        <f>R403*(1+Scenario!$B$4)</f>
        <v>19.2</v>
      </c>
      <c r="AH403" s="33">
        <f t="shared" si="123"/>
        <v>10260.787199999999</v>
      </c>
      <c r="AI403" s="33">
        <f t="shared" si="124"/>
        <v>20781.695999999996</v>
      </c>
      <c r="AJ403" s="33">
        <f t="shared" si="125"/>
        <v>-10520.908799999997</v>
      </c>
    </row>
    <row r="404" spans="1:36" hidden="1" x14ac:dyDescent="0.25">
      <c r="A404" s="12" t="s">
        <v>611</v>
      </c>
      <c r="B404" s="27">
        <v>44933</v>
      </c>
      <c r="C404" s="4">
        <v>44956</v>
      </c>
      <c r="D404" s="12" t="s">
        <v>646</v>
      </c>
      <c r="E404" s="12" t="s">
        <v>661</v>
      </c>
      <c r="F404" s="12" t="s">
        <v>695</v>
      </c>
      <c r="G404" s="12" t="s">
        <v>704</v>
      </c>
      <c r="H404" s="12" t="s">
        <v>708</v>
      </c>
      <c r="I404" s="12" t="s">
        <v>720</v>
      </c>
      <c r="J404" s="12" t="s">
        <v>728</v>
      </c>
      <c r="K404" s="12" t="s">
        <v>1329</v>
      </c>
      <c r="L404" s="6">
        <v>299.02</v>
      </c>
      <c r="M404" s="6">
        <v>724.7</v>
      </c>
      <c r="N404" s="6">
        <f t="shared" si="108"/>
        <v>724.7</v>
      </c>
      <c r="O404" s="6" t="str">
        <f t="shared" si="122"/>
        <v>Middle</v>
      </c>
      <c r="P404" s="6">
        <v>0.14000000000000001</v>
      </c>
      <c r="Q404" s="6">
        <f t="shared" si="109"/>
        <v>0.14000000000000001</v>
      </c>
      <c r="R404" s="6">
        <v>5</v>
      </c>
      <c r="S404" s="6" t="str">
        <f t="shared" si="110"/>
        <v>OK</v>
      </c>
      <c r="T404" s="4">
        <f t="shared" si="111"/>
        <v>44956</v>
      </c>
      <c r="U404" s="11">
        <f t="shared" si="112"/>
        <v>23</v>
      </c>
      <c r="V404" s="6">
        <f t="shared" si="113"/>
        <v>3116.21</v>
      </c>
      <c r="W404" s="6">
        <f t="shared" si="114"/>
        <v>1495.1</v>
      </c>
      <c r="X404" s="6">
        <f t="shared" si="115"/>
        <v>1621.1100000000001</v>
      </c>
      <c r="Y404" s="6">
        <f t="shared" si="116"/>
        <v>0.52021847051386139</v>
      </c>
      <c r="Z404" s="4" t="str">
        <f t="shared" si="117"/>
        <v>Q1-2023</v>
      </c>
      <c r="AA404" t="str">
        <f t="shared" si="118"/>
        <v>Printers</v>
      </c>
      <c r="AB404" t="str">
        <f t="shared" si="119"/>
        <v>Printers</v>
      </c>
      <c r="AC404" t="str">
        <f t="shared" si="120"/>
        <v>Compliant</v>
      </c>
      <c r="AD404" t="str">
        <f t="shared" si="121"/>
        <v>Late</v>
      </c>
      <c r="AE404" s="8">
        <f>MIN(Q404,Scenario!$B$2)</f>
        <v>0.14000000000000001</v>
      </c>
      <c r="AF404" s="33">
        <f>L404*(1+Scenario!$B$3)</f>
        <v>343.87299999999993</v>
      </c>
      <c r="AG404" s="6">
        <f>R404*(1+Scenario!$B$4)</f>
        <v>6</v>
      </c>
      <c r="AH404" s="33">
        <f t="shared" si="123"/>
        <v>3739.4520000000007</v>
      </c>
      <c r="AI404" s="33">
        <f t="shared" si="124"/>
        <v>2063.2379999999994</v>
      </c>
      <c r="AJ404" s="33">
        <f t="shared" si="125"/>
        <v>1676.2140000000013</v>
      </c>
    </row>
    <row r="405" spans="1:36" x14ac:dyDescent="0.25">
      <c r="A405" s="12" t="s">
        <v>323</v>
      </c>
      <c r="B405" s="27">
        <v>44936</v>
      </c>
      <c r="C405" s="4">
        <v>44955</v>
      </c>
      <c r="D405" s="12" t="s">
        <v>649</v>
      </c>
      <c r="E405" s="12" t="s">
        <v>657</v>
      </c>
      <c r="F405" s="12" t="s">
        <v>679</v>
      </c>
      <c r="G405" s="12" t="s">
        <v>703</v>
      </c>
      <c r="H405" s="12" t="s">
        <v>711</v>
      </c>
      <c r="I405" s="12" t="s">
        <v>726</v>
      </c>
      <c r="J405" s="12" t="s">
        <v>731</v>
      </c>
      <c r="K405" s="12" t="s">
        <v>1043</v>
      </c>
      <c r="L405" s="6">
        <v>401.66</v>
      </c>
      <c r="M405" s="6">
        <v>772.09</v>
      </c>
      <c r="N405" s="6">
        <f t="shared" si="108"/>
        <v>772.09</v>
      </c>
      <c r="O405" s="6" t="str">
        <f t="shared" si="122"/>
        <v>Middle</v>
      </c>
      <c r="P405" s="6">
        <v>8.8999999999999996E-2</v>
      </c>
      <c r="Q405" s="6">
        <f t="shared" si="109"/>
        <v>8.8999999999999996E-2</v>
      </c>
      <c r="R405" s="6">
        <v>14</v>
      </c>
      <c r="S405" s="6" t="str">
        <f t="shared" si="110"/>
        <v>OK</v>
      </c>
      <c r="T405" s="4">
        <f t="shared" si="111"/>
        <v>44955</v>
      </c>
      <c r="U405" s="11">
        <f t="shared" si="112"/>
        <v>19</v>
      </c>
      <c r="V405" s="6">
        <f t="shared" si="113"/>
        <v>9847.2358600000007</v>
      </c>
      <c r="W405" s="6">
        <f t="shared" si="114"/>
        <v>5623.2400000000007</v>
      </c>
      <c r="X405" s="6">
        <f t="shared" si="115"/>
        <v>4223.99586</v>
      </c>
      <c r="Y405" s="6">
        <f t="shared" si="116"/>
        <v>0.42895244107619046</v>
      </c>
      <c r="Z405" s="4" t="str">
        <f t="shared" si="117"/>
        <v>Q1-2023</v>
      </c>
      <c r="AA405" t="str">
        <f t="shared" si="118"/>
        <v>Laptops</v>
      </c>
      <c r="AB405" t="str">
        <f t="shared" si="119"/>
        <v>Laptops</v>
      </c>
      <c r="AC405" t="str">
        <f t="shared" si="120"/>
        <v>Compliant</v>
      </c>
      <c r="AD405" t="str">
        <f t="shared" si="121"/>
        <v>Late</v>
      </c>
      <c r="AE405" s="8">
        <f>MIN(Q405,Scenario!$B$2)</f>
        <v>8.8999999999999996E-2</v>
      </c>
      <c r="AF405" s="33">
        <f>L405*(1+Scenario!$B$3)</f>
        <v>461.90899999999999</v>
      </c>
      <c r="AG405" s="6">
        <f>R405*(1+Scenario!$B$4)</f>
        <v>16.8</v>
      </c>
      <c r="AH405" s="33">
        <f t="shared" si="123"/>
        <v>11816.683032000001</v>
      </c>
      <c r="AI405" s="33">
        <f t="shared" si="124"/>
        <v>7760.0712000000003</v>
      </c>
      <c r="AJ405" s="33">
        <f t="shared" si="125"/>
        <v>4056.6118320000005</v>
      </c>
    </row>
    <row r="406" spans="1:36" hidden="1" x14ac:dyDescent="0.25">
      <c r="A406" s="12" t="s">
        <v>214</v>
      </c>
      <c r="B406" s="27">
        <v>44939</v>
      </c>
      <c r="C406" s="4">
        <v>44945</v>
      </c>
      <c r="D406" s="12" t="s">
        <v>648</v>
      </c>
      <c r="E406" s="12" t="s">
        <v>660</v>
      </c>
      <c r="F406" s="12" t="s">
        <v>677</v>
      </c>
      <c r="G406" s="12" t="s">
        <v>701</v>
      </c>
      <c r="H406" s="12" t="s">
        <v>711</v>
      </c>
      <c r="I406" s="12" t="s">
        <v>722</v>
      </c>
      <c r="J406" s="12" t="s">
        <v>730</v>
      </c>
      <c r="K406" s="12" t="s">
        <v>934</v>
      </c>
      <c r="L406" s="6">
        <v>833.57</v>
      </c>
      <c r="M406" s="6">
        <v>881.57</v>
      </c>
      <c r="N406" s="6">
        <f t="shared" si="108"/>
        <v>881.57</v>
      </c>
      <c r="O406" s="6" t="str">
        <f t="shared" si="122"/>
        <v>Middle</v>
      </c>
      <c r="P406" s="6">
        <v>5.7000000000000002E-2</v>
      </c>
      <c r="Q406" s="6">
        <f t="shared" si="109"/>
        <v>5.7000000000000002E-2</v>
      </c>
      <c r="R406" s="6">
        <v>18</v>
      </c>
      <c r="S406" s="6" t="str">
        <f t="shared" si="110"/>
        <v>OK</v>
      </c>
      <c r="T406" s="4">
        <f t="shared" si="111"/>
        <v>44945</v>
      </c>
      <c r="U406" s="11">
        <f t="shared" si="112"/>
        <v>6</v>
      </c>
      <c r="V406" s="6">
        <f t="shared" si="113"/>
        <v>14963.769179999999</v>
      </c>
      <c r="W406" s="6">
        <f t="shared" si="114"/>
        <v>15004.26</v>
      </c>
      <c r="X406" s="6">
        <f t="shared" si="115"/>
        <v>-40.490820000000895</v>
      </c>
      <c r="Y406" s="6">
        <f t="shared" si="116"/>
        <v>-2.7059238560107821E-3</v>
      </c>
      <c r="Z406" s="4" t="str">
        <f t="shared" si="117"/>
        <v>Q1-2023</v>
      </c>
      <c r="AA406" t="str">
        <f t="shared" si="118"/>
        <v>Phones</v>
      </c>
      <c r="AB406" t="str">
        <f t="shared" si="119"/>
        <v>Phones</v>
      </c>
      <c r="AC406" t="str">
        <f t="shared" si="120"/>
        <v>Compliant</v>
      </c>
      <c r="AD406" t="str">
        <f t="shared" si="121"/>
        <v>On-time</v>
      </c>
      <c r="AE406" s="8">
        <f>MIN(Q406,Scenario!$B$2)</f>
        <v>5.7000000000000002E-2</v>
      </c>
      <c r="AF406" s="33">
        <f>L406*(1+Scenario!$B$3)</f>
        <v>958.60550000000001</v>
      </c>
      <c r="AG406" s="6">
        <f>R406*(1+Scenario!$B$4)</f>
        <v>21.599999999999998</v>
      </c>
      <c r="AH406" s="33">
        <f t="shared" si="123"/>
        <v>17956.523015999999</v>
      </c>
      <c r="AI406" s="33">
        <f t="shared" si="124"/>
        <v>20705.878799999999</v>
      </c>
      <c r="AJ406" s="33">
        <f t="shared" si="125"/>
        <v>-2749.3557839999994</v>
      </c>
    </row>
    <row r="407" spans="1:36" hidden="1" x14ac:dyDescent="0.25">
      <c r="A407" s="12" t="s">
        <v>144</v>
      </c>
      <c r="B407" s="27">
        <v>44948</v>
      </c>
      <c r="C407" s="4">
        <v>44956</v>
      </c>
      <c r="D407" s="12" t="s">
        <v>648</v>
      </c>
      <c r="E407" s="12" t="s">
        <v>660</v>
      </c>
      <c r="F407" s="12" t="s">
        <v>686</v>
      </c>
      <c r="G407" s="12" t="s">
        <v>705</v>
      </c>
      <c r="H407" s="12" t="s">
        <v>708</v>
      </c>
      <c r="I407" s="12" t="s">
        <v>720</v>
      </c>
      <c r="J407" s="12" t="s">
        <v>729</v>
      </c>
      <c r="K407" s="12" t="s">
        <v>863</v>
      </c>
      <c r="L407" s="6">
        <v>413.52</v>
      </c>
      <c r="M407" s="6">
        <v>1004.34</v>
      </c>
      <c r="N407" s="6">
        <f t="shared" si="108"/>
        <v>1004.34</v>
      </c>
      <c r="O407" s="6" t="str">
        <f t="shared" si="122"/>
        <v>Middle</v>
      </c>
      <c r="P407" s="6">
        <v>0.111</v>
      </c>
      <c r="Q407" s="6">
        <f t="shared" si="109"/>
        <v>0.111</v>
      </c>
      <c r="R407" s="6">
        <v>18</v>
      </c>
      <c r="S407" s="6" t="str">
        <f t="shared" si="110"/>
        <v>OK</v>
      </c>
      <c r="T407" s="4">
        <f t="shared" si="111"/>
        <v>44956</v>
      </c>
      <c r="U407" s="11">
        <f t="shared" si="112"/>
        <v>8</v>
      </c>
      <c r="V407" s="6">
        <f t="shared" si="113"/>
        <v>16071.44868</v>
      </c>
      <c r="W407" s="6">
        <f t="shared" si="114"/>
        <v>7443.36</v>
      </c>
      <c r="X407" s="6">
        <f t="shared" si="115"/>
        <v>8628.0886800000007</v>
      </c>
      <c r="Y407" s="6">
        <f t="shared" si="116"/>
        <v>0.53685817948304593</v>
      </c>
      <c r="Z407" s="4" t="str">
        <f t="shared" si="117"/>
        <v>Q1-2023</v>
      </c>
      <c r="AA407" t="str">
        <f t="shared" si="118"/>
        <v>Networking</v>
      </c>
      <c r="AB407" t="str">
        <f t="shared" si="119"/>
        <v>Networking</v>
      </c>
      <c r="AC407" t="str">
        <f t="shared" si="120"/>
        <v>Compliant</v>
      </c>
      <c r="AD407" t="str">
        <f t="shared" si="121"/>
        <v>Late</v>
      </c>
      <c r="AE407" s="8">
        <f>MIN(Q407,Scenario!$B$2)</f>
        <v>0.111</v>
      </c>
      <c r="AF407" s="33">
        <f>L407*(1+Scenario!$B$3)</f>
        <v>475.54799999999994</v>
      </c>
      <c r="AG407" s="6">
        <f>R407*(1+Scenario!$B$4)</f>
        <v>21.599999999999998</v>
      </c>
      <c r="AH407" s="33">
        <f t="shared" si="123"/>
        <v>19285.738416</v>
      </c>
      <c r="AI407" s="33">
        <f t="shared" si="124"/>
        <v>10271.836799999997</v>
      </c>
      <c r="AJ407" s="33">
        <f t="shared" si="125"/>
        <v>9013.9016160000028</v>
      </c>
    </row>
    <row r="408" spans="1:36" hidden="1" x14ac:dyDescent="0.25">
      <c r="A408" s="12" t="s">
        <v>541</v>
      </c>
      <c r="B408" s="27">
        <v>44938</v>
      </c>
      <c r="C408" s="4">
        <v>44952</v>
      </c>
      <c r="D408" s="12" t="s">
        <v>647</v>
      </c>
      <c r="E408" s="12" t="s">
        <v>659</v>
      </c>
      <c r="F408" s="12" t="s">
        <v>676</v>
      </c>
      <c r="G408" s="12" t="s">
        <v>703</v>
      </c>
      <c r="H408" s="12" t="s">
        <v>707</v>
      </c>
      <c r="I408" s="12" t="s">
        <v>724</v>
      </c>
      <c r="J408" s="12" t="s">
        <v>728</v>
      </c>
      <c r="K408" s="12" t="s">
        <v>1260</v>
      </c>
      <c r="L408" s="6">
        <v>1083.0899999999999</v>
      </c>
      <c r="M408" s="6">
        <v>1425.87</v>
      </c>
      <c r="N408" s="6">
        <f t="shared" si="108"/>
        <v>1425.87</v>
      </c>
      <c r="O408" s="6" t="str">
        <f t="shared" si="122"/>
        <v>High</v>
      </c>
      <c r="P408" s="6">
        <v>0</v>
      </c>
      <c r="Q408" s="6">
        <f t="shared" si="109"/>
        <v>0</v>
      </c>
      <c r="R408" s="6">
        <v>8</v>
      </c>
      <c r="S408" s="6" t="str">
        <f t="shared" si="110"/>
        <v>OK</v>
      </c>
      <c r="T408" s="4">
        <f t="shared" si="111"/>
        <v>44952</v>
      </c>
      <c r="U408" s="11">
        <f t="shared" si="112"/>
        <v>14</v>
      </c>
      <c r="V408" s="6">
        <f t="shared" si="113"/>
        <v>11406.96</v>
      </c>
      <c r="W408" s="6">
        <f t="shared" si="114"/>
        <v>8664.7199999999993</v>
      </c>
      <c r="X408" s="6">
        <f t="shared" si="115"/>
        <v>2742.24</v>
      </c>
      <c r="Y408" s="6">
        <f t="shared" si="116"/>
        <v>0.24040059752992909</v>
      </c>
      <c r="Z408" s="4" t="str">
        <f t="shared" si="117"/>
        <v>Q1-2023</v>
      </c>
      <c r="AA408" t="str">
        <f t="shared" si="118"/>
        <v>Printers</v>
      </c>
      <c r="AB408" t="str">
        <f t="shared" si="119"/>
        <v>Printers</v>
      </c>
      <c r="AC408" t="str">
        <f t="shared" si="120"/>
        <v>Compliant</v>
      </c>
      <c r="AD408" t="str">
        <f t="shared" si="121"/>
        <v>Late</v>
      </c>
      <c r="AE408" s="8">
        <f>MIN(Q408,Scenario!$B$2)</f>
        <v>0</v>
      </c>
      <c r="AF408" s="33">
        <f>L408*(1+Scenario!$B$3)</f>
        <v>1245.5534999999998</v>
      </c>
      <c r="AG408" s="6">
        <f>R408*(1+Scenario!$B$4)</f>
        <v>9.6</v>
      </c>
      <c r="AH408" s="33">
        <f t="shared" si="123"/>
        <v>13688.351999999999</v>
      </c>
      <c r="AI408" s="33">
        <f t="shared" si="124"/>
        <v>11957.313599999998</v>
      </c>
      <c r="AJ408" s="33">
        <f t="shared" si="125"/>
        <v>1731.0384000000013</v>
      </c>
    </row>
    <row r="409" spans="1:36" x14ac:dyDescent="0.25">
      <c r="A409" s="12" t="s">
        <v>212</v>
      </c>
      <c r="B409" s="27">
        <v>44956</v>
      </c>
      <c r="C409" s="4">
        <v>44978</v>
      </c>
      <c r="D409" s="12" t="s">
        <v>649</v>
      </c>
      <c r="E409" s="12" t="s">
        <v>656</v>
      </c>
      <c r="F409" s="12" t="s">
        <v>684</v>
      </c>
      <c r="G409" s="12" t="s">
        <v>705</v>
      </c>
      <c r="H409" s="12" t="s">
        <v>709</v>
      </c>
      <c r="I409" s="12" t="s">
        <v>715</v>
      </c>
      <c r="J409" s="12" t="s">
        <v>729</v>
      </c>
      <c r="K409" s="12" t="s">
        <v>932</v>
      </c>
      <c r="L409" s="6">
        <v>1142.8800000000001</v>
      </c>
      <c r="M409" s="6">
        <v>1465.29</v>
      </c>
      <c r="N409" s="6">
        <f t="shared" si="108"/>
        <v>1465.29</v>
      </c>
      <c r="O409" s="6" t="str">
        <f t="shared" si="122"/>
        <v>High</v>
      </c>
      <c r="P409" s="6">
        <v>0.186</v>
      </c>
      <c r="Q409" s="6">
        <f t="shared" si="109"/>
        <v>0.186</v>
      </c>
      <c r="R409" s="6">
        <v>7</v>
      </c>
      <c r="S409" s="6" t="str">
        <f t="shared" si="110"/>
        <v>OK</v>
      </c>
      <c r="T409" s="4">
        <f t="shared" si="111"/>
        <v>44978</v>
      </c>
      <c r="U409" s="11">
        <f t="shared" si="112"/>
        <v>22</v>
      </c>
      <c r="V409" s="6">
        <f t="shared" si="113"/>
        <v>8349.2224200000001</v>
      </c>
      <c r="W409" s="6">
        <f t="shared" si="114"/>
        <v>8000.1600000000008</v>
      </c>
      <c r="X409" s="6">
        <f t="shared" si="115"/>
        <v>349.06241999999929</v>
      </c>
      <c r="Y409" s="6">
        <f t="shared" si="116"/>
        <v>4.1807775915017401E-2</v>
      </c>
      <c r="Z409" s="4" t="str">
        <f t="shared" si="117"/>
        <v>Q1-2023</v>
      </c>
      <c r="AA409" t="str">
        <f t="shared" si="118"/>
        <v>Networking</v>
      </c>
      <c r="AB409" t="str">
        <f t="shared" si="119"/>
        <v>Networking</v>
      </c>
      <c r="AC409" t="str">
        <f t="shared" si="120"/>
        <v>Compliant</v>
      </c>
      <c r="AD409" t="str">
        <f t="shared" si="121"/>
        <v>Late</v>
      </c>
      <c r="AE409" s="8">
        <f>MIN(Q409,Scenario!$B$2)</f>
        <v>0.186</v>
      </c>
      <c r="AF409" s="33">
        <f>L409*(1+Scenario!$B$3)</f>
        <v>1314.3120000000001</v>
      </c>
      <c r="AG409" s="6">
        <f>R409*(1+Scenario!$B$4)</f>
        <v>8.4</v>
      </c>
      <c r="AH409" s="33">
        <f t="shared" si="123"/>
        <v>10019.066904000001</v>
      </c>
      <c r="AI409" s="33">
        <f t="shared" si="124"/>
        <v>11040.220800000001</v>
      </c>
      <c r="AJ409" s="33">
        <f t="shared" si="125"/>
        <v>-1021.1538959999998</v>
      </c>
    </row>
    <row r="410" spans="1:36" hidden="1" x14ac:dyDescent="0.25">
      <c r="A410" s="12" t="s">
        <v>217</v>
      </c>
      <c r="B410" s="27">
        <v>44946</v>
      </c>
      <c r="C410" s="4">
        <v>44960</v>
      </c>
      <c r="D410" s="12" t="s">
        <v>646</v>
      </c>
      <c r="E410" s="12" t="s">
        <v>650</v>
      </c>
      <c r="F410" s="12" t="s">
        <v>662</v>
      </c>
      <c r="G410" s="12" t="s">
        <v>701</v>
      </c>
      <c r="H410" s="12" t="s">
        <v>707</v>
      </c>
      <c r="I410" s="12" t="s">
        <v>724</v>
      </c>
      <c r="J410" s="12" t="s">
        <v>729</v>
      </c>
      <c r="K410" s="12" t="s">
        <v>937</v>
      </c>
      <c r="L410" s="6">
        <v>884.36</v>
      </c>
      <c r="M410" s="6">
        <v>1545.34</v>
      </c>
      <c r="N410" s="6">
        <f t="shared" si="108"/>
        <v>1545.34</v>
      </c>
      <c r="O410" s="6" t="str">
        <f t="shared" si="122"/>
        <v>High</v>
      </c>
      <c r="P410" s="6">
        <v>0.24299999999999999</v>
      </c>
      <c r="Q410" s="6">
        <f t="shared" si="109"/>
        <v>0.24299999999999999</v>
      </c>
      <c r="R410" s="6">
        <v>41</v>
      </c>
      <c r="S410" s="6" t="str">
        <f t="shared" si="110"/>
        <v>OK</v>
      </c>
      <c r="T410" s="4">
        <f t="shared" si="111"/>
        <v>44960</v>
      </c>
      <c r="U410" s="11">
        <f t="shared" si="112"/>
        <v>14</v>
      </c>
      <c r="V410" s="6">
        <f t="shared" si="113"/>
        <v>47962.717579999997</v>
      </c>
      <c r="W410" s="6">
        <f t="shared" si="114"/>
        <v>36258.76</v>
      </c>
      <c r="X410" s="6">
        <f t="shared" si="115"/>
        <v>11703.957579999995</v>
      </c>
      <c r="Y410" s="6">
        <f t="shared" si="116"/>
        <v>0.24402198562827965</v>
      </c>
      <c r="Z410" s="4" t="str">
        <f t="shared" si="117"/>
        <v>Q1-2023</v>
      </c>
      <c r="AA410" t="str">
        <f t="shared" si="118"/>
        <v>Networking</v>
      </c>
      <c r="AB410" t="str">
        <f t="shared" si="119"/>
        <v>Networking</v>
      </c>
      <c r="AC410" t="str">
        <f t="shared" si="120"/>
        <v>Non-compliant</v>
      </c>
      <c r="AD410" t="str">
        <f t="shared" si="121"/>
        <v>Late</v>
      </c>
      <c r="AE410" s="8">
        <f>MIN(Q410,Scenario!$B$2)</f>
        <v>0.2</v>
      </c>
      <c r="AF410" s="33">
        <f>L410*(1+Scenario!$B$3)</f>
        <v>1017.0139999999999</v>
      </c>
      <c r="AG410" s="6">
        <f>R410*(1+Scenario!$B$4)</f>
        <v>49.199999999999996</v>
      </c>
      <c r="AH410" s="33">
        <f t="shared" si="123"/>
        <v>60824.582399999992</v>
      </c>
      <c r="AI410" s="33">
        <f t="shared" si="124"/>
        <v>50037.08879999999</v>
      </c>
      <c r="AJ410" s="33">
        <f t="shared" si="125"/>
        <v>10787.493600000002</v>
      </c>
    </row>
    <row r="411" spans="1:36" x14ac:dyDescent="0.25">
      <c r="A411" s="12" t="s">
        <v>465</v>
      </c>
      <c r="B411" s="27">
        <v>44945</v>
      </c>
      <c r="C411" s="4">
        <v>44960</v>
      </c>
      <c r="D411" s="12" t="s">
        <v>649</v>
      </c>
      <c r="E411" s="12" t="s">
        <v>658</v>
      </c>
      <c r="F411" s="12" t="s">
        <v>683</v>
      </c>
      <c r="G411" s="12" t="s">
        <v>706</v>
      </c>
      <c r="H411" s="12" t="s">
        <v>710</v>
      </c>
      <c r="I411" s="12" t="s">
        <v>715</v>
      </c>
      <c r="J411" s="12" t="s">
        <v>733</v>
      </c>
      <c r="K411" s="12" t="s">
        <v>1184</v>
      </c>
      <c r="L411" s="6">
        <v>873.06</v>
      </c>
      <c r="M411" s="6">
        <v>2101.5500000000002</v>
      </c>
      <c r="N411" s="6">
        <f t="shared" si="108"/>
        <v>2101.5500000000002</v>
      </c>
      <c r="O411" s="6" t="str">
        <f t="shared" si="122"/>
        <v>High</v>
      </c>
      <c r="P411" s="6">
        <v>6.6000000000000003E-2</v>
      </c>
      <c r="Q411" s="6">
        <f t="shared" si="109"/>
        <v>6.6000000000000003E-2</v>
      </c>
      <c r="R411" s="6">
        <v>10</v>
      </c>
      <c r="S411" s="6" t="str">
        <f t="shared" si="110"/>
        <v>OK</v>
      </c>
      <c r="T411" s="4">
        <f t="shared" si="111"/>
        <v>44960</v>
      </c>
      <c r="U411" s="11">
        <f t="shared" si="112"/>
        <v>15</v>
      </c>
      <c r="V411" s="6">
        <f t="shared" si="113"/>
        <v>19628.476999999999</v>
      </c>
      <c r="W411" s="6">
        <f t="shared" si="114"/>
        <v>8730.5999999999985</v>
      </c>
      <c r="X411" s="6">
        <f t="shared" si="115"/>
        <v>10897.877</v>
      </c>
      <c r="Y411" s="6">
        <f t="shared" si="116"/>
        <v>0.55520746719167269</v>
      </c>
      <c r="Z411" s="4" t="str">
        <f t="shared" si="117"/>
        <v>Q1-2023</v>
      </c>
      <c r="AA411" t="str">
        <f t="shared" si="118"/>
        <v>Accessories</v>
      </c>
      <c r="AB411" t="str">
        <f t="shared" si="119"/>
        <v>Accessories</v>
      </c>
      <c r="AC411" t="str">
        <f t="shared" si="120"/>
        <v>Compliant</v>
      </c>
      <c r="AD411" t="str">
        <f t="shared" si="121"/>
        <v>Late</v>
      </c>
      <c r="AE411" s="8">
        <f>MIN(Q411,Scenario!$B$2)</f>
        <v>6.6000000000000003E-2</v>
      </c>
      <c r="AF411" s="33">
        <f>L411*(1+Scenario!$B$3)</f>
        <v>1004.0189999999999</v>
      </c>
      <c r="AG411" s="6">
        <f>R411*(1+Scenario!$B$4)</f>
        <v>12</v>
      </c>
      <c r="AH411" s="33">
        <f t="shared" si="123"/>
        <v>23554.172399999999</v>
      </c>
      <c r="AI411" s="33">
        <f t="shared" si="124"/>
        <v>12048.227999999999</v>
      </c>
      <c r="AJ411" s="33">
        <f t="shared" si="125"/>
        <v>11505.9444</v>
      </c>
    </row>
    <row r="412" spans="1:36" hidden="1" x14ac:dyDescent="0.25">
      <c r="A412" s="12" t="s">
        <v>645</v>
      </c>
      <c r="B412" s="27">
        <v>45716</v>
      </c>
      <c r="C412" s="4">
        <v>45726</v>
      </c>
      <c r="D412" s="12" t="s">
        <v>647</v>
      </c>
      <c r="E412" s="12" t="s">
        <v>652</v>
      </c>
      <c r="F412" s="12" t="s">
        <v>666</v>
      </c>
      <c r="G412" s="12" t="s">
        <v>702</v>
      </c>
      <c r="H412" s="12" t="s">
        <v>710</v>
      </c>
      <c r="I412" s="12" t="s">
        <v>725</v>
      </c>
      <c r="J412" s="12" t="s">
        <v>731</v>
      </c>
      <c r="K412" s="12" t="s">
        <v>1363</v>
      </c>
      <c r="L412" s="6">
        <v>51.86</v>
      </c>
      <c r="M412" s="6">
        <v>45.98</v>
      </c>
      <c r="N412" s="6">
        <f t="shared" si="108"/>
        <v>45.98</v>
      </c>
      <c r="O412" s="6" t="str">
        <f t="shared" si="122"/>
        <v>Low</v>
      </c>
      <c r="P412" s="6">
        <v>0.17299999999999999</v>
      </c>
      <c r="Q412" s="6">
        <f t="shared" si="109"/>
        <v>0.17299999999999999</v>
      </c>
      <c r="R412" s="6">
        <v>7</v>
      </c>
      <c r="S412" s="6" t="str">
        <f t="shared" si="110"/>
        <v>OK</v>
      </c>
      <c r="T412" s="4">
        <f t="shared" si="111"/>
        <v>45726</v>
      </c>
      <c r="U412" s="11">
        <f t="shared" si="112"/>
        <v>10</v>
      </c>
      <c r="V412" s="6">
        <f t="shared" si="113"/>
        <v>266.17821999999995</v>
      </c>
      <c r="W412" s="6">
        <f t="shared" si="114"/>
        <v>363.02</v>
      </c>
      <c r="X412" s="6">
        <f t="shared" si="115"/>
        <v>-96.841780000000028</v>
      </c>
      <c r="Y412" s="6">
        <f t="shared" si="116"/>
        <v>-0.3638230806412337</v>
      </c>
      <c r="Z412" s="4" t="str">
        <f t="shared" si="117"/>
        <v>Q1-2025</v>
      </c>
      <c r="AA412" t="str">
        <f t="shared" si="118"/>
        <v>Laptops</v>
      </c>
      <c r="AB412" t="str">
        <f t="shared" si="119"/>
        <v>Laptops</v>
      </c>
      <c r="AC412" t="str">
        <f t="shared" si="120"/>
        <v>Compliant</v>
      </c>
      <c r="AD412" t="str">
        <f t="shared" si="121"/>
        <v>Late</v>
      </c>
      <c r="AE412" s="8">
        <f>MIN(Q412,Scenario!$B$2)</f>
        <v>0.17299999999999999</v>
      </c>
      <c r="AF412" s="33">
        <f>L412*(1+Scenario!$B$3)</f>
        <v>59.638999999999996</v>
      </c>
      <c r="AG412" s="6">
        <f>R412*(1+Scenario!$B$4)</f>
        <v>8.4</v>
      </c>
      <c r="AH412" s="33">
        <f t="shared" si="123"/>
        <v>319.41386399999993</v>
      </c>
      <c r="AI412" s="33">
        <f t="shared" si="124"/>
        <v>500.9676</v>
      </c>
      <c r="AJ412" s="33">
        <f t="shared" si="125"/>
        <v>-181.55373600000007</v>
      </c>
    </row>
    <row r="413" spans="1:36" hidden="1" x14ac:dyDescent="0.25">
      <c r="A413" s="12" t="s">
        <v>540</v>
      </c>
      <c r="B413" s="27">
        <v>45695</v>
      </c>
      <c r="C413" s="4">
        <v>45704</v>
      </c>
      <c r="D413" s="12" t="s">
        <v>646</v>
      </c>
      <c r="E413" s="12" t="s">
        <v>651</v>
      </c>
      <c r="F413" s="12" t="s">
        <v>665</v>
      </c>
      <c r="G413" s="12" t="s">
        <v>705</v>
      </c>
      <c r="H413" s="12" t="s">
        <v>710</v>
      </c>
      <c r="I413" s="12" t="s">
        <v>712</v>
      </c>
      <c r="J413" s="12" t="s">
        <v>728</v>
      </c>
      <c r="K413" s="12" t="s">
        <v>1259</v>
      </c>
      <c r="L413" s="6">
        <v>90.68</v>
      </c>
      <c r="M413" s="6">
        <v>118.17</v>
      </c>
      <c r="N413" s="6">
        <f t="shared" si="108"/>
        <v>118.17</v>
      </c>
      <c r="O413" s="6" t="str">
        <f t="shared" si="122"/>
        <v>Low</v>
      </c>
      <c r="P413" s="6">
        <v>0.13500000000000001</v>
      </c>
      <c r="Q413" s="6">
        <f t="shared" si="109"/>
        <v>0.13500000000000001</v>
      </c>
      <c r="R413" s="6">
        <v>21</v>
      </c>
      <c r="S413" s="6" t="str">
        <f t="shared" si="110"/>
        <v>OK</v>
      </c>
      <c r="T413" s="4">
        <f t="shared" si="111"/>
        <v>45704</v>
      </c>
      <c r="U413" s="11">
        <f t="shared" si="112"/>
        <v>9</v>
      </c>
      <c r="V413" s="6">
        <f t="shared" si="113"/>
        <v>2146.5580500000001</v>
      </c>
      <c r="W413" s="6">
        <f t="shared" si="114"/>
        <v>1904.2800000000002</v>
      </c>
      <c r="X413" s="6">
        <f t="shared" si="115"/>
        <v>242.27804999999989</v>
      </c>
      <c r="Y413" s="6">
        <f t="shared" si="116"/>
        <v>0.11286815653552899</v>
      </c>
      <c r="Z413" s="4" t="str">
        <f t="shared" si="117"/>
        <v>Q1-2025</v>
      </c>
      <c r="AA413" t="str">
        <f t="shared" si="118"/>
        <v>Printers</v>
      </c>
      <c r="AB413" t="str">
        <f t="shared" si="119"/>
        <v>Printers</v>
      </c>
      <c r="AC413" t="str">
        <f t="shared" si="120"/>
        <v>Compliant</v>
      </c>
      <c r="AD413" t="str">
        <f t="shared" si="121"/>
        <v>Late</v>
      </c>
      <c r="AE413" s="8">
        <f>MIN(Q413,Scenario!$B$2)</f>
        <v>0.13500000000000001</v>
      </c>
      <c r="AF413" s="33">
        <f>L413*(1+Scenario!$B$3)</f>
        <v>104.282</v>
      </c>
      <c r="AG413" s="6">
        <f>R413*(1+Scenario!$B$4)</f>
        <v>25.2</v>
      </c>
      <c r="AH413" s="33">
        <f t="shared" si="123"/>
        <v>2575.8696599999998</v>
      </c>
      <c r="AI413" s="33">
        <f t="shared" si="124"/>
        <v>2627.9063999999998</v>
      </c>
      <c r="AJ413" s="33">
        <f t="shared" si="125"/>
        <v>-52.036740000000009</v>
      </c>
    </row>
    <row r="414" spans="1:36" hidden="1" x14ac:dyDescent="0.25">
      <c r="A414" s="12" t="s">
        <v>285</v>
      </c>
      <c r="B414" s="27">
        <v>45707</v>
      </c>
      <c r="C414" s="4">
        <v>45725</v>
      </c>
      <c r="D414" s="12" t="s">
        <v>647</v>
      </c>
      <c r="E414" s="12" t="s">
        <v>654</v>
      </c>
      <c r="F414" s="12" t="s">
        <v>680</v>
      </c>
      <c r="G414" s="12" t="s">
        <v>705</v>
      </c>
      <c r="H414" s="12" t="s">
        <v>711</v>
      </c>
      <c r="I414" s="12" t="s">
        <v>719</v>
      </c>
      <c r="J414" s="12" t="s">
        <v>732</v>
      </c>
      <c r="K414" s="12" t="s">
        <v>1005</v>
      </c>
      <c r="L414" s="6">
        <v>325.87</v>
      </c>
      <c r="M414" s="6">
        <v>538.79</v>
      </c>
      <c r="N414" s="6">
        <f t="shared" si="108"/>
        <v>538.79</v>
      </c>
      <c r="O414" s="6" t="str">
        <f t="shared" si="122"/>
        <v>Low</v>
      </c>
      <c r="P414" s="6">
        <v>0.17399999999999999</v>
      </c>
      <c r="Q414" s="6">
        <f t="shared" si="109"/>
        <v>0.17399999999999999</v>
      </c>
      <c r="R414" s="6">
        <v>16</v>
      </c>
      <c r="S414" s="6" t="str">
        <f t="shared" si="110"/>
        <v>OK</v>
      </c>
      <c r="T414" s="4">
        <f t="shared" si="111"/>
        <v>45725</v>
      </c>
      <c r="U414" s="11">
        <f t="shared" si="112"/>
        <v>18</v>
      </c>
      <c r="V414" s="6">
        <f t="shared" si="113"/>
        <v>7120.6486400000003</v>
      </c>
      <c r="W414" s="6">
        <f t="shared" si="114"/>
        <v>5213.92</v>
      </c>
      <c r="X414" s="6">
        <f t="shared" si="115"/>
        <v>1906.7286400000003</v>
      </c>
      <c r="Y414" s="6">
        <f t="shared" si="116"/>
        <v>0.26777457172778013</v>
      </c>
      <c r="Z414" s="4" t="str">
        <f t="shared" si="117"/>
        <v>Q1-2025</v>
      </c>
      <c r="AA414" t="str">
        <f t="shared" si="118"/>
        <v>Monitors</v>
      </c>
      <c r="AB414" t="str">
        <f t="shared" si="119"/>
        <v>Monitors</v>
      </c>
      <c r="AC414" t="str">
        <f t="shared" si="120"/>
        <v>Compliant</v>
      </c>
      <c r="AD414" t="str">
        <f t="shared" si="121"/>
        <v>Late</v>
      </c>
      <c r="AE414" s="8">
        <f>MIN(Q414,Scenario!$B$2)</f>
        <v>0.17399999999999999</v>
      </c>
      <c r="AF414" s="33">
        <f>L414*(1+Scenario!$B$3)</f>
        <v>374.75049999999999</v>
      </c>
      <c r="AG414" s="6">
        <f>R414*(1+Scenario!$B$4)</f>
        <v>19.2</v>
      </c>
      <c r="AH414" s="33">
        <f t="shared" si="123"/>
        <v>8544.7783679999993</v>
      </c>
      <c r="AI414" s="33">
        <f t="shared" si="124"/>
        <v>7195.2095999999992</v>
      </c>
      <c r="AJ414" s="33">
        <f t="shared" si="125"/>
        <v>1349.5687680000001</v>
      </c>
    </row>
    <row r="415" spans="1:36" x14ac:dyDescent="0.25">
      <c r="A415" s="12" t="s">
        <v>578</v>
      </c>
      <c r="B415" s="27">
        <v>45692</v>
      </c>
      <c r="C415" s="4">
        <v>45696</v>
      </c>
      <c r="D415" s="12" t="s">
        <v>649</v>
      </c>
      <c r="E415" s="12" t="s">
        <v>658</v>
      </c>
      <c r="F415" s="12" t="s">
        <v>693</v>
      </c>
      <c r="G415" s="12" t="s">
        <v>706</v>
      </c>
      <c r="H415" s="12" t="s">
        <v>709</v>
      </c>
      <c r="I415" s="12" t="s">
        <v>716</v>
      </c>
      <c r="J415" s="12" t="s">
        <v>729</v>
      </c>
      <c r="K415" s="12" t="s">
        <v>1296</v>
      </c>
      <c r="L415" s="6">
        <v>586.21</v>
      </c>
      <c r="M415" s="6">
        <v>727.22</v>
      </c>
      <c r="N415" s="6">
        <f t="shared" si="108"/>
        <v>727.22</v>
      </c>
      <c r="O415" s="6" t="str">
        <f t="shared" si="122"/>
        <v>Middle</v>
      </c>
      <c r="P415" s="6">
        <v>6.8000000000000005E-2</v>
      </c>
      <c r="Q415" s="6">
        <f t="shared" si="109"/>
        <v>6.8000000000000005E-2</v>
      </c>
      <c r="R415" s="6">
        <v>15</v>
      </c>
      <c r="S415" s="6" t="str">
        <f t="shared" si="110"/>
        <v>OK</v>
      </c>
      <c r="T415" s="4">
        <f t="shared" si="111"/>
        <v>45696</v>
      </c>
      <c r="U415" s="11">
        <f t="shared" si="112"/>
        <v>4</v>
      </c>
      <c r="V415" s="6">
        <f t="shared" si="113"/>
        <v>10166.535600000001</v>
      </c>
      <c r="W415" s="6">
        <f t="shared" si="114"/>
        <v>8793.1500000000015</v>
      </c>
      <c r="X415" s="6">
        <f t="shared" si="115"/>
        <v>1373.3855999999996</v>
      </c>
      <c r="Y415" s="6">
        <f t="shared" si="116"/>
        <v>0.13508884973559721</v>
      </c>
      <c r="Z415" s="4" t="str">
        <f t="shared" si="117"/>
        <v>Q1-2025</v>
      </c>
      <c r="AA415" t="str">
        <f t="shared" si="118"/>
        <v>Networking</v>
      </c>
      <c r="AB415" t="str">
        <f t="shared" si="119"/>
        <v>Networking</v>
      </c>
      <c r="AC415" t="str">
        <f t="shared" si="120"/>
        <v>Compliant</v>
      </c>
      <c r="AD415" t="str">
        <f t="shared" si="121"/>
        <v>On-time</v>
      </c>
      <c r="AE415" s="8">
        <f>MIN(Q415,Scenario!$B$2)</f>
        <v>6.8000000000000005E-2</v>
      </c>
      <c r="AF415" s="33">
        <f>L415*(1+Scenario!$B$3)</f>
        <v>674.14149999999995</v>
      </c>
      <c r="AG415" s="6">
        <f>R415*(1+Scenario!$B$4)</f>
        <v>18</v>
      </c>
      <c r="AH415" s="33">
        <f t="shared" si="123"/>
        <v>12199.842720000001</v>
      </c>
      <c r="AI415" s="33">
        <f t="shared" si="124"/>
        <v>12134.546999999999</v>
      </c>
      <c r="AJ415" s="33">
        <f t="shared" si="125"/>
        <v>65.295720000001893</v>
      </c>
    </row>
    <row r="416" spans="1:36" x14ac:dyDescent="0.25">
      <c r="A416" s="12" t="s">
        <v>567</v>
      </c>
      <c r="B416" s="27">
        <v>45704</v>
      </c>
      <c r="C416" s="4">
        <v>45733</v>
      </c>
      <c r="D416" s="12" t="s">
        <v>649</v>
      </c>
      <c r="E416" s="12" t="s">
        <v>656</v>
      </c>
      <c r="F416" s="12" t="s">
        <v>684</v>
      </c>
      <c r="G416" s="12" t="s">
        <v>704</v>
      </c>
      <c r="H416" s="12" t="s">
        <v>707</v>
      </c>
      <c r="I416" s="12" t="s">
        <v>716</v>
      </c>
      <c r="J416" s="12" t="s">
        <v>733</v>
      </c>
      <c r="K416" s="12" t="s">
        <v>1285</v>
      </c>
      <c r="L416" s="6">
        <v>730.42</v>
      </c>
      <c r="M416" s="6">
        <v>956.7</v>
      </c>
      <c r="N416" s="6">
        <f t="shared" si="108"/>
        <v>956.7</v>
      </c>
      <c r="O416" s="6" t="str">
        <f t="shared" si="122"/>
        <v>Middle</v>
      </c>
      <c r="P416" s="6">
        <v>4.2000000000000003E-2</v>
      </c>
      <c r="Q416" s="6">
        <f t="shared" si="109"/>
        <v>4.2000000000000003E-2</v>
      </c>
      <c r="R416" s="6">
        <v>22</v>
      </c>
      <c r="S416" s="6" t="str">
        <f t="shared" si="110"/>
        <v>OK</v>
      </c>
      <c r="T416" s="4">
        <f t="shared" si="111"/>
        <v>45733</v>
      </c>
      <c r="U416" s="11">
        <f t="shared" si="112"/>
        <v>29</v>
      </c>
      <c r="V416" s="6">
        <f t="shared" si="113"/>
        <v>20163.409200000002</v>
      </c>
      <c r="W416" s="6">
        <f t="shared" si="114"/>
        <v>16069.24</v>
      </c>
      <c r="X416" s="6">
        <f t="shared" si="115"/>
        <v>4094.1692000000021</v>
      </c>
      <c r="Y416" s="6">
        <f t="shared" si="116"/>
        <v>0.20304945256975698</v>
      </c>
      <c r="Z416" s="4" t="str">
        <f t="shared" si="117"/>
        <v>Q1-2025</v>
      </c>
      <c r="AA416" t="str">
        <f t="shared" si="118"/>
        <v>Accessories</v>
      </c>
      <c r="AB416" t="str">
        <f t="shared" si="119"/>
        <v>Accessories</v>
      </c>
      <c r="AC416" t="str">
        <f t="shared" si="120"/>
        <v>Compliant</v>
      </c>
      <c r="AD416" t="str">
        <f t="shared" si="121"/>
        <v>Late</v>
      </c>
      <c r="AE416" s="8">
        <f>MIN(Q416,Scenario!$B$2)</f>
        <v>4.2000000000000003E-2</v>
      </c>
      <c r="AF416" s="33">
        <f>L416*(1+Scenario!$B$3)</f>
        <v>839.98299999999983</v>
      </c>
      <c r="AG416" s="6">
        <f>R416*(1+Scenario!$B$4)</f>
        <v>26.4</v>
      </c>
      <c r="AH416" s="33">
        <f t="shared" si="123"/>
        <v>24196.091039999999</v>
      </c>
      <c r="AI416" s="33">
        <f t="shared" si="124"/>
        <v>22175.551199999994</v>
      </c>
      <c r="AJ416" s="33">
        <f t="shared" si="125"/>
        <v>2020.5398400000049</v>
      </c>
    </row>
    <row r="417" spans="1:36" hidden="1" x14ac:dyDescent="0.25">
      <c r="A417" s="12" t="s">
        <v>145</v>
      </c>
      <c r="B417" s="27">
        <v>45700</v>
      </c>
      <c r="C417" s="4">
        <v>45716</v>
      </c>
      <c r="D417" s="12" t="s">
        <v>648</v>
      </c>
      <c r="E417" s="12" t="s">
        <v>655</v>
      </c>
      <c r="F417" s="12" t="s">
        <v>670</v>
      </c>
      <c r="G417" s="12" t="s">
        <v>703</v>
      </c>
      <c r="H417" s="12" t="s">
        <v>711</v>
      </c>
      <c r="I417" s="12" t="s">
        <v>717</v>
      </c>
      <c r="J417" s="12" t="s">
        <v>732</v>
      </c>
      <c r="K417" s="12" t="s">
        <v>864</v>
      </c>
      <c r="L417" s="6">
        <v>414.95</v>
      </c>
      <c r="M417" s="6">
        <v>1027.73</v>
      </c>
      <c r="N417" s="6">
        <f t="shared" si="108"/>
        <v>1027.73</v>
      </c>
      <c r="O417" s="6" t="str">
        <f t="shared" si="122"/>
        <v>Middle</v>
      </c>
      <c r="P417" s="6">
        <v>6.3E-2</v>
      </c>
      <c r="Q417" s="6">
        <f t="shared" si="109"/>
        <v>6.3E-2</v>
      </c>
      <c r="R417" s="6">
        <v>8</v>
      </c>
      <c r="S417" s="6" t="str">
        <f t="shared" si="110"/>
        <v>OK</v>
      </c>
      <c r="T417" s="4">
        <f t="shared" si="111"/>
        <v>45716</v>
      </c>
      <c r="U417" s="11">
        <f t="shared" si="112"/>
        <v>16</v>
      </c>
      <c r="V417" s="6">
        <f t="shared" si="113"/>
        <v>7703.8640800000003</v>
      </c>
      <c r="W417" s="6">
        <f t="shared" si="114"/>
        <v>3319.6</v>
      </c>
      <c r="X417" s="6">
        <f t="shared" si="115"/>
        <v>4384.2640800000008</v>
      </c>
      <c r="Y417" s="6">
        <f t="shared" si="116"/>
        <v>0.56909935513815568</v>
      </c>
      <c r="Z417" s="4" t="str">
        <f t="shared" si="117"/>
        <v>Q1-2025</v>
      </c>
      <c r="AA417" t="str">
        <f t="shared" si="118"/>
        <v>Monitors</v>
      </c>
      <c r="AB417" t="str">
        <f t="shared" si="119"/>
        <v>Monitors</v>
      </c>
      <c r="AC417" t="str">
        <f t="shared" si="120"/>
        <v>Compliant</v>
      </c>
      <c r="AD417" t="str">
        <f t="shared" si="121"/>
        <v>Late</v>
      </c>
      <c r="AE417" s="8">
        <f>MIN(Q417,Scenario!$B$2)</f>
        <v>6.3E-2</v>
      </c>
      <c r="AF417" s="33">
        <f>L417*(1+Scenario!$B$3)</f>
        <v>477.19249999999994</v>
      </c>
      <c r="AG417" s="6">
        <f>R417*(1+Scenario!$B$4)</f>
        <v>9.6</v>
      </c>
      <c r="AH417" s="33">
        <f t="shared" si="123"/>
        <v>9244.6368960000018</v>
      </c>
      <c r="AI417" s="33">
        <f t="shared" si="124"/>
        <v>4581.0479999999989</v>
      </c>
      <c r="AJ417" s="33">
        <f t="shared" si="125"/>
        <v>4663.5888960000029</v>
      </c>
    </row>
    <row r="418" spans="1:36" hidden="1" x14ac:dyDescent="0.25">
      <c r="A418" s="12" t="s">
        <v>421</v>
      </c>
      <c r="B418" s="27">
        <v>45709</v>
      </c>
      <c r="C418" s="4">
        <v>45737</v>
      </c>
      <c r="D418" s="12" t="s">
        <v>646</v>
      </c>
      <c r="E418" s="12" t="s">
        <v>651</v>
      </c>
      <c r="F418" s="12" t="s">
        <v>669</v>
      </c>
      <c r="G418" s="12" t="s">
        <v>706</v>
      </c>
      <c r="H418" s="12" t="s">
        <v>709</v>
      </c>
      <c r="I418" s="12" t="s">
        <v>714</v>
      </c>
      <c r="J418" s="12" t="s">
        <v>730</v>
      </c>
      <c r="K418" s="12" t="s">
        <v>1140</v>
      </c>
      <c r="L418" s="6">
        <v>1437.39</v>
      </c>
      <c r="M418" s="6">
        <v>1388.31</v>
      </c>
      <c r="N418" s="6">
        <f t="shared" si="108"/>
        <v>1388.31</v>
      </c>
      <c r="O418" s="6" t="str">
        <f t="shared" si="122"/>
        <v>High</v>
      </c>
      <c r="P418" s="6">
        <v>0.13800000000000001</v>
      </c>
      <c r="Q418" s="6">
        <f t="shared" si="109"/>
        <v>0.13800000000000001</v>
      </c>
      <c r="R418" s="6">
        <v>18</v>
      </c>
      <c r="S418" s="6" t="str">
        <f t="shared" si="110"/>
        <v>OK</v>
      </c>
      <c r="T418" s="4">
        <f t="shared" si="111"/>
        <v>45737</v>
      </c>
      <c r="U418" s="11">
        <f t="shared" si="112"/>
        <v>28</v>
      </c>
      <c r="V418" s="6">
        <f t="shared" si="113"/>
        <v>21541.017959999997</v>
      </c>
      <c r="W418" s="6">
        <f t="shared" si="114"/>
        <v>25873.02</v>
      </c>
      <c r="X418" s="6">
        <f t="shared" si="115"/>
        <v>-4332.002040000003</v>
      </c>
      <c r="Y418" s="6">
        <f t="shared" si="116"/>
        <v>-0.20110479681341872</v>
      </c>
      <c r="Z418" s="4" t="str">
        <f t="shared" si="117"/>
        <v>Q1-2025</v>
      </c>
      <c r="AA418" t="str">
        <f t="shared" si="118"/>
        <v>Phones</v>
      </c>
      <c r="AB418" t="str">
        <f t="shared" si="119"/>
        <v>Phones</v>
      </c>
      <c r="AC418" t="str">
        <f t="shared" si="120"/>
        <v>Compliant</v>
      </c>
      <c r="AD418" t="str">
        <f t="shared" si="121"/>
        <v>Late</v>
      </c>
      <c r="AE418" s="8">
        <f>MIN(Q418,Scenario!$B$2)</f>
        <v>0.13800000000000001</v>
      </c>
      <c r="AF418" s="33">
        <f>L418*(1+Scenario!$B$3)</f>
        <v>1652.9984999999999</v>
      </c>
      <c r="AG418" s="6">
        <f>R418*(1+Scenario!$B$4)</f>
        <v>21.599999999999998</v>
      </c>
      <c r="AH418" s="33">
        <f t="shared" si="123"/>
        <v>25849.221551999995</v>
      </c>
      <c r="AI418" s="33">
        <f t="shared" si="124"/>
        <v>35704.767599999992</v>
      </c>
      <c r="AJ418" s="33">
        <f t="shared" si="125"/>
        <v>-9855.5460479999965</v>
      </c>
    </row>
    <row r="419" spans="1:36" hidden="1" x14ac:dyDescent="0.25">
      <c r="A419" s="12" t="s">
        <v>568</v>
      </c>
      <c r="B419" s="27">
        <v>45703</v>
      </c>
      <c r="C419" s="4">
        <v>45717</v>
      </c>
      <c r="D419" s="12" t="s">
        <v>646</v>
      </c>
      <c r="E419" s="12" t="s">
        <v>650</v>
      </c>
      <c r="F419" s="12" t="s">
        <v>675</v>
      </c>
      <c r="G419" s="12" t="s">
        <v>702</v>
      </c>
      <c r="H419" s="12" t="s">
        <v>711</v>
      </c>
      <c r="I419" s="12" t="s">
        <v>716</v>
      </c>
      <c r="J419" s="12" t="s">
        <v>733</v>
      </c>
      <c r="K419" s="12" t="s">
        <v>1286</v>
      </c>
      <c r="L419" s="6">
        <v>1162.8599999999999</v>
      </c>
      <c r="M419" s="6">
        <v>1447.68</v>
      </c>
      <c r="N419" s="6">
        <f t="shared" si="108"/>
        <v>1447.68</v>
      </c>
      <c r="O419" s="6" t="str">
        <f t="shared" si="122"/>
        <v>High</v>
      </c>
      <c r="P419" s="6">
        <v>8.6999999999999994E-2</v>
      </c>
      <c r="Q419" s="6">
        <f t="shared" si="109"/>
        <v>8.6999999999999994E-2</v>
      </c>
      <c r="R419" s="6">
        <v>12</v>
      </c>
      <c r="S419" s="6" t="str">
        <f t="shared" si="110"/>
        <v>OK</v>
      </c>
      <c r="T419" s="4">
        <f t="shared" si="111"/>
        <v>45717</v>
      </c>
      <c r="U419" s="11">
        <f t="shared" si="112"/>
        <v>14</v>
      </c>
      <c r="V419" s="6">
        <f t="shared" si="113"/>
        <v>15860.782080000001</v>
      </c>
      <c r="W419" s="6">
        <f t="shared" si="114"/>
        <v>13954.32</v>
      </c>
      <c r="X419" s="6">
        <f t="shared" si="115"/>
        <v>1906.4620800000012</v>
      </c>
      <c r="Y419" s="6">
        <f t="shared" si="116"/>
        <v>0.12019975247021369</v>
      </c>
      <c r="Z419" s="4" t="str">
        <f t="shared" si="117"/>
        <v>Q1-2025</v>
      </c>
      <c r="AA419" t="str">
        <f t="shared" si="118"/>
        <v>Accessories</v>
      </c>
      <c r="AB419" t="str">
        <f t="shared" si="119"/>
        <v>Accessories</v>
      </c>
      <c r="AC419" t="str">
        <f t="shared" si="120"/>
        <v>Compliant</v>
      </c>
      <c r="AD419" t="str">
        <f t="shared" si="121"/>
        <v>Late</v>
      </c>
      <c r="AE419" s="8">
        <f>MIN(Q419,Scenario!$B$2)</f>
        <v>8.6999999999999994E-2</v>
      </c>
      <c r="AF419" s="33">
        <f>L419*(1+Scenario!$B$3)</f>
        <v>1337.2889999999998</v>
      </c>
      <c r="AG419" s="6">
        <f>R419*(1+Scenario!$B$4)</f>
        <v>14.399999999999999</v>
      </c>
      <c r="AH419" s="33">
        <f t="shared" si="123"/>
        <v>19032.938496000002</v>
      </c>
      <c r="AI419" s="33">
        <f t="shared" si="124"/>
        <v>19256.961599999995</v>
      </c>
      <c r="AJ419" s="33">
        <f t="shared" si="125"/>
        <v>-224.0231039999926</v>
      </c>
    </row>
    <row r="420" spans="1:36" hidden="1" x14ac:dyDescent="0.25">
      <c r="A420" s="12" t="s">
        <v>435</v>
      </c>
      <c r="B420" s="27">
        <v>45713</v>
      </c>
      <c r="C420" s="4">
        <v>45733</v>
      </c>
      <c r="D420" s="12" t="s">
        <v>648</v>
      </c>
      <c r="E420" s="12" t="s">
        <v>660</v>
      </c>
      <c r="F420" s="12" t="s">
        <v>686</v>
      </c>
      <c r="G420" s="12" t="s">
        <v>703</v>
      </c>
      <c r="H420" s="12" t="s">
        <v>709</v>
      </c>
      <c r="I420" s="12" t="s">
        <v>722</v>
      </c>
      <c r="J420" s="12" t="s">
        <v>730</v>
      </c>
      <c r="K420" s="12" t="s">
        <v>1154</v>
      </c>
      <c r="L420" s="6">
        <v>1205.26</v>
      </c>
      <c r="M420" s="6">
        <v>1696.35</v>
      </c>
      <c r="N420" s="6">
        <f t="shared" si="108"/>
        <v>1696.35</v>
      </c>
      <c r="O420" s="6" t="str">
        <f t="shared" si="122"/>
        <v>High</v>
      </c>
      <c r="P420" s="6">
        <v>1.9E-2</v>
      </c>
      <c r="Q420" s="6">
        <f t="shared" si="109"/>
        <v>1.9E-2</v>
      </c>
      <c r="R420" s="6">
        <v>6</v>
      </c>
      <c r="S420" s="6" t="str">
        <f t="shared" si="110"/>
        <v>OK</v>
      </c>
      <c r="T420" s="4">
        <f t="shared" si="111"/>
        <v>45733</v>
      </c>
      <c r="U420" s="11">
        <f t="shared" si="112"/>
        <v>20</v>
      </c>
      <c r="V420" s="6">
        <f t="shared" si="113"/>
        <v>9984.7160999999978</v>
      </c>
      <c r="W420" s="6">
        <f t="shared" si="114"/>
        <v>7231.5599999999995</v>
      </c>
      <c r="X420" s="6">
        <f t="shared" si="115"/>
        <v>2753.1560999999983</v>
      </c>
      <c r="Y420" s="6">
        <f t="shared" si="116"/>
        <v>0.27573704374028213</v>
      </c>
      <c r="Z420" s="4" t="str">
        <f t="shared" si="117"/>
        <v>Q1-2025</v>
      </c>
      <c r="AA420" t="str">
        <f t="shared" si="118"/>
        <v>Phones</v>
      </c>
      <c r="AB420" t="str">
        <f t="shared" si="119"/>
        <v>Phones</v>
      </c>
      <c r="AC420" t="str">
        <f t="shared" si="120"/>
        <v>Compliant</v>
      </c>
      <c r="AD420" t="str">
        <f t="shared" si="121"/>
        <v>Late</v>
      </c>
      <c r="AE420" s="8">
        <f>MIN(Q420,Scenario!$B$2)</f>
        <v>1.9E-2</v>
      </c>
      <c r="AF420" s="33">
        <f>L420*(1+Scenario!$B$3)</f>
        <v>1386.049</v>
      </c>
      <c r="AG420" s="6">
        <f>R420*(1+Scenario!$B$4)</f>
        <v>7.1999999999999993</v>
      </c>
      <c r="AH420" s="33">
        <f t="shared" si="123"/>
        <v>11981.659319999997</v>
      </c>
      <c r="AI420" s="33">
        <f t="shared" si="124"/>
        <v>9979.5527999999995</v>
      </c>
      <c r="AJ420" s="33">
        <f t="shared" si="125"/>
        <v>2002.1065199999975</v>
      </c>
    </row>
    <row r="421" spans="1:36" hidden="1" x14ac:dyDescent="0.25">
      <c r="A421" s="12" t="s">
        <v>610</v>
      </c>
      <c r="B421" s="27">
        <v>45705</v>
      </c>
      <c r="C421" s="4">
        <v>45703</v>
      </c>
      <c r="D421" s="12" t="s">
        <v>648</v>
      </c>
      <c r="E421" s="12" t="s">
        <v>653</v>
      </c>
      <c r="F421" s="12" t="s">
        <v>667</v>
      </c>
      <c r="G421" s="12" t="s">
        <v>705</v>
      </c>
      <c r="H421" s="12" t="s">
        <v>707</v>
      </c>
      <c r="I421" s="12" t="s">
        <v>726</v>
      </c>
      <c r="J421" s="12" t="s">
        <v>727</v>
      </c>
      <c r="K421" s="12" t="s">
        <v>1328</v>
      </c>
      <c r="L421" s="6">
        <v>1133.47</v>
      </c>
      <c r="M421" s="6">
        <v>1698.75</v>
      </c>
      <c r="N421" s="6">
        <f t="shared" si="108"/>
        <v>1698.75</v>
      </c>
      <c r="O421" s="6" t="str">
        <f t="shared" si="122"/>
        <v>High</v>
      </c>
      <c r="P421" s="6">
        <v>4.2999999999999997E-2</v>
      </c>
      <c r="Q421" s="6">
        <f t="shared" si="109"/>
        <v>4.2999999999999997E-2</v>
      </c>
      <c r="R421" s="6">
        <v>5</v>
      </c>
      <c r="S421" s="6" t="str">
        <f t="shared" si="110"/>
        <v>Correct</v>
      </c>
      <c r="T421" s="4">
        <f t="shared" si="111"/>
        <v>45712</v>
      </c>
      <c r="U421" s="11">
        <f t="shared" si="112"/>
        <v>7</v>
      </c>
      <c r="V421" s="6">
        <f t="shared" si="113"/>
        <v>8128.5187499999993</v>
      </c>
      <c r="W421" s="6">
        <f t="shared" si="114"/>
        <v>5667.35</v>
      </c>
      <c r="X421" s="6">
        <f t="shared" si="115"/>
        <v>2461.1687499999989</v>
      </c>
      <c r="Y421" s="6">
        <f t="shared" si="116"/>
        <v>0.30278194904821976</v>
      </c>
      <c r="Z421" s="4" t="str">
        <f t="shared" si="117"/>
        <v>Q1-2025</v>
      </c>
      <c r="AA421" t="str">
        <f t="shared" si="118"/>
        <v>Components</v>
      </c>
      <c r="AB421" t="str">
        <f t="shared" si="119"/>
        <v>Components</v>
      </c>
      <c r="AC421" t="str">
        <f t="shared" si="120"/>
        <v>Compliant</v>
      </c>
      <c r="AD421" t="str">
        <f t="shared" si="121"/>
        <v>On-time</v>
      </c>
      <c r="AE421" s="8">
        <f>MIN(Q421,Scenario!$B$2)</f>
        <v>4.2999999999999997E-2</v>
      </c>
      <c r="AF421" s="33">
        <f>L421*(1+Scenario!$B$3)</f>
        <v>1303.4904999999999</v>
      </c>
      <c r="AG421" s="6">
        <f>R421*(1+Scenario!$B$4)</f>
        <v>6</v>
      </c>
      <c r="AH421" s="33">
        <f t="shared" si="123"/>
        <v>9754.2224999999999</v>
      </c>
      <c r="AI421" s="33">
        <f t="shared" si="124"/>
        <v>7820.9429999999993</v>
      </c>
      <c r="AJ421" s="33">
        <f t="shared" si="125"/>
        <v>1933.2795000000006</v>
      </c>
    </row>
    <row r="422" spans="1:36" hidden="1" x14ac:dyDescent="0.25">
      <c r="A422" s="12" t="s">
        <v>393</v>
      </c>
      <c r="B422" s="27">
        <v>45694</v>
      </c>
      <c r="C422" s="4">
        <v>45703</v>
      </c>
      <c r="D422" s="12" t="s">
        <v>648</v>
      </c>
      <c r="E422" s="12" t="s">
        <v>655</v>
      </c>
      <c r="F422" s="12" t="s">
        <v>670</v>
      </c>
      <c r="G422" s="12" t="s">
        <v>703</v>
      </c>
      <c r="H422" s="12" t="s">
        <v>710</v>
      </c>
      <c r="I422" s="12" t="s">
        <v>721</v>
      </c>
      <c r="J422" s="12" t="s">
        <v>729</v>
      </c>
      <c r="K422" s="12" t="s">
        <v>1113</v>
      </c>
      <c r="L422" s="6">
        <v>837.39</v>
      </c>
      <c r="M422" s="6">
        <v>1905.42</v>
      </c>
      <c r="N422" s="6">
        <f t="shared" si="108"/>
        <v>1905.42</v>
      </c>
      <c r="O422" s="6" t="str">
        <f t="shared" si="122"/>
        <v>High</v>
      </c>
      <c r="P422" s="6">
        <v>3.2000000000000001E-2</v>
      </c>
      <c r="Q422" s="6">
        <f t="shared" si="109"/>
        <v>3.2000000000000001E-2</v>
      </c>
      <c r="R422" s="6">
        <v>18</v>
      </c>
      <c r="S422" s="6" t="str">
        <f t="shared" si="110"/>
        <v>OK</v>
      </c>
      <c r="T422" s="4">
        <f t="shared" si="111"/>
        <v>45703</v>
      </c>
      <c r="U422" s="11">
        <f t="shared" si="112"/>
        <v>9</v>
      </c>
      <c r="V422" s="6">
        <f t="shared" si="113"/>
        <v>33200.038079999998</v>
      </c>
      <c r="W422" s="6">
        <f t="shared" si="114"/>
        <v>15073.02</v>
      </c>
      <c r="X422" s="6">
        <f t="shared" si="115"/>
        <v>18127.018079999998</v>
      </c>
      <c r="Y422" s="6">
        <f t="shared" si="116"/>
        <v>0.54599389423350919</v>
      </c>
      <c r="Z422" s="4" t="str">
        <f t="shared" si="117"/>
        <v>Q1-2025</v>
      </c>
      <c r="AA422" t="str">
        <f t="shared" si="118"/>
        <v>Networking</v>
      </c>
      <c r="AB422" t="str">
        <f t="shared" si="119"/>
        <v>Networking</v>
      </c>
      <c r="AC422" t="str">
        <f t="shared" si="120"/>
        <v>Compliant</v>
      </c>
      <c r="AD422" t="str">
        <f t="shared" si="121"/>
        <v>Late</v>
      </c>
      <c r="AE422" s="8">
        <f>MIN(Q422,Scenario!$B$2)</f>
        <v>3.2000000000000001E-2</v>
      </c>
      <c r="AF422" s="33">
        <f>L422*(1+Scenario!$B$3)</f>
        <v>962.99849999999992</v>
      </c>
      <c r="AG422" s="6">
        <f>R422*(1+Scenario!$B$4)</f>
        <v>21.599999999999998</v>
      </c>
      <c r="AH422" s="33">
        <f t="shared" si="123"/>
        <v>39840.045696000001</v>
      </c>
      <c r="AI422" s="33">
        <f t="shared" si="124"/>
        <v>20800.767599999996</v>
      </c>
      <c r="AJ422" s="33">
        <f t="shared" si="125"/>
        <v>19039.278096000005</v>
      </c>
    </row>
    <row r="423" spans="1:36" hidden="1" x14ac:dyDescent="0.25">
      <c r="A423" s="12" t="s">
        <v>197</v>
      </c>
      <c r="B423" s="27">
        <v>45690</v>
      </c>
      <c r="C423" s="4">
        <v>45720</v>
      </c>
      <c r="D423" s="12" t="s">
        <v>647</v>
      </c>
      <c r="E423" s="12" t="s">
        <v>652</v>
      </c>
      <c r="F423" s="12" t="s">
        <v>666</v>
      </c>
      <c r="G423" s="12" t="s">
        <v>702</v>
      </c>
      <c r="H423" s="12" t="s">
        <v>710</v>
      </c>
      <c r="I423" s="12" t="s">
        <v>716</v>
      </c>
      <c r="J423" s="12" t="s">
        <v>733</v>
      </c>
      <c r="K423" s="12" t="s">
        <v>916</v>
      </c>
      <c r="L423" s="6">
        <v>766.59</v>
      </c>
      <c r="M423" s="6">
        <v>1912.8</v>
      </c>
      <c r="N423" s="6">
        <f t="shared" si="108"/>
        <v>1912.8</v>
      </c>
      <c r="O423" s="6" t="str">
        <f t="shared" si="122"/>
        <v>High</v>
      </c>
      <c r="P423" s="6">
        <v>0.19600000000000001</v>
      </c>
      <c r="Q423" s="6">
        <f t="shared" si="109"/>
        <v>0.19600000000000001</v>
      </c>
      <c r="R423" s="6">
        <v>5</v>
      </c>
      <c r="S423" s="6" t="str">
        <f t="shared" si="110"/>
        <v>OK</v>
      </c>
      <c r="T423" s="4">
        <f t="shared" si="111"/>
        <v>45720</v>
      </c>
      <c r="U423" s="11">
        <f t="shared" si="112"/>
        <v>30</v>
      </c>
      <c r="V423" s="6">
        <f t="shared" si="113"/>
        <v>7689.4560000000001</v>
      </c>
      <c r="W423" s="6">
        <f t="shared" si="114"/>
        <v>3832.9500000000003</v>
      </c>
      <c r="X423" s="6">
        <f t="shared" si="115"/>
        <v>3856.5059999999999</v>
      </c>
      <c r="Y423" s="6">
        <f t="shared" si="116"/>
        <v>0.50153170783472845</v>
      </c>
      <c r="Z423" s="4" t="str">
        <f t="shared" si="117"/>
        <v>Q1-2025</v>
      </c>
      <c r="AA423" t="str">
        <f t="shared" si="118"/>
        <v>Accessories</v>
      </c>
      <c r="AB423" t="str">
        <f t="shared" si="119"/>
        <v>Accessories</v>
      </c>
      <c r="AC423" t="str">
        <f t="shared" si="120"/>
        <v>Compliant</v>
      </c>
      <c r="AD423" t="str">
        <f t="shared" si="121"/>
        <v>Late</v>
      </c>
      <c r="AE423" s="8">
        <f>MIN(Q423,Scenario!$B$2)</f>
        <v>0.19600000000000001</v>
      </c>
      <c r="AF423" s="33">
        <f>L423*(1+Scenario!$B$3)</f>
        <v>881.57849999999996</v>
      </c>
      <c r="AG423" s="6">
        <f>R423*(1+Scenario!$B$4)</f>
        <v>6</v>
      </c>
      <c r="AH423" s="33">
        <f t="shared" si="123"/>
        <v>9227.3472000000002</v>
      </c>
      <c r="AI423" s="33">
        <f t="shared" si="124"/>
        <v>5289.4709999999995</v>
      </c>
      <c r="AJ423" s="33">
        <f t="shared" si="125"/>
        <v>3937.8762000000006</v>
      </c>
    </row>
    <row r="424" spans="1:36" x14ac:dyDescent="0.25">
      <c r="A424" s="12" t="s">
        <v>173</v>
      </c>
      <c r="B424" s="27">
        <v>45703</v>
      </c>
      <c r="C424" s="4">
        <v>45703</v>
      </c>
      <c r="D424" s="12" t="s">
        <v>649</v>
      </c>
      <c r="E424" s="12" t="s">
        <v>656</v>
      </c>
      <c r="F424" s="12" t="s">
        <v>698</v>
      </c>
      <c r="G424" s="12" t="s">
        <v>705</v>
      </c>
      <c r="H424" s="12" t="s">
        <v>709</v>
      </c>
      <c r="I424" s="12" t="s">
        <v>716</v>
      </c>
      <c r="J424" s="12" t="s">
        <v>733</v>
      </c>
      <c r="K424" s="12" t="s">
        <v>892</v>
      </c>
      <c r="L424" s="6">
        <v>815.83</v>
      </c>
      <c r="M424" s="6">
        <v>1982.18</v>
      </c>
      <c r="N424" s="6">
        <f t="shared" si="108"/>
        <v>1982.18</v>
      </c>
      <c r="O424" s="6" t="str">
        <f t="shared" si="122"/>
        <v>High</v>
      </c>
      <c r="P424" s="6">
        <v>0.127</v>
      </c>
      <c r="Q424" s="6">
        <f t="shared" si="109"/>
        <v>0.127</v>
      </c>
      <c r="R424" s="6">
        <v>6</v>
      </c>
      <c r="S424" s="6" t="str">
        <f t="shared" si="110"/>
        <v>OK</v>
      </c>
      <c r="T424" s="4">
        <f t="shared" si="111"/>
        <v>45703</v>
      </c>
      <c r="U424" s="11">
        <f t="shared" si="112"/>
        <v>0</v>
      </c>
      <c r="V424" s="6">
        <f t="shared" si="113"/>
        <v>10382.65884</v>
      </c>
      <c r="W424" s="6">
        <f t="shared" si="114"/>
        <v>4894.9800000000005</v>
      </c>
      <c r="X424" s="6">
        <f t="shared" si="115"/>
        <v>5487.6788399999996</v>
      </c>
      <c r="Y424" s="6">
        <f t="shared" si="116"/>
        <v>0.52854272923408507</v>
      </c>
      <c r="Z424" s="4" t="str">
        <f t="shared" si="117"/>
        <v>Q1-2025</v>
      </c>
      <c r="AA424" t="str">
        <f t="shared" si="118"/>
        <v>Accessories</v>
      </c>
      <c r="AB424" t="str">
        <f t="shared" si="119"/>
        <v>Accessories</v>
      </c>
      <c r="AC424" t="str">
        <f t="shared" si="120"/>
        <v>Compliant</v>
      </c>
      <c r="AD424" t="str">
        <f t="shared" si="121"/>
        <v>On-time</v>
      </c>
      <c r="AE424" s="8">
        <f>MIN(Q424,Scenario!$B$2)</f>
        <v>0.127</v>
      </c>
      <c r="AF424" s="33">
        <f>L424*(1+Scenario!$B$3)</f>
        <v>938.20449999999994</v>
      </c>
      <c r="AG424" s="6">
        <f>R424*(1+Scenario!$B$4)</f>
        <v>7.1999999999999993</v>
      </c>
      <c r="AH424" s="33">
        <f t="shared" si="123"/>
        <v>12459.190608000001</v>
      </c>
      <c r="AI424" s="33">
        <f t="shared" si="124"/>
        <v>6755.0723999999991</v>
      </c>
      <c r="AJ424" s="33">
        <f t="shared" si="125"/>
        <v>5704.1182080000017</v>
      </c>
    </row>
    <row r="425" spans="1:36" x14ac:dyDescent="0.25">
      <c r="A425" s="12" t="s">
        <v>603</v>
      </c>
      <c r="B425" s="27">
        <v>45703</v>
      </c>
      <c r="C425" s="4">
        <v>45715</v>
      </c>
      <c r="D425" s="12" t="s">
        <v>649</v>
      </c>
      <c r="E425" s="12" t="s">
        <v>657</v>
      </c>
      <c r="F425" s="12" t="s">
        <v>679</v>
      </c>
      <c r="G425" s="12" t="s">
        <v>703</v>
      </c>
      <c r="H425" s="12" t="s">
        <v>711</v>
      </c>
      <c r="I425" s="12" t="s">
        <v>723</v>
      </c>
      <c r="J425" s="12" t="s">
        <v>733</v>
      </c>
      <c r="K425" s="12" t="s">
        <v>1321</v>
      </c>
      <c r="L425" s="6">
        <v>1027.26</v>
      </c>
      <c r="M425" s="6">
        <v>2200.41</v>
      </c>
      <c r="N425" s="6">
        <f t="shared" si="108"/>
        <v>2200.41</v>
      </c>
      <c r="O425" s="6" t="str">
        <f t="shared" si="122"/>
        <v>High</v>
      </c>
      <c r="P425" s="6">
        <v>8.7999999999999995E-2</v>
      </c>
      <c r="Q425" s="6">
        <f t="shared" si="109"/>
        <v>8.7999999999999995E-2</v>
      </c>
      <c r="R425" s="6">
        <v>6</v>
      </c>
      <c r="S425" s="6" t="str">
        <f t="shared" si="110"/>
        <v>OK</v>
      </c>
      <c r="T425" s="4">
        <f t="shared" si="111"/>
        <v>45715</v>
      </c>
      <c r="U425" s="11">
        <f t="shared" si="112"/>
        <v>12</v>
      </c>
      <c r="V425" s="6">
        <f t="shared" si="113"/>
        <v>12040.64352</v>
      </c>
      <c r="W425" s="6">
        <f t="shared" si="114"/>
        <v>6163.5599999999995</v>
      </c>
      <c r="X425" s="6">
        <f t="shared" si="115"/>
        <v>5877.0835200000001</v>
      </c>
      <c r="Y425" s="6">
        <f t="shared" si="116"/>
        <v>0.48810377204822358</v>
      </c>
      <c r="Z425" s="4" t="str">
        <f t="shared" si="117"/>
        <v>Q1-2025</v>
      </c>
      <c r="AA425" t="str">
        <f t="shared" si="118"/>
        <v>Accessories</v>
      </c>
      <c r="AB425" t="str">
        <f t="shared" si="119"/>
        <v>Accessories</v>
      </c>
      <c r="AC425" t="str">
        <f t="shared" si="120"/>
        <v>Compliant</v>
      </c>
      <c r="AD425" t="str">
        <f t="shared" si="121"/>
        <v>Late</v>
      </c>
      <c r="AE425" s="8">
        <f>MIN(Q425,Scenario!$B$2)</f>
        <v>8.7999999999999995E-2</v>
      </c>
      <c r="AF425" s="33">
        <f>L425*(1+Scenario!$B$3)</f>
        <v>1181.3489999999999</v>
      </c>
      <c r="AG425" s="6">
        <f>R425*(1+Scenario!$B$4)</f>
        <v>7.1999999999999993</v>
      </c>
      <c r="AH425" s="33">
        <f t="shared" si="123"/>
        <v>14448.772223999998</v>
      </c>
      <c r="AI425" s="33">
        <f t="shared" si="124"/>
        <v>8505.7127999999993</v>
      </c>
      <c r="AJ425" s="33">
        <f t="shared" si="125"/>
        <v>5943.0594239999991</v>
      </c>
    </row>
    <row r="426" spans="1:36" x14ac:dyDescent="0.25">
      <c r="A426" s="12" t="s">
        <v>218</v>
      </c>
      <c r="B426" s="27">
        <v>45692</v>
      </c>
      <c r="C426" s="4">
        <v>45713</v>
      </c>
      <c r="D426" s="12" t="s">
        <v>649</v>
      </c>
      <c r="E426" s="12" t="s">
        <v>658</v>
      </c>
      <c r="F426" s="12" t="s">
        <v>674</v>
      </c>
      <c r="G426" s="12" t="s">
        <v>701</v>
      </c>
      <c r="H426" s="12" t="s">
        <v>709</v>
      </c>
      <c r="I426" s="12" t="s">
        <v>726</v>
      </c>
      <c r="J426" s="12" t="s">
        <v>732</v>
      </c>
      <c r="K426" s="12" t="s">
        <v>938</v>
      </c>
      <c r="L426" s="6">
        <v>1016.32</v>
      </c>
      <c r="M426" s="6">
        <v>2253.42</v>
      </c>
      <c r="N426" s="6">
        <f t="shared" si="108"/>
        <v>2253.42</v>
      </c>
      <c r="O426" s="6" t="str">
        <f t="shared" si="122"/>
        <v>High</v>
      </c>
      <c r="P426" s="6">
        <v>5.5E-2</v>
      </c>
      <c r="Q426" s="6">
        <f t="shared" si="109"/>
        <v>5.5E-2</v>
      </c>
      <c r="R426" s="6">
        <v>12</v>
      </c>
      <c r="S426" s="6" t="str">
        <f t="shared" si="110"/>
        <v>OK</v>
      </c>
      <c r="T426" s="4">
        <f t="shared" si="111"/>
        <v>45713</v>
      </c>
      <c r="U426" s="11">
        <f t="shared" si="112"/>
        <v>21</v>
      </c>
      <c r="V426" s="6">
        <f t="shared" si="113"/>
        <v>25553.782800000001</v>
      </c>
      <c r="W426" s="6">
        <f t="shared" si="114"/>
        <v>12195.84</v>
      </c>
      <c r="X426" s="6">
        <f t="shared" si="115"/>
        <v>13357.942800000001</v>
      </c>
      <c r="Y426" s="6">
        <f t="shared" si="116"/>
        <v>0.52273837124419797</v>
      </c>
      <c r="Z426" s="4" t="str">
        <f t="shared" si="117"/>
        <v>Q1-2025</v>
      </c>
      <c r="AA426" t="str">
        <f t="shared" si="118"/>
        <v>Monitors</v>
      </c>
      <c r="AB426" t="str">
        <f t="shared" si="119"/>
        <v>Monitors</v>
      </c>
      <c r="AC426" t="str">
        <f t="shared" si="120"/>
        <v>Compliant</v>
      </c>
      <c r="AD426" t="str">
        <f t="shared" si="121"/>
        <v>Late</v>
      </c>
      <c r="AE426" s="8">
        <f>MIN(Q426,Scenario!$B$2)</f>
        <v>5.5E-2</v>
      </c>
      <c r="AF426" s="33">
        <f>L426*(1+Scenario!$B$3)</f>
        <v>1168.768</v>
      </c>
      <c r="AG426" s="6">
        <f>R426*(1+Scenario!$B$4)</f>
        <v>14.399999999999999</v>
      </c>
      <c r="AH426" s="33">
        <f t="shared" si="123"/>
        <v>30664.539359999999</v>
      </c>
      <c r="AI426" s="33">
        <f t="shared" si="124"/>
        <v>16830.2592</v>
      </c>
      <c r="AJ426" s="33">
        <f t="shared" si="125"/>
        <v>13834.280159999998</v>
      </c>
    </row>
    <row r="427" spans="1:36" hidden="1" x14ac:dyDescent="0.25">
      <c r="A427" s="12" t="s">
        <v>71</v>
      </c>
      <c r="B427" s="27">
        <v>45697</v>
      </c>
      <c r="C427" s="4">
        <v>45717</v>
      </c>
      <c r="D427" s="12" t="s">
        <v>648</v>
      </c>
      <c r="E427" s="12" t="s">
        <v>655</v>
      </c>
      <c r="F427" s="12" t="s">
        <v>670</v>
      </c>
      <c r="G427" s="12" t="s">
        <v>701</v>
      </c>
      <c r="H427" s="12" t="s">
        <v>710</v>
      </c>
      <c r="I427" s="12" t="s">
        <v>717</v>
      </c>
      <c r="J427" s="12" t="s">
        <v>731</v>
      </c>
      <c r="K427" s="12" t="s">
        <v>790</v>
      </c>
      <c r="L427" s="6">
        <v>1154.6400000000001</v>
      </c>
      <c r="M427" s="6">
        <v>2794.13</v>
      </c>
      <c r="N427" s="6">
        <f t="shared" si="108"/>
        <v>2794.13</v>
      </c>
      <c r="O427" s="6" t="str">
        <f t="shared" si="122"/>
        <v>High</v>
      </c>
      <c r="P427" s="6">
        <v>3.5000000000000003E-2</v>
      </c>
      <c r="Q427" s="6">
        <f t="shared" si="109"/>
        <v>3.5000000000000003E-2</v>
      </c>
      <c r="R427" s="6">
        <v>11</v>
      </c>
      <c r="S427" s="6" t="str">
        <f t="shared" si="110"/>
        <v>OK</v>
      </c>
      <c r="T427" s="4">
        <f t="shared" si="111"/>
        <v>45717</v>
      </c>
      <c r="U427" s="11">
        <f t="shared" si="112"/>
        <v>20</v>
      </c>
      <c r="V427" s="6">
        <f t="shared" si="113"/>
        <v>29659.68995</v>
      </c>
      <c r="W427" s="6">
        <f t="shared" si="114"/>
        <v>12701.04</v>
      </c>
      <c r="X427" s="6">
        <f t="shared" si="115"/>
        <v>16958.649949999999</v>
      </c>
      <c r="Y427" s="6">
        <f t="shared" si="116"/>
        <v>0.57177435025749479</v>
      </c>
      <c r="Z427" s="4" t="str">
        <f t="shared" si="117"/>
        <v>Q1-2025</v>
      </c>
      <c r="AA427" t="str">
        <f t="shared" si="118"/>
        <v>Laptops</v>
      </c>
      <c r="AB427" t="str">
        <f t="shared" si="119"/>
        <v>Laptops</v>
      </c>
      <c r="AC427" t="str">
        <f t="shared" si="120"/>
        <v>Compliant</v>
      </c>
      <c r="AD427" t="str">
        <f t="shared" si="121"/>
        <v>Late</v>
      </c>
      <c r="AE427" s="8">
        <f>MIN(Q427,Scenario!$B$2)</f>
        <v>3.5000000000000003E-2</v>
      </c>
      <c r="AF427" s="33">
        <f>L427*(1+Scenario!$B$3)</f>
        <v>1327.836</v>
      </c>
      <c r="AG427" s="6">
        <f>R427*(1+Scenario!$B$4)</f>
        <v>13.2</v>
      </c>
      <c r="AH427" s="33">
        <f t="shared" si="123"/>
        <v>35591.627939999998</v>
      </c>
      <c r="AI427" s="33">
        <f t="shared" si="124"/>
        <v>17527.4352</v>
      </c>
      <c r="AJ427" s="33">
        <f t="shared" si="125"/>
        <v>18064.192739999999</v>
      </c>
    </row>
    <row r="428" spans="1:36" x14ac:dyDescent="0.25">
      <c r="A428" s="12" t="s">
        <v>192</v>
      </c>
      <c r="B428" s="27">
        <v>45325</v>
      </c>
      <c r="C428" s="4">
        <v>45343</v>
      </c>
      <c r="D428" s="12" t="s">
        <v>649</v>
      </c>
      <c r="E428" s="12" t="s">
        <v>656</v>
      </c>
      <c r="F428" s="12" t="s">
        <v>698</v>
      </c>
      <c r="G428" s="12" t="s">
        <v>701</v>
      </c>
      <c r="H428" s="12" t="s">
        <v>707</v>
      </c>
      <c r="I428" s="12" t="s">
        <v>722</v>
      </c>
      <c r="J428" s="12" t="s">
        <v>727</v>
      </c>
      <c r="K428" s="12" t="s">
        <v>911</v>
      </c>
      <c r="L428" s="6">
        <v>39.229999999999997</v>
      </c>
      <c r="M428" s="6">
        <v>30.09</v>
      </c>
      <c r="N428" s="6">
        <f t="shared" si="108"/>
        <v>30.09</v>
      </c>
      <c r="O428" s="6" t="str">
        <f t="shared" si="122"/>
        <v>Low</v>
      </c>
      <c r="P428" s="6">
        <v>0.17699999999999999</v>
      </c>
      <c r="Q428" s="6">
        <f t="shared" si="109"/>
        <v>0.17699999999999999</v>
      </c>
      <c r="R428" s="6">
        <v>13</v>
      </c>
      <c r="S428" s="6" t="str">
        <f t="shared" si="110"/>
        <v>OK</v>
      </c>
      <c r="T428" s="4">
        <f t="shared" si="111"/>
        <v>45343</v>
      </c>
      <c r="U428" s="11">
        <f t="shared" si="112"/>
        <v>18</v>
      </c>
      <c r="V428" s="6">
        <f t="shared" si="113"/>
        <v>321.93290999999999</v>
      </c>
      <c r="W428" s="6">
        <f t="shared" si="114"/>
        <v>509.98999999999995</v>
      </c>
      <c r="X428" s="6">
        <f t="shared" si="115"/>
        <v>-188.05708999999996</v>
      </c>
      <c r="Y428" s="6">
        <f t="shared" si="116"/>
        <v>-0.58414993981199359</v>
      </c>
      <c r="Z428" s="4" t="str">
        <f t="shared" si="117"/>
        <v>Q1-2024</v>
      </c>
      <c r="AA428" t="str">
        <f t="shared" si="118"/>
        <v>Components</v>
      </c>
      <c r="AB428" t="str">
        <f t="shared" si="119"/>
        <v>Components</v>
      </c>
      <c r="AC428" t="str">
        <f t="shared" si="120"/>
        <v>Compliant</v>
      </c>
      <c r="AD428" t="str">
        <f t="shared" si="121"/>
        <v>Late</v>
      </c>
      <c r="AE428" s="8">
        <f>MIN(Q428,Scenario!$B$2)</f>
        <v>0.17699999999999999</v>
      </c>
      <c r="AF428" s="33">
        <f>L428*(1+Scenario!$B$3)</f>
        <v>45.114499999999992</v>
      </c>
      <c r="AG428" s="6">
        <f>R428*(1+Scenario!$B$4)</f>
        <v>15.6</v>
      </c>
      <c r="AH428" s="33">
        <f t="shared" si="123"/>
        <v>386.31949199999997</v>
      </c>
      <c r="AI428" s="33">
        <f t="shared" si="124"/>
        <v>703.78619999999989</v>
      </c>
      <c r="AJ428" s="33">
        <f t="shared" si="125"/>
        <v>-317.46670799999993</v>
      </c>
    </row>
    <row r="429" spans="1:36" hidden="1" x14ac:dyDescent="0.25">
      <c r="A429" s="12" t="s">
        <v>337</v>
      </c>
      <c r="B429" s="27">
        <v>45340</v>
      </c>
      <c r="C429" s="4">
        <v>45362</v>
      </c>
      <c r="D429" s="12" t="s">
        <v>648</v>
      </c>
      <c r="E429" s="12" t="s">
        <v>655</v>
      </c>
      <c r="F429" s="12" t="s">
        <v>670</v>
      </c>
      <c r="G429" s="12" t="s">
        <v>704</v>
      </c>
      <c r="H429" s="12" t="s">
        <v>708</v>
      </c>
      <c r="I429" s="12" t="s">
        <v>720</v>
      </c>
      <c r="J429" s="12" t="s">
        <v>727</v>
      </c>
      <c r="K429" s="12" t="s">
        <v>1057</v>
      </c>
      <c r="L429" s="6">
        <v>80.48</v>
      </c>
      <c r="M429" s="6">
        <v>65.650000000000006</v>
      </c>
      <c r="N429" s="6">
        <f t="shared" si="108"/>
        <v>65.650000000000006</v>
      </c>
      <c r="O429" s="6" t="str">
        <f t="shared" si="122"/>
        <v>Low</v>
      </c>
      <c r="P429" s="6">
        <v>0.17599999999999999</v>
      </c>
      <c r="Q429" s="6">
        <f t="shared" si="109"/>
        <v>0.17599999999999999</v>
      </c>
      <c r="R429" s="6">
        <v>13</v>
      </c>
      <c r="S429" s="6" t="str">
        <f t="shared" si="110"/>
        <v>OK</v>
      </c>
      <c r="T429" s="4">
        <f t="shared" si="111"/>
        <v>45362</v>
      </c>
      <c r="U429" s="11">
        <f t="shared" si="112"/>
        <v>22</v>
      </c>
      <c r="V429" s="6">
        <f t="shared" si="113"/>
        <v>703.2428000000001</v>
      </c>
      <c r="W429" s="6">
        <f t="shared" si="114"/>
        <v>1046.24</v>
      </c>
      <c r="X429" s="6">
        <f t="shared" si="115"/>
        <v>-342.99719999999991</v>
      </c>
      <c r="Y429" s="6">
        <f t="shared" si="116"/>
        <v>-0.48773652570634191</v>
      </c>
      <c r="Z429" s="4" t="str">
        <f t="shared" si="117"/>
        <v>Q1-2024</v>
      </c>
      <c r="AA429" t="str">
        <f t="shared" si="118"/>
        <v>Components</v>
      </c>
      <c r="AB429" t="str">
        <f t="shared" si="119"/>
        <v>Components</v>
      </c>
      <c r="AC429" t="str">
        <f t="shared" si="120"/>
        <v>Compliant</v>
      </c>
      <c r="AD429" t="str">
        <f t="shared" si="121"/>
        <v>Late</v>
      </c>
      <c r="AE429" s="8">
        <f>MIN(Q429,Scenario!$B$2)</f>
        <v>0.17599999999999999</v>
      </c>
      <c r="AF429" s="33">
        <f>L429*(1+Scenario!$B$3)</f>
        <v>92.551999999999992</v>
      </c>
      <c r="AG429" s="6">
        <f>R429*(1+Scenario!$B$4)</f>
        <v>15.6</v>
      </c>
      <c r="AH429" s="33">
        <f t="shared" si="123"/>
        <v>843.89136000000019</v>
      </c>
      <c r="AI429" s="33">
        <f t="shared" si="124"/>
        <v>1443.8111999999999</v>
      </c>
      <c r="AJ429" s="33">
        <f t="shared" si="125"/>
        <v>-599.91983999999968</v>
      </c>
    </row>
    <row r="430" spans="1:36" hidden="1" x14ac:dyDescent="0.25">
      <c r="A430" s="12" t="s">
        <v>154</v>
      </c>
      <c r="B430" s="27">
        <v>45336</v>
      </c>
      <c r="C430" s="4">
        <v>45336</v>
      </c>
      <c r="D430" s="12" t="s">
        <v>647</v>
      </c>
      <c r="E430" s="12" t="s">
        <v>659</v>
      </c>
      <c r="F430" s="12" t="s">
        <v>699</v>
      </c>
      <c r="G430" s="12" t="s">
        <v>701</v>
      </c>
      <c r="H430" s="12" t="s">
        <v>710</v>
      </c>
      <c r="I430" s="12" t="s">
        <v>716</v>
      </c>
      <c r="J430" s="12" t="s">
        <v>733</v>
      </c>
      <c r="K430" s="12" t="s">
        <v>873</v>
      </c>
      <c r="L430" s="6">
        <v>65.930000000000007</v>
      </c>
      <c r="M430" s="6">
        <v>84.9</v>
      </c>
      <c r="N430" s="6">
        <f t="shared" si="108"/>
        <v>84.9</v>
      </c>
      <c r="O430" s="6" t="str">
        <f t="shared" si="122"/>
        <v>Low</v>
      </c>
      <c r="P430" s="6">
        <v>0.25900000000000001</v>
      </c>
      <c r="Q430" s="6">
        <f t="shared" si="109"/>
        <v>0.25900000000000001</v>
      </c>
      <c r="R430" s="6">
        <v>23</v>
      </c>
      <c r="S430" s="6" t="str">
        <f t="shared" si="110"/>
        <v>OK</v>
      </c>
      <c r="T430" s="4">
        <f t="shared" si="111"/>
        <v>45336</v>
      </c>
      <c r="U430" s="11">
        <f t="shared" si="112"/>
        <v>0</v>
      </c>
      <c r="V430" s="6">
        <f t="shared" si="113"/>
        <v>1446.9507000000001</v>
      </c>
      <c r="W430" s="6">
        <f t="shared" si="114"/>
        <v>1516.39</v>
      </c>
      <c r="X430" s="6">
        <f t="shared" si="115"/>
        <v>-69.439300000000003</v>
      </c>
      <c r="Y430" s="6">
        <f t="shared" si="116"/>
        <v>-4.7990093926489688E-2</v>
      </c>
      <c r="Z430" s="4" t="str">
        <f t="shared" si="117"/>
        <v>Q1-2024</v>
      </c>
      <c r="AA430" t="str">
        <f t="shared" si="118"/>
        <v>Accessories</v>
      </c>
      <c r="AB430" t="str">
        <f t="shared" si="119"/>
        <v>Accessories</v>
      </c>
      <c r="AC430" t="str">
        <f t="shared" si="120"/>
        <v>Non-compliant</v>
      </c>
      <c r="AD430" t="str">
        <f t="shared" si="121"/>
        <v>On-time</v>
      </c>
      <c r="AE430" s="8">
        <f>MIN(Q430,Scenario!$B$2)</f>
        <v>0.2</v>
      </c>
      <c r="AF430" s="33">
        <f>L430*(1+Scenario!$B$3)</f>
        <v>75.819500000000005</v>
      </c>
      <c r="AG430" s="6">
        <f>R430*(1+Scenario!$B$4)</f>
        <v>27.599999999999998</v>
      </c>
      <c r="AH430" s="33">
        <f t="shared" si="123"/>
        <v>1874.5919999999999</v>
      </c>
      <c r="AI430" s="33">
        <f t="shared" si="124"/>
        <v>2092.6181999999999</v>
      </c>
      <c r="AJ430" s="33">
        <f t="shared" si="125"/>
        <v>-218.02620000000002</v>
      </c>
    </row>
    <row r="431" spans="1:36" hidden="1" x14ac:dyDescent="0.25">
      <c r="A431" s="12" t="s">
        <v>229</v>
      </c>
      <c r="B431" s="27">
        <v>45351</v>
      </c>
      <c r="C431" s="4">
        <v>45381</v>
      </c>
      <c r="D431" s="12" t="s">
        <v>647</v>
      </c>
      <c r="E431" s="12" t="s">
        <v>652</v>
      </c>
      <c r="F431" s="12" t="s">
        <v>694</v>
      </c>
      <c r="G431" s="12" t="s">
        <v>705</v>
      </c>
      <c r="H431" s="12" t="s">
        <v>711</v>
      </c>
      <c r="I431" s="12" t="s">
        <v>714</v>
      </c>
      <c r="J431" s="12" t="s">
        <v>729</v>
      </c>
      <c r="K431" s="12" t="s">
        <v>949</v>
      </c>
      <c r="L431" s="6">
        <v>231.11</v>
      </c>
      <c r="M431" s="6">
        <v>318.17</v>
      </c>
      <c r="N431" s="6">
        <f t="shared" si="108"/>
        <v>318.17</v>
      </c>
      <c r="O431" s="6" t="str">
        <f t="shared" si="122"/>
        <v>Low</v>
      </c>
      <c r="P431" s="6">
        <v>0.20100000000000001</v>
      </c>
      <c r="Q431" s="6">
        <f t="shared" si="109"/>
        <v>0.20100000000000001</v>
      </c>
      <c r="R431" s="6">
        <v>60</v>
      </c>
      <c r="S431" s="6" t="str">
        <f t="shared" si="110"/>
        <v>OK</v>
      </c>
      <c r="T431" s="4">
        <f t="shared" si="111"/>
        <v>45381</v>
      </c>
      <c r="U431" s="11">
        <f t="shared" si="112"/>
        <v>30</v>
      </c>
      <c r="V431" s="6">
        <f t="shared" si="113"/>
        <v>15253.069799999999</v>
      </c>
      <c r="W431" s="6">
        <f t="shared" si="114"/>
        <v>13866.6</v>
      </c>
      <c r="X431" s="6">
        <f t="shared" si="115"/>
        <v>1386.4697999999989</v>
      </c>
      <c r="Y431" s="6">
        <f t="shared" si="116"/>
        <v>9.0897754889969692E-2</v>
      </c>
      <c r="Z431" s="4" t="str">
        <f t="shared" si="117"/>
        <v>Q1-2024</v>
      </c>
      <c r="AA431" t="str">
        <f t="shared" si="118"/>
        <v>Networking</v>
      </c>
      <c r="AB431" t="str">
        <f t="shared" si="119"/>
        <v>Networking</v>
      </c>
      <c r="AC431" t="str">
        <f t="shared" si="120"/>
        <v>Non-compliant</v>
      </c>
      <c r="AD431" t="str">
        <f t="shared" si="121"/>
        <v>Late</v>
      </c>
      <c r="AE431" s="8">
        <f>MIN(Q431,Scenario!$B$2)</f>
        <v>0.2</v>
      </c>
      <c r="AF431" s="33">
        <f>L431*(1+Scenario!$B$3)</f>
        <v>265.7765</v>
      </c>
      <c r="AG431" s="6">
        <f>R431*(1+Scenario!$B$4)</f>
        <v>72</v>
      </c>
      <c r="AH431" s="33">
        <f t="shared" si="123"/>
        <v>18326.592000000001</v>
      </c>
      <c r="AI431" s="33">
        <f t="shared" si="124"/>
        <v>19135.907999999999</v>
      </c>
      <c r="AJ431" s="33">
        <f t="shared" si="125"/>
        <v>-809.31599999999889</v>
      </c>
    </row>
    <row r="432" spans="1:36" x14ac:dyDescent="0.25">
      <c r="A432" s="12" t="s">
        <v>442</v>
      </c>
      <c r="B432" s="27">
        <v>45347</v>
      </c>
      <c r="C432" s="4">
        <v>45360</v>
      </c>
      <c r="D432" s="12" t="s">
        <v>649</v>
      </c>
      <c r="E432" s="12" t="s">
        <v>657</v>
      </c>
      <c r="F432" s="12" t="s">
        <v>673</v>
      </c>
      <c r="G432" s="12" t="s">
        <v>705</v>
      </c>
      <c r="H432" s="12" t="s">
        <v>710</v>
      </c>
      <c r="I432" s="12" t="s">
        <v>718</v>
      </c>
      <c r="J432" s="12" t="s">
        <v>732</v>
      </c>
      <c r="K432" s="12" t="s">
        <v>1161</v>
      </c>
      <c r="L432" s="6">
        <v>322.44</v>
      </c>
      <c r="M432" s="6">
        <v>395.61</v>
      </c>
      <c r="N432" s="6">
        <f t="shared" si="108"/>
        <v>395.61</v>
      </c>
      <c r="O432" s="6" t="str">
        <f t="shared" si="122"/>
        <v>Low</v>
      </c>
      <c r="P432" s="6">
        <v>0</v>
      </c>
      <c r="Q432" s="6">
        <f t="shared" si="109"/>
        <v>0</v>
      </c>
      <c r="R432" s="6">
        <v>34</v>
      </c>
      <c r="S432" s="6" t="str">
        <f t="shared" si="110"/>
        <v>OK</v>
      </c>
      <c r="T432" s="4">
        <f t="shared" si="111"/>
        <v>45360</v>
      </c>
      <c r="U432" s="11">
        <f t="shared" si="112"/>
        <v>13</v>
      </c>
      <c r="V432" s="6">
        <f t="shared" si="113"/>
        <v>13450.74</v>
      </c>
      <c r="W432" s="6">
        <f t="shared" si="114"/>
        <v>10962.96</v>
      </c>
      <c r="X432" s="6">
        <f t="shared" si="115"/>
        <v>2487.7800000000007</v>
      </c>
      <c r="Y432" s="6">
        <f t="shared" si="116"/>
        <v>0.18495487980586947</v>
      </c>
      <c r="Z432" s="4" t="str">
        <f t="shared" si="117"/>
        <v>Q1-2024</v>
      </c>
      <c r="AA432" t="str">
        <f t="shared" si="118"/>
        <v>Monitors</v>
      </c>
      <c r="AB432" t="str">
        <f t="shared" si="119"/>
        <v>Monitors</v>
      </c>
      <c r="AC432" t="str">
        <f t="shared" si="120"/>
        <v>Compliant</v>
      </c>
      <c r="AD432" t="str">
        <f t="shared" si="121"/>
        <v>Late</v>
      </c>
      <c r="AE432" s="8">
        <f>MIN(Q432,Scenario!$B$2)</f>
        <v>0</v>
      </c>
      <c r="AF432" s="33">
        <f>L432*(1+Scenario!$B$3)</f>
        <v>370.80599999999998</v>
      </c>
      <c r="AG432" s="6">
        <f>R432*(1+Scenario!$B$4)</f>
        <v>40.799999999999997</v>
      </c>
      <c r="AH432" s="33">
        <f t="shared" si="123"/>
        <v>16140.887999999999</v>
      </c>
      <c r="AI432" s="33">
        <f t="shared" si="124"/>
        <v>15128.884799999998</v>
      </c>
      <c r="AJ432" s="33">
        <f t="shared" si="125"/>
        <v>1012.003200000001</v>
      </c>
    </row>
    <row r="433" spans="1:36" hidden="1" x14ac:dyDescent="0.25">
      <c r="A433" s="12" t="s">
        <v>211</v>
      </c>
      <c r="B433" s="27">
        <v>45333</v>
      </c>
      <c r="C433" s="4">
        <v>45354</v>
      </c>
      <c r="D433" s="12" t="s">
        <v>646</v>
      </c>
      <c r="E433" s="12" t="s">
        <v>650</v>
      </c>
      <c r="F433" s="12" t="s">
        <v>662</v>
      </c>
      <c r="G433" s="12" t="s">
        <v>706</v>
      </c>
      <c r="H433" s="12" t="s">
        <v>708</v>
      </c>
      <c r="I433" s="12" t="s">
        <v>717</v>
      </c>
      <c r="J433" s="12" t="s">
        <v>730</v>
      </c>
      <c r="K433" s="12" t="s">
        <v>931</v>
      </c>
      <c r="L433" s="6">
        <v>516.86</v>
      </c>
      <c r="M433" s="6">
        <v>852.54</v>
      </c>
      <c r="N433" s="6">
        <f t="shared" si="108"/>
        <v>852.54</v>
      </c>
      <c r="O433" s="6" t="str">
        <f t="shared" si="122"/>
        <v>Middle</v>
      </c>
      <c r="P433" s="6">
        <v>5.0999999999999997E-2</v>
      </c>
      <c r="Q433" s="6">
        <f t="shared" si="109"/>
        <v>5.0999999999999997E-2</v>
      </c>
      <c r="R433" s="6">
        <v>14</v>
      </c>
      <c r="S433" s="6" t="str">
        <f t="shared" si="110"/>
        <v>OK</v>
      </c>
      <c r="T433" s="4">
        <f t="shared" si="111"/>
        <v>45354</v>
      </c>
      <c r="U433" s="11">
        <f t="shared" si="112"/>
        <v>21</v>
      </c>
      <c r="V433" s="6">
        <f t="shared" si="113"/>
        <v>11326.846439999999</v>
      </c>
      <c r="W433" s="6">
        <f t="shared" si="114"/>
        <v>7236.04</v>
      </c>
      <c r="X433" s="6">
        <f t="shared" si="115"/>
        <v>4090.8064399999994</v>
      </c>
      <c r="Y433" s="6">
        <f t="shared" si="116"/>
        <v>0.36116022775355994</v>
      </c>
      <c r="Z433" s="4" t="str">
        <f t="shared" si="117"/>
        <v>Q1-2024</v>
      </c>
      <c r="AA433" t="str">
        <f t="shared" si="118"/>
        <v>Phones</v>
      </c>
      <c r="AB433" t="str">
        <f t="shared" si="119"/>
        <v>Phones</v>
      </c>
      <c r="AC433" t="str">
        <f t="shared" si="120"/>
        <v>Compliant</v>
      </c>
      <c r="AD433" t="str">
        <f t="shared" si="121"/>
        <v>Late</v>
      </c>
      <c r="AE433" s="8">
        <f>MIN(Q433,Scenario!$B$2)</f>
        <v>5.0999999999999997E-2</v>
      </c>
      <c r="AF433" s="33">
        <f>L433*(1+Scenario!$B$3)</f>
        <v>594.38900000000001</v>
      </c>
      <c r="AG433" s="6">
        <f>R433*(1+Scenario!$B$4)</f>
        <v>16.8</v>
      </c>
      <c r="AH433" s="33">
        <f t="shared" si="123"/>
        <v>13592.215727999999</v>
      </c>
      <c r="AI433" s="33">
        <f t="shared" si="124"/>
        <v>9985.735200000001</v>
      </c>
      <c r="AJ433" s="33">
        <f t="shared" si="125"/>
        <v>3606.4805279999982</v>
      </c>
    </row>
    <row r="434" spans="1:36" hidden="1" x14ac:dyDescent="0.25">
      <c r="A434" s="12" t="s">
        <v>204</v>
      </c>
      <c r="B434" s="27">
        <v>45325</v>
      </c>
      <c r="C434" s="4">
        <v>45341</v>
      </c>
      <c r="D434" s="12" t="s">
        <v>647</v>
      </c>
      <c r="E434" s="12" t="s">
        <v>659</v>
      </c>
      <c r="F434" s="12" t="s">
        <v>676</v>
      </c>
      <c r="G434" s="12" t="s">
        <v>705</v>
      </c>
      <c r="H434" s="12" t="s">
        <v>708</v>
      </c>
      <c r="I434" s="12" t="s">
        <v>722</v>
      </c>
      <c r="J434" s="12" t="s">
        <v>731</v>
      </c>
      <c r="K434" s="12" t="s">
        <v>924</v>
      </c>
      <c r="L434" s="6">
        <v>993.75</v>
      </c>
      <c r="M434" s="6">
        <v>1310.29</v>
      </c>
      <c r="N434" s="6">
        <f t="shared" si="108"/>
        <v>1310.29</v>
      </c>
      <c r="O434" s="6" t="str">
        <f t="shared" si="122"/>
        <v>High</v>
      </c>
      <c r="P434" s="6">
        <v>0.215</v>
      </c>
      <c r="Q434" s="6">
        <f t="shared" si="109"/>
        <v>0.215</v>
      </c>
      <c r="R434" s="6">
        <v>19</v>
      </c>
      <c r="S434" s="6" t="str">
        <f t="shared" si="110"/>
        <v>OK</v>
      </c>
      <c r="T434" s="4">
        <f t="shared" si="111"/>
        <v>45341</v>
      </c>
      <c r="U434" s="11">
        <f t="shared" si="112"/>
        <v>16</v>
      </c>
      <c r="V434" s="6">
        <f t="shared" si="113"/>
        <v>19542.975350000001</v>
      </c>
      <c r="W434" s="6">
        <f t="shared" si="114"/>
        <v>18881.25</v>
      </c>
      <c r="X434" s="6">
        <f t="shared" si="115"/>
        <v>661.72535000000062</v>
      </c>
      <c r="Y434" s="6">
        <f t="shared" si="116"/>
        <v>3.3860010471742245E-2</v>
      </c>
      <c r="Z434" s="4" t="str">
        <f t="shared" si="117"/>
        <v>Q1-2024</v>
      </c>
      <c r="AA434" t="str">
        <f t="shared" si="118"/>
        <v>Laptops</v>
      </c>
      <c r="AB434" t="str">
        <f t="shared" si="119"/>
        <v>Laptops</v>
      </c>
      <c r="AC434" t="str">
        <f t="shared" si="120"/>
        <v>Non-compliant</v>
      </c>
      <c r="AD434" t="str">
        <f t="shared" si="121"/>
        <v>Late</v>
      </c>
      <c r="AE434" s="8">
        <f>MIN(Q434,Scenario!$B$2)</f>
        <v>0.2</v>
      </c>
      <c r="AF434" s="33">
        <f>L434*(1+Scenario!$B$3)</f>
        <v>1142.8125</v>
      </c>
      <c r="AG434" s="6">
        <f>R434*(1+Scenario!$B$4)</f>
        <v>22.8</v>
      </c>
      <c r="AH434" s="33">
        <f t="shared" si="123"/>
        <v>23899.689600000002</v>
      </c>
      <c r="AI434" s="33">
        <f t="shared" si="124"/>
        <v>26056.125</v>
      </c>
      <c r="AJ434" s="33">
        <f t="shared" si="125"/>
        <v>-2156.4353999999985</v>
      </c>
    </row>
    <row r="435" spans="1:36" hidden="1" x14ac:dyDescent="0.25">
      <c r="A435" s="12" t="s">
        <v>351</v>
      </c>
      <c r="B435" s="27">
        <v>45340</v>
      </c>
      <c r="C435" s="4">
        <v>45354</v>
      </c>
      <c r="D435" s="12" t="s">
        <v>648</v>
      </c>
      <c r="E435" s="12" t="s">
        <v>655</v>
      </c>
      <c r="F435" s="15" t="s">
        <v>1367</v>
      </c>
      <c r="G435" s="12" t="s">
        <v>706</v>
      </c>
      <c r="H435" s="12" t="s">
        <v>710</v>
      </c>
      <c r="I435" s="12" t="s">
        <v>720</v>
      </c>
      <c r="J435" s="12" t="s">
        <v>728</v>
      </c>
      <c r="K435" s="12" t="s">
        <v>1071</v>
      </c>
      <c r="L435" s="6">
        <v>624.23</v>
      </c>
      <c r="M435" s="6">
        <v>1318.37</v>
      </c>
      <c r="N435" s="6">
        <f t="shared" si="108"/>
        <v>1318.37</v>
      </c>
      <c r="O435" s="6" t="str">
        <f t="shared" si="122"/>
        <v>High</v>
      </c>
      <c r="P435" s="6">
        <v>0.21</v>
      </c>
      <c r="Q435" s="6">
        <f t="shared" si="109"/>
        <v>0.21</v>
      </c>
      <c r="R435" s="6">
        <v>37</v>
      </c>
      <c r="S435" s="6" t="str">
        <f t="shared" si="110"/>
        <v>OK</v>
      </c>
      <c r="T435" s="4">
        <f t="shared" si="111"/>
        <v>45354</v>
      </c>
      <c r="U435" s="11">
        <f t="shared" si="112"/>
        <v>14</v>
      </c>
      <c r="V435" s="6">
        <f t="shared" si="113"/>
        <v>38535.955099999999</v>
      </c>
      <c r="W435" s="6">
        <f t="shared" si="114"/>
        <v>23096.510000000002</v>
      </c>
      <c r="X435" s="6">
        <f t="shared" si="115"/>
        <v>15439.445099999997</v>
      </c>
      <c r="Y435" s="6">
        <f t="shared" si="116"/>
        <v>0.40065038118128793</v>
      </c>
      <c r="Z435" s="4" t="str">
        <f t="shared" si="117"/>
        <v>Q1-2024</v>
      </c>
      <c r="AA435" t="str">
        <f t="shared" si="118"/>
        <v>Printers</v>
      </c>
      <c r="AB435" t="str">
        <f t="shared" si="119"/>
        <v>Printers</v>
      </c>
      <c r="AC435" t="str">
        <f t="shared" si="120"/>
        <v>Non-compliant</v>
      </c>
      <c r="AD435" t="str">
        <f t="shared" si="121"/>
        <v>Late</v>
      </c>
      <c r="AE435" s="8">
        <f>MIN(Q435,Scenario!$B$2)</f>
        <v>0.2</v>
      </c>
      <c r="AF435" s="33">
        <f>L435*(1+Scenario!$B$3)</f>
        <v>717.86450000000002</v>
      </c>
      <c r="AG435" s="6">
        <f>R435*(1+Scenario!$B$4)</f>
        <v>44.4</v>
      </c>
      <c r="AH435" s="33">
        <f t="shared" si="123"/>
        <v>46828.502399999998</v>
      </c>
      <c r="AI435" s="33">
        <f t="shared" si="124"/>
        <v>31873.183799999999</v>
      </c>
      <c r="AJ435" s="33">
        <f t="shared" si="125"/>
        <v>14955.318599999999</v>
      </c>
    </row>
    <row r="436" spans="1:36" x14ac:dyDescent="0.25">
      <c r="A436" s="12" t="s">
        <v>171</v>
      </c>
      <c r="B436" s="27">
        <v>45323</v>
      </c>
      <c r="C436" s="4">
        <v>45343</v>
      </c>
      <c r="D436" s="12" t="s">
        <v>649</v>
      </c>
      <c r="E436" s="12" t="s">
        <v>657</v>
      </c>
      <c r="F436" s="12" t="s">
        <v>690</v>
      </c>
      <c r="G436" s="12" t="s">
        <v>705</v>
      </c>
      <c r="H436" s="12" t="s">
        <v>709</v>
      </c>
      <c r="I436" s="12" t="s">
        <v>720</v>
      </c>
      <c r="J436" s="12" t="s">
        <v>729</v>
      </c>
      <c r="K436" s="12" t="s">
        <v>890</v>
      </c>
      <c r="L436" s="6">
        <v>656.2</v>
      </c>
      <c r="M436" s="6">
        <v>1467.17</v>
      </c>
      <c r="N436" s="6">
        <f t="shared" si="108"/>
        <v>1467.17</v>
      </c>
      <c r="O436" s="6" t="str">
        <f t="shared" si="122"/>
        <v>High</v>
      </c>
      <c r="P436" s="6">
        <v>1.7999999999999999E-2</v>
      </c>
      <c r="Q436" s="6">
        <f t="shared" si="109"/>
        <v>1.7999999999999999E-2</v>
      </c>
      <c r="R436" s="6">
        <v>5</v>
      </c>
      <c r="S436" s="6" t="str">
        <f t="shared" si="110"/>
        <v>OK</v>
      </c>
      <c r="T436" s="4">
        <f t="shared" si="111"/>
        <v>45343</v>
      </c>
      <c r="U436" s="11">
        <f t="shared" si="112"/>
        <v>20</v>
      </c>
      <c r="V436" s="6">
        <f t="shared" si="113"/>
        <v>7203.8047000000006</v>
      </c>
      <c r="W436" s="6">
        <f t="shared" si="114"/>
        <v>3281</v>
      </c>
      <c r="X436" s="6">
        <f t="shared" si="115"/>
        <v>3922.8047000000006</v>
      </c>
      <c r="Y436" s="6">
        <f t="shared" si="116"/>
        <v>0.54454623124360946</v>
      </c>
      <c r="Z436" s="4" t="str">
        <f t="shared" si="117"/>
        <v>Q1-2024</v>
      </c>
      <c r="AA436" t="str">
        <f t="shared" si="118"/>
        <v>Networking</v>
      </c>
      <c r="AB436" t="str">
        <f t="shared" si="119"/>
        <v>Networking</v>
      </c>
      <c r="AC436" t="str">
        <f t="shared" si="120"/>
        <v>Compliant</v>
      </c>
      <c r="AD436" t="str">
        <f t="shared" si="121"/>
        <v>Late</v>
      </c>
      <c r="AE436" s="8">
        <f>MIN(Q436,Scenario!$B$2)</f>
        <v>1.7999999999999999E-2</v>
      </c>
      <c r="AF436" s="33">
        <f>L436*(1+Scenario!$B$3)</f>
        <v>754.63</v>
      </c>
      <c r="AG436" s="6">
        <f>R436*(1+Scenario!$B$4)</f>
        <v>6</v>
      </c>
      <c r="AH436" s="33">
        <f t="shared" si="123"/>
        <v>8644.5656400000007</v>
      </c>
      <c r="AI436" s="33">
        <f t="shared" si="124"/>
        <v>4527.78</v>
      </c>
      <c r="AJ436" s="33">
        <f t="shared" si="125"/>
        <v>4116.785640000001</v>
      </c>
    </row>
    <row r="437" spans="1:36" hidden="1" x14ac:dyDescent="0.25">
      <c r="A437" s="12" t="s">
        <v>580</v>
      </c>
      <c r="B437" s="27">
        <v>45330</v>
      </c>
      <c r="C437" s="4">
        <v>45331</v>
      </c>
      <c r="D437" s="12" t="s">
        <v>646</v>
      </c>
      <c r="E437" s="12" t="s">
        <v>650</v>
      </c>
      <c r="F437" s="12" t="s">
        <v>675</v>
      </c>
      <c r="G437" s="12" t="s">
        <v>701</v>
      </c>
      <c r="H437" s="12" t="s">
        <v>711</v>
      </c>
      <c r="I437" s="12" t="s">
        <v>721</v>
      </c>
      <c r="J437" s="12" t="s">
        <v>727</v>
      </c>
      <c r="K437" s="12" t="s">
        <v>1298</v>
      </c>
      <c r="L437" s="6">
        <v>1233.52</v>
      </c>
      <c r="M437" s="6">
        <v>1543.76</v>
      </c>
      <c r="N437" s="6">
        <f t="shared" si="108"/>
        <v>1543.76</v>
      </c>
      <c r="O437" s="6" t="str">
        <f t="shared" si="122"/>
        <v>High</v>
      </c>
      <c r="P437" s="6">
        <v>0.126</v>
      </c>
      <c r="Q437" s="6">
        <f t="shared" si="109"/>
        <v>0.126</v>
      </c>
      <c r="R437" s="6">
        <v>13</v>
      </c>
      <c r="S437" s="6" t="str">
        <f t="shared" si="110"/>
        <v>OK</v>
      </c>
      <c r="T437" s="4">
        <f t="shared" si="111"/>
        <v>45331</v>
      </c>
      <c r="U437" s="11">
        <f t="shared" si="112"/>
        <v>1</v>
      </c>
      <c r="V437" s="6">
        <f t="shared" si="113"/>
        <v>17540.201120000002</v>
      </c>
      <c r="W437" s="6">
        <f t="shared" si="114"/>
        <v>16035.76</v>
      </c>
      <c r="X437" s="6">
        <f t="shared" si="115"/>
        <v>1504.4411200000013</v>
      </c>
      <c r="Y437" s="6">
        <f t="shared" si="116"/>
        <v>8.5771030201277493E-2</v>
      </c>
      <c r="Z437" s="4" t="str">
        <f t="shared" si="117"/>
        <v>Q1-2024</v>
      </c>
      <c r="AA437" t="str">
        <f t="shared" si="118"/>
        <v>Components</v>
      </c>
      <c r="AB437" t="str">
        <f t="shared" si="119"/>
        <v>Components</v>
      </c>
      <c r="AC437" t="str">
        <f t="shared" si="120"/>
        <v>Compliant</v>
      </c>
      <c r="AD437" t="str">
        <f t="shared" si="121"/>
        <v>On-time</v>
      </c>
      <c r="AE437" s="8">
        <f>MIN(Q437,Scenario!$B$2)</f>
        <v>0.126</v>
      </c>
      <c r="AF437" s="33">
        <f>L437*(1+Scenario!$B$3)</f>
        <v>1418.5479999999998</v>
      </c>
      <c r="AG437" s="6">
        <f>R437*(1+Scenario!$B$4)</f>
        <v>15.6</v>
      </c>
      <c r="AH437" s="33">
        <f t="shared" si="123"/>
        <v>21048.241343999998</v>
      </c>
      <c r="AI437" s="33">
        <f t="shared" si="124"/>
        <v>22129.348799999996</v>
      </c>
      <c r="AJ437" s="33">
        <f t="shared" si="125"/>
        <v>-1081.1074559999979</v>
      </c>
    </row>
    <row r="438" spans="1:36" hidden="1" x14ac:dyDescent="0.25">
      <c r="A438" s="12" t="s">
        <v>487</v>
      </c>
      <c r="B438" s="27">
        <v>45328</v>
      </c>
      <c r="C438" s="4">
        <v>45350</v>
      </c>
      <c r="D438" s="12" t="s">
        <v>646</v>
      </c>
      <c r="E438" s="12" t="s">
        <v>650</v>
      </c>
      <c r="F438" s="12" t="s">
        <v>662</v>
      </c>
      <c r="G438" s="12" t="s">
        <v>703</v>
      </c>
      <c r="H438" s="12" t="s">
        <v>708</v>
      </c>
      <c r="I438" s="12" t="s">
        <v>723</v>
      </c>
      <c r="J438" s="12" t="s">
        <v>732</v>
      </c>
      <c r="K438" s="12" t="s">
        <v>1206</v>
      </c>
      <c r="L438" s="6">
        <v>834.93</v>
      </c>
      <c r="M438" s="6">
        <v>1588.53</v>
      </c>
      <c r="N438" s="6">
        <f t="shared" si="108"/>
        <v>1588.53</v>
      </c>
      <c r="O438" s="6" t="str">
        <f t="shared" si="122"/>
        <v>High</v>
      </c>
      <c r="P438" s="6">
        <v>0.126</v>
      </c>
      <c r="Q438" s="6">
        <f t="shared" si="109"/>
        <v>0.126</v>
      </c>
      <c r="R438" s="6">
        <v>6</v>
      </c>
      <c r="S438" s="6" t="str">
        <f t="shared" si="110"/>
        <v>OK</v>
      </c>
      <c r="T438" s="4">
        <f t="shared" si="111"/>
        <v>45350</v>
      </c>
      <c r="U438" s="11">
        <f t="shared" si="112"/>
        <v>22</v>
      </c>
      <c r="V438" s="6">
        <f t="shared" si="113"/>
        <v>8330.2513199999994</v>
      </c>
      <c r="W438" s="6">
        <f t="shared" si="114"/>
        <v>5009.58</v>
      </c>
      <c r="X438" s="6">
        <f t="shared" si="115"/>
        <v>3320.6713199999995</v>
      </c>
      <c r="Y438" s="6">
        <f t="shared" si="116"/>
        <v>0.39862798761274343</v>
      </c>
      <c r="Z438" s="4" t="str">
        <f t="shared" si="117"/>
        <v>Q1-2024</v>
      </c>
      <c r="AA438" t="str">
        <f t="shared" si="118"/>
        <v>Monitors</v>
      </c>
      <c r="AB438" t="str">
        <f t="shared" si="119"/>
        <v>Monitors</v>
      </c>
      <c r="AC438" t="str">
        <f t="shared" si="120"/>
        <v>Compliant</v>
      </c>
      <c r="AD438" t="str">
        <f t="shared" si="121"/>
        <v>Late</v>
      </c>
      <c r="AE438" s="8">
        <f>MIN(Q438,Scenario!$B$2)</f>
        <v>0.126</v>
      </c>
      <c r="AF438" s="33">
        <f>L438*(1+Scenario!$B$3)</f>
        <v>960.16949999999986</v>
      </c>
      <c r="AG438" s="6">
        <f>R438*(1+Scenario!$B$4)</f>
        <v>7.1999999999999993</v>
      </c>
      <c r="AH438" s="33">
        <f t="shared" si="123"/>
        <v>9996.3015839999989</v>
      </c>
      <c r="AI438" s="33">
        <f t="shared" si="124"/>
        <v>6913.2203999999983</v>
      </c>
      <c r="AJ438" s="33">
        <f t="shared" si="125"/>
        <v>3083.0811840000006</v>
      </c>
    </row>
    <row r="439" spans="1:36" hidden="1" x14ac:dyDescent="0.25">
      <c r="A439" s="12" t="s">
        <v>625</v>
      </c>
      <c r="B439" s="27">
        <v>45323</v>
      </c>
      <c r="C439" s="4">
        <v>45323</v>
      </c>
      <c r="D439" s="12" t="s">
        <v>648</v>
      </c>
      <c r="E439" s="12" t="s">
        <v>660</v>
      </c>
      <c r="F439" s="12" t="s">
        <v>697</v>
      </c>
      <c r="G439" s="12" t="s">
        <v>704</v>
      </c>
      <c r="H439" s="12" t="s">
        <v>710</v>
      </c>
      <c r="I439" s="12" t="s">
        <v>722</v>
      </c>
      <c r="J439" s="12" t="s">
        <v>728</v>
      </c>
      <c r="K439" s="12" t="s">
        <v>1343</v>
      </c>
      <c r="L439" s="6">
        <v>714.43</v>
      </c>
      <c r="M439" s="6">
        <v>1595.52</v>
      </c>
      <c r="N439" s="6">
        <f t="shared" si="108"/>
        <v>1595.52</v>
      </c>
      <c r="O439" s="6" t="str">
        <f t="shared" si="122"/>
        <v>High</v>
      </c>
      <c r="P439" s="6">
        <v>0.19400000000000001</v>
      </c>
      <c r="Q439" s="6">
        <f t="shared" si="109"/>
        <v>0.19400000000000001</v>
      </c>
      <c r="R439" s="6">
        <v>14</v>
      </c>
      <c r="S439" s="6" t="str">
        <f t="shared" si="110"/>
        <v>OK</v>
      </c>
      <c r="T439" s="4">
        <f t="shared" si="111"/>
        <v>45323</v>
      </c>
      <c r="U439" s="11">
        <f t="shared" si="112"/>
        <v>0</v>
      </c>
      <c r="V439" s="6">
        <f t="shared" si="113"/>
        <v>18003.847679999999</v>
      </c>
      <c r="W439" s="6">
        <f t="shared" si="114"/>
        <v>10002.019999999999</v>
      </c>
      <c r="X439" s="6">
        <f t="shared" si="115"/>
        <v>8001.8276800000003</v>
      </c>
      <c r="Y439" s="6">
        <f t="shared" si="116"/>
        <v>0.44445097638151093</v>
      </c>
      <c r="Z439" s="4" t="str">
        <f t="shared" si="117"/>
        <v>Q1-2024</v>
      </c>
      <c r="AA439" t="str">
        <f t="shared" si="118"/>
        <v>Printers</v>
      </c>
      <c r="AB439" t="str">
        <f t="shared" si="119"/>
        <v>Printers</v>
      </c>
      <c r="AC439" t="str">
        <f t="shared" si="120"/>
        <v>Compliant</v>
      </c>
      <c r="AD439" t="str">
        <f t="shared" si="121"/>
        <v>On-time</v>
      </c>
      <c r="AE439" s="8">
        <f>MIN(Q439,Scenario!$B$2)</f>
        <v>0.19400000000000001</v>
      </c>
      <c r="AF439" s="33">
        <f>L439*(1+Scenario!$B$3)</f>
        <v>821.59449999999993</v>
      </c>
      <c r="AG439" s="6">
        <f>R439*(1+Scenario!$B$4)</f>
        <v>16.8</v>
      </c>
      <c r="AH439" s="33">
        <f t="shared" si="123"/>
        <v>21604.617216000002</v>
      </c>
      <c r="AI439" s="33">
        <f t="shared" si="124"/>
        <v>13802.7876</v>
      </c>
      <c r="AJ439" s="33">
        <f t="shared" si="125"/>
        <v>7801.8296160000027</v>
      </c>
    </row>
    <row r="440" spans="1:36" hidden="1" x14ac:dyDescent="0.25">
      <c r="A440" s="12" t="s">
        <v>357</v>
      </c>
      <c r="B440" s="27">
        <v>45339</v>
      </c>
      <c r="C440" s="4">
        <v>45355</v>
      </c>
      <c r="D440" s="12" t="s">
        <v>647</v>
      </c>
      <c r="E440" s="12" t="s">
        <v>654</v>
      </c>
      <c r="F440" s="12" t="s">
        <v>680</v>
      </c>
      <c r="G440" s="12" t="s">
        <v>705</v>
      </c>
      <c r="H440" s="12" t="s">
        <v>709</v>
      </c>
      <c r="I440" s="12" t="s">
        <v>721</v>
      </c>
      <c r="J440" s="12" t="s">
        <v>730</v>
      </c>
      <c r="K440" s="12" t="s">
        <v>1077</v>
      </c>
      <c r="L440" s="6">
        <v>1231.8</v>
      </c>
      <c r="M440" s="6">
        <v>2015.99</v>
      </c>
      <c r="N440" s="6">
        <f t="shared" si="108"/>
        <v>2015.99</v>
      </c>
      <c r="O440" s="6" t="str">
        <f t="shared" si="122"/>
        <v>High</v>
      </c>
      <c r="P440" s="6">
        <v>0.26100000000000001</v>
      </c>
      <c r="Q440" s="6">
        <f t="shared" si="109"/>
        <v>0.26100000000000001</v>
      </c>
      <c r="R440" s="6">
        <v>6</v>
      </c>
      <c r="S440" s="6" t="str">
        <f t="shared" si="110"/>
        <v>OK</v>
      </c>
      <c r="T440" s="4">
        <f t="shared" si="111"/>
        <v>45355</v>
      </c>
      <c r="U440" s="11">
        <f t="shared" si="112"/>
        <v>16</v>
      </c>
      <c r="V440" s="6">
        <f t="shared" si="113"/>
        <v>8938.8996600000009</v>
      </c>
      <c r="W440" s="6">
        <f t="shared" si="114"/>
        <v>7390.7999999999993</v>
      </c>
      <c r="X440" s="6">
        <f t="shared" si="115"/>
        <v>1548.0996600000017</v>
      </c>
      <c r="Y440" s="6">
        <f t="shared" si="116"/>
        <v>0.17318682599464391</v>
      </c>
      <c r="Z440" s="4" t="str">
        <f t="shared" si="117"/>
        <v>Q1-2024</v>
      </c>
      <c r="AA440" t="str">
        <f t="shared" si="118"/>
        <v>Phones</v>
      </c>
      <c r="AB440" t="str">
        <f t="shared" si="119"/>
        <v>Phones</v>
      </c>
      <c r="AC440" t="str">
        <f t="shared" si="120"/>
        <v>Non-compliant</v>
      </c>
      <c r="AD440" t="str">
        <f t="shared" si="121"/>
        <v>Late</v>
      </c>
      <c r="AE440" s="8">
        <f>MIN(Q440,Scenario!$B$2)</f>
        <v>0.2</v>
      </c>
      <c r="AF440" s="33">
        <f>L440*(1+Scenario!$B$3)</f>
        <v>1416.57</v>
      </c>
      <c r="AG440" s="6">
        <f>R440*(1+Scenario!$B$4)</f>
        <v>7.1999999999999993</v>
      </c>
      <c r="AH440" s="33">
        <f t="shared" si="123"/>
        <v>11612.1024</v>
      </c>
      <c r="AI440" s="33">
        <f t="shared" si="124"/>
        <v>10199.303999999998</v>
      </c>
      <c r="AJ440" s="33">
        <f t="shared" si="125"/>
        <v>1412.7984000000015</v>
      </c>
    </row>
    <row r="441" spans="1:36" hidden="1" x14ac:dyDescent="0.25">
      <c r="A441" s="12" t="s">
        <v>168</v>
      </c>
      <c r="B441" s="27">
        <v>45340</v>
      </c>
      <c r="C441" s="4">
        <v>45355</v>
      </c>
      <c r="D441" s="12" t="s">
        <v>646</v>
      </c>
      <c r="E441" s="12" t="s">
        <v>650</v>
      </c>
      <c r="F441" s="12" t="s">
        <v>662</v>
      </c>
      <c r="G441" s="12" t="s">
        <v>702</v>
      </c>
      <c r="H441" s="12" t="s">
        <v>711</v>
      </c>
      <c r="I441" s="12" t="s">
        <v>723</v>
      </c>
      <c r="J441" s="12" t="s">
        <v>728</v>
      </c>
      <c r="K441" s="12" t="s">
        <v>887</v>
      </c>
      <c r="L441" s="6">
        <v>928.68</v>
      </c>
      <c r="M441" s="6">
        <v>2145.17</v>
      </c>
      <c r="N441" s="6">
        <f t="shared" si="108"/>
        <v>2145.17</v>
      </c>
      <c r="O441" s="6" t="str">
        <f t="shared" si="122"/>
        <v>High</v>
      </c>
      <c r="P441" s="6">
        <v>0.13600000000000001</v>
      </c>
      <c r="Q441" s="6">
        <f t="shared" si="109"/>
        <v>0.13600000000000001</v>
      </c>
      <c r="R441" s="6">
        <v>16</v>
      </c>
      <c r="S441" s="6" t="str">
        <f t="shared" si="110"/>
        <v>OK</v>
      </c>
      <c r="T441" s="4">
        <f t="shared" si="111"/>
        <v>45355</v>
      </c>
      <c r="U441" s="11">
        <f t="shared" si="112"/>
        <v>15</v>
      </c>
      <c r="V441" s="6">
        <f t="shared" si="113"/>
        <v>29654.83008</v>
      </c>
      <c r="W441" s="6">
        <f t="shared" si="114"/>
        <v>14858.88</v>
      </c>
      <c r="X441" s="6">
        <f t="shared" si="115"/>
        <v>14795.950080000001</v>
      </c>
      <c r="Y441" s="6">
        <f t="shared" si="116"/>
        <v>0.49893896003062177</v>
      </c>
      <c r="Z441" s="4" t="str">
        <f t="shared" si="117"/>
        <v>Q1-2024</v>
      </c>
      <c r="AA441" t="str">
        <f t="shared" si="118"/>
        <v>Printers</v>
      </c>
      <c r="AB441" t="str">
        <f t="shared" si="119"/>
        <v>Printers</v>
      </c>
      <c r="AC441" t="str">
        <f t="shared" si="120"/>
        <v>Compliant</v>
      </c>
      <c r="AD441" t="str">
        <f t="shared" si="121"/>
        <v>Late</v>
      </c>
      <c r="AE441" s="8">
        <f>MIN(Q441,Scenario!$B$2)</f>
        <v>0.13600000000000001</v>
      </c>
      <c r="AF441" s="33">
        <f>L441*(1+Scenario!$B$3)</f>
        <v>1067.982</v>
      </c>
      <c r="AG441" s="6">
        <f>R441*(1+Scenario!$B$4)</f>
        <v>19.2</v>
      </c>
      <c r="AH441" s="33">
        <f t="shared" si="123"/>
        <v>35585.796096000005</v>
      </c>
      <c r="AI441" s="33">
        <f t="shared" si="124"/>
        <v>20505.254399999998</v>
      </c>
      <c r="AJ441" s="33">
        <f t="shared" si="125"/>
        <v>15080.541696000008</v>
      </c>
    </row>
    <row r="442" spans="1:36" hidden="1" x14ac:dyDescent="0.25">
      <c r="A442" s="12" t="s">
        <v>260</v>
      </c>
      <c r="B442" s="27">
        <v>45338</v>
      </c>
      <c r="C442" s="4">
        <v>45355</v>
      </c>
      <c r="D442" s="12" t="s">
        <v>648</v>
      </c>
      <c r="E442" s="12" t="s">
        <v>653</v>
      </c>
      <c r="F442" s="12" t="s">
        <v>681</v>
      </c>
      <c r="G442" s="12" t="s">
        <v>703</v>
      </c>
      <c r="H442" s="12" t="s">
        <v>707</v>
      </c>
      <c r="I442" s="12" t="s">
        <v>726</v>
      </c>
      <c r="J442" s="12" t="s">
        <v>731</v>
      </c>
      <c r="K442" s="12" t="s">
        <v>980</v>
      </c>
      <c r="L442" s="6">
        <v>1350.98</v>
      </c>
      <c r="M442" s="6">
        <v>2210.4</v>
      </c>
      <c r="N442" s="6">
        <f t="shared" si="108"/>
        <v>2210.4</v>
      </c>
      <c r="O442" s="6" t="str">
        <f t="shared" si="122"/>
        <v>High</v>
      </c>
      <c r="P442" s="6">
        <v>0.26300000000000001</v>
      </c>
      <c r="Q442" s="6">
        <f t="shared" si="109"/>
        <v>0.26300000000000001</v>
      </c>
      <c r="R442" s="6">
        <v>6</v>
      </c>
      <c r="S442" s="6" t="str">
        <f t="shared" si="110"/>
        <v>OK</v>
      </c>
      <c r="T442" s="4">
        <f t="shared" si="111"/>
        <v>45355</v>
      </c>
      <c r="U442" s="11">
        <f t="shared" si="112"/>
        <v>17</v>
      </c>
      <c r="V442" s="6">
        <f t="shared" si="113"/>
        <v>9774.3888000000006</v>
      </c>
      <c r="W442" s="6">
        <f t="shared" si="114"/>
        <v>8105.88</v>
      </c>
      <c r="X442" s="6">
        <f t="shared" si="115"/>
        <v>1668.5088000000005</v>
      </c>
      <c r="Y442" s="6">
        <f t="shared" si="116"/>
        <v>0.17070211080615091</v>
      </c>
      <c r="Z442" s="4" t="str">
        <f t="shared" si="117"/>
        <v>Q1-2024</v>
      </c>
      <c r="AA442" t="str">
        <f t="shared" si="118"/>
        <v>Laptops</v>
      </c>
      <c r="AB442" t="str">
        <f t="shared" si="119"/>
        <v>Laptops</v>
      </c>
      <c r="AC442" t="str">
        <f t="shared" si="120"/>
        <v>Non-compliant</v>
      </c>
      <c r="AD442" t="str">
        <f t="shared" si="121"/>
        <v>Late</v>
      </c>
      <c r="AE442" s="8">
        <f>MIN(Q442,Scenario!$B$2)</f>
        <v>0.2</v>
      </c>
      <c r="AF442" s="33">
        <f>L442*(1+Scenario!$B$3)</f>
        <v>1553.627</v>
      </c>
      <c r="AG442" s="6">
        <f>R442*(1+Scenario!$B$4)</f>
        <v>7.1999999999999993</v>
      </c>
      <c r="AH442" s="33">
        <f t="shared" si="123"/>
        <v>12731.904</v>
      </c>
      <c r="AI442" s="33">
        <f t="shared" si="124"/>
        <v>11186.114399999999</v>
      </c>
      <c r="AJ442" s="33">
        <f t="shared" si="125"/>
        <v>1545.7896000000019</v>
      </c>
    </row>
    <row r="443" spans="1:36" hidden="1" x14ac:dyDescent="0.25">
      <c r="A443" s="12" t="s">
        <v>439</v>
      </c>
      <c r="B443" s="27">
        <v>45349</v>
      </c>
      <c r="C443" s="4">
        <v>45377</v>
      </c>
      <c r="D443" s="12" t="s">
        <v>647</v>
      </c>
      <c r="E443" s="12" t="s">
        <v>654</v>
      </c>
      <c r="F443" s="12" t="s">
        <v>691</v>
      </c>
      <c r="G443" s="12" t="s">
        <v>702</v>
      </c>
      <c r="H443" s="12" t="s">
        <v>709</v>
      </c>
      <c r="I443" s="12" t="s">
        <v>715</v>
      </c>
      <c r="J443" s="12" t="s">
        <v>731</v>
      </c>
      <c r="K443" s="12" t="s">
        <v>1158</v>
      </c>
      <c r="L443" s="6">
        <v>1035.19</v>
      </c>
      <c r="M443" s="6">
        <v>2322.6999999999998</v>
      </c>
      <c r="N443" s="6">
        <f t="shared" si="108"/>
        <v>2322.6999999999998</v>
      </c>
      <c r="O443" s="6" t="str">
        <f t="shared" si="122"/>
        <v>High</v>
      </c>
      <c r="P443" s="6">
        <v>0.17299999999999999</v>
      </c>
      <c r="Q443" s="6">
        <f t="shared" si="109"/>
        <v>0.17299999999999999</v>
      </c>
      <c r="R443" s="6">
        <v>8</v>
      </c>
      <c r="S443" s="6" t="str">
        <f t="shared" si="110"/>
        <v>OK</v>
      </c>
      <c r="T443" s="4">
        <f t="shared" si="111"/>
        <v>45377</v>
      </c>
      <c r="U443" s="11">
        <f t="shared" si="112"/>
        <v>28</v>
      </c>
      <c r="V443" s="6">
        <f t="shared" si="113"/>
        <v>15366.983199999999</v>
      </c>
      <c r="W443" s="6">
        <f t="shared" si="114"/>
        <v>8281.52</v>
      </c>
      <c r="X443" s="6">
        <f t="shared" si="115"/>
        <v>7085.4631999999983</v>
      </c>
      <c r="Y443" s="6">
        <f t="shared" si="116"/>
        <v>0.46108355217047409</v>
      </c>
      <c r="Z443" s="4" t="str">
        <f t="shared" si="117"/>
        <v>Q1-2024</v>
      </c>
      <c r="AA443" t="str">
        <f t="shared" si="118"/>
        <v>Laptops</v>
      </c>
      <c r="AB443" t="str">
        <f t="shared" si="119"/>
        <v>Laptops</v>
      </c>
      <c r="AC443" t="str">
        <f t="shared" si="120"/>
        <v>Compliant</v>
      </c>
      <c r="AD443" t="str">
        <f t="shared" si="121"/>
        <v>Late</v>
      </c>
      <c r="AE443" s="8">
        <f>MIN(Q443,Scenario!$B$2)</f>
        <v>0.17299999999999999</v>
      </c>
      <c r="AF443" s="33">
        <f>L443*(1+Scenario!$B$3)</f>
        <v>1190.4684999999999</v>
      </c>
      <c r="AG443" s="6">
        <f>R443*(1+Scenario!$B$4)</f>
        <v>9.6</v>
      </c>
      <c r="AH443" s="33">
        <f t="shared" si="123"/>
        <v>18440.379839999998</v>
      </c>
      <c r="AI443" s="33">
        <f t="shared" si="124"/>
        <v>11428.497599999999</v>
      </c>
      <c r="AJ443" s="33">
        <f t="shared" si="125"/>
        <v>7011.882239999999</v>
      </c>
    </row>
    <row r="444" spans="1:36" hidden="1" x14ac:dyDescent="0.25">
      <c r="A444" s="12" t="s">
        <v>583</v>
      </c>
      <c r="B444" s="27">
        <v>45342</v>
      </c>
      <c r="C444" s="4">
        <v>45342</v>
      </c>
      <c r="D444" s="12" t="s">
        <v>648</v>
      </c>
      <c r="E444" s="12" t="s">
        <v>660</v>
      </c>
      <c r="F444" s="12" t="s">
        <v>700</v>
      </c>
      <c r="G444" s="12" t="s">
        <v>706</v>
      </c>
      <c r="H444" s="12" t="s">
        <v>708</v>
      </c>
      <c r="I444" s="12" t="s">
        <v>712</v>
      </c>
      <c r="J444" s="12" t="s">
        <v>729</v>
      </c>
      <c r="K444" s="12" t="s">
        <v>1301</v>
      </c>
      <c r="L444" s="6">
        <v>1407.05</v>
      </c>
      <c r="M444" s="6">
        <v>2858.93</v>
      </c>
      <c r="N444" s="6">
        <f t="shared" si="108"/>
        <v>2858.93</v>
      </c>
      <c r="O444" s="6" t="str">
        <f t="shared" si="122"/>
        <v>High</v>
      </c>
      <c r="P444" s="6">
        <v>0</v>
      </c>
      <c r="Q444" s="6">
        <f t="shared" si="109"/>
        <v>0</v>
      </c>
      <c r="R444" s="6">
        <v>12</v>
      </c>
      <c r="S444" s="6" t="str">
        <f t="shared" si="110"/>
        <v>OK</v>
      </c>
      <c r="T444" s="4">
        <f t="shared" si="111"/>
        <v>45342</v>
      </c>
      <c r="U444" s="11">
        <f t="shared" si="112"/>
        <v>0</v>
      </c>
      <c r="V444" s="6">
        <f t="shared" si="113"/>
        <v>34307.159999999996</v>
      </c>
      <c r="W444" s="6">
        <f t="shared" si="114"/>
        <v>16884.599999999999</v>
      </c>
      <c r="X444" s="6">
        <f t="shared" si="115"/>
        <v>17422.559999999998</v>
      </c>
      <c r="Y444" s="6">
        <f t="shared" si="116"/>
        <v>0.50784034586366222</v>
      </c>
      <c r="Z444" s="4" t="str">
        <f t="shared" si="117"/>
        <v>Q1-2024</v>
      </c>
      <c r="AA444" t="str">
        <f t="shared" si="118"/>
        <v>Networking</v>
      </c>
      <c r="AB444" t="str">
        <f t="shared" si="119"/>
        <v>Networking</v>
      </c>
      <c r="AC444" t="str">
        <f t="shared" si="120"/>
        <v>Compliant</v>
      </c>
      <c r="AD444" t="str">
        <f t="shared" si="121"/>
        <v>On-time</v>
      </c>
      <c r="AE444" s="8">
        <f>MIN(Q444,Scenario!$B$2)</f>
        <v>0</v>
      </c>
      <c r="AF444" s="33">
        <f>L444*(1+Scenario!$B$3)</f>
        <v>1618.1074999999998</v>
      </c>
      <c r="AG444" s="6">
        <f>R444*(1+Scenario!$B$4)</f>
        <v>14.399999999999999</v>
      </c>
      <c r="AH444" s="33">
        <f t="shared" si="123"/>
        <v>41168.591999999997</v>
      </c>
      <c r="AI444" s="33">
        <f t="shared" si="124"/>
        <v>23300.747999999996</v>
      </c>
      <c r="AJ444" s="33">
        <f t="shared" si="125"/>
        <v>17867.844000000001</v>
      </c>
    </row>
    <row r="445" spans="1:36" hidden="1" x14ac:dyDescent="0.25">
      <c r="A445" s="12" t="s">
        <v>438</v>
      </c>
      <c r="B445" s="27">
        <v>45341</v>
      </c>
      <c r="C445" s="4">
        <v>45357</v>
      </c>
      <c r="D445" s="12" t="s">
        <v>647</v>
      </c>
      <c r="E445" s="12" t="s">
        <v>659</v>
      </c>
      <c r="F445" s="12" t="s">
        <v>699</v>
      </c>
      <c r="G445" s="12" t="s">
        <v>702</v>
      </c>
      <c r="H445" s="12" t="s">
        <v>709</v>
      </c>
      <c r="I445" s="12" t="s">
        <v>719</v>
      </c>
      <c r="J445" s="12" t="s">
        <v>728</v>
      </c>
      <c r="K445" s="12" t="s">
        <v>1157</v>
      </c>
      <c r="L445" s="6">
        <v>1477.84</v>
      </c>
      <c r="M445" s="6">
        <v>3197.47</v>
      </c>
      <c r="N445" s="6">
        <f t="shared" si="108"/>
        <v>3197.47</v>
      </c>
      <c r="O445" s="6" t="str">
        <f t="shared" si="122"/>
        <v>High</v>
      </c>
      <c r="P445" s="6">
        <v>0.24299999999999999</v>
      </c>
      <c r="Q445" s="6">
        <f t="shared" si="109"/>
        <v>0.24299999999999999</v>
      </c>
      <c r="R445" s="6">
        <v>24</v>
      </c>
      <c r="S445" s="6" t="str">
        <f t="shared" si="110"/>
        <v>OK</v>
      </c>
      <c r="T445" s="4">
        <f t="shared" si="111"/>
        <v>45357</v>
      </c>
      <c r="U445" s="11">
        <f t="shared" si="112"/>
        <v>16</v>
      </c>
      <c r="V445" s="6">
        <f t="shared" si="113"/>
        <v>58091.634960000003</v>
      </c>
      <c r="W445" s="6">
        <f t="shared" si="114"/>
        <v>35468.159999999996</v>
      </c>
      <c r="X445" s="6">
        <f t="shared" si="115"/>
        <v>22623.474960000007</v>
      </c>
      <c r="Y445" s="6">
        <f t="shared" si="116"/>
        <v>0.38944462443823091</v>
      </c>
      <c r="Z445" s="4" t="str">
        <f t="shared" si="117"/>
        <v>Q1-2024</v>
      </c>
      <c r="AA445" t="str">
        <f t="shared" si="118"/>
        <v>Printers</v>
      </c>
      <c r="AB445" t="str">
        <f t="shared" si="119"/>
        <v>Printers</v>
      </c>
      <c r="AC445" t="str">
        <f t="shared" si="120"/>
        <v>Non-compliant</v>
      </c>
      <c r="AD445" t="str">
        <f t="shared" si="121"/>
        <v>Late</v>
      </c>
      <c r="AE445" s="8">
        <f>MIN(Q445,Scenario!$B$2)</f>
        <v>0.2</v>
      </c>
      <c r="AF445" s="33">
        <f>L445*(1+Scenario!$B$3)</f>
        <v>1699.5159999999998</v>
      </c>
      <c r="AG445" s="6">
        <f>R445*(1+Scenario!$B$4)</f>
        <v>28.799999999999997</v>
      </c>
      <c r="AH445" s="33">
        <f t="shared" si="123"/>
        <v>73669.708799999993</v>
      </c>
      <c r="AI445" s="33">
        <f t="shared" si="124"/>
        <v>48946.060799999992</v>
      </c>
      <c r="AJ445" s="33">
        <f t="shared" si="125"/>
        <v>24723.648000000001</v>
      </c>
    </row>
    <row r="446" spans="1:36" hidden="1" x14ac:dyDescent="0.25">
      <c r="A446" s="12" t="s">
        <v>17</v>
      </c>
      <c r="B446" s="27">
        <v>44985</v>
      </c>
      <c r="C446" s="4">
        <v>45010</v>
      </c>
      <c r="D446" s="12" t="s">
        <v>646</v>
      </c>
      <c r="E446" s="12" t="s">
        <v>650</v>
      </c>
      <c r="F446" s="12" t="s">
        <v>664</v>
      </c>
      <c r="G446" s="12" t="s">
        <v>701</v>
      </c>
      <c r="H446" s="12" t="s">
        <v>707</v>
      </c>
      <c r="I446" s="12" t="s">
        <v>714</v>
      </c>
      <c r="J446" s="12" t="s">
        <v>729</v>
      </c>
      <c r="K446" s="12" t="s">
        <v>736</v>
      </c>
      <c r="L446" s="6">
        <v>1460.76</v>
      </c>
      <c r="M446" s="6">
        <v>-30.66</v>
      </c>
      <c r="N446" s="6">
        <f t="shared" si="108"/>
        <v>30.66</v>
      </c>
      <c r="O446" s="6" t="str">
        <f t="shared" si="122"/>
        <v>Low</v>
      </c>
      <c r="P446" s="6">
        <v>0.13100000000000001</v>
      </c>
      <c r="Q446" s="6">
        <f t="shared" si="109"/>
        <v>0.13100000000000001</v>
      </c>
      <c r="R446" s="6">
        <v>12</v>
      </c>
      <c r="S446" s="6" t="str">
        <f t="shared" si="110"/>
        <v>OK</v>
      </c>
      <c r="T446" s="4">
        <f t="shared" si="111"/>
        <v>45010</v>
      </c>
      <c r="U446" s="11">
        <f t="shared" si="112"/>
        <v>25</v>
      </c>
      <c r="V446" s="6">
        <f t="shared" si="113"/>
        <v>319.72248000000002</v>
      </c>
      <c r="W446" s="6">
        <f t="shared" si="114"/>
        <v>17529.12</v>
      </c>
      <c r="X446" s="6">
        <f t="shared" si="115"/>
        <v>-17209.397519999999</v>
      </c>
      <c r="Y446" s="6">
        <f t="shared" si="116"/>
        <v>-53.826047890032626</v>
      </c>
      <c r="Z446" s="4" t="str">
        <f t="shared" si="117"/>
        <v>Q1-2023</v>
      </c>
      <c r="AA446" t="str">
        <f t="shared" si="118"/>
        <v>Networking</v>
      </c>
      <c r="AB446" t="str">
        <f t="shared" si="119"/>
        <v>Networking</v>
      </c>
      <c r="AC446" t="str">
        <f t="shared" si="120"/>
        <v>Compliant</v>
      </c>
      <c r="AD446" t="str">
        <f t="shared" si="121"/>
        <v>Late</v>
      </c>
      <c r="AE446" s="8">
        <f>MIN(Q446,Scenario!$B$2)</f>
        <v>0.13100000000000001</v>
      </c>
      <c r="AF446" s="33">
        <f>L446*(1+Scenario!$B$3)</f>
        <v>1679.8739999999998</v>
      </c>
      <c r="AG446" s="6">
        <f>R446*(1+Scenario!$B$4)</f>
        <v>14.399999999999999</v>
      </c>
      <c r="AH446" s="33">
        <f t="shared" si="123"/>
        <v>383.66697599999998</v>
      </c>
      <c r="AI446" s="33">
        <f t="shared" si="124"/>
        <v>24190.185599999993</v>
      </c>
      <c r="AJ446" s="33">
        <f t="shared" si="125"/>
        <v>-23806.518623999993</v>
      </c>
    </row>
    <row r="447" spans="1:36" hidden="1" x14ac:dyDescent="0.25">
      <c r="A447" s="12" t="s">
        <v>187</v>
      </c>
      <c r="B447" s="27">
        <v>44981</v>
      </c>
      <c r="C447" s="4">
        <v>44994</v>
      </c>
      <c r="D447" s="12" t="s">
        <v>648</v>
      </c>
      <c r="E447" s="12" t="s">
        <v>660</v>
      </c>
      <c r="F447" s="12" t="s">
        <v>700</v>
      </c>
      <c r="G447" s="12" t="s">
        <v>706</v>
      </c>
      <c r="H447" s="12" t="s">
        <v>708</v>
      </c>
      <c r="I447" s="12" t="s">
        <v>724</v>
      </c>
      <c r="J447" s="12" t="s">
        <v>727</v>
      </c>
      <c r="K447" s="12" t="s">
        <v>906</v>
      </c>
      <c r="L447" s="6">
        <v>6.85</v>
      </c>
      <c r="M447" s="6">
        <v>10.18</v>
      </c>
      <c r="N447" s="6">
        <f t="shared" si="108"/>
        <v>10.18</v>
      </c>
      <c r="O447" s="6" t="str">
        <f t="shared" si="122"/>
        <v>Low</v>
      </c>
      <c r="P447" s="6">
        <v>4.7E-2</v>
      </c>
      <c r="Q447" s="6">
        <f t="shared" si="109"/>
        <v>4.7E-2</v>
      </c>
      <c r="R447" s="6">
        <v>10</v>
      </c>
      <c r="S447" s="6" t="str">
        <f t="shared" si="110"/>
        <v>OK</v>
      </c>
      <c r="T447" s="4">
        <f t="shared" si="111"/>
        <v>44994</v>
      </c>
      <c r="U447" s="11">
        <f t="shared" si="112"/>
        <v>13</v>
      </c>
      <c r="V447" s="6">
        <f t="shared" si="113"/>
        <v>97.0154</v>
      </c>
      <c r="W447" s="6">
        <f t="shared" si="114"/>
        <v>68.5</v>
      </c>
      <c r="X447" s="6">
        <f t="shared" si="115"/>
        <v>28.5154</v>
      </c>
      <c r="Y447" s="6">
        <f t="shared" si="116"/>
        <v>0.2939265312517394</v>
      </c>
      <c r="Z447" s="4" t="str">
        <f t="shared" si="117"/>
        <v>Q1-2023</v>
      </c>
      <c r="AA447" t="str">
        <f t="shared" si="118"/>
        <v>Components</v>
      </c>
      <c r="AB447" t="str">
        <f t="shared" si="119"/>
        <v>Components</v>
      </c>
      <c r="AC447" t="str">
        <f t="shared" si="120"/>
        <v>Compliant</v>
      </c>
      <c r="AD447" t="str">
        <f t="shared" si="121"/>
        <v>Late</v>
      </c>
      <c r="AE447" s="8">
        <f>MIN(Q447,Scenario!$B$2)</f>
        <v>4.7E-2</v>
      </c>
      <c r="AF447" s="33">
        <f>L447*(1+Scenario!$B$3)</f>
        <v>7.8774999999999986</v>
      </c>
      <c r="AG447" s="6">
        <f>R447*(1+Scenario!$B$4)</f>
        <v>12</v>
      </c>
      <c r="AH447" s="33">
        <f t="shared" si="123"/>
        <v>116.41847999999999</v>
      </c>
      <c r="AI447" s="33">
        <f t="shared" si="124"/>
        <v>94.529999999999987</v>
      </c>
      <c r="AJ447" s="33">
        <f t="shared" si="125"/>
        <v>21.888480000000001</v>
      </c>
    </row>
    <row r="448" spans="1:36" x14ac:dyDescent="0.25">
      <c r="A448" s="12" t="s">
        <v>364</v>
      </c>
      <c r="B448" s="27">
        <v>44980</v>
      </c>
      <c r="C448" s="4">
        <v>44993</v>
      </c>
      <c r="D448" s="12" t="s">
        <v>649</v>
      </c>
      <c r="E448" s="12" t="s">
        <v>658</v>
      </c>
      <c r="F448" s="12" t="s">
        <v>693</v>
      </c>
      <c r="G448" s="12" t="s">
        <v>705</v>
      </c>
      <c r="H448" s="12" t="s">
        <v>711</v>
      </c>
      <c r="I448" s="12" t="s">
        <v>712</v>
      </c>
      <c r="J448" s="12" t="s">
        <v>728</v>
      </c>
      <c r="K448" s="12" t="s">
        <v>1084</v>
      </c>
      <c r="L448" s="6">
        <v>307.37</v>
      </c>
      <c r="M448" s="6">
        <v>462.61</v>
      </c>
      <c r="N448" s="6">
        <f t="shared" si="108"/>
        <v>462.61</v>
      </c>
      <c r="O448" s="6" t="str">
        <f t="shared" si="122"/>
        <v>Low</v>
      </c>
      <c r="P448" s="6">
        <v>0.188</v>
      </c>
      <c r="Q448" s="6">
        <f t="shared" si="109"/>
        <v>0.188</v>
      </c>
      <c r="R448" s="6">
        <v>11</v>
      </c>
      <c r="S448" s="6" t="str">
        <f t="shared" si="110"/>
        <v>OK</v>
      </c>
      <c r="T448" s="4">
        <f t="shared" si="111"/>
        <v>44993</v>
      </c>
      <c r="U448" s="11">
        <f t="shared" si="112"/>
        <v>13</v>
      </c>
      <c r="V448" s="6">
        <f t="shared" si="113"/>
        <v>4132.0325200000007</v>
      </c>
      <c r="W448" s="6">
        <f t="shared" si="114"/>
        <v>3381.07</v>
      </c>
      <c r="X448" s="6">
        <f t="shared" si="115"/>
        <v>750.9625200000005</v>
      </c>
      <c r="Y448" s="6">
        <f t="shared" si="116"/>
        <v>0.18174167709599739</v>
      </c>
      <c r="Z448" s="4" t="str">
        <f t="shared" si="117"/>
        <v>Q1-2023</v>
      </c>
      <c r="AA448" t="str">
        <f t="shared" si="118"/>
        <v>Printers</v>
      </c>
      <c r="AB448" t="str">
        <f t="shared" si="119"/>
        <v>Printers</v>
      </c>
      <c r="AC448" t="str">
        <f t="shared" si="120"/>
        <v>Compliant</v>
      </c>
      <c r="AD448" t="str">
        <f t="shared" si="121"/>
        <v>Late</v>
      </c>
      <c r="AE448" s="8">
        <f>MIN(Q448,Scenario!$B$2)</f>
        <v>0.188</v>
      </c>
      <c r="AF448" s="33">
        <f>L448*(1+Scenario!$B$3)</f>
        <v>353.47549999999995</v>
      </c>
      <c r="AG448" s="6">
        <f>R448*(1+Scenario!$B$4)</f>
        <v>13.2</v>
      </c>
      <c r="AH448" s="33">
        <f t="shared" si="123"/>
        <v>4958.4390240000002</v>
      </c>
      <c r="AI448" s="33">
        <f t="shared" si="124"/>
        <v>4665.8765999999987</v>
      </c>
      <c r="AJ448" s="33">
        <f t="shared" si="125"/>
        <v>292.56242400000156</v>
      </c>
    </row>
    <row r="449" spans="1:36" hidden="1" x14ac:dyDescent="0.25">
      <c r="A449" s="12" t="s">
        <v>453</v>
      </c>
      <c r="B449" s="27">
        <v>44978</v>
      </c>
      <c r="C449" s="4">
        <v>44997</v>
      </c>
      <c r="D449" s="12" t="s">
        <v>646</v>
      </c>
      <c r="E449" s="12" t="s">
        <v>650</v>
      </c>
      <c r="F449" s="12" t="s">
        <v>678</v>
      </c>
      <c r="G449" s="12" t="s">
        <v>701</v>
      </c>
      <c r="H449" s="12" t="s">
        <v>708</v>
      </c>
      <c r="I449" s="12" t="s">
        <v>721</v>
      </c>
      <c r="J449" s="12" t="s">
        <v>729</v>
      </c>
      <c r="K449" s="12" t="s">
        <v>1172</v>
      </c>
      <c r="L449" s="6">
        <v>352.65</v>
      </c>
      <c r="M449" s="6">
        <v>485.86</v>
      </c>
      <c r="N449" s="6">
        <f t="shared" si="108"/>
        <v>485.86</v>
      </c>
      <c r="O449" s="6" t="str">
        <f t="shared" si="122"/>
        <v>Low</v>
      </c>
      <c r="P449" s="6">
        <v>4.1000000000000002E-2</v>
      </c>
      <c r="Q449" s="6">
        <f t="shared" si="109"/>
        <v>4.1000000000000002E-2</v>
      </c>
      <c r="R449" s="6">
        <v>6</v>
      </c>
      <c r="S449" s="6" t="str">
        <f t="shared" si="110"/>
        <v>OK</v>
      </c>
      <c r="T449" s="4">
        <f t="shared" si="111"/>
        <v>44997</v>
      </c>
      <c r="U449" s="11">
        <f t="shared" si="112"/>
        <v>19</v>
      </c>
      <c r="V449" s="6">
        <f t="shared" si="113"/>
        <v>2795.6384399999997</v>
      </c>
      <c r="W449" s="6">
        <f t="shared" si="114"/>
        <v>2115.8999999999996</v>
      </c>
      <c r="X449" s="6">
        <f t="shared" si="115"/>
        <v>679.73844000000008</v>
      </c>
      <c r="Y449" s="6">
        <f t="shared" si="116"/>
        <v>0.24314247159943908</v>
      </c>
      <c r="Z449" s="4" t="str">
        <f t="shared" si="117"/>
        <v>Q1-2023</v>
      </c>
      <c r="AA449" t="str">
        <f t="shared" si="118"/>
        <v>Networking</v>
      </c>
      <c r="AB449" t="str">
        <f t="shared" si="119"/>
        <v>Networking</v>
      </c>
      <c r="AC449" t="str">
        <f t="shared" si="120"/>
        <v>Compliant</v>
      </c>
      <c r="AD449" t="str">
        <f t="shared" si="121"/>
        <v>Late</v>
      </c>
      <c r="AE449" s="8">
        <f>MIN(Q449,Scenario!$B$2)</f>
        <v>4.1000000000000002E-2</v>
      </c>
      <c r="AF449" s="33">
        <f>L449*(1+Scenario!$B$3)</f>
        <v>405.54749999999996</v>
      </c>
      <c r="AG449" s="6">
        <f>R449*(1+Scenario!$B$4)</f>
        <v>7.1999999999999993</v>
      </c>
      <c r="AH449" s="33">
        <f t="shared" si="123"/>
        <v>3354.7661279999993</v>
      </c>
      <c r="AI449" s="33">
        <f t="shared" si="124"/>
        <v>2919.9419999999996</v>
      </c>
      <c r="AJ449" s="33">
        <f t="shared" si="125"/>
        <v>434.82412799999975</v>
      </c>
    </row>
    <row r="450" spans="1:36" hidden="1" x14ac:dyDescent="0.25">
      <c r="A450" s="12" t="s">
        <v>175</v>
      </c>
      <c r="B450" s="27">
        <v>44977</v>
      </c>
      <c r="C450" s="4">
        <v>44989</v>
      </c>
      <c r="D450" s="12" t="s">
        <v>647</v>
      </c>
      <c r="E450" s="12" t="s">
        <v>654</v>
      </c>
      <c r="F450" s="12" t="s">
        <v>680</v>
      </c>
      <c r="G450" s="12" t="s">
        <v>704</v>
      </c>
      <c r="H450" s="12" t="s">
        <v>710</v>
      </c>
      <c r="I450" s="12" t="s">
        <v>724</v>
      </c>
      <c r="J450" s="12" t="s">
        <v>732</v>
      </c>
      <c r="K450" s="12" t="s">
        <v>894</v>
      </c>
      <c r="L450" s="6">
        <v>299.75</v>
      </c>
      <c r="M450" s="6">
        <v>523.01</v>
      </c>
      <c r="N450" s="6">
        <f t="shared" ref="N450:N513" si="126">ABS(M450)</f>
        <v>523.01</v>
      </c>
      <c r="O450" s="6" t="str">
        <f t="shared" si="122"/>
        <v>Low</v>
      </c>
      <c r="P450" s="6">
        <v>0.157</v>
      </c>
      <c r="Q450" s="6">
        <f t="shared" ref="Q450:Q513" si="127">IF(P450&gt;0.3, 0.3, P450)</f>
        <v>0.157</v>
      </c>
      <c r="R450" s="6">
        <v>50</v>
      </c>
      <c r="S450" s="6" t="str">
        <f t="shared" ref="S450:S513" si="128">IFERROR(IF(C450&lt;B450,"Correct", "OK"), "Error")</f>
        <v>OK</v>
      </c>
      <c r="T450" s="4">
        <f t="shared" ref="T450:T513" si="129">IF(C450&lt;B450,B450+7,C450)</f>
        <v>44989</v>
      </c>
      <c r="U450" s="11">
        <f t="shared" ref="U450:U513" si="130">T450-B450</f>
        <v>12</v>
      </c>
      <c r="V450" s="6">
        <f t="shared" ref="V450:V513" si="131">N450*R450*(1-Q450)</f>
        <v>22044.871499999997</v>
      </c>
      <c r="W450" s="6">
        <f t="shared" ref="W450:W513" si="132">L450*R450</f>
        <v>14987.5</v>
      </c>
      <c r="X450" s="6">
        <f t="shared" ref="X450:X513" si="133">V450-W450</f>
        <v>7057.3714999999975</v>
      </c>
      <c r="Y450" s="6">
        <f t="shared" ref="Y450:Y513" si="134">IF(V450=0, 0, X450/V450)</f>
        <v>0.32013665854210122</v>
      </c>
      <c r="Z450" s="4" t="str">
        <f t="shared" ref="Z450:Z513" si="135">"Q"&amp;ROUNDUP(MONTH(B450)/3,0)&amp;"-"&amp;YEAR(B450)</f>
        <v>Q1-2023</v>
      </c>
      <c r="AA450" t="str">
        <f t="shared" ref="AA450:AA513" si="136">PROPER(J450)</f>
        <v>Monitors</v>
      </c>
      <c r="AB450" t="str">
        <f t="shared" ref="AB450:AB513" si="137">TRIM(J450)</f>
        <v>Monitors</v>
      </c>
      <c r="AC450" t="str">
        <f t="shared" ref="AC450:AC513" si="138">IF(Q450&gt;20%, "Non-compliant","Compliant")</f>
        <v>Compliant</v>
      </c>
      <c r="AD450" t="str">
        <f t="shared" ref="AD450:AD513" si="139">IF(U450&lt;=7,"On-time","Late")</f>
        <v>Late</v>
      </c>
      <c r="AE450" s="8">
        <f>MIN(Q450,Scenario!$B$2)</f>
        <v>0.157</v>
      </c>
      <c r="AF450" s="33">
        <f>L450*(1+Scenario!$B$3)</f>
        <v>344.71249999999998</v>
      </c>
      <c r="AG450" s="6">
        <f>R450*(1+Scenario!$B$4)</f>
        <v>60</v>
      </c>
      <c r="AH450" s="33">
        <f t="shared" si="123"/>
        <v>26453.845799999999</v>
      </c>
      <c r="AI450" s="33">
        <f t="shared" si="124"/>
        <v>20682.75</v>
      </c>
      <c r="AJ450" s="33">
        <f t="shared" si="125"/>
        <v>5771.0957999999991</v>
      </c>
    </row>
    <row r="451" spans="1:36" hidden="1" x14ac:dyDescent="0.25">
      <c r="A451" s="12" t="s">
        <v>79</v>
      </c>
      <c r="B451" s="27">
        <v>44972</v>
      </c>
      <c r="C451" s="4">
        <v>44983</v>
      </c>
      <c r="D451" s="12" t="s">
        <v>646</v>
      </c>
      <c r="E451" s="12" t="s">
        <v>661</v>
      </c>
      <c r="F451" s="12" t="s">
        <v>682</v>
      </c>
      <c r="G451" s="12" t="s">
        <v>703</v>
      </c>
      <c r="H451" s="12" t="s">
        <v>707</v>
      </c>
      <c r="I451" s="12" t="s">
        <v>723</v>
      </c>
      <c r="J451" s="12" t="s">
        <v>731</v>
      </c>
      <c r="K451" s="12" t="s">
        <v>798</v>
      </c>
      <c r="L451" s="6">
        <v>498.5</v>
      </c>
      <c r="M451" s="6">
        <v>755.87</v>
      </c>
      <c r="N451" s="6">
        <f t="shared" si="126"/>
        <v>755.87</v>
      </c>
      <c r="O451" s="6" t="str">
        <f t="shared" ref="O451:O514" si="140">IF(N451&lt;=QUARTILE(N451:N1081,1), "Low", IF(N451&lt;=QUARTILE(N451:N1081,2),"Middle", "High"))</f>
        <v>Middle</v>
      </c>
      <c r="P451" s="6">
        <v>0.13</v>
      </c>
      <c r="Q451" s="6">
        <f t="shared" si="127"/>
        <v>0.13</v>
      </c>
      <c r="R451" s="6">
        <v>40</v>
      </c>
      <c r="S451" s="6" t="str">
        <f t="shared" si="128"/>
        <v>OK</v>
      </c>
      <c r="T451" s="4">
        <f t="shared" si="129"/>
        <v>44983</v>
      </c>
      <c r="U451" s="11">
        <f t="shared" si="130"/>
        <v>11</v>
      </c>
      <c r="V451" s="6">
        <f t="shared" si="131"/>
        <v>26304.275999999998</v>
      </c>
      <c r="W451" s="6">
        <f t="shared" si="132"/>
        <v>19940</v>
      </c>
      <c r="X451" s="6">
        <f t="shared" si="133"/>
        <v>6364.275999999998</v>
      </c>
      <c r="Y451" s="6">
        <f t="shared" si="134"/>
        <v>0.24194834330357537</v>
      </c>
      <c r="Z451" s="4" t="str">
        <f t="shared" si="135"/>
        <v>Q1-2023</v>
      </c>
      <c r="AA451" t="str">
        <f t="shared" si="136"/>
        <v>Laptops</v>
      </c>
      <c r="AB451" t="str">
        <f t="shared" si="137"/>
        <v>Laptops</v>
      </c>
      <c r="AC451" t="str">
        <f t="shared" si="138"/>
        <v>Compliant</v>
      </c>
      <c r="AD451" t="str">
        <f t="shared" si="139"/>
        <v>Late</v>
      </c>
      <c r="AE451" s="8">
        <f>MIN(Q451,Scenario!$B$2)</f>
        <v>0.13</v>
      </c>
      <c r="AF451" s="33">
        <f>L451*(1+Scenario!$B$3)</f>
        <v>573.27499999999998</v>
      </c>
      <c r="AG451" s="6">
        <f>R451*(1+Scenario!$B$4)</f>
        <v>48</v>
      </c>
      <c r="AH451" s="33">
        <f t="shared" ref="AH451:AH514" si="141">N451*AG451*(1-AE451)</f>
        <v>31565.1312</v>
      </c>
      <c r="AI451" s="33">
        <f t="shared" ref="AI451:AI514" si="142">AF451*AG451</f>
        <v>27517.199999999997</v>
      </c>
      <c r="AJ451" s="33">
        <f t="shared" ref="AJ451:AJ514" si="143">AH451-AI451</f>
        <v>4047.9312000000027</v>
      </c>
    </row>
    <row r="452" spans="1:36" hidden="1" x14ac:dyDescent="0.25">
      <c r="A452" s="12" t="s">
        <v>557</v>
      </c>
      <c r="B452" s="27">
        <v>44968</v>
      </c>
      <c r="C452" s="4">
        <v>44969</v>
      </c>
      <c r="D452" s="12" t="s">
        <v>646</v>
      </c>
      <c r="E452" s="12" t="s">
        <v>651</v>
      </c>
      <c r="F452" s="12" t="s">
        <v>663</v>
      </c>
      <c r="G452" s="12" t="s">
        <v>703</v>
      </c>
      <c r="H452" s="12" t="s">
        <v>711</v>
      </c>
      <c r="I452" s="12" t="s">
        <v>726</v>
      </c>
      <c r="J452" s="12" t="s">
        <v>733</v>
      </c>
      <c r="K452" s="12" t="s">
        <v>1275</v>
      </c>
      <c r="L452" s="6">
        <v>944.61</v>
      </c>
      <c r="M452" s="6">
        <v>839.04</v>
      </c>
      <c r="N452" s="6">
        <f t="shared" si="126"/>
        <v>839.04</v>
      </c>
      <c r="O452" s="6" t="str">
        <f t="shared" si="140"/>
        <v>Middle</v>
      </c>
      <c r="P452" s="6">
        <v>5.8999999999999997E-2</v>
      </c>
      <c r="Q452" s="6">
        <f t="shared" si="127"/>
        <v>5.8999999999999997E-2</v>
      </c>
      <c r="R452" s="6">
        <v>6</v>
      </c>
      <c r="S452" s="6" t="str">
        <f t="shared" si="128"/>
        <v>OK</v>
      </c>
      <c r="T452" s="4">
        <f t="shared" si="129"/>
        <v>44969</v>
      </c>
      <c r="U452" s="11">
        <f t="shared" si="130"/>
        <v>1</v>
      </c>
      <c r="V452" s="6">
        <f t="shared" si="131"/>
        <v>4737.2198399999997</v>
      </c>
      <c r="W452" s="6">
        <f t="shared" si="132"/>
        <v>5667.66</v>
      </c>
      <c r="X452" s="6">
        <f t="shared" si="133"/>
        <v>-930.44016000000011</v>
      </c>
      <c r="Y452" s="6">
        <f t="shared" si="134"/>
        <v>-0.19641059343363726</v>
      </c>
      <c r="Z452" s="4" t="str">
        <f t="shared" si="135"/>
        <v>Q1-2023</v>
      </c>
      <c r="AA452" t="str">
        <f t="shared" si="136"/>
        <v>Accessories</v>
      </c>
      <c r="AB452" t="str">
        <f t="shared" si="137"/>
        <v>Accessories</v>
      </c>
      <c r="AC452" t="str">
        <f t="shared" si="138"/>
        <v>Compliant</v>
      </c>
      <c r="AD452" t="str">
        <f t="shared" si="139"/>
        <v>On-time</v>
      </c>
      <c r="AE452" s="8">
        <f>MIN(Q452,Scenario!$B$2)</f>
        <v>5.8999999999999997E-2</v>
      </c>
      <c r="AF452" s="33">
        <f>L452*(1+Scenario!$B$3)</f>
        <v>1086.3015</v>
      </c>
      <c r="AG452" s="6">
        <f>R452*(1+Scenario!$B$4)</f>
        <v>7.1999999999999993</v>
      </c>
      <c r="AH452" s="33">
        <f t="shared" si="141"/>
        <v>5684.6638079999993</v>
      </c>
      <c r="AI452" s="33">
        <f t="shared" si="142"/>
        <v>7821.3707999999997</v>
      </c>
      <c r="AJ452" s="33">
        <f t="shared" si="143"/>
        <v>-2136.7069920000004</v>
      </c>
    </row>
    <row r="453" spans="1:36" x14ac:dyDescent="0.25">
      <c r="A453" s="12" t="s">
        <v>562</v>
      </c>
      <c r="B453" s="27">
        <v>44985</v>
      </c>
      <c r="C453" s="4">
        <v>44991</v>
      </c>
      <c r="D453" s="12" t="s">
        <v>649</v>
      </c>
      <c r="E453" s="12" t="s">
        <v>656</v>
      </c>
      <c r="F453" s="12" t="s">
        <v>698</v>
      </c>
      <c r="G453" s="12" t="s">
        <v>705</v>
      </c>
      <c r="H453" s="12" t="s">
        <v>709</v>
      </c>
      <c r="I453" s="12" t="s">
        <v>726</v>
      </c>
      <c r="J453" s="12" t="s">
        <v>728</v>
      </c>
      <c r="K453" s="12" t="s">
        <v>1280</v>
      </c>
      <c r="L453" s="6">
        <v>880.02</v>
      </c>
      <c r="M453" s="6">
        <v>1251.21</v>
      </c>
      <c r="N453" s="6">
        <f t="shared" si="126"/>
        <v>1251.21</v>
      </c>
      <c r="O453" s="6" t="str">
        <f t="shared" si="140"/>
        <v>High</v>
      </c>
      <c r="P453" s="6">
        <v>0.123</v>
      </c>
      <c r="Q453" s="6">
        <f t="shared" si="127"/>
        <v>0.123</v>
      </c>
      <c r="R453" s="6">
        <v>29</v>
      </c>
      <c r="S453" s="6" t="str">
        <f t="shared" si="128"/>
        <v>OK</v>
      </c>
      <c r="T453" s="4">
        <f t="shared" si="129"/>
        <v>44991</v>
      </c>
      <c r="U453" s="11">
        <f t="shared" si="130"/>
        <v>6</v>
      </c>
      <c r="V453" s="6">
        <f t="shared" si="131"/>
        <v>31822.023930000003</v>
      </c>
      <c r="W453" s="6">
        <f t="shared" si="132"/>
        <v>25520.579999999998</v>
      </c>
      <c r="X453" s="6">
        <f t="shared" si="133"/>
        <v>6301.4439300000049</v>
      </c>
      <c r="Y453" s="6">
        <f t="shared" si="134"/>
        <v>0.19802146915172672</v>
      </c>
      <c r="Z453" s="4" t="str">
        <f t="shared" si="135"/>
        <v>Q1-2023</v>
      </c>
      <c r="AA453" t="str">
        <f t="shared" si="136"/>
        <v>Printers</v>
      </c>
      <c r="AB453" t="str">
        <f t="shared" si="137"/>
        <v>Printers</v>
      </c>
      <c r="AC453" t="str">
        <f t="shared" si="138"/>
        <v>Compliant</v>
      </c>
      <c r="AD453" t="str">
        <f t="shared" si="139"/>
        <v>On-time</v>
      </c>
      <c r="AE453" s="8">
        <f>MIN(Q453,Scenario!$B$2)</f>
        <v>0.123</v>
      </c>
      <c r="AF453" s="33">
        <f>L453*(1+Scenario!$B$3)</f>
        <v>1012.0229999999999</v>
      </c>
      <c r="AG453" s="6">
        <f>R453*(1+Scenario!$B$4)</f>
        <v>34.799999999999997</v>
      </c>
      <c r="AH453" s="33">
        <f t="shared" si="141"/>
        <v>38186.428716000002</v>
      </c>
      <c r="AI453" s="33">
        <f t="shared" si="142"/>
        <v>35218.400399999991</v>
      </c>
      <c r="AJ453" s="33">
        <f t="shared" si="143"/>
        <v>2968.0283160000108</v>
      </c>
    </row>
    <row r="454" spans="1:36" hidden="1" x14ac:dyDescent="0.25">
      <c r="A454" s="12" t="s">
        <v>385</v>
      </c>
      <c r="B454" s="27">
        <v>44962</v>
      </c>
      <c r="C454" s="4">
        <v>44985</v>
      </c>
      <c r="D454" s="12" t="s">
        <v>648</v>
      </c>
      <c r="E454" s="12" t="s">
        <v>660</v>
      </c>
      <c r="F454" s="12" t="s">
        <v>697</v>
      </c>
      <c r="G454" s="12" t="s">
        <v>703</v>
      </c>
      <c r="H454" s="12" t="s">
        <v>710</v>
      </c>
      <c r="I454" s="12" t="s">
        <v>716</v>
      </c>
      <c r="J454" s="12" t="s">
        <v>730</v>
      </c>
      <c r="K454" s="12" t="s">
        <v>1105</v>
      </c>
      <c r="L454" s="6">
        <v>1214.49</v>
      </c>
      <c r="M454" s="6">
        <v>1533.95</v>
      </c>
      <c r="N454" s="6">
        <f t="shared" si="126"/>
        <v>1533.95</v>
      </c>
      <c r="O454" s="6" t="str">
        <f t="shared" si="140"/>
        <v>High</v>
      </c>
      <c r="P454" s="6">
        <v>0</v>
      </c>
      <c r="Q454" s="6">
        <f t="shared" si="127"/>
        <v>0</v>
      </c>
      <c r="R454" s="6">
        <v>11</v>
      </c>
      <c r="S454" s="6" t="str">
        <f t="shared" si="128"/>
        <v>OK</v>
      </c>
      <c r="T454" s="4">
        <f t="shared" si="129"/>
        <v>44985</v>
      </c>
      <c r="U454" s="11">
        <f t="shared" si="130"/>
        <v>23</v>
      </c>
      <c r="V454" s="6">
        <f t="shared" si="131"/>
        <v>16873.45</v>
      </c>
      <c r="W454" s="6">
        <f t="shared" si="132"/>
        <v>13359.39</v>
      </c>
      <c r="X454" s="6">
        <f t="shared" si="133"/>
        <v>3514.0600000000013</v>
      </c>
      <c r="Y454" s="6">
        <f t="shared" si="134"/>
        <v>0.20825972163369086</v>
      </c>
      <c r="Z454" s="4" t="str">
        <f t="shared" si="135"/>
        <v>Q1-2023</v>
      </c>
      <c r="AA454" t="str">
        <f t="shared" si="136"/>
        <v>Phones</v>
      </c>
      <c r="AB454" t="str">
        <f t="shared" si="137"/>
        <v>Phones</v>
      </c>
      <c r="AC454" t="str">
        <f t="shared" si="138"/>
        <v>Compliant</v>
      </c>
      <c r="AD454" t="str">
        <f t="shared" si="139"/>
        <v>Late</v>
      </c>
      <c r="AE454" s="8">
        <f>MIN(Q454,Scenario!$B$2)</f>
        <v>0</v>
      </c>
      <c r="AF454" s="33">
        <f>L454*(1+Scenario!$B$3)</f>
        <v>1396.6634999999999</v>
      </c>
      <c r="AG454" s="6">
        <f>R454*(1+Scenario!$B$4)</f>
        <v>13.2</v>
      </c>
      <c r="AH454" s="33">
        <f t="shared" si="141"/>
        <v>20248.14</v>
      </c>
      <c r="AI454" s="33">
        <f t="shared" si="142"/>
        <v>18435.958199999997</v>
      </c>
      <c r="AJ454" s="33">
        <f t="shared" si="143"/>
        <v>1812.1818000000021</v>
      </c>
    </row>
    <row r="455" spans="1:36" hidden="1" x14ac:dyDescent="0.25">
      <c r="A455" s="12" t="s">
        <v>516</v>
      </c>
      <c r="B455" s="27">
        <v>44980</v>
      </c>
      <c r="C455" s="4">
        <v>45003</v>
      </c>
      <c r="D455" s="12" t="s">
        <v>647</v>
      </c>
      <c r="E455" s="12" t="s">
        <v>659</v>
      </c>
      <c r="F455" s="12" t="s">
        <v>699</v>
      </c>
      <c r="G455" s="12" t="s">
        <v>702</v>
      </c>
      <c r="H455" s="12" t="s">
        <v>710</v>
      </c>
      <c r="I455" s="12" t="s">
        <v>723</v>
      </c>
      <c r="J455" s="12" t="s">
        <v>728</v>
      </c>
      <c r="K455" s="12" t="s">
        <v>1235</v>
      </c>
      <c r="L455" s="6">
        <v>770.11</v>
      </c>
      <c r="M455" s="6">
        <v>1667.82</v>
      </c>
      <c r="N455" s="6">
        <f t="shared" si="126"/>
        <v>1667.82</v>
      </c>
      <c r="O455" s="6" t="str">
        <f t="shared" si="140"/>
        <v>High</v>
      </c>
      <c r="P455" s="6">
        <v>6.9000000000000006E-2</v>
      </c>
      <c r="Q455" s="6">
        <f t="shared" si="127"/>
        <v>6.9000000000000006E-2</v>
      </c>
      <c r="R455" s="6">
        <v>7</v>
      </c>
      <c r="S455" s="6" t="str">
        <f t="shared" si="128"/>
        <v>OK</v>
      </c>
      <c r="T455" s="4">
        <f t="shared" si="129"/>
        <v>45003</v>
      </c>
      <c r="U455" s="11">
        <f t="shared" si="130"/>
        <v>23</v>
      </c>
      <c r="V455" s="6">
        <f t="shared" si="131"/>
        <v>10869.182940000001</v>
      </c>
      <c r="W455" s="6">
        <f t="shared" si="132"/>
        <v>5390.77</v>
      </c>
      <c r="X455" s="6">
        <f t="shared" si="133"/>
        <v>5478.4129400000002</v>
      </c>
      <c r="Y455" s="6">
        <f t="shared" si="134"/>
        <v>0.50403171703355287</v>
      </c>
      <c r="Z455" s="4" t="str">
        <f t="shared" si="135"/>
        <v>Q1-2023</v>
      </c>
      <c r="AA455" t="str">
        <f t="shared" si="136"/>
        <v>Printers</v>
      </c>
      <c r="AB455" t="str">
        <f t="shared" si="137"/>
        <v>Printers</v>
      </c>
      <c r="AC455" t="str">
        <f t="shared" si="138"/>
        <v>Compliant</v>
      </c>
      <c r="AD455" t="str">
        <f t="shared" si="139"/>
        <v>Late</v>
      </c>
      <c r="AE455" s="8">
        <f>MIN(Q455,Scenario!$B$2)</f>
        <v>6.9000000000000006E-2</v>
      </c>
      <c r="AF455" s="33">
        <f>L455*(1+Scenario!$B$3)</f>
        <v>885.62649999999996</v>
      </c>
      <c r="AG455" s="6">
        <f>R455*(1+Scenario!$B$4)</f>
        <v>8.4</v>
      </c>
      <c r="AH455" s="33">
        <f t="shared" si="141"/>
        <v>13043.019528000001</v>
      </c>
      <c r="AI455" s="33">
        <f t="shared" si="142"/>
        <v>7439.2626</v>
      </c>
      <c r="AJ455" s="33">
        <f t="shared" si="143"/>
        <v>5603.7569280000007</v>
      </c>
    </row>
    <row r="456" spans="1:36" hidden="1" x14ac:dyDescent="0.25">
      <c r="A456" s="12" t="s">
        <v>46</v>
      </c>
      <c r="B456" s="27">
        <v>44980</v>
      </c>
      <c r="C456" s="4">
        <v>45010</v>
      </c>
      <c r="D456" s="12" t="s">
        <v>648</v>
      </c>
      <c r="E456" s="12" t="s">
        <v>653</v>
      </c>
      <c r="F456" s="12" t="s">
        <v>681</v>
      </c>
      <c r="G456" s="12" t="s">
        <v>706</v>
      </c>
      <c r="H456" s="12" t="s">
        <v>708</v>
      </c>
      <c r="I456" s="12" t="s">
        <v>726</v>
      </c>
      <c r="J456" s="12" t="s">
        <v>730</v>
      </c>
      <c r="K456" s="12" t="s">
        <v>765</v>
      </c>
      <c r="L456" s="6">
        <v>1242.6600000000001</v>
      </c>
      <c r="M456" s="6">
        <v>1794.07</v>
      </c>
      <c r="N456" s="6">
        <f t="shared" si="126"/>
        <v>1794.07</v>
      </c>
      <c r="O456" s="6" t="str">
        <f t="shared" si="140"/>
        <v>High</v>
      </c>
      <c r="P456" s="6">
        <v>8.8999999999999996E-2</v>
      </c>
      <c r="Q456" s="6">
        <f t="shared" si="127"/>
        <v>8.8999999999999996E-2</v>
      </c>
      <c r="R456" s="6">
        <v>16</v>
      </c>
      <c r="S456" s="6" t="str">
        <f t="shared" si="128"/>
        <v>OK</v>
      </c>
      <c r="T456" s="4">
        <f t="shared" si="129"/>
        <v>45010</v>
      </c>
      <c r="U456" s="11">
        <f t="shared" si="130"/>
        <v>30</v>
      </c>
      <c r="V456" s="6">
        <f t="shared" si="131"/>
        <v>26150.364320000001</v>
      </c>
      <c r="W456" s="6">
        <f t="shared" si="132"/>
        <v>19882.560000000001</v>
      </c>
      <c r="X456" s="6">
        <f t="shared" si="133"/>
        <v>6267.8043199999993</v>
      </c>
      <c r="Y456" s="6">
        <f t="shared" si="134"/>
        <v>0.23968325042440553</v>
      </c>
      <c r="Z456" s="4" t="str">
        <f t="shared" si="135"/>
        <v>Q1-2023</v>
      </c>
      <c r="AA456" t="str">
        <f t="shared" si="136"/>
        <v>Phones</v>
      </c>
      <c r="AB456" t="str">
        <f t="shared" si="137"/>
        <v>Phones</v>
      </c>
      <c r="AC456" t="str">
        <f t="shared" si="138"/>
        <v>Compliant</v>
      </c>
      <c r="AD456" t="str">
        <f t="shared" si="139"/>
        <v>Late</v>
      </c>
      <c r="AE456" s="8">
        <f>MIN(Q456,Scenario!$B$2)</f>
        <v>8.8999999999999996E-2</v>
      </c>
      <c r="AF456" s="33">
        <f>L456*(1+Scenario!$B$3)</f>
        <v>1429.059</v>
      </c>
      <c r="AG456" s="6">
        <f>R456*(1+Scenario!$B$4)</f>
        <v>19.2</v>
      </c>
      <c r="AH456" s="33">
        <f t="shared" si="141"/>
        <v>31380.437184000002</v>
      </c>
      <c r="AI456" s="33">
        <f t="shared" si="142"/>
        <v>27437.932799999999</v>
      </c>
      <c r="AJ456" s="33">
        <f t="shared" si="143"/>
        <v>3942.5043840000035</v>
      </c>
    </row>
    <row r="457" spans="1:36" x14ac:dyDescent="0.25">
      <c r="A457" s="12" t="s">
        <v>114</v>
      </c>
      <c r="B457" s="27">
        <v>44985</v>
      </c>
      <c r="C457" s="4">
        <v>45005</v>
      </c>
      <c r="D457" s="12" t="s">
        <v>649</v>
      </c>
      <c r="E457" s="12" t="s">
        <v>656</v>
      </c>
      <c r="F457" s="12" t="s">
        <v>671</v>
      </c>
      <c r="G457" s="12" t="s">
        <v>705</v>
      </c>
      <c r="H457" s="12" t="s">
        <v>711</v>
      </c>
      <c r="I457" s="12" t="s">
        <v>722</v>
      </c>
      <c r="J457" s="12" t="s">
        <v>731</v>
      </c>
      <c r="K457" s="12" t="s">
        <v>833</v>
      </c>
      <c r="L457" s="6">
        <v>1200.78</v>
      </c>
      <c r="M457" s="6">
        <v>2001.17</v>
      </c>
      <c r="N457" s="6">
        <f t="shared" si="126"/>
        <v>2001.17</v>
      </c>
      <c r="O457" s="6" t="str">
        <f t="shared" si="140"/>
        <v>High</v>
      </c>
      <c r="P457" s="6">
        <v>0.29199999999999998</v>
      </c>
      <c r="Q457" s="6">
        <f t="shared" si="127"/>
        <v>0.29199999999999998</v>
      </c>
      <c r="R457" s="6">
        <v>18</v>
      </c>
      <c r="S457" s="6" t="str">
        <f t="shared" si="128"/>
        <v>OK</v>
      </c>
      <c r="T457" s="4">
        <f t="shared" si="129"/>
        <v>45005</v>
      </c>
      <c r="U457" s="11">
        <f t="shared" si="130"/>
        <v>20</v>
      </c>
      <c r="V457" s="6">
        <f t="shared" si="131"/>
        <v>25502.910479999999</v>
      </c>
      <c r="W457" s="6">
        <f t="shared" si="132"/>
        <v>21614.04</v>
      </c>
      <c r="X457" s="6">
        <f t="shared" si="133"/>
        <v>3888.8704799999978</v>
      </c>
      <c r="Y457" s="6">
        <f t="shared" si="134"/>
        <v>0.15248732034132906</v>
      </c>
      <c r="Z457" s="4" t="str">
        <f t="shared" si="135"/>
        <v>Q1-2023</v>
      </c>
      <c r="AA457" t="str">
        <f t="shared" si="136"/>
        <v>Laptops</v>
      </c>
      <c r="AB457" t="str">
        <f t="shared" si="137"/>
        <v>Laptops</v>
      </c>
      <c r="AC457" t="str">
        <f t="shared" si="138"/>
        <v>Non-compliant</v>
      </c>
      <c r="AD457" t="str">
        <f t="shared" si="139"/>
        <v>Late</v>
      </c>
      <c r="AE457" s="8">
        <f>MIN(Q457,Scenario!$B$2)</f>
        <v>0.2</v>
      </c>
      <c r="AF457" s="33">
        <f>L457*(1+Scenario!$B$3)</f>
        <v>1380.8969999999999</v>
      </c>
      <c r="AG457" s="6">
        <f>R457*(1+Scenario!$B$4)</f>
        <v>21.599999999999998</v>
      </c>
      <c r="AH457" s="33">
        <f t="shared" si="141"/>
        <v>34580.217599999996</v>
      </c>
      <c r="AI457" s="33">
        <f t="shared" si="142"/>
        <v>29827.375199999995</v>
      </c>
      <c r="AJ457" s="33">
        <f t="shared" si="143"/>
        <v>4752.8424000000014</v>
      </c>
    </row>
    <row r="458" spans="1:36" x14ac:dyDescent="0.25">
      <c r="A458" s="12" t="s">
        <v>180</v>
      </c>
      <c r="B458" s="27">
        <v>44976</v>
      </c>
      <c r="C458" s="4">
        <v>44997</v>
      </c>
      <c r="D458" s="12" t="s">
        <v>649</v>
      </c>
      <c r="E458" s="12" t="s">
        <v>656</v>
      </c>
      <c r="F458" s="12" t="s">
        <v>671</v>
      </c>
      <c r="G458" s="12" t="s">
        <v>705</v>
      </c>
      <c r="H458" s="12" t="s">
        <v>711</v>
      </c>
      <c r="I458" s="12" t="s">
        <v>716</v>
      </c>
      <c r="J458" s="12" t="s">
        <v>732</v>
      </c>
      <c r="K458" s="12" t="s">
        <v>899</v>
      </c>
      <c r="L458" s="6">
        <v>1234.81</v>
      </c>
      <c r="M458" s="6">
        <v>2055.2399999999998</v>
      </c>
      <c r="N458" s="6">
        <f t="shared" si="126"/>
        <v>2055.2399999999998</v>
      </c>
      <c r="O458" s="6" t="str">
        <f t="shared" si="140"/>
        <v>High</v>
      </c>
      <c r="P458" s="6">
        <v>5.2999999999999999E-2</v>
      </c>
      <c r="Q458" s="6">
        <f t="shared" si="127"/>
        <v>5.2999999999999999E-2</v>
      </c>
      <c r="R458" s="6">
        <v>44</v>
      </c>
      <c r="S458" s="6" t="str">
        <f t="shared" si="128"/>
        <v>OK</v>
      </c>
      <c r="T458" s="4">
        <f t="shared" si="129"/>
        <v>44997</v>
      </c>
      <c r="U458" s="11">
        <f t="shared" si="130"/>
        <v>21</v>
      </c>
      <c r="V458" s="6">
        <f t="shared" si="131"/>
        <v>85637.740319999997</v>
      </c>
      <c r="W458" s="6">
        <f t="shared" si="132"/>
        <v>54331.64</v>
      </c>
      <c r="X458" s="6">
        <f t="shared" si="133"/>
        <v>31306.100319999998</v>
      </c>
      <c r="Y458" s="6">
        <f t="shared" si="134"/>
        <v>0.36556429680441616</v>
      </c>
      <c r="Z458" s="4" t="str">
        <f t="shared" si="135"/>
        <v>Q1-2023</v>
      </c>
      <c r="AA458" t="str">
        <f t="shared" si="136"/>
        <v>Monitors</v>
      </c>
      <c r="AB458" t="str">
        <f t="shared" si="137"/>
        <v>Monitors</v>
      </c>
      <c r="AC458" t="str">
        <f t="shared" si="138"/>
        <v>Compliant</v>
      </c>
      <c r="AD458" t="str">
        <f t="shared" si="139"/>
        <v>Late</v>
      </c>
      <c r="AE458" s="8">
        <f>MIN(Q458,Scenario!$B$2)</f>
        <v>5.2999999999999999E-2</v>
      </c>
      <c r="AF458" s="33">
        <f>L458*(1+Scenario!$B$3)</f>
        <v>1420.0314999999998</v>
      </c>
      <c r="AG458" s="6">
        <f>R458*(1+Scenario!$B$4)</f>
        <v>52.8</v>
      </c>
      <c r="AH458" s="33">
        <f t="shared" si="141"/>
        <v>102765.28838399997</v>
      </c>
      <c r="AI458" s="33">
        <f t="shared" si="142"/>
        <v>74977.663199999981</v>
      </c>
      <c r="AJ458" s="33">
        <f t="shared" si="143"/>
        <v>27787.62518399999</v>
      </c>
    </row>
    <row r="459" spans="1:36" hidden="1" x14ac:dyDescent="0.25">
      <c r="A459" s="12" t="s">
        <v>39</v>
      </c>
      <c r="B459" s="27">
        <v>44964</v>
      </c>
      <c r="C459" s="4">
        <v>44969</v>
      </c>
      <c r="D459" s="12" t="s">
        <v>648</v>
      </c>
      <c r="E459" s="12" t="s">
        <v>655</v>
      </c>
      <c r="F459" s="12" t="s">
        <v>670</v>
      </c>
      <c r="G459" s="12" t="s">
        <v>702</v>
      </c>
      <c r="H459" s="12" t="s">
        <v>708</v>
      </c>
      <c r="I459" s="12" t="s">
        <v>725</v>
      </c>
      <c r="J459" s="12" t="s">
        <v>727</v>
      </c>
      <c r="K459" s="12" t="s">
        <v>758</v>
      </c>
      <c r="L459" s="6">
        <v>948.55</v>
      </c>
      <c r="M459" s="6">
        <v>2089.16</v>
      </c>
      <c r="N459" s="6">
        <f t="shared" si="126"/>
        <v>2089.16</v>
      </c>
      <c r="O459" s="6" t="str">
        <f t="shared" si="140"/>
        <v>High</v>
      </c>
      <c r="P459" s="6">
        <v>7.0000000000000001E-3</v>
      </c>
      <c r="Q459" s="6">
        <f t="shared" si="127"/>
        <v>7.0000000000000001E-3</v>
      </c>
      <c r="R459" s="6">
        <v>12</v>
      </c>
      <c r="S459" s="6" t="str">
        <f t="shared" si="128"/>
        <v>OK</v>
      </c>
      <c r="T459" s="4">
        <f t="shared" si="129"/>
        <v>44969</v>
      </c>
      <c r="U459" s="11">
        <f t="shared" si="130"/>
        <v>5</v>
      </c>
      <c r="V459" s="6">
        <f t="shared" si="131"/>
        <v>24894.430559999997</v>
      </c>
      <c r="W459" s="6">
        <f t="shared" si="132"/>
        <v>11382.599999999999</v>
      </c>
      <c r="X459" s="6">
        <f t="shared" si="133"/>
        <v>13511.830559999999</v>
      </c>
      <c r="Y459" s="6">
        <f t="shared" si="134"/>
        <v>0.54276519912492427</v>
      </c>
      <c r="Z459" s="4" t="str">
        <f t="shared" si="135"/>
        <v>Q1-2023</v>
      </c>
      <c r="AA459" t="str">
        <f t="shared" si="136"/>
        <v>Components</v>
      </c>
      <c r="AB459" t="str">
        <f t="shared" si="137"/>
        <v>Components</v>
      </c>
      <c r="AC459" t="str">
        <f t="shared" si="138"/>
        <v>Compliant</v>
      </c>
      <c r="AD459" t="str">
        <f t="shared" si="139"/>
        <v>On-time</v>
      </c>
      <c r="AE459" s="8">
        <f>MIN(Q459,Scenario!$B$2)</f>
        <v>7.0000000000000001E-3</v>
      </c>
      <c r="AF459" s="33">
        <f>L459*(1+Scenario!$B$3)</f>
        <v>1090.8324999999998</v>
      </c>
      <c r="AG459" s="6">
        <f>R459*(1+Scenario!$B$4)</f>
        <v>14.399999999999999</v>
      </c>
      <c r="AH459" s="33">
        <f t="shared" si="141"/>
        <v>29873.316671999994</v>
      </c>
      <c r="AI459" s="33">
        <f t="shared" si="142"/>
        <v>15707.987999999996</v>
      </c>
      <c r="AJ459" s="33">
        <f t="shared" si="143"/>
        <v>14165.328671999998</v>
      </c>
    </row>
    <row r="460" spans="1:36" hidden="1" x14ac:dyDescent="0.25">
      <c r="A460" s="12" t="s">
        <v>606</v>
      </c>
      <c r="B460" s="27">
        <v>44984</v>
      </c>
      <c r="C460" s="4">
        <v>44983</v>
      </c>
      <c r="D460" s="12" t="s">
        <v>648</v>
      </c>
      <c r="E460" s="12" t="s">
        <v>660</v>
      </c>
      <c r="F460" s="12" t="s">
        <v>686</v>
      </c>
      <c r="G460" s="12" t="s">
        <v>703</v>
      </c>
      <c r="H460" s="12" t="s">
        <v>708</v>
      </c>
      <c r="I460" s="12" t="s">
        <v>716</v>
      </c>
      <c r="J460" s="12" t="s">
        <v>729</v>
      </c>
      <c r="K460" s="12" t="s">
        <v>1324</v>
      </c>
      <c r="L460" s="6">
        <v>1015.91</v>
      </c>
      <c r="M460" s="6">
        <v>2331.48</v>
      </c>
      <c r="N460" s="6">
        <f t="shared" si="126"/>
        <v>2331.48</v>
      </c>
      <c r="O460" s="6" t="str">
        <f t="shared" si="140"/>
        <v>High</v>
      </c>
      <c r="P460" s="6">
        <v>0.14599999999999999</v>
      </c>
      <c r="Q460" s="6">
        <f t="shared" si="127"/>
        <v>0.14599999999999999</v>
      </c>
      <c r="R460" s="6">
        <v>26</v>
      </c>
      <c r="S460" s="6" t="str">
        <f t="shared" si="128"/>
        <v>Correct</v>
      </c>
      <c r="T460" s="4">
        <f t="shared" si="129"/>
        <v>44991</v>
      </c>
      <c r="U460" s="11">
        <f t="shared" si="130"/>
        <v>7</v>
      </c>
      <c r="V460" s="6">
        <f t="shared" si="131"/>
        <v>51768.181920000003</v>
      </c>
      <c r="W460" s="6">
        <f t="shared" si="132"/>
        <v>26413.66</v>
      </c>
      <c r="X460" s="6">
        <f t="shared" si="133"/>
        <v>25354.521920000003</v>
      </c>
      <c r="Y460" s="6">
        <f t="shared" si="134"/>
        <v>0.48977037592669626</v>
      </c>
      <c r="Z460" s="4" t="str">
        <f t="shared" si="135"/>
        <v>Q1-2023</v>
      </c>
      <c r="AA460" t="str">
        <f t="shared" si="136"/>
        <v>Networking</v>
      </c>
      <c r="AB460" t="str">
        <f t="shared" si="137"/>
        <v>Networking</v>
      </c>
      <c r="AC460" t="str">
        <f t="shared" si="138"/>
        <v>Compliant</v>
      </c>
      <c r="AD460" t="str">
        <f t="shared" si="139"/>
        <v>On-time</v>
      </c>
      <c r="AE460" s="8">
        <f>MIN(Q460,Scenario!$B$2)</f>
        <v>0.14599999999999999</v>
      </c>
      <c r="AF460" s="33">
        <f>L460*(1+Scenario!$B$3)</f>
        <v>1168.2964999999999</v>
      </c>
      <c r="AG460" s="6">
        <f>R460*(1+Scenario!$B$4)</f>
        <v>31.2</v>
      </c>
      <c r="AH460" s="33">
        <f t="shared" si="141"/>
        <v>62121.818303999993</v>
      </c>
      <c r="AI460" s="33">
        <f t="shared" si="142"/>
        <v>36450.8508</v>
      </c>
      <c r="AJ460" s="33">
        <f t="shared" si="143"/>
        <v>25670.967503999993</v>
      </c>
    </row>
    <row r="461" spans="1:36" hidden="1" x14ac:dyDescent="0.25">
      <c r="A461" s="12" t="s">
        <v>95</v>
      </c>
      <c r="B461" s="27">
        <v>44965</v>
      </c>
      <c r="C461" s="4">
        <v>44968</v>
      </c>
      <c r="D461" s="12" t="s">
        <v>646</v>
      </c>
      <c r="E461" s="12" t="s">
        <v>661</v>
      </c>
      <c r="F461" s="12" t="s">
        <v>695</v>
      </c>
      <c r="G461" s="12" t="s">
        <v>701</v>
      </c>
      <c r="H461" s="12" t="s">
        <v>711</v>
      </c>
      <c r="I461" s="12" t="s">
        <v>724</v>
      </c>
      <c r="J461" s="12" t="s">
        <v>729</v>
      </c>
      <c r="K461" s="12" t="s">
        <v>814</v>
      </c>
      <c r="L461" s="6">
        <v>1410.05</v>
      </c>
      <c r="M461" s="6">
        <v>2763.95</v>
      </c>
      <c r="N461" s="6">
        <f t="shared" si="126"/>
        <v>2763.95</v>
      </c>
      <c r="O461" s="6" t="str">
        <f t="shared" si="140"/>
        <v>High</v>
      </c>
      <c r="P461" s="6">
        <v>0.161</v>
      </c>
      <c r="Q461" s="6">
        <f t="shared" si="127"/>
        <v>0.161</v>
      </c>
      <c r="R461" s="6">
        <v>26</v>
      </c>
      <c r="S461" s="6" t="str">
        <f t="shared" si="128"/>
        <v>OK</v>
      </c>
      <c r="T461" s="4">
        <f t="shared" si="129"/>
        <v>44968</v>
      </c>
      <c r="U461" s="11">
        <f t="shared" si="130"/>
        <v>3</v>
      </c>
      <c r="V461" s="6">
        <f t="shared" si="131"/>
        <v>60292.805299999993</v>
      </c>
      <c r="W461" s="6">
        <f t="shared" si="132"/>
        <v>36661.299999999996</v>
      </c>
      <c r="X461" s="6">
        <f t="shared" si="133"/>
        <v>23631.505299999997</v>
      </c>
      <c r="Y461" s="6">
        <f t="shared" si="134"/>
        <v>0.39194569206750779</v>
      </c>
      <c r="Z461" s="4" t="str">
        <f t="shared" si="135"/>
        <v>Q1-2023</v>
      </c>
      <c r="AA461" t="str">
        <f t="shared" si="136"/>
        <v>Networking</v>
      </c>
      <c r="AB461" t="str">
        <f t="shared" si="137"/>
        <v>Networking</v>
      </c>
      <c r="AC461" t="str">
        <f t="shared" si="138"/>
        <v>Compliant</v>
      </c>
      <c r="AD461" t="str">
        <f t="shared" si="139"/>
        <v>On-time</v>
      </c>
      <c r="AE461" s="8">
        <f>MIN(Q461,Scenario!$B$2)</f>
        <v>0.161</v>
      </c>
      <c r="AF461" s="33">
        <f>L461*(1+Scenario!$B$3)</f>
        <v>1621.5574999999999</v>
      </c>
      <c r="AG461" s="6">
        <f>R461*(1+Scenario!$B$4)</f>
        <v>31.2</v>
      </c>
      <c r="AH461" s="33">
        <f t="shared" si="141"/>
        <v>72351.366359999985</v>
      </c>
      <c r="AI461" s="33">
        <f t="shared" si="142"/>
        <v>50592.593999999997</v>
      </c>
      <c r="AJ461" s="33">
        <f t="shared" si="143"/>
        <v>21758.772359999988</v>
      </c>
    </row>
    <row r="462" spans="1:36" x14ac:dyDescent="0.25">
      <c r="A462" s="12" t="s">
        <v>336</v>
      </c>
      <c r="B462" s="27">
        <v>44985</v>
      </c>
      <c r="C462" s="4">
        <v>44984</v>
      </c>
      <c r="D462" s="12" t="s">
        <v>649</v>
      </c>
      <c r="E462" s="12" t="s">
        <v>657</v>
      </c>
      <c r="F462" s="12" t="s">
        <v>673</v>
      </c>
      <c r="G462" s="12" t="s">
        <v>701</v>
      </c>
      <c r="H462" s="12" t="s">
        <v>707</v>
      </c>
      <c r="I462" s="12" t="s">
        <v>723</v>
      </c>
      <c r="J462" s="12" t="s">
        <v>729</v>
      </c>
      <c r="K462" s="12" t="s">
        <v>1056</v>
      </c>
      <c r="L462" s="6">
        <v>1299.81</v>
      </c>
      <c r="M462" s="6">
        <v>3149.13</v>
      </c>
      <c r="N462" s="6">
        <f t="shared" si="126"/>
        <v>3149.13</v>
      </c>
      <c r="O462" s="6" t="str">
        <f t="shared" si="140"/>
        <v>High</v>
      </c>
      <c r="P462" s="6">
        <v>0.10299999999999999</v>
      </c>
      <c r="Q462" s="6">
        <f t="shared" si="127"/>
        <v>0.10299999999999999</v>
      </c>
      <c r="R462" s="6">
        <v>14</v>
      </c>
      <c r="S462" s="6" t="str">
        <f t="shared" si="128"/>
        <v>Correct</v>
      </c>
      <c r="T462" s="4">
        <f t="shared" si="129"/>
        <v>44992</v>
      </c>
      <c r="U462" s="11">
        <f t="shared" si="130"/>
        <v>7</v>
      </c>
      <c r="V462" s="6">
        <f t="shared" si="131"/>
        <v>39546.774539999999</v>
      </c>
      <c r="W462" s="6">
        <f t="shared" si="132"/>
        <v>18197.34</v>
      </c>
      <c r="X462" s="6">
        <f t="shared" si="133"/>
        <v>21349.434539999998</v>
      </c>
      <c r="Y462" s="6">
        <f t="shared" si="134"/>
        <v>0.53985273864511729</v>
      </c>
      <c r="Z462" s="4" t="str">
        <f t="shared" si="135"/>
        <v>Q1-2023</v>
      </c>
      <c r="AA462" t="str">
        <f t="shared" si="136"/>
        <v>Networking</v>
      </c>
      <c r="AB462" t="str">
        <f t="shared" si="137"/>
        <v>Networking</v>
      </c>
      <c r="AC462" t="str">
        <f t="shared" si="138"/>
        <v>Compliant</v>
      </c>
      <c r="AD462" t="str">
        <f t="shared" si="139"/>
        <v>On-time</v>
      </c>
      <c r="AE462" s="8">
        <f>MIN(Q462,Scenario!$B$2)</f>
        <v>0.10299999999999999</v>
      </c>
      <c r="AF462" s="33">
        <f>L462*(1+Scenario!$B$3)</f>
        <v>1494.7814999999998</v>
      </c>
      <c r="AG462" s="6">
        <f>R462*(1+Scenario!$B$4)</f>
        <v>16.8</v>
      </c>
      <c r="AH462" s="33">
        <f t="shared" si="141"/>
        <v>47456.129448000007</v>
      </c>
      <c r="AI462" s="33">
        <f t="shared" si="142"/>
        <v>25112.329199999996</v>
      </c>
      <c r="AJ462" s="33">
        <f t="shared" si="143"/>
        <v>22343.80024800001</v>
      </c>
    </row>
    <row r="463" spans="1:36" x14ac:dyDescent="0.25">
      <c r="A463" s="12" t="s">
        <v>631</v>
      </c>
      <c r="B463" s="27">
        <v>45643</v>
      </c>
      <c r="C463" s="4">
        <v>45673</v>
      </c>
      <c r="D463" s="12" t="s">
        <v>649</v>
      </c>
      <c r="E463" s="12" t="s">
        <v>658</v>
      </c>
      <c r="F463" s="12" t="s">
        <v>693</v>
      </c>
      <c r="G463" s="12" t="s">
        <v>701</v>
      </c>
      <c r="H463" s="12" t="s">
        <v>707</v>
      </c>
      <c r="I463" s="12" t="s">
        <v>726</v>
      </c>
      <c r="J463" s="12" t="s">
        <v>732</v>
      </c>
      <c r="K463" s="12" t="s">
        <v>1349</v>
      </c>
      <c r="L463" s="6">
        <v>722.87</v>
      </c>
      <c r="M463" s="6">
        <v>-33.659999999999997</v>
      </c>
      <c r="N463" s="6">
        <f t="shared" si="126"/>
        <v>33.659999999999997</v>
      </c>
      <c r="O463" s="6" t="str">
        <f t="shared" si="140"/>
        <v>Low</v>
      </c>
      <c r="P463" s="6">
        <v>0.10199999999999999</v>
      </c>
      <c r="Q463" s="6">
        <f t="shared" si="127"/>
        <v>0.10199999999999999</v>
      </c>
      <c r="R463" s="6">
        <v>28</v>
      </c>
      <c r="S463" s="6" t="str">
        <f t="shared" si="128"/>
        <v>OK</v>
      </c>
      <c r="T463" s="4">
        <f t="shared" si="129"/>
        <v>45673</v>
      </c>
      <c r="U463" s="11">
        <f t="shared" si="130"/>
        <v>30</v>
      </c>
      <c r="V463" s="6">
        <f t="shared" si="131"/>
        <v>846.34703999999988</v>
      </c>
      <c r="W463" s="6">
        <f t="shared" si="132"/>
        <v>20240.36</v>
      </c>
      <c r="X463" s="6">
        <f t="shared" si="133"/>
        <v>-19394.01296</v>
      </c>
      <c r="Y463" s="6">
        <f t="shared" si="134"/>
        <v>-22.914965189693348</v>
      </c>
      <c r="Z463" s="4" t="str">
        <f t="shared" si="135"/>
        <v>Q4-2024</v>
      </c>
      <c r="AA463" t="str">
        <f t="shared" si="136"/>
        <v>Monitors</v>
      </c>
      <c r="AB463" t="str">
        <f t="shared" si="137"/>
        <v>Monitors</v>
      </c>
      <c r="AC463" t="str">
        <f t="shared" si="138"/>
        <v>Compliant</v>
      </c>
      <c r="AD463" t="str">
        <f t="shared" si="139"/>
        <v>Late</v>
      </c>
      <c r="AE463" s="8">
        <f>MIN(Q463,Scenario!$B$2)</f>
        <v>0.10199999999999999</v>
      </c>
      <c r="AF463" s="33">
        <f>L463*(1+Scenario!$B$3)</f>
        <v>831.30049999999994</v>
      </c>
      <c r="AG463" s="6">
        <f>R463*(1+Scenario!$B$4)</f>
        <v>33.6</v>
      </c>
      <c r="AH463" s="33">
        <f t="shared" si="141"/>
        <v>1015.6164479999999</v>
      </c>
      <c r="AI463" s="33">
        <f t="shared" si="142"/>
        <v>27931.696799999998</v>
      </c>
      <c r="AJ463" s="33">
        <f t="shared" si="143"/>
        <v>-26916.080351999997</v>
      </c>
    </row>
    <row r="464" spans="1:36" x14ac:dyDescent="0.25">
      <c r="A464" s="12" t="s">
        <v>257</v>
      </c>
      <c r="B464" s="27">
        <v>45630</v>
      </c>
      <c r="C464" s="4">
        <v>45638</v>
      </c>
      <c r="D464" s="12" t="s">
        <v>649</v>
      </c>
      <c r="E464" s="12" t="s">
        <v>656</v>
      </c>
      <c r="F464" s="12" t="s">
        <v>698</v>
      </c>
      <c r="G464" s="12" t="s">
        <v>706</v>
      </c>
      <c r="H464" s="12" t="s">
        <v>709</v>
      </c>
      <c r="I464" s="12" t="s">
        <v>717</v>
      </c>
      <c r="J464" s="12" t="s">
        <v>728</v>
      </c>
      <c r="K464" s="12" t="s">
        <v>977</v>
      </c>
      <c r="L464" s="6">
        <v>72.06</v>
      </c>
      <c r="M464" s="6">
        <v>122.74</v>
      </c>
      <c r="N464" s="6">
        <f t="shared" si="126"/>
        <v>122.74</v>
      </c>
      <c r="O464" s="6" t="str">
        <f t="shared" si="140"/>
        <v>Low</v>
      </c>
      <c r="P464" s="6">
        <v>0.23799999999999999</v>
      </c>
      <c r="Q464" s="6">
        <f t="shared" si="127"/>
        <v>0.23799999999999999</v>
      </c>
      <c r="R464" s="6">
        <v>8</v>
      </c>
      <c r="S464" s="6" t="str">
        <f t="shared" si="128"/>
        <v>OK</v>
      </c>
      <c r="T464" s="4">
        <f t="shared" si="129"/>
        <v>45638</v>
      </c>
      <c r="U464" s="11">
        <f t="shared" si="130"/>
        <v>8</v>
      </c>
      <c r="V464" s="6">
        <f t="shared" si="131"/>
        <v>748.22303999999997</v>
      </c>
      <c r="W464" s="6">
        <f t="shared" si="132"/>
        <v>576.48</v>
      </c>
      <c r="X464" s="6">
        <f t="shared" si="133"/>
        <v>171.74303999999995</v>
      </c>
      <c r="Y464" s="6">
        <f t="shared" si="134"/>
        <v>0.22953455162246802</v>
      </c>
      <c r="Z464" s="4" t="str">
        <f t="shared" si="135"/>
        <v>Q4-2024</v>
      </c>
      <c r="AA464" t="str">
        <f t="shared" si="136"/>
        <v>Printers</v>
      </c>
      <c r="AB464" t="str">
        <f t="shared" si="137"/>
        <v>Printers</v>
      </c>
      <c r="AC464" t="str">
        <f t="shared" si="138"/>
        <v>Non-compliant</v>
      </c>
      <c r="AD464" t="str">
        <f t="shared" si="139"/>
        <v>Late</v>
      </c>
      <c r="AE464" s="8">
        <f>MIN(Q464,Scenario!$B$2)</f>
        <v>0.2</v>
      </c>
      <c r="AF464" s="33">
        <f>L464*(1+Scenario!$B$3)</f>
        <v>82.869</v>
      </c>
      <c r="AG464" s="6">
        <f>R464*(1+Scenario!$B$4)</f>
        <v>9.6</v>
      </c>
      <c r="AH464" s="33">
        <f t="shared" si="141"/>
        <v>942.64319999999998</v>
      </c>
      <c r="AI464" s="33">
        <f t="shared" si="142"/>
        <v>795.54239999999993</v>
      </c>
      <c r="AJ464" s="33">
        <f t="shared" si="143"/>
        <v>147.10080000000005</v>
      </c>
    </row>
    <row r="465" spans="1:36" hidden="1" x14ac:dyDescent="0.25">
      <c r="A465" s="12" t="s">
        <v>118</v>
      </c>
      <c r="B465" s="27">
        <v>45631</v>
      </c>
      <c r="C465" s="4">
        <v>45654</v>
      </c>
      <c r="D465" s="12" t="s">
        <v>648</v>
      </c>
      <c r="E465" s="12" t="s">
        <v>653</v>
      </c>
      <c r="F465" s="12" t="s">
        <v>688</v>
      </c>
      <c r="G465" s="12" t="s">
        <v>701</v>
      </c>
      <c r="H465" s="12" t="s">
        <v>711</v>
      </c>
      <c r="I465" s="12" t="s">
        <v>721</v>
      </c>
      <c r="J465" s="12" t="s">
        <v>733</v>
      </c>
      <c r="K465" s="12" t="s">
        <v>837</v>
      </c>
      <c r="L465" s="6">
        <v>107.03</v>
      </c>
      <c r="M465" s="6">
        <v>242.29</v>
      </c>
      <c r="N465" s="6">
        <f t="shared" si="126"/>
        <v>242.29</v>
      </c>
      <c r="O465" s="6" t="str">
        <f t="shared" si="140"/>
        <v>Low</v>
      </c>
      <c r="P465" s="6">
        <v>0.18</v>
      </c>
      <c r="Q465" s="6">
        <f t="shared" si="127"/>
        <v>0.18</v>
      </c>
      <c r="R465" s="6">
        <v>30</v>
      </c>
      <c r="S465" s="6" t="str">
        <f t="shared" si="128"/>
        <v>OK</v>
      </c>
      <c r="T465" s="4">
        <f t="shared" si="129"/>
        <v>45654</v>
      </c>
      <c r="U465" s="11">
        <f t="shared" si="130"/>
        <v>23</v>
      </c>
      <c r="V465" s="6">
        <f t="shared" si="131"/>
        <v>5960.3340000000007</v>
      </c>
      <c r="W465" s="6">
        <f t="shared" si="132"/>
        <v>3210.9</v>
      </c>
      <c r="X465" s="6">
        <f t="shared" si="133"/>
        <v>2749.4340000000007</v>
      </c>
      <c r="Y465" s="6">
        <f t="shared" si="134"/>
        <v>0.46128857879440988</v>
      </c>
      <c r="Z465" s="4" t="str">
        <f t="shared" si="135"/>
        <v>Q4-2024</v>
      </c>
      <c r="AA465" t="str">
        <f t="shared" si="136"/>
        <v>Accessories</v>
      </c>
      <c r="AB465" t="str">
        <f t="shared" si="137"/>
        <v>Accessories</v>
      </c>
      <c r="AC465" t="str">
        <f t="shared" si="138"/>
        <v>Compliant</v>
      </c>
      <c r="AD465" t="str">
        <f t="shared" si="139"/>
        <v>Late</v>
      </c>
      <c r="AE465" s="8">
        <f>MIN(Q465,Scenario!$B$2)</f>
        <v>0.18</v>
      </c>
      <c r="AF465" s="33">
        <f>L465*(1+Scenario!$B$3)</f>
        <v>123.08449999999999</v>
      </c>
      <c r="AG465" s="6">
        <f>R465*(1+Scenario!$B$4)</f>
        <v>36</v>
      </c>
      <c r="AH465" s="33">
        <f t="shared" si="141"/>
        <v>7152.4008000000013</v>
      </c>
      <c r="AI465" s="33">
        <f t="shared" si="142"/>
        <v>4431.0419999999995</v>
      </c>
      <c r="AJ465" s="33">
        <f t="shared" si="143"/>
        <v>2721.3588000000018</v>
      </c>
    </row>
    <row r="466" spans="1:36" hidden="1" x14ac:dyDescent="0.25">
      <c r="A466" s="12" t="s">
        <v>450</v>
      </c>
      <c r="B466" s="27">
        <v>45650</v>
      </c>
      <c r="C466" s="4">
        <v>45670</v>
      </c>
      <c r="D466" s="12" t="s">
        <v>647</v>
      </c>
      <c r="E466" s="12" t="s">
        <v>654</v>
      </c>
      <c r="F466" s="12" t="s">
        <v>668</v>
      </c>
      <c r="G466" s="12" t="s">
        <v>701</v>
      </c>
      <c r="H466" s="12" t="s">
        <v>709</v>
      </c>
      <c r="I466" s="12" t="s">
        <v>726</v>
      </c>
      <c r="J466" s="12" t="s">
        <v>729</v>
      </c>
      <c r="K466" s="12" t="s">
        <v>1169</v>
      </c>
      <c r="L466" s="6">
        <v>126.15</v>
      </c>
      <c r="M466" s="6">
        <v>284.23</v>
      </c>
      <c r="N466" s="6">
        <f t="shared" si="126"/>
        <v>284.23</v>
      </c>
      <c r="O466" s="6" t="str">
        <f t="shared" si="140"/>
        <v>Low</v>
      </c>
      <c r="P466" s="6">
        <v>0.113</v>
      </c>
      <c r="Q466" s="6">
        <f t="shared" si="127"/>
        <v>0.113</v>
      </c>
      <c r="R466" s="6">
        <v>22</v>
      </c>
      <c r="S466" s="6" t="str">
        <f t="shared" si="128"/>
        <v>OK</v>
      </c>
      <c r="T466" s="4">
        <f t="shared" si="129"/>
        <v>45670</v>
      </c>
      <c r="U466" s="11">
        <f t="shared" si="130"/>
        <v>20</v>
      </c>
      <c r="V466" s="6">
        <f t="shared" si="131"/>
        <v>5546.4642200000008</v>
      </c>
      <c r="W466" s="6">
        <f t="shared" si="132"/>
        <v>2775.3</v>
      </c>
      <c r="X466" s="6">
        <f t="shared" si="133"/>
        <v>2771.1642200000006</v>
      </c>
      <c r="Y466" s="6">
        <f t="shared" si="134"/>
        <v>0.49962716968541088</v>
      </c>
      <c r="Z466" s="4" t="str">
        <f t="shared" si="135"/>
        <v>Q4-2024</v>
      </c>
      <c r="AA466" t="str">
        <f t="shared" si="136"/>
        <v>Networking</v>
      </c>
      <c r="AB466" t="str">
        <f t="shared" si="137"/>
        <v>Networking</v>
      </c>
      <c r="AC466" t="str">
        <f t="shared" si="138"/>
        <v>Compliant</v>
      </c>
      <c r="AD466" t="str">
        <f t="shared" si="139"/>
        <v>Late</v>
      </c>
      <c r="AE466" s="8">
        <f>MIN(Q466,Scenario!$B$2)</f>
        <v>0.113</v>
      </c>
      <c r="AF466" s="33">
        <f>L466*(1+Scenario!$B$3)</f>
        <v>145.07249999999999</v>
      </c>
      <c r="AG466" s="6">
        <f>R466*(1+Scenario!$B$4)</f>
        <v>26.4</v>
      </c>
      <c r="AH466" s="33">
        <f t="shared" si="141"/>
        <v>6655.7570640000004</v>
      </c>
      <c r="AI466" s="33">
        <f t="shared" si="142"/>
        <v>3829.9139999999998</v>
      </c>
      <c r="AJ466" s="33">
        <f t="shared" si="143"/>
        <v>2825.8430640000006</v>
      </c>
    </row>
    <row r="467" spans="1:36" x14ac:dyDescent="0.25">
      <c r="A467" s="12" t="s">
        <v>499</v>
      </c>
      <c r="B467" s="27">
        <v>45634</v>
      </c>
      <c r="C467" s="4">
        <v>45634</v>
      </c>
      <c r="D467" s="12" t="s">
        <v>649</v>
      </c>
      <c r="E467" s="12" t="s">
        <v>657</v>
      </c>
      <c r="F467" s="12" t="s">
        <v>679</v>
      </c>
      <c r="G467" s="12" t="s">
        <v>706</v>
      </c>
      <c r="H467" s="12" t="s">
        <v>707</v>
      </c>
      <c r="I467" s="12" t="s">
        <v>722</v>
      </c>
      <c r="J467" s="12" t="s">
        <v>727</v>
      </c>
      <c r="K467" s="12" t="s">
        <v>1218</v>
      </c>
      <c r="L467" s="6">
        <v>257.44</v>
      </c>
      <c r="M467" s="6">
        <v>290.33</v>
      </c>
      <c r="N467" s="6">
        <f t="shared" si="126"/>
        <v>290.33</v>
      </c>
      <c r="O467" s="6" t="str">
        <f t="shared" si="140"/>
        <v>Low</v>
      </c>
      <c r="P467" s="6">
        <v>9.1999999999999998E-2</v>
      </c>
      <c r="Q467" s="6">
        <f t="shared" si="127"/>
        <v>9.1999999999999998E-2</v>
      </c>
      <c r="R467" s="6">
        <v>23</v>
      </c>
      <c r="S467" s="6" t="str">
        <f t="shared" si="128"/>
        <v>OK</v>
      </c>
      <c r="T467" s="4">
        <f t="shared" si="129"/>
        <v>45634</v>
      </c>
      <c r="U467" s="11">
        <f t="shared" si="130"/>
        <v>0</v>
      </c>
      <c r="V467" s="6">
        <f t="shared" si="131"/>
        <v>6063.2517199999993</v>
      </c>
      <c r="W467" s="6">
        <f t="shared" si="132"/>
        <v>5921.12</v>
      </c>
      <c r="X467" s="6">
        <f t="shared" si="133"/>
        <v>142.1317199999994</v>
      </c>
      <c r="Y467" s="6">
        <f t="shared" si="134"/>
        <v>2.3441500792581216E-2</v>
      </c>
      <c r="Z467" s="4" t="str">
        <f t="shared" si="135"/>
        <v>Q4-2024</v>
      </c>
      <c r="AA467" t="str">
        <f t="shared" si="136"/>
        <v>Components</v>
      </c>
      <c r="AB467" t="str">
        <f t="shared" si="137"/>
        <v>Components</v>
      </c>
      <c r="AC467" t="str">
        <f t="shared" si="138"/>
        <v>Compliant</v>
      </c>
      <c r="AD467" t="str">
        <f t="shared" si="139"/>
        <v>On-time</v>
      </c>
      <c r="AE467" s="8">
        <f>MIN(Q467,Scenario!$B$2)</f>
        <v>9.1999999999999998E-2</v>
      </c>
      <c r="AF467" s="33">
        <f>L467*(1+Scenario!$B$3)</f>
        <v>296.05599999999998</v>
      </c>
      <c r="AG467" s="6">
        <f>R467*(1+Scenario!$B$4)</f>
        <v>27.599999999999998</v>
      </c>
      <c r="AH467" s="33">
        <f t="shared" si="141"/>
        <v>7275.9020639999999</v>
      </c>
      <c r="AI467" s="33">
        <f t="shared" si="142"/>
        <v>8171.1455999999989</v>
      </c>
      <c r="AJ467" s="33">
        <f t="shared" si="143"/>
        <v>-895.24353599999904</v>
      </c>
    </row>
    <row r="468" spans="1:36" hidden="1" x14ac:dyDescent="0.25">
      <c r="A468" s="12" t="s">
        <v>88</v>
      </c>
      <c r="B468" s="27">
        <v>45641</v>
      </c>
      <c r="C468" s="4">
        <v>45646</v>
      </c>
      <c r="D468" s="12" t="s">
        <v>647</v>
      </c>
      <c r="E468" s="12" t="s">
        <v>659</v>
      </c>
      <c r="F468" s="12" t="s">
        <v>676</v>
      </c>
      <c r="G468" s="12" t="s">
        <v>705</v>
      </c>
      <c r="H468" s="12" t="s">
        <v>711</v>
      </c>
      <c r="I468" s="12" t="s">
        <v>713</v>
      </c>
      <c r="J468" s="12" t="s">
        <v>729</v>
      </c>
      <c r="K468" s="12" t="s">
        <v>807</v>
      </c>
      <c r="L468" s="6">
        <v>717.55</v>
      </c>
      <c r="M468" s="6">
        <v>546.42999999999995</v>
      </c>
      <c r="N468" s="6">
        <f t="shared" si="126"/>
        <v>546.42999999999995</v>
      </c>
      <c r="O468" s="6" t="str">
        <f t="shared" si="140"/>
        <v>Low</v>
      </c>
      <c r="P468" s="6">
        <v>4.7E-2</v>
      </c>
      <c r="Q468" s="6">
        <f t="shared" si="127"/>
        <v>4.7E-2</v>
      </c>
      <c r="R468" s="6">
        <v>18</v>
      </c>
      <c r="S468" s="6" t="str">
        <f t="shared" si="128"/>
        <v>OK</v>
      </c>
      <c r="T468" s="4">
        <f t="shared" si="129"/>
        <v>45646</v>
      </c>
      <c r="U468" s="11">
        <f t="shared" si="130"/>
        <v>5</v>
      </c>
      <c r="V468" s="6">
        <f t="shared" si="131"/>
        <v>9373.460219999999</v>
      </c>
      <c r="W468" s="6">
        <f t="shared" si="132"/>
        <v>12915.9</v>
      </c>
      <c r="X468" s="6">
        <f t="shared" si="133"/>
        <v>-3542.4397800000006</v>
      </c>
      <c r="Y468" s="6">
        <f t="shared" si="134"/>
        <v>-0.37792231437026369</v>
      </c>
      <c r="Z468" s="4" t="str">
        <f t="shared" si="135"/>
        <v>Q4-2024</v>
      </c>
      <c r="AA468" t="str">
        <f t="shared" si="136"/>
        <v>Networking</v>
      </c>
      <c r="AB468" t="str">
        <f t="shared" si="137"/>
        <v>Networking</v>
      </c>
      <c r="AC468" t="str">
        <f t="shared" si="138"/>
        <v>Compliant</v>
      </c>
      <c r="AD468" t="str">
        <f t="shared" si="139"/>
        <v>On-time</v>
      </c>
      <c r="AE468" s="8">
        <f>MIN(Q468,Scenario!$B$2)</f>
        <v>4.7E-2</v>
      </c>
      <c r="AF468" s="33">
        <f>L468*(1+Scenario!$B$3)</f>
        <v>825.18249999999989</v>
      </c>
      <c r="AG468" s="6">
        <f>R468*(1+Scenario!$B$4)</f>
        <v>21.599999999999998</v>
      </c>
      <c r="AH468" s="33">
        <f t="shared" si="141"/>
        <v>11248.152263999997</v>
      </c>
      <c r="AI468" s="33">
        <f t="shared" si="142"/>
        <v>17823.941999999995</v>
      </c>
      <c r="AJ468" s="33">
        <f t="shared" si="143"/>
        <v>-6575.7897359999988</v>
      </c>
    </row>
    <row r="469" spans="1:36" hidden="1" x14ac:dyDescent="0.25">
      <c r="A469" s="12" t="s">
        <v>149</v>
      </c>
      <c r="B469" s="27">
        <v>45647</v>
      </c>
      <c r="C469" s="4">
        <v>45652</v>
      </c>
      <c r="D469" s="12" t="s">
        <v>648</v>
      </c>
      <c r="E469" s="12" t="s">
        <v>660</v>
      </c>
      <c r="F469" s="12" t="s">
        <v>686</v>
      </c>
      <c r="G469" s="12" t="s">
        <v>704</v>
      </c>
      <c r="H469" s="12" t="s">
        <v>709</v>
      </c>
      <c r="I469" s="12" t="s">
        <v>724</v>
      </c>
      <c r="J469" s="12" t="s">
        <v>728</v>
      </c>
      <c r="K469" s="12" t="s">
        <v>868</v>
      </c>
      <c r="L469" s="6">
        <v>699.57</v>
      </c>
      <c r="M469" s="6">
        <v>572.71</v>
      </c>
      <c r="N469" s="6">
        <f t="shared" si="126"/>
        <v>572.71</v>
      </c>
      <c r="O469" s="6" t="str">
        <f t="shared" si="140"/>
        <v>Low</v>
      </c>
      <c r="P469" s="6">
        <v>0.192</v>
      </c>
      <c r="Q469" s="6">
        <f t="shared" si="127"/>
        <v>0.192</v>
      </c>
      <c r="R469" s="6">
        <v>26</v>
      </c>
      <c r="S469" s="6" t="str">
        <f t="shared" si="128"/>
        <v>OK</v>
      </c>
      <c r="T469" s="4">
        <f t="shared" si="129"/>
        <v>45652</v>
      </c>
      <c r="U469" s="11">
        <f t="shared" si="130"/>
        <v>5</v>
      </c>
      <c r="V469" s="6">
        <f t="shared" si="131"/>
        <v>12031.491680000001</v>
      </c>
      <c r="W469" s="6">
        <f t="shared" si="132"/>
        <v>18188.82</v>
      </c>
      <c r="X469" s="6">
        <f t="shared" si="133"/>
        <v>-6157.3283199999987</v>
      </c>
      <c r="Y469" s="6">
        <f t="shared" si="134"/>
        <v>-0.51176765805651114</v>
      </c>
      <c r="Z469" s="4" t="str">
        <f t="shared" si="135"/>
        <v>Q4-2024</v>
      </c>
      <c r="AA469" t="str">
        <f t="shared" si="136"/>
        <v>Printers</v>
      </c>
      <c r="AB469" t="str">
        <f t="shared" si="137"/>
        <v>Printers</v>
      </c>
      <c r="AC469" t="str">
        <f t="shared" si="138"/>
        <v>Compliant</v>
      </c>
      <c r="AD469" t="str">
        <f t="shared" si="139"/>
        <v>On-time</v>
      </c>
      <c r="AE469" s="8">
        <f>MIN(Q469,Scenario!$B$2)</f>
        <v>0.192</v>
      </c>
      <c r="AF469" s="33">
        <f>L469*(1+Scenario!$B$3)</f>
        <v>804.50549999999998</v>
      </c>
      <c r="AG469" s="6">
        <f>R469*(1+Scenario!$B$4)</f>
        <v>31.2</v>
      </c>
      <c r="AH469" s="33">
        <f t="shared" si="141"/>
        <v>14437.790016000001</v>
      </c>
      <c r="AI469" s="33">
        <f t="shared" si="142"/>
        <v>25100.571599999999</v>
      </c>
      <c r="AJ469" s="33">
        <f t="shared" si="143"/>
        <v>-10662.781583999998</v>
      </c>
    </row>
    <row r="470" spans="1:36" hidden="1" x14ac:dyDescent="0.25">
      <c r="A470" s="12" t="s">
        <v>45</v>
      </c>
      <c r="B470" s="27">
        <v>45653</v>
      </c>
      <c r="C470" s="4">
        <v>45672</v>
      </c>
      <c r="D470" s="12" t="s">
        <v>647</v>
      </c>
      <c r="E470" s="12" t="s">
        <v>654</v>
      </c>
      <c r="F470" s="12" t="s">
        <v>680</v>
      </c>
      <c r="G470" s="12" t="s">
        <v>703</v>
      </c>
      <c r="H470" s="12" t="s">
        <v>710</v>
      </c>
      <c r="I470" s="12" t="s">
        <v>715</v>
      </c>
      <c r="J470" s="12" t="s">
        <v>727</v>
      </c>
      <c r="K470" s="12" t="s">
        <v>764</v>
      </c>
      <c r="L470" s="6">
        <v>495.59</v>
      </c>
      <c r="M470" s="6">
        <v>631.78</v>
      </c>
      <c r="N470" s="6">
        <f t="shared" si="126"/>
        <v>631.78</v>
      </c>
      <c r="O470" s="6" t="str">
        <f t="shared" si="140"/>
        <v>Middle</v>
      </c>
      <c r="P470" s="6">
        <v>8.6999999999999994E-2</v>
      </c>
      <c r="Q470" s="6">
        <f t="shared" si="127"/>
        <v>8.6999999999999994E-2</v>
      </c>
      <c r="R470" s="6">
        <v>17</v>
      </c>
      <c r="S470" s="6" t="str">
        <f t="shared" si="128"/>
        <v>OK</v>
      </c>
      <c r="T470" s="4">
        <f t="shared" si="129"/>
        <v>45672</v>
      </c>
      <c r="U470" s="11">
        <f t="shared" si="130"/>
        <v>19</v>
      </c>
      <c r="V470" s="6">
        <f t="shared" si="131"/>
        <v>9805.8573800000013</v>
      </c>
      <c r="W470" s="6">
        <f t="shared" si="132"/>
        <v>8425.0299999999988</v>
      </c>
      <c r="X470" s="6">
        <f t="shared" si="133"/>
        <v>1380.8273800000024</v>
      </c>
      <c r="Y470" s="6">
        <f t="shared" si="134"/>
        <v>0.14081658813601899</v>
      </c>
      <c r="Z470" s="4" t="str">
        <f t="shared" si="135"/>
        <v>Q4-2024</v>
      </c>
      <c r="AA470" t="str">
        <f t="shared" si="136"/>
        <v>Components</v>
      </c>
      <c r="AB470" t="str">
        <f t="shared" si="137"/>
        <v>Components</v>
      </c>
      <c r="AC470" t="str">
        <f t="shared" si="138"/>
        <v>Compliant</v>
      </c>
      <c r="AD470" t="str">
        <f t="shared" si="139"/>
        <v>Late</v>
      </c>
      <c r="AE470" s="8">
        <f>MIN(Q470,Scenario!$B$2)</f>
        <v>8.6999999999999994E-2</v>
      </c>
      <c r="AF470" s="33">
        <f>L470*(1+Scenario!$B$3)</f>
        <v>569.92849999999987</v>
      </c>
      <c r="AG470" s="6">
        <f>R470*(1+Scenario!$B$4)</f>
        <v>20.399999999999999</v>
      </c>
      <c r="AH470" s="33">
        <f t="shared" si="141"/>
        <v>11767.028855999999</v>
      </c>
      <c r="AI470" s="33">
        <f t="shared" si="142"/>
        <v>11626.541399999996</v>
      </c>
      <c r="AJ470" s="33">
        <f t="shared" si="143"/>
        <v>140.48745600000257</v>
      </c>
    </row>
    <row r="471" spans="1:36" x14ac:dyDescent="0.25">
      <c r="A471" s="12" t="s">
        <v>72</v>
      </c>
      <c r="B471" s="27">
        <v>45643</v>
      </c>
      <c r="C471" s="4">
        <v>45644</v>
      </c>
      <c r="D471" s="12" t="s">
        <v>649</v>
      </c>
      <c r="E471" s="12" t="s">
        <v>656</v>
      </c>
      <c r="F471" s="12" t="s">
        <v>684</v>
      </c>
      <c r="G471" s="12" t="s">
        <v>702</v>
      </c>
      <c r="H471" s="12" t="s">
        <v>707</v>
      </c>
      <c r="I471" s="12" t="s">
        <v>716</v>
      </c>
      <c r="J471" s="12" t="s">
        <v>733</v>
      </c>
      <c r="K471" s="12" t="s">
        <v>791</v>
      </c>
      <c r="L471" s="6">
        <v>346.82</v>
      </c>
      <c r="M471" s="6">
        <v>701.95</v>
      </c>
      <c r="N471" s="6">
        <f t="shared" si="126"/>
        <v>701.95</v>
      </c>
      <c r="O471" s="6" t="str">
        <f t="shared" si="140"/>
        <v>Middle</v>
      </c>
      <c r="P471" s="6">
        <v>0.14699999999999999</v>
      </c>
      <c r="Q471" s="6">
        <f t="shared" si="127"/>
        <v>0.14699999999999999</v>
      </c>
      <c r="R471" s="6">
        <v>8</v>
      </c>
      <c r="S471" s="6" t="str">
        <f t="shared" si="128"/>
        <v>OK</v>
      </c>
      <c r="T471" s="4">
        <f t="shared" si="129"/>
        <v>45644</v>
      </c>
      <c r="U471" s="11">
        <f t="shared" si="130"/>
        <v>1</v>
      </c>
      <c r="V471" s="6">
        <f t="shared" si="131"/>
        <v>4790.1068000000005</v>
      </c>
      <c r="W471" s="6">
        <f t="shared" si="132"/>
        <v>2774.56</v>
      </c>
      <c r="X471" s="6">
        <f t="shared" si="133"/>
        <v>2015.5468000000005</v>
      </c>
      <c r="Y471" s="6">
        <f t="shared" si="134"/>
        <v>0.42077283120284509</v>
      </c>
      <c r="Z471" s="4" t="str">
        <f t="shared" si="135"/>
        <v>Q4-2024</v>
      </c>
      <c r="AA471" t="str">
        <f t="shared" si="136"/>
        <v>Accessories</v>
      </c>
      <c r="AB471" t="str">
        <f t="shared" si="137"/>
        <v>Accessories</v>
      </c>
      <c r="AC471" t="str">
        <f t="shared" si="138"/>
        <v>Compliant</v>
      </c>
      <c r="AD471" t="str">
        <f t="shared" si="139"/>
        <v>On-time</v>
      </c>
      <c r="AE471" s="8">
        <f>MIN(Q471,Scenario!$B$2)</f>
        <v>0.14699999999999999</v>
      </c>
      <c r="AF471" s="33">
        <f>L471*(1+Scenario!$B$3)</f>
        <v>398.84299999999996</v>
      </c>
      <c r="AG471" s="6">
        <f>R471*(1+Scenario!$B$4)</f>
        <v>9.6</v>
      </c>
      <c r="AH471" s="33">
        <f t="shared" si="141"/>
        <v>5748.1281600000002</v>
      </c>
      <c r="AI471" s="33">
        <f t="shared" si="142"/>
        <v>3828.8927999999996</v>
      </c>
      <c r="AJ471" s="33">
        <f t="shared" si="143"/>
        <v>1919.2353600000006</v>
      </c>
    </row>
    <row r="472" spans="1:36" hidden="1" x14ac:dyDescent="0.25">
      <c r="A472" s="12" t="s">
        <v>21</v>
      </c>
      <c r="B472" s="27">
        <v>45653</v>
      </c>
      <c r="C472" s="4">
        <v>45671</v>
      </c>
      <c r="D472" s="12" t="s">
        <v>647</v>
      </c>
      <c r="E472" s="12" t="s">
        <v>654</v>
      </c>
      <c r="F472" s="12" t="s">
        <v>668</v>
      </c>
      <c r="G472" s="12" t="s">
        <v>705</v>
      </c>
      <c r="H472" s="12" t="s">
        <v>709</v>
      </c>
      <c r="I472" s="12" t="s">
        <v>718</v>
      </c>
      <c r="J472" s="12" t="s">
        <v>732</v>
      </c>
      <c r="K472" s="12" t="s">
        <v>740</v>
      </c>
      <c r="L472" s="6">
        <v>586.07000000000005</v>
      </c>
      <c r="M472" s="6">
        <v>845.97</v>
      </c>
      <c r="N472" s="6">
        <f t="shared" si="126"/>
        <v>845.97</v>
      </c>
      <c r="O472" s="6" t="str">
        <f t="shared" si="140"/>
        <v>Middle</v>
      </c>
      <c r="P472" s="6">
        <v>0.14699999999999999</v>
      </c>
      <c r="Q472" s="6">
        <f t="shared" si="127"/>
        <v>0.14699999999999999</v>
      </c>
      <c r="R472" s="6">
        <v>4</v>
      </c>
      <c r="S472" s="6" t="str">
        <f t="shared" si="128"/>
        <v>OK</v>
      </c>
      <c r="T472" s="4">
        <f t="shared" si="129"/>
        <v>45671</v>
      </c>
      <c r="U472" s="11">
        <f t="shared" si="130"/>
        <v>18</v>
      </c>
      <c r="V472" s="6">
        <f t="shared" si="131"/>
        <v>2886.4496399999998</v>
      </c>
      <c r="W472" s="6">
        <f t="shared" si="132"/>
        <v>2344.2800000000002</v>
      </c>
      <c r="X472" s="6">
        <f t="shared" si="133"/>
        <v>542.16963999999962</v>
      </c>
      <c r="Y472" s="6">
        <f t="shared" si="134"/>
        <v>0.18783270370862928</v>
      </c>
      <c r="Z472" s="4" t="str">
        <f t="shared" si="135"/>
        <v>Q4-2024</v>
      </c>
      <c r="AA472" t="str">
        <f t="shared" si="136"/>
        <v>Monitors</v>
      </c>
      <c r="AB472" t="str">
        <f t="shared" si="137"/>
        <v>Monitors</v>
      </c>
      <c r="AC472" t="str">
        <f t="shared" si="138"/>
        <v>Compliant</v>
      </c>
      <c r="AD472" t="str">
        <f t="shared" si="139"/>
        <v>Late</v>
      </c>
      <c r="AE472" s="8">
        <f>MIN(Q472,Scenario!$B$2)</f>
        <v>0.14699999999999999</v>
      </c>
      <c r="AF472" s="33">
        <f>L472*(1+Scenario!$B$3)</f>
        <v>673.98050000000001</v>
      </c>
      <c r="AG472" s="6">
        <f>R472*(1+Scenario!$B$4)</f>
        <v>4.8</v>
      </c>
      <c r="AH472" s="33">
        <f t="shared" si="141"/>
        <v>3463.739568</v>
      </c>
      <c r="AI472" s="33">
        <f t="shared" si="142"/>
        <v>3235.1064000000001</v>
      </c>
      <c r="AJ472" s="33">
        <f t="shared" si="143"/>
        <v>228.63316799999984</v>
      </c>
    </row>
    <row r="473" spans="1:36" x14ac:dyDescent="0.25">
      <c r="A473" s="12" t="s">
        <v>156</v>
      </c>
      <c r="B473" s="27">
        <v>45649</v>
      </c>
      <c r="C473" s="4">
        <v>45668</v>
      </c>
      <c r="D473" s="12" t="s">
        <v>649</v>
      </c>
      <c r="E473" s="12" t="s">
        <v>656</v>
      </c>
      <c r="F473" s="12" t="s">
        <v>671</v>
      </c>
      <c r="G473" s="12" t="s">
        <v>702</v>
      </c>
      <c r="H473" s="12" t="s">
        <v>707</v>
      </c>
      <c r="I473" s="12" t="s">
        <v>723</v>
      </c>
      <c r="J473" s="12" t="s">
        <v>730</v>
      </c>
      <c r="K473" s="12" t="s">
        <v>875</v>
      </c>
      <c r="L473" s="6">
        <v>501.81</v>
      </c>
      <c r="M473" s="6">
        <v>921.62</v>
      </c>
      <c r="N473" s="6">
        <f t="shared" si="126"/>
        <v>921.62</v>
      </c>
      <c r="O473" s="6" t="str">
        <f t="shared" si="140"/>
        <v>Middle</v>
      </c>
      <c r="P473" s="6">
        <v>0.01</v>
      </c>
      <c r="Q473" s="6">
        <f t="shared" si="127"/>
        <v>0.01</v>
      </c>
      <c r="R473" s="6">
        <v>9</v>
      </c>
      <c r="S473" s="6" t="str">
        <f t="shared" si="128"/>
        <v>OK</v>
      </c>
      <c r="T473" s="4">
        <f t="shared" si="129"/>
        <v>45668</v>
      </c>
      <c r="U473" s="11">
        <f t="shared" si="130"/>
        <v>19</v>
      </c>
      <c r="V473" s="6">
        <f t="shared" si="131"/>
        <v>8211.6342000000004</v>
      </c>
      <c r="W473" s="6">
        <f t="shared" si="132"/>
        <v>4516.29</v>
      </c>
      <c r="X473" s="6">
        <f t="shared" si="133"/>
        <v>3695.3442000000005</v>
      </c>
      <c r="Y473" s="6">
        <f t="shared" si="134"/>
        <v>0.45001325071202031</v>
      </c>
      <c r="Z473" s="4" t="str">
        <f t="shared" si="135"/>
        <v>Q4-2024</v>
      </c>
      <c r="AA473" t="str">
        <f t="shared" si="136"/>
        <v>Phones</v>
      </c>
      <c r="AB473" t="str">
        <f t="shared" si="137"/>
        <v>Phones</v>
      </c>
      <c r="AC473" t="str">
        <f t="shared" si="138"/>
        <v>Compliant</v>
      </c>
      <c r="AD473" t="str">
        <f t="shared" si="139"/>
        <v>Late</v>
      </c>
      <c r="AE473" s="8">
        <f>MIN(Q473,Scenario!$B$2)</f>
        <v>0.01</v>
      </c>
      <c r="AF473" s="33">
        <f>L473*(1+Scenario!$B$3)</f>
        <v>577.08150000000001</v>
      </c>
      <c r="AG473" s="6">
        <f>R473*(1+Scenario!$B$4)</f>
        <v>10.799999999999999</v>
      </c>
      <c r="AH473" s="33">
        <f t="shared" si="141"/>
        <v>9853.9610399999983</v>
      </c>
      <c r="AI473" s="33">
        <f t="shared" si="142"/>
        <v>6232.4801999999991</v>
      </c>
      <c r="AJ473" s="33">
        <f t="shared" si="143"/>
        <v>3621.4808399999993</v>
      </c>
    </row>
    <row r="474" spans="1:36" hidden="1" x14ac:dyDescent="0.25">
      <c r="A474" s="12" t="s">
        <v>447</v>
      </c>
      <c r="B474" s="27">
        <v>45636</v>
      </c>
      <c r="C474" s="4">
        <v>45645</v>
      </c>
      <c r="D474" s="12" t="s">
        <v>646</v>
      </c>
      <c r="E474" s="12" t="s">
        <v>651</v>
      </c>
      <c r="F474" s="12" t="s">
        <v>665</v>
      </c>
      <c r="G474" s="12" t="s">
        <v>701</v>
      </c>
      <c r="H474" s="12" t="s">
        <v>707</v>
      </c>
      <c r="I474" s="12" t="s">
        <v>719</v>
      </c>
      <c r="J474" s="12" t="s">
        <v>732</v>
      </c>
      <c r="K474" s="12" t="s">
        <v>1166</v>
      </c>
      <c r="L474" s="6">
        <v>488.68</v>
      </c>
      <c r="M474" s="6">
        <v>984.36</v>
      </c>
      <c r="N474" s="6">
        <f t="shared" si="126"/>
        <v>984.36</v>
      </c>
      <c r="O474" s="6" t="str">
        <f t="shared" si="140"/>
        <v>Middle</v>
      </c>
      <c r="P474" s="6">
        <v>5.8999999999999997E-2</v>
      </c>
      <c r="Q474" s="6">
        <f t="shared" si="127"/>
        <v>5.8999999999999997E-2</v>
      </c>
      <c r="R474" s="6">
        <v>14</v>
      </c>
      <c r="S474" s="6" t="str">
        <f t="shared" si="128"/>
        <v>OK</v>
      </c>
      <c r="T474" s="4">
        <f t="shared" si="129"/>
        <v>45645</v>
      </c>
      <c r="U474" s="11">
        <f t="shared" si="130"/>
        <v>9</v>
      </c>
      <c r="V474" s="6">
        <f t="shared" si="131"/>
        <v>12967.958640000001</v>
      </c>
      <c r="W474" s="6">
        <f t="shared" si="132"/>
        <v>6841.52</v>
      </c>
      <c r="X474" s="6">
        <f t="shared" si="133"/>
        <v>6126.4386400000003</v>
      </c>
      <c r="Y474" s="6">
        <f t="shared" si="134"/>
        <v>0.47242891576649876</v>
      </c>
      <c r="Z474" s="4" t="str">
        <f t="shared" si="135"/>
        <v>Q4-2024</v>
      </c>
      <c r="AA474" t="str">
        <f t="shared" si="136"/>
        <v>Monitors</v>
      </c>
      <c r="AB474" t="str">
        <f t="shared" si="137"/>
        <v>Monitors</v>
      </c>
      <c r="AC474" t="str">
        <f t="shared" si="138"/>
        <v>Compliant</v>
      </c>
      <c r="AD474" t="str">
        <f t="shared" si="139"/>
        <v>Late</v>
      </c>
      <c r="AE474" s="8">
        <f>MIN(Q474,Scenario!$B$2)</f>
        <v>5.8999999999999997E-2</v>
      </c>
      <c r="AF474" s="33">
        <f>L474*(1+Scenario!$B$3)</f>
        <v>561.98199999999997</v>
      </c>
      <c r="AG474" s="6">
        <f>R474*(1+Scenario!$B$4)</f>
        <v>16.8</v>
      </c>
      <c r="AH474" s="33">
        <f t="shared" si="141"/>
        <v>15561.550368</v>
      </c>
      <c r="AI474" s="33">
        <f t="shared" si="142"/>
        <v>9441.2975999999999</v>
      </c>
      <c r="AJ474" s="33">
        <f t="shared" si="143"/>
        <v>6120.2527680000003</v>
      </c>
    </row>
    <row r="475" spans="1:36" x14ac:dyDescent="0.25">
      <c r="A475" s="12" t="s">
        <v>31</v>
      </c>
      <c r="B475" s="27">
        <v>45636</v>
      </c>
      <c r="C475" s="4">
        <v>45665</v>
      </c>
      <c r="D475" s="12" t="s">
        <v>649</v>
      </c>
      <c r="E475" s="12" t="s">
        <v>657</v>
      </c>
      <c r="F475" s="12" t="s">
        <v>673</v>
      </c>
      <c r="G475" s="12" t="s">
        <v>705</v>
      </c>
      <c r="H475" s="12" t="s">
        <v>707</v>
      </c>
      <c r="I475" s="12" t="s">
        <v>723</v>
      </c>
      <c r="J475" s="12" t="s">
        <v>728</v>
      </c>
      <c r="K475" s="12" t="s">
        <v>750</v>
      </c>
      <c r="L475" s="6">
        <v>891.08</v>
      </c>
      <c r="M475" s="6">
        <v>1040.0999999999999</v>
      </c>
      <c r="N475" s="6">
        <f t="shared" si="126"/>
        <v>1040.0999999999999</v>
      </c>
      <c r="O475" s="6" t="str">
        <f t="shared" si="140"/>
        <v>Middle</v>
      </c>
      <c r="P475" s="6">
        <v>0.109</v>
      </c>
      <c r="Q475" s="6">
        <f t="shared" si="127"/>
        <v>0.109</v>
      </c>
      <c r="R475" s="6">
        <v>28</v>
      </c>
      <c r="S475" s="6" t="str">
        <f t="shared" si="128"/>
        <v>OK</v>
      </c>
      <c r="T475" s="4">
        <f t="shared" si="129"/>
        <v>45665</v>
      </c>
      <c r="U475" s="11">
        <f t="shared" si="130"/>
        <v>29</v>
      </c>
      <c r="V475" s="6">
        <f t="shared" si="131"/>
        <v>25948.414799999995</v>
      </c>
      <c r="W475" s="6">
        <f t="shared" si="132"/>
        <v>24950.240000000002</v>
      </c>
      <c r="X475" s="6">
        <f t="shared" si="133"/>
        <v>998.17479999999341</v>
      </c>
      <c r="Y475" s="6">
        <f t="shared" si="134"/>
        <v>3.8467660074556598E-2</v>
      </c>
      <c r="Z475" s="4" t="str">
        <f t="shared" si="135"/>
        <v>Q4-2024</v>
      </c>
      <c r="AA475" t="str">
        <f t="shared" si="136"/>
        <v>Printers</v>
      </c>
      <c r="AB475" t="str">
        <f t="shared" si="137"/>
        <v>Printers</v>
      </c>
      <c r="AC475" t="str">
        <f t="shared" si="138"/>
        <v>Compliant</v>
      </c>
      <c r="AD475" t="str">
        <f t="shared" si="139"/>
        <v>Late</v>
      </c>
      <c r="AE475" s="8">
        <f>MIN(Q475,Scenario!$B$2)</f>
        <v>0.109</v>
      </c>
      <c r="AF475" s="33">
        <f>L475*(1+Scenario!$B$3)</f>
        <v>1024.742</v>
      </c>
      <c r="AG475" s="6">
        <f>R475*(1+Scenario!$B$4)</f>
        <v>33.6</v>
      </c>
      <c r="AH475" s="33">
        <f t="shared" si="141"/>
        <v>31138.097760000001</v>
      </c>
      <c r="AI475" s="33">
        <f t="shared" si="142"/>
        <v>34431.331200000001</v>
      </c>
      <c r="AJ475" s="33">
        <f t="shared" si="143"/>
        <v>-3293.23344</v>
      </c>
    </row>
    <row r="476" spans="1:36" hidden="1" x14ac:dyDescent="0.25">
      <c r="A476" s="12" t="s">
        <v>411</v>
      </c>
      <c r="B476" s="27">
        <v>45638</v>
      </c>
      <c r="C476" s="4">
        <v>45646</v>
      </c>
      <c r="D476" s="12" t="s">
        <v>647</v>
      </c>
      <c r="E476" s="12" t="s">
        <v>652</v>
      </c>
      <c r="F476" s="12" t="s">
        <v>689</v>
      </c>
      <c r="G476" s="12" t="s">
        <v>701</v>
      </c>
      <c r="H476" s="12" t="s">
        <v>707</v>
      </c>
      <c r="I476" s="12" t="s">
        <v>717</v>
      </c>
      <c r="J476" s="12" t="s">
        <v>731</v>
      </c>
      <c r="K476" s="12" t="s">
        <v>1130</v>
      </c>
      <c r="L476" s="6">
        <v>1202.47</v>
      </c>
      <c r="M476" s="6">
        <v>1444.72</v>
      </c>
      <c r="N476" s="6">
        <f t="shared" si="126"/>
        <v>1444.72</v>
      </c>
      <c r="O476" s="6" t="str">
        <f t="shared" si="140"/>
        <v>High</v>
      </c>
      <c r="P476" s="6">
        <v>0.24099999999999999</v>
      </c>
      <c r="Q476" s="6">
        <f t="shared" si="127"/>
        <v>0.24099999999999999</v>
      </c>
      <c r="R476" s="6">
        <v>17</v>
      </c>
      <c r="S476" s="6" t="str">
        <f t="shared" si="128"/>
        <v>OK</v>
      </c>
      <c r="T476" s="4">
        <f t="shared" si="129"/>
        <v>45646</v>
      </c>
      <c r="U476" s="11">
        <f t="shared" si="130"/>
        <v>8</v>
      </c>
      <c r="V476" s="6">
        <f t="shared" si="131"/>
        <v>18641.222160000001</v>
      </c>
      <c r="W476" s="6">
        <f t="shared" si="132"/>
        <v>20441.990000000002</v>
      </c>
      <c r="X476" s="6">
        <f t="shared" si="133"/>
        <v>-1800.7678400000004</v>
      </c>
      <c r="Y476" s="6">
        <f t="shared" si="134"/>
        <v>-9.6601382921343834E-2</v>
      </c>
      <c r="Z476" s="4" t="str">
        <f t="shared" si="135"/>
        <v>Q4-2024</v>
      </c>
      <c r="AA476" t="str">
        <f t="shared" si="136"/>
        <v>Laptops</v>
      </c>
      <c r="AB476" t="str">
        <f t="shared" si="137"/>
        <v>Laptops</v>
      </c>
      <c r="AC476" t="str">
        <f t="shared" si="138"/>
        <v>Non-compliant</v>
      </c>
      <c r="AD476" t="str">
        <f t="shared" si="139"/>
        <v>Late</v>
      </c>
      <c r="AE476" s="8">
        <f>MIN(Q476,Scenario!$B$2)</f>
        <v>0.2</v>
      </c>
      <c r="AF476" s="33">
        <f>L476*(1+Scenario!$B$3)</f>
        <v>1382.8405</v>
      </c>
      <c r="AG476" s="6">
        <f>R476*(1+Scenario!$B$4)</f>
        <v>20.399999999999999</v>
      </c>
      <c r="AH476" s="33">
        <f t="shared" si="141"/>
        <v>23577.830399999999</v>
      </c>
      <c r="AI476" s="33">
        <f t="shared" si="142"/>
        <v>28209.946199999998</v>
      </c>
      <c r="AJ476" s="33">
        <f t="shared" si="143"/>
        <v>-4632.1157999999996</v>
      </c>
    </row>
    <row r="477" spans="1:36" hidden="1" x14ac:dyDescent="0.25">
      <c r="A477" s="12" t="s">
        <v>151</v>
      </c>
      <c r="B477" s="27">
        <v>45640</v>
      </c>
      <c r="C477" s="4">
        <v>45669</v>
      </c>
      <c r="D477" s="12" t="s">
        <v>647</v>
      </c>
      <c r="E477" s="12" t="s">
        <v>659</v>
      </c>
      <c r="F477" s="12" t="s">
        <v>676</v>
      </c>
      <c r="G477" s="12" t="s">
        <v>702</v>
      </c>
      <c r="H477" s="12" t="s">
        <v>708</v>
      </c>
      <c r="I477" s="12" t="s">
        <v>713</v>
      </c>
      <c r="J477" s="12" t="s">
        <v>727</v>
      </c>
      <c r="K477" s="12" t="s">
        <v>870</v>
      </c>
      <c r="L477" s="6">
        <v>1412.15</v>
      </c>
      <c r="M477" s="6">
        <v>1631.04</v>
      </c>
      <c r="N477" s="6">
        <f t="shared" si="126"/>
        <v>1631.04</v>
      </c>
      <c r="O477" s="6" t="str">
        <f t="shared" si="140"/>
        <v>High</v>
      </c>
      <c r="P477" s="6">
        <v>8.9999999999999993E-3</v>
      </c>
      <c r="Q477" s="6">
        <f t="shared" si="127"/>
        <v>8.9999999999999993E-3</v>
      </c>
      <c r="R477" s="6">
        <v>6</v>
      </c>
      <c r="S477" s="6" t="str">
        <f t="shared" si="128"/>
        <v>OK</v>
      </c>
      <c r="T477" s="4">
        <f t="shared" si="129"/>
        <v>45669</v>
      </c>
      <c r="U477" s="11">
        <f t="shared" si="130"/>
        <v>29</v>
      </c>
      <c r="V477" s="6">
        <f t="shared" si="131"/>
        <v>9698.1638399999993</v>
      </c>
      <c r="W477" s="6">
        <f t="shared" si="132"/>
        <v>8472.9000000000015</v>
      </c>
      <c r="X477" s="6">
        <f t="shared" si="133"/>
        <v>1225.2638399999978</v>
      </c>
      <c r="Y477" s="6">
        <f t="shared" si="134"/>
        <v>0.12633977526203535</v>
      </c>
      <c r="Z477" s="4" t="str">
        <f t="shared" si="135"/>
        <v>Q4-2024</v>
      </c>
      <c r="AA477" t="str">
        <f t="shared" si="136"/>
        <v>Components</v>
      </c>
      <c r="AB477" t="str">
        <f t="shared" si="137"/>
        <v>Components</v>
      </c>
      <c r="AC477" t="str">
        <f t="shared" si="138"/>
        <v>Compliant</v>
      </c>
      <c r="AD477" t="str">
        <f t="shared" si="139"/>
        <v>Late</v>
      </c>
      <c r="AE477" s="8">
        <f>MIN(Q477,Scenario!$B$2)</f>
        <v>8.9999999999999993E-3</v>
      </c>
      <c r="AF477" s="33">
        <f>L477*(1+Scenario!$B$3)</f>
        <v>1623.9725000000001</v>
      </c>
      <c r="AG477" s="6">
        <f>R477*(1+Scenario!$B$4)</f>
        <v>7.1999999999999993</v>
      </c>
      <c r="AH477" s="33">
        <f t="shared" si="141"/>
        <v>11637.796607999999</v>
      </c>
      <c r="AI477" s="33">
        <f t="shared" si="142"/>
        <v>11692.601999999999</v>
      </c>
      <c r="AJ477" s="33">
        <f t="shared" si="143"/>
        <v>-54.805392000000211</v>
      </c>
    </row>
    <row r="478" spans="1:36" hidden="1" x14ac:dyDescent="0.25">
      <c r="A478" s="12" t="s">
        <v>420</v>
      </c>
      <c r="B478" s="27">
        <v>45646</v>
      </c>
      <c r="C478" s="4">
        <v>45671</v>
      </c>
      <c r="D478" s="12" t="s">
        <v>647</v>
      </c>
      <c r="E478" s="12" t="s">
        <v>654</v>
      </c>
      <c r="F478" s="12" t="s">
        <v>680</v>
      </c>
      <c r="G478" s="12" t="s">
        <v>705</v>
      </c>
      <c r="H478" s="12" t="s">
        <v>707</v>
      </c>
      <c r="I478" s="12" t="s">
        <v>724</v>
      </c>
      <c r="J478" s="12" t="s">
        <v>728</v>
      </c>
      <c r="K478" s="12" t="s">
        <v>1139</v>
      </c>
      <c r="L478" s="6">
        <v>1361.34</v>
      </c>
      <c r="M478" s="6">
        <v>1737.9</v>
      </c>
      <c r="N478" s="6">
        <f t="shared" si="126"/>
        <v>1737.9</v>
      </c>
      <c r="O478" s="6" t="str">
        <f t="shared" si="140"/>
        <v>High</v>
      </c>
      <c r="P478" s="6">
        <v>7.6999999999999999E-2</v>
      </c>
      <c r="Q478" s="6">
        <f t="shared" si="127"/>
        <v>7.6999999999999999E-2</v>
      </c>
      <c r="R478" s="6">
        <v>14</v>
      </c>
      <c r="S478" s="6" t="str">
        <f t="shared" si="128"/>
        <v>OK</v>
      </c>
      <c r="T478" s="4">
        <f t="shared" si="129"/>
        <v>45671</v>
      </c>
      <c r="U478" s="11">
        <f t="shared" si="130"/>
        <v>25</v>
      </c>
      <c r="V478" s="6">
        <f t="shared" si="131"/>
        <v>22457.143800000002</v>
      </c>
      <c r="W478" s="6">
        <f t="shared" si="132"/>
        <v>19058.759999999998</v>
      </c>
      <c r="X478" s="6">
        <f t="shared" si="133"/>
        <v>3398.3838000000032</v>
      </c>
      <c r="Y478" s="6">
        <f t="shared" si="134"/>
        <v>0.15132751654731813</v>
      </c>
      <c r="Z478" s="4" t="str">
        <f t="shared" si="135"/>
        <v>Q4-2024</v>
      </c>
      <c r="AA478" t="str">
        <f t="shared" si="136"/>
        <v>Printers</v>
      </c>
      <c r="AB478" t="str">
        <f t="shared" si="137"/>
        <v>Printers</v>
      </c>
      <c r="AC478" t="str">
        <f t="shared" si="138"/>
        <v>Compliant</v>
      </c>
      <c r="AD478" t="str">
        <f t="shared" si="139"/>
        <v>Late</v>
      </c>
      <c r="AE478" s="8">
        <f>MIN(Q478,Scenario!$B$2)</f>
        <v>7.6999999999999999E-2</v>
      </c>
      <c r="AF478" s="33">
        <f>L478*(1+Scenario!$B$3)</f>
        <v>1565.5409999999997</v>
      </c>
      <c r="AG478" s="6">
        <f>R478*(1+Scenario!$B$4)</f>
        <v>16.8</v>
      </c>
      <c r="AH478" s="33">
        <f t="shared" si="141"/>
        <v>26948.572560000001</v>
      </c>
      <c r="AI478" s="33">
        <f t="shared" si="142"/>
        <v>26301.088799999998</v>
      </c>
      <c r="AJ478" s="33">
        <f t="shared" si="143"/>
        <v>647.4837600000028</v>
      </c>
    </row>
    <row r="479" spans="1:36" hidden="1" x14ac:dyDescent="0.25">
      <c r="A479" s="12" t="s">
        <v>469</v>
      </c>
      <c r="B479" s="27">
        <v>45653</v>
      </c>
      <c r="C479" s="4">
        <v>45655</v>
      </c>
      <c r="D479" s="12" t="s">
        <v>648</v>
      </c>
      <c r="E479" s="12" t="s">
        <v>653</v>
      </c>
      <c r="F479" s="12" t="s">
        <v>688</v>
      </c>
      <c r="G479" s="12" t="s">
        <v>706</v>
      </c>
      <c r="H479" s="12" t="s">
        <v>709</v>
      </c>
      <c r="I479" s="12" t="s">
        <v>712</v>
      </c>
      <c r="J479" s="12" t="s">
        <v>733</v>
      </c>
      <c r="K479" s="12" t="s">
        <v>1188</v>
      </c>
      <c r="L479" s="6">
        <v>1146.72</v>
      </c>
      <c r="M479" s="6">
        <v>2074.34</v>
      </c>
      <c r="N479" s="6">
        <f t="shared" si="126"/>
        <v>2074.34</v>
      </c>
      <c r="O479" s="6" t="str">
        <f t="shared" si="140"/>
        <v>High</v>
      </c>
      <c r="P479" s="6">
        <v>0.111</v>
      </c>
      <c r="Q479" s="6">
        <f t="shared" si="127"/>
        <v>0.111</v>
      </c>
      <c r="R479" s="6">
        <v>8</v>
      </c>
      <c r="S479" s="6" t="str">
        <f t="shared" si="128"/>
        <v>OK</v>
      </c>
      <c r="T479" s="4">
        <f t="shared" si="129"/>
        <v>45655</v>
      </c>
      <c r="U479" s="11">
        <f t="shared" si="130"/>
        <v>2</v>
      </c>
      <c r="V479" s="6">
        <f t="shared" si="131"/>
        <v>14752.706080000002</v>
      </c>
      <c r="W479" s="6">
        <f t="shared" si="132"/>
        <v>9173.76</v>
      </c>
      <c r="X479" s="6">
        <f t="shared" si="133"/>
        <v>5578.9460800000015</v>
      </c>
      <c r="Y479" s="6">
        <f t="shared" si="134"/>
        <v>0.37816425337472737</v>
      </c>
      <c r="Z479" s="4" t="str">
        <f t="shared" si="135"/>
        <v>Q4-2024</v>
      </c>
      <c r="AA479" t="str">
        <f t="shared" si="136"/>
        <v>Accessories</v>
      </c>
      <c r="AB479" t="str">
        <f t="shared" si="137"/>
        <v>Accessories</v>
      </c>
      <c r="AC479" t="str">
        <f t="shared" si="138"/>
        <v>Compliant</v>
      </c>
      <c r="AD479" t="str">
        <f t="shared" si="139"/>
        <v>On-time</v>
      </c>
      <c r="AE479" s="8">
        <f>MIN(Q479,Scenario!$B$2)</f>
        <v>0.111</v>
      </c>
      <c r="AF479" s="33">
        <f>L479*(1+Scenario!$B$3)</f>
        <v>1318.7279999999998</v>
      </c>
      <c r="AG479" s="6">
        <f>R479*(1+Scenario!$B$4)</f>
        <v>9.6</v>
      </c>
      <c r="AH479" s="33">
        <f t="shared" si="141"/>
        <v>17703.247296000001</v>
      </c>
      <c r="AI479" s="33">
        <f t="shared" si="142"/>
        <v>12659.788799999998</v>
      </c>
      <c r="AJ479" s="33">
        <f t="shared" si="143"/>
        <v>5043.4584960000029</v>
      </c>
    </row>
    <row r="480" spans="1:36" x14ac:dyDescent="0.25">
      <c r="A480" s="12" t="s">
        <v>564</v>
      </c>
      <c r="B480" s="27">
        <v>45633</v>
      </c>
      <c r="C480" s="4">
        <v>45652</v>
      </c>
      <c r="D480" s="12" t="s">
        <v>649</v>
      </c>
      <c r="E480" s="12" t="s">
        <v>658</v>
      </c>
      <c r="F480" s="12" t="s">
        <v>683</v>
      </c>
      <c r="G480" s="12" t="s">
        <v>706</v>
      </c>
      <c r="H480" s="12" t="s">
        <v>708</v>
      </c>
      <c r="I480" s="12" t="s">
        <v>726</v>
      </c>
      <c r="J480" s="12" t="s">
        <v>729</v>
      </c>
      <c r="K480" s="12" t="s">
        <v>1282</v>
      </c>
      <c r="L480" s="6">
        <v>1035.24</v>
      </c>
      <c r="M480" s="6">
        <v>2383.41</v>
      </c>
      <c r="N480" s="6">
        <f t="shared" si="126"/>
        <v>2383.41</v>
      </c>
      <c r="O480" s="6" t="str">
        <f t="shared" si="140"/>
        <v>High</v>
      </c>
      <c r="P480" s="6">
        <v>0.17</v>
      </c>
      <c r="Q480" s="6">
        <f t="shared" si="127"/>
        <v>0.17</v>
      </c>
      <c r="R480" s="6">
        <v>15</v>
      </c>
      <c r="S480" s="6" t="str">
        <f t="shared" si="128"/>
        <v>OK</v>
      </c>
      <c r="T480" s="4">
        <f t="shared" si="129"/>
        <v>45652</v>
      </c>
      <c r="U480" s="11">
        <f t="shared" si="130"/>
        <v>19</v>
      </c>
      <c r="V480" s="6">
        <f t="shared" si="131"/>
        <v>29673.454499999993</v>
      </c>
      <c r="W480" s="6">
        <f t="shared" si="132"/>
        <v>15528.6</v>
      </c>
      <c r="X480" s="6">
        <f t="shared" si="133"/>
        <v>14144.854499999992</v>
      </c>
      <c r="Y480" s="6">
        <f t="shared" si="134"/>
        <v>0.47668378145860962</v>
      </c>
      <c r="Z480" s="4" t="str">
        <f t="shared" si="135"/>
        <v>Q4-2024</v>
      </c>
      <c r="AA480" t="str">
        <f t="shared" si="136"/>
        <v>Networking</v>
      </c>
      <c r="AB480" t="str">
        <f t="shared" si="137"/>
        <v>Networking</v>
      </c>
      <c r="AC480" t="str">
        <f t="shared" si="138"/>
        <v>Compliant</v>
      </c>
      <c r="AD480" t="str">
        <f t="shared" si="139"/>
        <v>Late</v>
      </c>
      <c r="AE480" s="8">
        <f>MIN(Q480,Scenario!$B$2)</f>
        <v>0.17</v>
      </c>
      <c r="AF480" s="33">
        <f>L480*(1+Scenario!$B$3)</f>
        <v>1190.5259999999998</v>
      </c>
      <c r="AG480" s="6">
        <f>R480*(1+Scenario!$B$4)</f>
        <v>18</v>
      </c>
      <c r="AH480" s="33">
        <f t="shared" si="141"/>
        <v>35608.145399999994</v>
      </c>
      <c r="AI480" s="33">
        <f t="shared" si="142"/>
        <v>21429.467999999997</v>
      </c>
      <c r="AJ480" s="33">
        <f t="shared" si="143"/>
        <v>14178.677399999997</v>
      </c>
    </row>
    <row r="481" spans="1:36" hidden="1" x14ac:dyDescent="0.25">
      <c r="A481" s="12" t="s">
        <v>445</v>
      </c>
      <c r="B481" s="27">
        <v>45654</v>
      </c>
      <c r="C481" s="4">
        <v>45665</v>
      </c>
      <c r="D481" s="12" t="s">
        <v>647</v>
      </c>
      <c r="E481" s="12" t="s">
        <v>659</v>
      </c>
      <c r="F481" s="12" t="s">
        <v>676</v>
      </c>
      <c r="G481" s="12" t="s">
        <v>706</v>
      </c>
      <c r="H481" s="12" t="s">
        <v>708</v>
      </c>
      <c r="I481" s="12" t="s">
        <v>723</v>
      </c>
      <c r="J481" s="12" t="s">
        <v>731</v>
      </c>
      <c r="K481" s="12" t="s">
        <v>1164</v>
      </c>
      <c r="L481" s="6">
        <v>1201.31</v>
      </c>
      <c r="M481" s="6">
        <v>2764.65</v>
      </c>
      <c r="N481" s="6">
        <f t="shared" si="126"/>
        <v>2764.65</v>
      </c>
      <c r="O481" s="6" t="str">
        <f t="shared" si="140"/>
        <v>High</v>
      </c>
      <c r="P481" s="6">
        <v>0</v>
      </c>
      <c r="Q481" s="6">
        <f t="shared" si="127"/>
        <v>0</v>
      </c>
      <c r="R481" s="6">
        <v>21</v>
      </c>
      <c r="S481" s="6" t="str">
        <f t="shared" si="128"/>
        <v>OK</v>
      </c>
      <c r="T481" s="4">
        <f t="shared" si="129"/>
        <v>45665</v>
      </c>
      <c r="U481" s="11">
        <f t="shared" si="130"/>
        <v>11</v>
      </c>
      <c r="V481" s="6">
        <f t="shared" si="131"/>
        <v>58057.65</v>
      </c>
      <c r="W481" s="6">
        <f t="shared" si="132"/>
        <v>25227.51</v>
      </c>
      <c r="X481" s="6">
        <f t="shared" si="133"/>
        <v>32830.14</v>
      </c>
      <c r="Y481" s="6">
        <f t="shared" si="134"/>
        <v>0.56547483406579491</v>
      </c>
      <c r="Z481" s="4" t="str">
        <f t="shared" si="135"/>
        <v>Q4-2024</v>
      </c>
      <c r="AA481" t="str">
        <f t="shared" si="136"/>
        <v>Laptops</v>
      </c>
      <c r="AB481" t="str">
        <f t="shared" si="137"/>
        <v>Laptops</v>
      </c>
      <c r="AC481" t="str">
        <f t="shared" si="138"/>
        <v>Compliant</v>
      </c>
      <c r="AD481" t="str">
        <f t="shared" si="139"/>
        <v>Late</v>
      </c>
      <c r="AE481" s="8">
        <f>MIN(Q481,Scenario!$B$2)</f>
        <v>0</v>
      </c>
      <c r="AF481" s="33">
        <f>L481*(1+Scenario!$B$3)</f>
        <v>1381.5064999999997</v>
      </c>
      <c r="AG481" s="6">
        <f>R481*(1+Scenario!$B$4)</f>
        <v>25.2</v>
      </c>
      <c r="AH481" s="33">
        <f t="shared" si="141"/>
        <v>69669.180000000008</v>
      </c>
      <c r="AI481" s="33">
        <f t="shared" si="142"/>
        <v>34813.96379999999</v>
      </c>
      <c r="AJ481" s="33">
        <f t="shared" si="143"/>
        <v>34855.216200000017</v>
      </c>
    </row>
    <row r="482" spans="1:36" x14ac:dyDescent="0.25">
      <c r="A482" s="12" t="s">
        <v>324</v>
      </c>
      <c r="B482" s="27">
        <v>45655</v>
      </c>
      <c r="C482" s="4">
        <v>45669</v>
      </c>
      <c r="D482" s="12" t="s">
        <v>649</v>
      </c>
      <c r="E482" s="12" t="s">
        <v>658</v>
      </c>
      <c r="F482" s="12" t="s">
        <v>693</v>
      </c>
      <c r="G482" s="12" t="s">
        <v>701</v>
      </c>
      <c r="H482" s="12" t="s">
        <v>711</v>
      </c>
      <c r="I482" s="12" t="s">
        <v>717</v>
      </c>
      <c r="J482" s="12" t="s">
        <v>732</v>
      </c>
      <c r="K482" s="12" t="s">
        <v>1044</v>
      </c>
      <c r="L482" s="6">
        <v>1399.72</v>
      </c>
      <c r="M482" s="6">
        <v>3149.21</v>
      </c>
      <c r="N482" s="6">
        <f t="shared" si="126"/>
        <v>3149.21</v>
      </c>
      <c r="O482" s="6" t="str">
        <f t="shared" si="140"/>
        <v>High</v>
      </c>
      <c r="P482" s="6">
        <v>0.185</v>
      </c>
      <c r="Q482" s="6">
        <f t="shared" si="127"/>
        <v>0.185</v>
      </c>
      <c r="R482" s="6">
        <v>12</v>
      </c>
      <c r="S482" s="6" t="str">
        <f t="shared" si="128"/>
        <v>OK</v>
      </c>
      <c r="T482" s="4">
        <f t="shared" si="129"/>
        <v>45669</v>
      </c>
      <c r="U482" s="11">
        <f t="shared" si="130"/>
        <v>14</v>
      </c>
      <c r="V482" s="6">
        <f t="shared" si="131"/>
        <v>30799.273800000003</v>
      </c>
      <c r="W482" s="6">
        <f t="shared" si="132"/>
        <v>16796.64</v>
      </c>
      <c r="X482" s="6">
        <f t="shared" si="133"/>
        <v>14002.633800000003</v>
      </c>
      <c r="Y482" s="6">
        <f t="shared" si="134"/>
        <v>0.45464168703873797</v>
      </c>
      <c r="Z482" s="4" t="str">
        <f t="shared" si="135"/>
        <v>Q4-2024</v>
      </c>
      <c r="AA482" t="str">
        <f t="shared" si="136"/>
        <v>Monitors</v>
      </c>
      <c r="AB482" t="str">
        <f t="shared" si="137"/>
        <v>Monitors</v>
      </c>
      <c r="AC482" t="str">
        <f t="shared" si="138"/>
        <v>Compliant</v>
      </c>
      <c r="AD482" t="str">
        <f t="shared" si="139"/>
        <v>Late</v>
      </c>
      <c r="AE482" s="8">
        <f>MIN(Q482,Scenario!$B$2)</f>
        <v>0.185</v>
      </c>
      <c r="AF482" s="33">
        <f>L482*(1+Scenario!$B$3)</f>
        <v>1609.6779999999999</v>
      </c>
      <c r="AG482" s="6">
        <f>R482*(1+Scenario!$B$4)</f>
        <v>14.399999999999999</v>
      </c>
      <c r="AH482" s="33">
        <f t="shared" si="141"/>
        <v>36959.128559999997</v>
      </c>
      <c r="AI482" s="33">
        <f t="shared" si="142"/>
        <v>23179.363199999996</v>
      </c>
      <c r="AJ482" s="33">
        <f t="shared" si="143"/>
        <v>13779.765360000001</v>
      </c>
    </row>
    <row r="483" spans="1:36" x14ac:dyDescent="0.25">
      <c r="A483" s="12" t="s">
        <v>132</v>
      </c>
      <c r="B483" s="27">
        <v>45653</v>
      </c>
      <c r="C483" s="4">
        <v>45659</v>
      </c>
      <c r="D483" s="12" t="s">
        <v>649</v>
      </c>
      <c r="E483" s="12" t="s">
        <v>656</v>
      </c>
      <c r="F483" s="12" t="s">
        <v>698</v>
      </c>
      <c r="G483" s="12" t="s">
        <v>702</v>
      </c>
      <c r="H483" s="12" t="s">
        <v>711</v>
      </c>
      <c r="I483" s="12" t="s">
        <v>721</v>
      </c>
      <c r="J483" s="12" t="s">
        <v>731</v>
      </c>
      <c r="K483" s="12" t="s">
        <v>851</v>
      </c>
      <c r="L483" s="6">
        <v>1391.99</v>
      </c>
      <c r="M483" s="6">
        <v>3469.7</v>
      </c>
      <c r="N483" s="6">
        <f t="shared" si="126"/>
        <v>3469.7</v>
      </c>
      <c r="O483" s="6" t="str">
        <f t="shared" si="140"/>
        <v>High</v>
      </c>
      <c r="P483" s="6">
        <v>0.184</v>
      </c>
      <c r="Q483" s="6">
        <f t="shared" si="127"/>
        <v>0.184</v>
      </c>
      <c r="R483" s="6">
        <v>23</v>
      </c>
      <c r="S483" s="6" t="str">
        <f t="shared" si="128"/>
        <v>OK</v>
      </c>
      <c r="T483" s="4">
        <f t="shared" si="129"/>
        <v>45659</v>
      </c>
      <c r="U483" s="11">
        <f t="shared" si="130"/>
        <v>6</v>
      </c>
      <c r="V483" s="6">
        <f t="shared" si="131"/>
        <v>65119.329599999997</v>
      </c>
      <c r="W483" s="6">
        <f t="shared" si="132"/>
        <v>32015.77</v>
      </c>
      <c r="X483" s="6">
        <f t="shared" si="133"/>
        <v>33103.559599999993</v>
      </c>
      <c r="Y483" s="6">
        <f t="shared" si="134"/>
        <v>0.50835227886006973</v>
      </c>
      <c r="Z483" s="4" t="str">
        <f t="shared" si="135"/>
        <v>Q4-2024</v>
      </c>
      <c r="AA483" t="str">
        <f t="shared" si="136"/>
        <v>Laptops</v>
      </c>
      <c r="AB483" t="str">
        <f t="shared" si="137"/>
        <v>Laptops</v>
      </c>
      <c r="AC483" t="str">
        <f t="shared" si="138"/>
        <v>Compliant</v>
      </c>
      <c r="AD483" t="str">
        <f t="shared" si="139"/>
        <v>On-time</v>
      </c>
      <c r="AE483" s="8">
        <f>MIN(Q483,Scenario!$B$2)</f>
        <v>0.184</v>
      </c>
      <c r="AF483" s="33">
        <f>L483*(1+Scenario!$B$3)</f>
        <v>1600.7884999999999</v>
      </c>
      <c r="AG483" s="6">
        <f>R483*(1+Scenario!$B$4)</f>
        <v>27.599999999999998</v>
      </c>
      <c r="AH483" s="33">
        <f t="shared" si="141"/>
        <v>78143.195519999994</v>
      </c>
      <c r="AI483" s="33">
        <f t="shared" si="142"/>
        <v>44181.762599999995</v>
      </c>
      <c r="AJ483" s="33">
        <f t="shared" si="143"/>
        <v>33961.432919999999</v>
      </c>
    </row>
    <row r="484" spans="1:36" hidden="1" x14ac:dyDescent="0.25">
      <c r="A484" s="12" t="s">
        <v>470</v>
      </c>
      <c r="B484" s="27">
        <v>45265</v>
      </c>
      <c r="C484" s="4">
        <v>45272</v>
      </c>
      <c r="D484" s="12" t="s">
        <v>648</v>
      </c>
      <c r="E484" s="12" t="s">
        <v>655</v>
      </c>
      <c r="F484" s="12" t="s">
        <v>672</v>
      </c>
      <c r="G484" s="12" t="s">
        <v>701</v>
      </c>
      <c r="H484" s="12" t="s">
        <v>711</v>
      </c>
      <c r="I484" s="12" t="s">
        <v>721</v>
      </c>
      <c r="J484" s="12" t="s">
        <v>730</v>
      </c>
      <c r="K484" s="12" t="s">
        <v>1189</v>
      </c>
      <c r="L484" s="6">
        <v>307.43</v>
      </c>
      <c r="M484" s="6">
        <v>495.19</v>
      </c>
      <c r="N484" s="6">
        <f t="shared" si="126"/>
        <v>495.19</v>
      </c>
      <c r="O484" s="6" t="str">
        <f t="shared" si="140"/>
        <v>Low</v>
      </c>
      <c r="P484" s="6">
        <v>0</v>
      </c>
      <c r="Q484" s="6">
        <f t="shared" si="127"/>
        <v>0</v>
      </c>
      <c r="R484" s="6">
        <v>42</v>
      </c>
      <c r="S484" s="6" t="str">
        <f t="shared" si="128"/>
        <v>OK</v>
      </c>
      <c r="T484" s="4">
        <f t="shared" si="129"/>
        <v>45272</v>
      </c>
      <c r="U484" s="11">
        <f t="shared" si="130"/>
        <v>7</v>
      </c>
      <c r="V484" s="6">
        <f t="shared" si="131"/>
        <v>20797.98</v>
      </c>
      <c r="W484" s="6">
        <f t="shared" si="132"/>
        <v>12912.06</v>
      </c>
      <c r="X484" s="6">
        <f t="shared" si="133"/>
        <v>7885.92</v>
      </c>
      <c r="Y484" s="6">
        <f t="shared" si="134"/>
        <v>0.37916759223732305</v>
      </c>
      <c r="Z484" s="4" t="str">
        <f t="shared" si="135"/>
        <v>Q4-2023</v>
      </c>
      <c r="AA484" t="str">
        <f t="shared" si="136"/>
        <v>Phones</v>
      </c>
      <c r="AB484" t="str">
        <f t="shared" si="137"/>
        <v>Phones</v>
      </c>
      <c r="AC484" t="str">
        <f t="shared" si="138"/>
        <v>Compliant</v>
      </c>
      <c r="AD484" t="str">
        <f t="shared" si="139"/>
        <v>On-time</v>
      </c>
      <c r="AE484" s="8">
        <f>MIN(Q484,Scenario!$B$2)</f>
        <v>0</v>
      </c>
      <c r="AF484" s="33">
        <f>L484*(1+Scenario!$B$3)</f>
        <v>353.54449999999997</v>
      </c>
      <c r="AG484" s="6">
        <f>R484*(1+Scenario!$B$4)</f>
        <v>50.4</v>
      </c>
      <c r="AH484" s="33">
        <f t="shared" si="141"/>
        <v>24957.576000000001</v>
      </c>
      <c r="AI484" s="33">
        <f t="shared" si="142"/>
        <v>17818.642799999998</v>
      </c>
      <c r="AJ484" s="33">
        <f t="shared" si="143"/>
        <v>7138.9332000000031</v>
      </c>
    </row>
    <row r="485" spans="1:36" hidden="1" x14ac:dyDescent="0.25">
      <c r="A485" s="12" t="s">
        <v>282</v>
      </c>
      <c r="B485" s="27">
        <v>45284</v>
      </c>
      <c r="C485" s="4">
        <v>45292</v>
      </c>
      <c r="D485" s="12" t="s">
        <v>648</v>
      </c>
      <c r="E485" s="12" t="s">
        <v>655</v>
      </c>
      <c r="F485" s="12" t="s">
        <v>670</v>
      </c>
      <c r="G485" s="12" t="s">
        <v>702</v>
      </c>
      <c r="H485" s="12" t="s">
        <v>711</v>
      </c>
      <c r="I485" s="12" t="s">
        <v>712</v>
      </c>
      <c r="J485" s="12" t="s">
        <v>730</v>
      </c>
      <c r="K485" s="12" t="s">
        <v>1002</v>
      </c>
      <c r="L485" s="6">
        <v>526.49</v>
      </c>
      <c r="M485" s="6">
        <v>496.2</v>
      </c>
      <c r="N485" s="6">
        <f t="shared" si="126"/>
        <v>496.2</v>
      </c>
      <c r="O485" s="6" t="str">
        <f t="shared" si="140"/>
        <v>Low</v>
      </c>
      <c r="P485" s="6">
        <v>0</v>
      </c>
      <c r="Q485" s="6">
        <f t="shared" si="127"/>
        <v>0</v>
      </c>
      <c r="R485" s="6">
        <v>14</v>
      </c>
      <c r="S485" s="6" t="str">
        <f t="shared" si="128"/>
        <v>OK</v>
      </c>
      <c r="T485" s="4">
        <f t="shared" si="129"/>
        <v>45292</v>
      </c>
      <c r="U485" s="11">
        <f t="shared" si="130"/>
        <v>8</v>
      </c>
      <c r="V485" s="6">
        <f t="shared" si="131"/>
        <v>6946.8</v>
      </c>
      <c r="W485" s="6">
        <f t="shared" si="132"/>
        <v>7370.8600000000006</v>
      </c>
      <c r="X485" s="6">
        <f t="shared" si="133"/>
        <v>-424.0600000000004</v>
      </c>
      <c r="Y485" s="6">
        <f t="shared" si="134"/>
        <v>-6.1043933897621985E-2</v>
      </c>
      <c r="Z485" s="4" t="str">
        <f t="shared" si="135"/>
        <v>Q4-2023</v>
      </c>
      <c r="AA485" t="str">
        <f t="shared" si="136"/>
        <v>Phones</v>
      </c>
      <c r="AB485" t="str">
        <f t="shared" si="137"/>
        <v>Phones</v>
      </c>
      <c r="AC485" t="str">
        <f t="shared" si="138"/>
        <v>Compliant</v>
      </c>
      <c r="AD485" t="str">
        <f t="shared" si="139"/>
        <v>Late</v>
      </c>
      <c r="AE485" s="8">
        <f>MIN(Q485,Scenario!$B$2)</f>
        <v>0</v>
      </c>
      <c r="AF485" s="33">
        <f>L485*(1+Scenario!$B$3)</f>
        <v>605.46349999999995</v>
      </c>
      <c r="AG485" s="6">
        <f>R485*(1+Scenario!$B$4)</f>
        <v>16.8</v>
      </c>
      <c r="AH485" s="33">
        <f t="shared" si="141"/>
        <v>8336.16</v>
      </c>
      <c r="AI485" s="33">
        <f t="shared" si="142"/>
        <v>10171.7868</v>
      </c>
      <c r="AJ485" s="33">
        <f t="shared" si="143"/>
        <v>-1835.6268</v>
      </c>
    </row>
    <row r="486" spans="1:36" x14ac:dyDescent="0.25">
      <c r="A486" s="12" t="s">
        <v>384</v>
      </c>
      <c r="B486" s="27">
        <v>45286</v>
      </c>
      <c r="C486" s="4">
        <v>45294</v>
      </c>
      <c r="D486" s="12" t="s">
        <v>649</v>
      </c>
      <c r="E486" s="12" t="s">
        <v>657</v>
      </c>
      <c r="F486" s="12" t="s">
        <v>679</v>
      </c>
      <c r="G486" s="12" t="s">
        <v>705</v>
      </c>
      <c r="H486" s="12" t="s">
        <v>707</v>
      </c>
      <c r="I486" s="12" t="s">
        <v>724</v>
      </c>
      <c r="J486" s="12" t="s">
        <v>731</v>
      </c>
      <c r="K486" s="12" t="s">
        <v>1104</v>
      </c>
      <c r="L486" s="6">
        <v>492.75</v>
      </c>
      <c r="M486" s="6">
        <v>731.29</v>
      </c>
      <c r="N486" s="6">
        <f t="shared" si="126"/>
        <v>731.29</v>
      </c>
      <c r="O486" s="6" t="str">
        <f t="shared" si="140"/>
        <v>Middle</v>
      </c>
      <c r="P486" s="6">
        <v>5.8000000000000003E-2</v>
      </c>
      <c r="Q486" s="6">
        <f t="shared" si="127"/>
        <v>5.8000000000000003E-2</v>
      </c>
      <c r="R486" s="6">
        <v>6</v>
      </c>
      <c r="S486" s="6" t="str">
        <f t="shared" si="128"/>
        <v>OK</v>
      </c>
      <c r="T486" s="4">
        <f t="shared" si="129"/>
        <v>45294</v>
      </c>
      <c r="U486" s="11">
        <f t="shared" si="130"/>
        <v>8</v>
      </c>
      <c r="V486" s="6">
        <f t="shared" si="131"/>
        <v>4133.25108</v>
      </c>
      <c r="W486" s="6">
        <f t="shared" si="132"/>
        <v>2956.5</v>
      </c>
      <c r="X486" s="6">
        <f t="shared" si="133"/>
        <v>1176.75108</v>
      </c>
      <c r="Y486" s="6">
        <f t="shared" si="134"/>
        <v>0.28470350753528384</v>
      </c>
      <c r="Z486" s="4" t="str">
        <f t="shared" si="135"/>
        <v>Q4-2023</v>
      </c>
      <c r="AA486" t="str">
        <f t="shared" si="136"/>
        <v>Laptops</v>
      </c>
      <c r="AB486" t="str">
        <f t="shared" si="137"/>
        <v>Laptops</v>
      </c>
      <c r="AC486" t="str">
        <f t="shared" si="138"/>
        <v>Compliant</v>
      </c>
      <c r="AD486" t="str">
        <f t="shared" si="139"/>
        <v>Late</v>
      </c>
      <c r="AE486" s="8">
        <f>MIN(Q486,Scenario!$B$2)</f>
        <v>5.8000000000000003E-2</v>
      </c>
      <c r="AF486" s="33">
        <f>L486*(1+Scenario!$B$3)</f>
        <v>566.66249999999991</v>
      </c>
      <c r="AG486" s="6">
        <f>R486*(1+Scenario!$B$4)</f>
        <v>7.1999999999999993</v>
      </c>
      <c r="AH486" s="33">
        <f t="shared" si="141"/>
        <v>4959.9012959999991</v>
      </c>
      <c r="AI486" s="33">
        <f t="shared" si="142"/>
        <v>4079.9699999999989</v>
      </c>
      <c r="AJ486" s="33">
        <f t="shared" si="143"/>
        <v>879.9312960000002</v>
      </c>
    </row>
    <row r="487" spans="1:36" hidden="1" x14ac:dyDescent="0.25">
      <c r="A487" s="12" t="s">
        <v>19</v>
      </c>
      <c r="B487" s="27">
        <v>45266</v>
      </c>
      <c r="C487" s="4">
        <v>45291</v>
      </c>
      <c r="D487" s="12" t="s">
        <v>647</v>
      </c>
      <c r="E487" s="12" t="s">
        <v>652</v>
      </c>
      <c r="F487" s="12" t="s">
        <v>666</v>
      </c>
      <c r="G487" s="12" t="s">
        <v>704</v>
      </c>
      <c r="H487" s="12" t="s">
        <v>707</v>
      </c>
      <c r="I487" s="12" t="s">
        <v>716</v>
      </c>
      <c r="J487" s="12" t="s">
        <v>728</v>
      </c>
      <c r="K487" s="12" t="s">
        <v>738</v>
      </c>
      <c r="L487" s="6">
        <v>663.03</v>
      </c>
      <c r="M487" s="6">
        <v>813.51</v>
      </c>
      <c r="N487" s="6">
        <f t="shared" si="126"/>
        <v>813.51</v>
      </c>
      <c r="O487" s="6" t="str">
        <f t="shared" si="140"/>
        <v>Middle</v>
      </c>
      <c r="P487" s="6">
        <v>0.10199999999999999</v>
      </c>
      <c r="Q487" s="6">
        <f t="shared" si="127"/>
        <v>0.10199999999999999</v>
      </c>
      <c r="R487" s="6">
        <v>15</v>
      </c>
      <c r="S487" s="6" t="str">
        <f t="shared" si="128"/>
        <v>OK</v>
      </c>
      <c r="T487" s="4">
        <f t="shared" si="129"/>
        <v>45291</v>
      </c>
      <c r="U487" s="11">
        <f t="shared" si="130"/>
        <v>25</v>
      </c>
      <c r="V487" s="6">
        <f t="shared" si="131"/>
        <v>10957.9797</v>
      </c>
      <c r="W487" s="6">
        <f t="shared" si="132"/>
        <v>9945.4499999999989</v>
      </c>
      <c r="X487" s="6">
        <f t="shared" si="133"/>
        <v>1012.529700000001</v>
      </c>
      <c r="Y487" s="6">
        <f t="shared" si="134"/>
        <v>9.2401129379715952E-2</v>
      </c>
      <c r="Z487" s="4" t="str">
        <f t="shared" si="135"/>
        <v>Q4-2023</v>
      </c>
      <c r="AA487" t="str">
        <f t="shared" si="136"/>
        <v>Printers</v>
      </c>
      <c r="AB487" t="str">
        <f t="shared" si="137"/>
        <v>Printers</v>
      </c>
      <c r="AC487" t="str">
        <f t="shared" si="138"/>
        <v>Compliant</v>
      </c>
      <c r="AD487" t="str">
        <f t="shared" si="139"/>
        <v>Late</v>
      </c>
      <c r="AE487" s="8">
        <f>MIN(Q487,Scenario!$B$2)</f>
        <v>0.10199999999999999</v>
      </c>
      <c r="AF487" s="33">
        <f>L487*(1+Scenario!$B$3)</f>
        <v>762.48449999999991</v>
      </c>
      <c r="AG487" s="6">
        <f>R487*(1+Scenario!$B$4)</f>
        <v>18</v>
      </c>
      <c r="AH487" s="33">
        <f t="shared" si="141"/>
        <v>13149.575640000001</v>
      </c>
      <c r="AI487" s="33">
        <f t="shared" si="142"/>
        <v>13724.720999999998</v>
      </c>
      <c r="AJ487" s="33">
        <f t="shared" si="143"/>
        <v>-575.1453599999968</v>
      </c>
    </row>
    <row r="488" spans="1:36" hidden="1" x14ac:dyDescent="0.25">
      <c r="A488" s="12" t="s">
        <v>167</v>
      </c>
      <c r="B488" s="27">
        <v>45267</v>
      </c>
      <c r="C488" s="4">
        <v>45265</v>
      </c>
      <c r="D488" s="12" t="s">
        <v>647</v>
      </c>
      <c r="E488" s="12" t="s">
        <v>652</v>
      </c>
      <c r="F488" s="12" t="s">
        <v>689</v>
      </c>
      <c r="G488" s="12" t="s">
        <v>703</v>
      </c>
      <c r="H488" s="12" t="s">
        <v>709</v>
      </c>
      <c r="I488" s="12" t="s">
        <v>722</v>
      </c>
      <c r="J488" s="12" t="s">
        <v>728</v>
      </c>
      <c r="K488" s="12" t="s">
        <v>886</v>
      </c>
      <c r="L488" s="6">
        <v>1097.5899999999999</v>
      </c>
      <c r="M488" s="6">
        <v>845.55</v>
      </c>
      <c r="N488" s="6">
        <f t="shared" si="126"/>
        <v>845.55</v>
      </c>
      <c r="O488" s="6" t="str">
        <f t="shared" si="140"/>
        <v>Middle</v>
      </c>
      <c r="P488" s="6">
        <v>0.184</v>
      </c>
      <c r="Q488" s="6">
        <f t="shared" si="127"/>
        <v>0.184</v>
      </c>
      <c r="R488" s="6">
        <v>6</v>
      </c>
      <c r="S488" s="6" t="str">
        <f t="shared" si="128"/>
        <v>Correct</v>
      </c>
      <c r="T488" s="4">
        <f t="shared" si="129"/>
        <v>45274</v>
      </c>
      <c r="U488" s="11">
        <f t="shared" si="130"/>
        <v>7</v>
      </c>
      <c r="V488" s="6">
        <f t="shared" si="131"/>
        <v>4139.8127999999997</v>
      </c>
      <c r="W488" s="6">
        <f t="shared" si="132"/>
        <v>6585.5399999999991</v>
      </c>
      <c r="X488" s="6">
        <f t="shared" si="133"/>
        <v>-2445.7271999999994</v>
      </c>
      <c r="Y488" s="6">
        <f t="shared" si="134"/>
        <v>-0.59078207594314402</v>
      </c>
      <c r="Z488" s="4" t="str">
        <f t="shared" si="135"/>
        <v>Q4-2023</v>
      </c>
      <c r="AA488" t="str">
        <f t="shared" si="136"/>
        <v>Printers</v>
      </c>
      <c r="AB488" t="str">
        <f t="shared" si="137"/>
        <v>Printers</v>
      </c>
      <c r="AC488" t="str">
        <f t="shared" si="138"/>
        <v>Compliant</v>
      </c>
      <c r="AD488" t="str">
        <f t="shared" si="139"/>
        <v>On-time</v>
      </c>
      <c r="AE488" s="8">
        <f>MIN(Q488,Scenario!$B$2)</f>
        <v>0.184</v>
      </c>
      <c r="AF488" s="33">
        <f>L488*(1+Scenario!$B$3)</f>
        <v>1262.2284999999997</v>
      </c>
      <c r="AG488" s="6">
        <f>R488*(1+Scenario!$B$4)</f>
        <v>7.1999999999999993</v>
      </c>
      <c r="AH488" s="33">
        <f t="shared" si="141"/>
        <v>4967.7753599999996</v>
      </c>
      <c r="AI488" s="33">
        <f t="shared" si="142"/>
        <v>9088.0451999999968</v>
      </c>
      <c r="AJ488" s="33">
        <f t="shared" si="143"/>
        <v>-4120.2698399999972</v>
      </c>
    </row>
    <row r="489" spans="1:36" hidden="1" x14ac:dyDescent="0.25">
      <c r="A489" s="12" t="s">
        <v>588</v>
      </c>
      <c r="B489" s="27">
        <v>45279</v>
      </c>
      <c r="C489" s="4">
        <v>45292</v>
      </c>
      <c r="D489" s="12" t="s">
        <v>648</v>
      </c>
      <c r="E489" s="12" t="s">
        <v>653</v>
      </c>
      <c r="F489" s="12" t="s">
        <v>667</v>
      </c>
      <c r="G489" s="12" t="s">
        <v>706</v>
      </c>
      <c r="H489" s="12" t="s">
        <v>707</v>
      </c>
      <c r="I489" s="12" t="s">
        <v>723</v>
      </c>
      <c r="J489" s="12" t="s">
        <v>732</v>
      </c>
      <c r="K489" s="12" t="s">
        <v>1306</v>
      </c>
      <c r="L489" s="6">
        <v>856.1</v>
      </c>
      <c r="M489" s="6">
        <v>901.48</v>
      </c>
      <c r="N489" s="6">
        <f t="shared" si="126"/>
        <v>901.48</v>
      </c>
      <c r="O489" s="6" t="str">
        <f t="shared" si="140"/>
        <v>Middle</v>
      </c>
      <c r="P489" s="6">
        <v>5.6000000000000001E-2</v>
      </c>
      <c r="Q489" s="6">
        <f t="shared" si="127"/>
        <v>5.6000000000000001E-2</v>
      </c>
      <c r="R489" s="6">
        <v>17</v>
      </c>
      <c r="S489" s="6" t="str">
        <f t="shared" si="128"/>
        <v>OK</v>
      </c>
      <c r="T489" s="4">
        <f t="shared" si="129"/>
        <v>45292</v>
      </c>
      <c r="U489" s="11">
        <f t="shared" si="130"/>
        <v>13</v>
      </c>
      <c r="V489" s="6">
        <f t="shared" si="131"/>
        <v>14466.95104</v>
      </c>
      <c r="W489" s="6">
        <f t="shared" si="132"/>
        <v>14553.7</v>
      </c>
      <c r="X489" s="6">
        <f t="shared" si="133"/>
        <v>-86.748960000000807</v>
      </c>
      <c r="Y489" s="6">
        <f t="shared" si="134"/>
        <v>-5.9963540182134192E-3</v>
      </c>
      <c r="Z489" s="4" t="str">
        <f t="shared" si="135"/>
        <v>Q4-2023</v>
      </c>
      <c r="AA489" t="str">
        <f t="shared" si="136"/>
        <v>Monitors</v>
      </c>
      <c r="AB489" t="str">
        <f t="shared" si="137"/>
        <v>Monitors</v>
      </c>
      <c r="AC489" t="str">
        <f t="shared" si="138"/>
        <v>Compliant</v>
      </c>
      <c r="AD489" t="str">
        <f t="shared" si="139"/>
        <v>Late</v>
      </c>
      <c r="AE489" s="8">
        <f>MIN(Q489,Scenario!$B$2)</f>
        <v>5.6000000000000001E-2</v>
      </c>
      <c r="AF489" s="33">
        <f>L489*(1+Scenario!$B$3)</f>
        <v>984.51499999999999</v>
      </c>
      <c r="AG489" s="6">
        <f>R489*(1+Scenario!$B$4)</f>
        <v>20.399999999999999</v>
      </c>
      <c r="AH489" s="33">
        <f t="shared" si="141"/>
        <v>17360.341247999997</v>
      </c>
      <c r="AI489" s="33">
        <f t="shared" si="142"/>
        <v>20084.106</v>
      </c>
      <c r="AJ489" s="33">
        <f t="shared" si="143"/>
        <v>-2723.7647520000028</v>
      </c>
    </row>
    <row r="490" spans="1:36" hidden="1" x14ac:dyDescent="0.25">
      <c r="A490" s="12" t="s">
        <v>640</v>
      </c>
      <c r="B490" s="27">
        <v>45282</v>
      </c>
      <c r="C490" s="4">
        <v>45307</v>
      </c>
      <c r="D490" s="12" t="s">
        <v>647</v>
      </c>
      <c r="E490" s="12" t="s">
        <v>654</v>
      </c>
      <c r="F490" s="12" t="s">
        <v>696</v>
      </c>
      <c r="G490" s="12" t="s">
        <v>705</v>
      </c>
      <c r="H490" s="12" t="s">
        <v>707</v>
      </c>
      <c r="I490" s="12" t="s">
        <v>720</v>
      </c>
      <c r="J490" s="12" t="s">
        <v>727</v>
      </c>
      <c r="K490" s="12" t="s">
        <v>1358</v>
      </c>
      <c r="L490" s="6">
        <v>1346.81</v>
      </c>
      <c r="M490" s="6">
        <v>978.09</v>
      </c>
      <c r="N490" s="6">
        <f t="shared" si="126"/>
        <v>978.09</v>
      </c>
      <c r="O490" s="6" t="str">
        <f t="shared" si="140"/>
        <v>Middle</v>
      </c>
      <c r="P490" s="6">
        <v>0.159</v>
      </c>
      <c r="Q490" s="6">
        <f t="shared" si="127"/>
        <v>0.159</v>
      </c>
      <c r="R490" s="6">
        <v>17</v>
      </c>
      <c r="S490" s="6" t="str">
        <f t="shared" si="128"/>
        <v>OK</v>
      </c>
      <c r="T490" s="4">
        <f t="shared" si="129"/>
        <v>45307</v>
      </c>
      <c r="U490" s="11">
        <f t="shared" si="130"/>
        <v>25</v>
      </c>
      <c r="V490" s="6">
        <f t="shared" si="131"/>
        <v>13983.752729999998</v>
      </c>
      <c r="W490" s="6">
        <f t="shared" si="132"/>
        <v>22895.77</v>
      </c>
      <c r="X490" s="6">
        <f t="shared" si="133"/>
        <v>-8912.0172700000021</v>
      </c>
      <c r="Y490" s="6">
        <f t="shared" si="134"/>
        <v>-0.6373122753293996</v>
      </c>
      <c r="Z490" s="4" t="str">
        <f t="shared" si="135"/>
        <v>Q4-2023</v>
      </c>
      <c r="AA490" t="str">
        <f t="shared" si="136"/>
        <v>Components</v>
      </c>
      <c r="AB490" t="str">
        <f t="shared" si="137"/>
        <v>Components</v>
      </c>
      <c r="AC490" t="str">
        <f t="shared" si="138"/>
        <v>Compliant</v>
      </c>
      <c r="AD490" t="str">
        <f t="shared" si="139"/>
        <v>Late</v>
      </c>
      <c r="AE490" s="8">
        <f>MIN(Q490,Scenario!$B$2)</f>
        <v>0.159</v>
      </c>
      <c r="AF490" s="33">
        <f>L490*(1+Scenario!$B$3)</f>
        <v>1548.8314999999998</v>
      </c>
      <c r="AG490" s="6">
        <f>R490*(1+Scenario!$B$4)</f>
        <v>20.399999999999999</v>
      </c>
      <c r="AH490" s="33">
        <f t="shared" si="141"/>
        <v>16780.503275999999</v>
      </c>
      <c r="AI490" s="33">
        <f t="shared" si="142"/>
        <v>31596.162599999992</v>
      </c>
      <c r="AJ490" s="33">
        <f t="shared" si="143"/>
        <v>-14815.659323999993</v>
      </c>
    </row>
    <row r="491" spans="1:36" x14ac:dyDescent="0.25">
      <c r="A491" s="12" t="s">
        <v>365</v>
      </c>
      <c r="B491" s="27">
        <v>45262</v>
      </c>
      <c r="C491" s="4">
        <v>45276</v>
      </c>
      <c r="D491" s="12" t="s">
        <v>649</v>
      </c>
      <c r="E491" s="12" t="s">
        <v>656</v>
      </c>
      <c r="F491" s="12" t="s">
        <v>698</v>
      </c>
      <c r="G491" s="12" t="s">
        <v>702</v>
      </c>
      <c r="H491" s="12" t="s">
        <v>711</v>
      </c>
      <c r="I491" s="12" t="s">
        <v>725</v>
      </c>
      <c r="J491" s="12" t="s">
        <v>732</v>
      </c>
      <c r="K491" s="12" t="s">
        <v>1085</v>
      </c>
      <c r="L491" s="6">
        <v>879.08</v>
      </c>
      <c r="M491" s="6">
        <v>1093.3900000000001</v>
      </c>
      <c r="N491" s="6">
        <f t="shared" si="126"/>
        <v>1093.3900000000001</v>
      </c>
      <c r="O491" s="6" t="str">
        <f t="shared" si="140"/>
        <v>Middle</v>
      </c>
      <c r="P491" s="6">
        <v>0.113</v>
      </c>
      <c r="Q491" s="6">
        <f t="shared" si="127"/>
        <v>0.113</v>
      </c>
      <c r="R491" s="6">
        <v>17</v>
      </c>
      <c r="S491" s="6" t="str">
        <f t="shared" si="128"/>
        <v>OK</v>
      </c>
      <c r="T491" s="4">
        <f t="shared" si="129"/>
        <v>45276</v>
      </c>
      <c r="U491" s="11">
        <f t="shared" si="130"/>
        <v>14</v>
      </c>
      <c r="V491" s="6">
        <f t="shared" si="131"/>
        <v>16487.22781</v>
      </c>
      <c r="W491" s="6">
        <f t="shared" si="132"/>
        <v>14944.36</v>
      </c>
      <c r="X491" s="6">
        <f t="shared" si="133"/>
        <v>1542.8678099999997</v>
      </c>
      <c r="Y491" s="6">
        <f t="shared" si="134"/>
        <v>9.3579577341935186E-2</v>
      </c>
      <c r="Z491" s="4" t="str">
        <f t="shared" si="135"/>
        <v>Q4-2023</v>
      </c>
      <c r="AA491" t="str">
        <f t="shared" si="136"/>
        <v>Monitors</v>
      </c>
      <c r="AB491" t="str">
        <f t="shared" si="137"/>
        <v>Monitors</v>
      </c>
      <c r="AC491" t="str">
        <f t="shared" si="138"/>
        <v>Compliant</v>
      </c>
      <c r="AD491" t="str">
        <f t="shared" si="139"/>
        <v>Late</v>
      </c>
      <c r="AE491" s="8">
        <f>MIN(Q491,Scenario!$B$2)</f>
        <v>0.113</v>
      </c>
      <c r="AF491" s="33">
        <f>L491*(1+Scenario!$B$3)</f>
        <v>1010.942</v>
      </c>
      <c r="AG491" s="6">
        <f>R491*(1+Scenario!$B$4)</f>
        <v>20.399999999999999</v>
      </c>
      <c r="AH491" s="33">
        <f t="shared" si="141"/>
        <v>19784.673372000001</v>
      </c>
      <c r="AI491" s="33">
        <f t="shared" si="142"/>
        <v>20623.216799999998</v>
      </c>
      <c r="AJ491" s="33">
        <f t="shared" si="143"/>
        <v>-838.54342799999722</v>
      </c>
    </row>
    <row r="492" spans="1:36" hidden="1" x14ac:dyDescent="0.25">
      <c r="A492" s="12" t="s">
        <v>80</v>
      </c>
      <c r="B492" s="27">
        <v>45263</v>
      </c>
      <c r="C492" s="4">
        <v>45286</v>
      </c>
      <c r="D492" s="12" t="s">
        <v>648</v>
      </c>
      <c r="E492" s="12" t="s">
        <v>655</v>
      </c>
      <c r="F492" s="12" t="s">
        <v>692</v>
      </c>
      <c r="G492" s="12" t="s">
        <v>702</v>
      </c>
      <c r="H492" s="12" t="s">
        <v>707</v>
      </c>
      <c r="I492" s="12" t="s">
        <v>719</v>
      </c>
      <c r="J492" s="12" t="s">
        <v>730</v>
      </c>
      <c r="K492" s="12" t="s">
        <v>799</v>
      </c>
      <c r="L492" s="6">
        <v>1303.1099999999999</v>
      </c>
      <c r="M492" s="6">
        <v>1145.67</v>
      </c>
      <c r="N492" s="6">
        <f t="shared" si="126"/>
        <v>1145.67</v>
      </c>
      <c r="O492" s="6" t="str">
        <f t="shared" si="140"/>
        <v>Middle</v>
      </c>
      <c r="P492" s="6">
        <v>0.184</v>
      </c>
      <c r="Q492" s="6">
        <f t="shared" si="127"/>
        <v>0.184</v>
      </c>
      <c r="R492" s="6">
        <v>13</v>
      </c>
      <c r="S492" s="6" t="str">
        <f t="shared" si="128"/>
        <v>OK</v>
      </c>
      <c r="T492" s="4">
        <f t="shared" si="129"/>
        <v>45286</v>
      </c>
      <c r="U492" s="11">
        <f t="shared" si="130"/>
        <v>23</v>
      </c>
      <c r="V492" s="6">
        <f t="shared" si="131"/>
        <v>12153.267360000002</v>
      </c>
      <c r="W492" s="6">
        <f t="shared" si="132"/>
        <v>16940.43</v>
      </c>
      <c r="X492" s="6">
        <f t="shared" si="133"/>
        <v>-4787.1626399999986</v>
      </c>
      <c r="Y492" s="6">
        <f t="shared" si="134"/>
        <v>-0.39389922875851208</v>
      </c>
      <c r="Z492" s="4" t="str">
        <f t="shared" si="135"/>
        <v>Q4-2023</v>
      </c>
      <c r="AA492" t="str">
        <f t="shared" si="136"/>
        <v>Phones</v>
      </c>
      <c r="AB492" t="str">
        <f t="shared" si="137"/>
        <v>Phones</v>
      </c>
      <c r="AC492" t="str">
        <f t="shared" si="138"/>
        <v>Compliant</v>
      </c>
      <c r="AD492" t="str">
        <f t="shared" si="139"/>
        <v>Late</v>
      </c>
      <c r="AE492" s="8">
        <f>MIN(Q492,Scenario!$B$2)</f>
        <v>0.184</v>
      </c>
      <c r="AF492" s="33">
        <f>L492*(1+Scenario!$B$3)</f>
        <v>1498.5764999999997</v>
      </c>
      <c r="AG492" s="6">
        <f>R492*(1+Scenario!$B$4)</f>
        <v>15.6</v>
      </c>
      <c r="AH492" s="33">
        <f t="shared" si="141"/>
        <v>14583.920832000002</v>
      </c>
      <c r="AI492" s="33">
        <f t="shared" si="142"/>
        <v>23377.793399999995</v>
      </c>
      <c r="AJ492" s="33">
        <f t="shared" si="143"/>
        <v>-8793.8725679999934</v>
      </c>
    </row>
    <row r="493" spans="1:36" x14ac:dyDescent="0.25">
      <c r="A493" s="12" t="s">
        <v>452</v>
      </c>
      <c r="B493" s="27">
        <v>45290</v>
      </c>
      <c r="C493" s="4">
        <v>45299</v>
      </c>
      <c r="D493" s="12" t="s">
        <v>649</v>
      </c>
      <c r="E493" s="12" t="s">
        <v>657</v>
      </c>
      <c r="F493" s="12" t="s">
        <v>673</v>
      </c>
      <c r="G493" s="12" t="s">
        <v>704</v>
      </c>
      <c r="H493" s="12" t="s">
        <v>709</v>
      </c>
      <c r="I493" s="12" t="s">
        <v>716</v>
      </c>
      <c r="J493" s="12" t="s">
        <v>733</v>
      </c>
      <c r="K493" s="12" t="s">
        <v>1171</v>
      </c>
      <c r="L493" s="6">
        <v>861.1</v>
      </c>
      <c r="M493" s="6">
        <v>1224.72</v>
      </c>
      <c r="N493" s="6">
        <f t="shared" si="126"/>
        <v>1224.72</v>
      </c>
      <c r="O493" s="6" t="str">
        <f t="shared" si="140"/>
        <v>High</v>
      </c>
      <c r="P493" s="6">
        <v>0.17399999999999999</v>
      </c>
      <c r="Q493" s="6">
        <f t="shared" si="127"/>
        <v>0.17399999999999999</v>
      </c>
      <c r="R493" s="6">
        <v>24</v>
      </c>
      <c r="S493" s="6" t="str">
        <f t="shared" si="128"/>
        <v>OK</v>
      </c>
      <c r="T493" s="4">
        <f t="shared" si="129"/>
        <v>45299</v>
      </c>
      <c r="U493" s="11">
        <f t="shared" si="130"/>
        <v>9</v>
      </c>
      <c r="V493" s="6">
        <f t="shared" si="131"/>
        <v>24278.849280000002</v>
      </c>
      <c r="W493" s="6">
        <f t="shared" si="132"/>
        <v>20666.400000000001</v>
      </c>
      <c r="X493" s="6">
        <f t="shared" si="133"/>
        <v>3612.4492800000007</v>
      </c>
      <c r="Y493" s="6">
        <f t="shared" si="134"/>
        <v>0.14878997098827909</v>
      </c>
      <c r="Z493" s="4" t="str">
        <f t="shared" si="135"/>
        <v>Q4-2023</v>
      </c>
      <c r="AA493" t="str">
        <f t="shared" si="136"/>
        <v>Accessories</v>
      </c>
      <c r="AB493" t="str">
        <f t="shared" si="137"/>
        <v>Accessories</v>
      </c>
      <c r="AC493" t="str">
        <f t="shared" si="138"/>
        <v>Compliant</v>
      </c>
      <c r="AD493" t="str">
        <f t="shared" si="139"/>
        <v>Late</v>
      </c>
      <c r="AE493" s="8">
        <f>MIN(Q493,Scenario!$B$2)</f>
        <v>0.17399999999999999</v>
      </c>
      <c r="AF493" s="33">
        <f>L493*(1+Scenario!$B$3)</f>
        <v>990.26499999999999</v>
      </c>
      <c r="AG493" s="6">
        <f>R493*(1+Scenario!$B$4)</f>
        <v>28.799999999999997</v>
      </c>
      <c r="AH493" s="33">
        <f t="shared" si="141"/>
        <v>29134.619135999998</v>
      </c>
      <c r="AI493" s="33">
        <f t="shared" si="142"/>
        <v>28519.631999999998</v>
      </c>
      <c r="AJ493" s="33">
        <f t="shared" si="143"/>
        <v>614.98713599999974</v>
      </c>
    </row>
    <row r="494" spans="1:36" hidden="1" x14ac:dyDescent="0.25">
      <c r="A494" s="12" t="s">
        <v>230</v>
      </c>
      <c r="B494" s="27">
        <v>45280</v>
      </c>
      <c r="C494" s="4">
        <v>45305</v>
      </c>
      <c r="D494" s="12" t="s">
        <v>647</v>
      </c>
      <c r="E494" s="12" t="s">
        <v>654</v>
      </c>
      <c r="F494" s="12" t="s">
        <v>691</v>
      </c>
      <c r="G494" s="12" t="s">
        <v>703</v>
      </c>
      <c r="H494" s="12" t="s">
        <v>709</v>
      </c>
      <c r="I494" s="12" t="s">
        <v>716</v>
      </c>
      <c r="J494" s="12" t="s">
        <v>732</v>
      </c>
      <c r="K494" s="12" t="s">
        <v>950</v>
      </c>
      <c r="L494" s="6">
        <v>1085.6099999999999</v>
      </c>
      <c r="M494" s="6">
        <v>1246.4100000000001</v>
      </c>
      <c r="N494" s="6">
        <f t="shared" si="126"/>
        <v>1246.4100000000001</v>
      </c>
      <c r="O494" s="6" t="str">
        <f t="shared" si="140"/>
        <v>High</v>
      </c>
      <c r="P494" s="6">
        <v>0.113</v>
      </c>
      <c r="Q494" s="6">
        <f t="shared" si="127"/>
        <v>0.113</v>
      </c>
      <c r="R494" s="6">
        <v>7</v>
      </c>
      <c r="S494" s="6" t="str">
        <f t="shared" si="128"/>
        <v>OK</v>
      </c>
      <c r="T494" s="4">
        <f t="shared" si="129"/>
        <v>45305</v>
      </c>
      <c r="U494" s="11">
        <f t="shared" si="130"/>
        <v>25</v>
      </c>
      <c r="V494" s="6">
        <f t="shared" si="131"/>
        <v>7738.9596900000006</v>
      </c>
      <c r="W494" s="6">
        <f t="shared" si="132"/>
        <v>7599.2699999999995</v>
      </c>
      <c r="X494" s="6">
        <f t="shared" si="133"/>
        <v>139.68969000000106</v>
      </c>
      <c r="Y494" s="6">
        <f t="shared" si="134"/>
        <v>1.8050189637310417E-2</v>
      </c>
      <c r="Z494" s="4" t="str">
        <f t="shared" si="135"/>
        <v>Q4-2023</v>
      </c>
      <c r="AA494" t="str">
        <f t="shared" si="136"/>
        <v>Monitors</v>
      </c>
      <c r="AB494" t="str">
        <f t="shared" si="137"/>
        <v>Monitors</v>
      </c>
      <c r="AC494" t="str">
        <f t="shared" si="138"/>
        <v>Compliant</v>
      </c>
      <c r="AD494" t="str">
        <f t="shared" si="139"/>
        <v>Late</v>
      </c>
      <c r="AE494" s="8">
        <f>MIN(Q494,Scenario!$B$2)</f>
        <v>0.113</v>
      </c>
      <c r="AF494" s="33">
        <f>L494*(1+Scenario!$B$3)</f>
        <v>1248.4514999999999</v>
      </c>
      <c r="AG494" s="6">
        <f>R494*(1+Scenario!$B$4)</f>
        <v>8.4</v>
      </c>
      <c r="AH494" s="33">
        <f t="shared" si="141"/>
        <v>9286.7516280000018</v>
      </c>
      <c r="AI494" s="33">
        <f t="shared" si="142"/>
        <v>10486.9926</v>
      </c>
      <c r="AJ494" s="33">
        <f t="shared" si="143"/>
        <v>-1200.2409719999978</v>
      </c>
    </row>
    <row r="495" spans="1:36" hidden="1" x14ac:dyDescent="0.25">
      <c r="A495" s="12" t="s">
        <v>100</v>
      </c>
      <c r="B495" s="27">
        <v>45282</v>
      </c>
      <c r="C495" s="4">
        <v>45283</v>
      </c>
      <c r="D495" s="12" t="s">
        <v>646</v>
      </c>
      <c r="E495" s="12" t="s">
        <v>661</v>
      </c>
      <c r="F495" s="12" t="s">
        <v>695</v>
      </c>
      <c r="G495" s="12" t="s">
        <v>703</v>
      </c>
      <c r="H495" s="12" t="s">
        <v>709</v>
      </c>
      <c r="I495" s="12" t="s">
        <v>726</v>
      </c>
      <c r="J495" s="12" t="s">
        <v>727</v>
      </c>
      <c r="K495" s="12" t="s">
        <v>819</v>
      </c>
      <c r="L495" s="6">
        <v>1186.18</v>
      </c>
      <c r="M495" s="6">
        <v>1285.0899999999999</v>
      </c>
      <c r="N495" s="6">
        <f t="shared" si="126"/>
        <v>1285.0899999999999</v>
      </c>
      <c r="O495" s="6" t="str">
        <f t="shared" si="140"/>
        <v>High</v>
      </c>
      <c r="P495" s="6">
        <v>7.0000000000000007E-2</v>
      </c>
      <c r="Q495" s="6">
        <f t="shared" si="127"/>
        <v>7.0000000000000007E-2</v>
      </c>
      <c r="R495" s="6">
        <v>11</v>
      </c>
      <c r="S495" s="6" t="str">
        <f t="shared" si="128"/>
        <v>OK</v>
      </c>
      <c r="T495" s="4">
        <f t="shared" si="129"/>
        <v>45283</v>
      </c>
      <c r="U495" s="11">
        <f t="shared" si="130"/>
        <v>1</v>
      </c>
      <c r="V495" s="6">
        <f t="shared" si="131"/>
        <v>13146.470699999998</v>
      </c>
      <c r="W495" s="6">
        <f t="shared" si="132"/>
        <v>13047.980000000001</v>
      </c>
      <c r="X495" s="6">
        <f t="shared" si="133"/>
        <v>98.49069999999665</v>
      </c>
      <c r="Y495" s="6">
        <f t="shared" si="134"/>
        <v>7.4917977796121861E-3</v>
      </c>
      <c r="Z495" s="4" t="str">
        <f t="shared" si="135"/>
        <v>Q4-2023</v>
      </c>
      <c r="AA495" t="str">
        <f t="shared" si="136"/>
        <v>Components</v>
      </c>
      <c r="AB495" t="str">
        <f t="shared" si="137"/>
        <v>Components</v>
      </c>
      <c r="AC495" t="str">
        <f t="shared" si="138"/>
        <v>Compliant</v>
      </c>
      <c r="AD495" t="str">
        <f t="shared" si="139"/>
        <v>On-time</v>
      </c>
      <c r="AE495" s="8">
        <f>MIN(Q495,Scenario!$B$2)</f>
        <v>7.0000000000000007E-2</v>
      </c>
      <c r="AF495" s="33">
        <f>L495*(1+Scenario!$B$3)</f>
        <v>1364.107</v>
      </c>
      <c r="AG495" s="6">
        <f>R495*(1+Scenario!$B$4)</f>
        <v>13.2</v>
      </c>
      <c r="AH495" s="33">
        <f t="shared" si="141"/>
        <v>15775.764839999998</v>
      </c>
      <c r="AI495" s="33">
        <f t="shared" si="142"/>
        <v>18006.2124</v>
      </c>
      <c r="AJ495" s="33">
        <f t="shared" si="143"/>
        <v>-2230.4475600000023</v>
      </c>
    </row>
    <row r="496" spans="1:36" hidden="1" x14ac:dyDescent="0.25">
      <c r="A496" s="12" t="s">
        <v>460</v>
      </c>
      <c r="B496" s="27">
        <v>45284</v>
      </c>
      <c r="C496" s="4">
        <v>45304</v>
      </c>
      <c r="D496" s="12" t="s">
        <v>647</v>
      </c>
      <c r="E496" s="12" t="s">
        <v>652</v>
      </c>
      <c r="F496" s="12" t="s">
        <v>694</v>
      </c>
      <c r="G496" s="12" t="s">
        <v>702</v>
      </c>
      <c r="H496" s="12" t="s">
        <v>711</v>
      </c>
      <c r="I496" s="12" t="s">
        <v>717</v>
      </c>
      <c r="J496" s="12" t="s">
        <v>731</v>
      </c>
      <c r="K496" s="12" t="s">
        <v>1179</v>
      </c>
      <c r="L496" s="6">
        <v>625.37</v>
      </c>
      <c r="M496" s="6">
        <v>1319.04</v>
      </c>
      <c r="N496" s="6">
        <f t="shared" si="126"/>
        <v>1319.04</v>
      </c>
      <c r="O496" s="6" t="str">
        <f t="shared" si="140"/>
        <v>High</v>
      </c>
      <c r="P496" s="6">
        <v>7.3999999999999996E-2</v>
      </c>
      <c r="Q496" s="6">
        <f t="shared" si="127"/>
        <v>7.3999999999999996E-2</v>
      </c>
      <c r="R496" s="6">
        <v>8</v>
      </c>
      <c r="S496" s="6" t="str">
        <f t="shared" si="128"/>
        <v>OK</v>
      </c>
      <c r="T496" s="4">
        <f t="shared" si="129"/>
        <v>45304</v>
      </c>
      <c r="U496" s="11">
        <f t="shared" si="130"/>
        <v>20</v>
      </c>
      <c r="V496" s="6">
        <f t="shared" si="131"/>
        <v>9771.4483199999995</v>
      </c>
      <c r="W496" s="6">
        <f t="shared" si="132"/>
        <v>5002.96</v>
      </c>
      <c r="X496" s="6">
        <f t="shared" si="133"/>
        <v>4768.4883199999995</v>
      </c>
      <c r="Y496" s="6">
        <f t="shared" si="134"/>
        <v>0.48800220436513547</v>
      </c>
      <c r="Z496" s="4" t="str">
        <f t="shared" si="135"/>
        <v>Q4-2023</v>
      </c>
      <c r="AA496" t="str">
        <f t="shared" si="136"/>
        <v>Laptops</v>
      </c>
      <c r="AB496" t="str">
        <f t="shared" si="137"/>
        <v>Laptops</v>
      </c>
      <c r="AC496" t="str">
        <f t="shared" si="138"/>
        <v>Compliant</v>
      </c>
      <c r="AD496" t="str">
        <f t="shared" si="139"/>
        <v>Late</v>
      </c>
      <c r="AE496" s="8">
        <f>MIN(Q496,Scenario!$B$2)</f>
        <v>7.3999999999999996E-2</v>
      </c>
      <c r="AF496" s="33">
        <f>L496*(1+Scenario!$B$3)</f>
        <v>719.17549999999994</v>
      </c>
      <c r="AG496" s="6">
        <f>R496*(1+Scenario!$B$4)</f>
        <v>9.6</v>
      </c>
      <c r="AH496" s="33">
        <f t="shared" si="141"/>
        <v>11725.737983999999</v>
      </c>
      <c r="AI496" s="33">
        <f t="shared" si="142"/>
        <v>6904.0847999999996</v>
      </c>
      <c r="AJ496" s="33">
        <f t="shared" si="143"/>
        <v>4821.6531839999998</v>
      </c>
    </row>
    <row r="497" spans="1:36" hidden="1" x14ac:dyDescent="0.25">
      <c r="A497" s="12" t="s">
        <v>137</v>
      </c>
      <c r="B497" s="27">
        <v>45289</v>
      </c>
      <c r="C497" s="4">
        <v>45311</v>
      </c>
      <c r="D497" s="12" t="s">
        <v>646</v>
      </c>
      <c r="E497" s="12" t="s">
        <v>650</v>
      </c>
      <c r="F497" s="12" t="s">
        <v>662</v>
      </c>
      <c r="G497" s="12" t="s">
        <v>701</v>
      </c>
      <c r="H497" s="12" t="s">
        <v>711</v>
      </c>
      <c r="I497" s="12" t="s">
        <v>716</v>
      </c>
      <c r="J497" s="12" t="s">
        <v>730</v>
      </c>
      <c r="K497" s="12" t="s">
        <v>856</v>
      </c>
      <c r="L497" s="6">
        <v>1395.49</v>
      </c>
      <c r="M497" s="6">
        <v>1679.42</v>
      </c>
      <c r="N497" s="6">
        <f t="shared" si="126"/>
        <v>1679.42</v>
      </c>
      <c r="O497" s="6" t="str">
        <f t="shared" si="140"/>
        <v>High</v>
      </c>
      <c r="P497" s="6">
        <v>0.20300000000000001</v>
      </c>
      <c r="Q497" s="6">
        <f t="shared" si="127"/>
        <v>0.20300000000000001</v>
      </c>
      <c r="R497" s="6">
        <v>12</v>
      </c>
      <c r="S497" s="6" t="str">
        <f t="shared" si="128"/>
        <v>OK</v>
      </c>
      <c r="T497" s="4">
        <f t="shared" si="129"/>
        <v>45311</v>
      </c>
      <c r="U497" s="11">
        <f t="shared" si="130"/>
        <v>22</v>
      </c>
      <c r="V497" s="6">
        <f t="shared" si="131"/>
        <v>16061.972879999999</v>
      </c>
      <c r="W497" s="6">
        <f t="shared" si="132"/>
        <v>16745.88</v>
      </c>
      <c r="X497" s="6">
        <f t="shared" si="133"/>
        <v>-683.90712000000167</v>
      </c>
      <c r="Y497" s="6">
        <f t="shared" si="134"/>
        <v>-4.2579272490964493E-2</v>
      </c>
      <c r="Z497" s="4" t="str">
        <f t="shared" si="135"/>
        <v>Q4-2023</v>
      </c>
      <c r="AA497" t="str">
        <f t="shared" si="136"/>
        <v>Phones</v>
      </c>
      <c r="AB497" t="str">
        <f t="shared" si="137"/>
        <v>Phones</v>
      </c>
      <c r="AC497" t="str">
        <f t="shared" si="138"/>
        <v>Non-compliant</v>
      </c>
      <c r="AD497" t="str">
        <f t="shared" si="139"/>
        <v>Late</v>
      </c>
      <c r="AE497" s="8">
        <f>MIN(Q497,Scenario!$B$2)</f>
        <v>0.2</v>
      </c>
      <c r="AF497" s="33">
        <f>L497*(1+Scenario!$B$3)</f>
        <v>1604.8135</v>
      </c>
      <c r="AG497" s="6">
        <f>R497*(1+Scenario!$B$4)</f>
        <v>14.399999999999999</v>
      </c>
      <c r="AH497" s="33">
        <f t="shared" si="141"/>
        <v>19346.918399999999</v>
      </c>
      <c r="AI497" s="33">
        <f t="shared" si="142"/>
        <v>23109.314399999996</v>
      </c>
      <c r="AJ497" s="33">
        <f t="shared" si="143"/>
        <v>-3762.395999999997</v>
      </c>
    </row>
    <row r="498" spans="1:36" hidden="1" x14ac:dyDescent="0.25">
      <c r="A498" s="12" t="s">
        <v>423</v>
      </c>
      <c r="B498" s="27">
        <v>45276</v>
      </c>
      <c r="C498" s="4">
        <v>45279</v>
      </c>
      <c r="D498" s="12" t="s">
        <v>647</v>
      </c>
      <c r="E498" s="12" t="s">
        <v>659</v>
      </c>
      <c r="F498" s="12" t="s">
        <v>699</v>
      </c>
      <c r="G498" s="12" t="s">
        <v>702</v>
      </c>
      <c r="H498" s="12" t="s">
        <v>707</v>
      </c>
      <c r="I498" s="12" t="s">
        <v>720</v>
      </c>
      <c r="J498" s="12" t="s">
        <v>733</v>
      </c>
      <c r="K498" s="12" t="s">
        <v>1142</v>
      </c>
      <c r="L498" s="6">
        <v>1415.05</v>
      </c>
      <c r="M498" s="6">
        <v>1972.38</v>
      </c>
      <c r="N498" s="6">
        <f t="shared" si="126"/>
        <v>1972.38</v>
      </c>
      <c r="O498" s="6" t="str">
        <f t="shared" si="140"/>
        <v>High</v>
      </c>
      <c r="P498" s="6">
        <v>0</v>
      </c>
      <c r="Q498" s="6">
        <f t="shared" si="127"/>
        <v>0</v>
      </c>
      <c r="R498" s="6">
        <v>12</v>
      </c>
      <c r="S498" s="6" t="str">
        <f t="shared" si="128"/>
        <v>OK</v>
      </c>
      <c r="T498" s="4">
        <f t="shared" si="129"/>
        <v>45279</v>
      </c>
      <c r="U498" s="11">
        <f t="shared" si="130"/>
        <v>3</v>
      </c>
      <c r="V498" s="6">
        <f t="shared" si="131"/>
        <v>23668.560000000001</v>
      </c>
      <c r="W498" s="6">
        <f t="shared" si="132"/>
        <v>16980.599999999999</v>
      </c>
      <c r="X498" s="6">
        <f t="shared" si="133"/>
        <v>6687.9600000000028</v>
      </c>
      <c r="Y498" s="6">
        <f t="shared" si="134"/>
        <v>0.28256725377462771</v>
      </c>
      <c r="Z498" s="4" t="str">
        <f t="shared" si="135"/>
        <v>Q4-2023</v>
      </c>
      <c r="AA498" t="str">
        <f t="shared" si="136"/>
        <v>Accessories</v>
      </c>
      <c r="AB498" t="str">
        <f t="shared" si="137"/>
        <v>Accessories</v>
      </c>
      <c r="AC498" t="str">
        <f t="shared" si="138"/>
        <v>Compliant</v>
      </c>
      <c r="AD498" t="str">
        <f t="shared" si="139"/>
        <v>On-time</v>
      </c>
      <c r="AE498" s="8">
        <f>MIN(Q498,Scenario!$B$2)</f>
        <v>0</v>
      </c>
      <c r="AF498" s="33">
        <f>L498*(1+Scenario!$B$3)</f>
        <v>1627.3074999999999</v>
      </c>
      <c r="AG498" s="6">
        <f>R498*(1+Scenario!$B$4)</f>
        <v>14.399999999999999</v>
      </c>
      <c r="AH498" s="33">
        <f t="shared" si="141"/>
        <v>28402.271999999997</v>
      </c>
      <c r="AI498" s="33">
        <f t="shared" si="142"/>
        <v>23433.227999999996</v>
      </c>
      <c r="AJ498" s="33">
        <f t="shared" si="143"/>
        <v>4969.0440000000017</v>
      </c>
    </row>
    <row r="499" spans="1:36" hidden="1" x14ac:dyDescent="0.25">
      <c r="A499" s="12" t="s">
        <v>362</v>
      </c>
      <c r="B499" s="27">
        <v>45281</v>
      </c>
      <c r="C499" s="4">
        <v>45297</v>
      </c>
      <c r="D499" s="12" t="s">
        <v>646</v>
      </c>
      <c r="E499" s="12" t="s">
        <v>651</v>
      </c>
      <c r="F499" s="15" t="s">
        <v>1367</v>
      </c>
      <c r="G499" s="12" t="s">
        <v>701</v>
      </c>
      <c r="H499" s="12" t="s">
        <v>709</v>
      </c>
      <c r="I499" s="12" t="s">
        <v>723</v>
      </c>
      <c r="J499" s="12" t="s">
        <v>727</v>
      </c>
      <c r="K499" s="12" t="s">
        <v>1082</v>
      </c>
      <c r="L499" s="6">
        <v>932.61</v>
      </c>
      <c r="M499" s="6">
        <v>1982.98</v>
      </c>
      <c r="N499" s="6">
        <f t="shared" si="126"/>
        <v>1982.98</v>
      </c>
      <c r="O499" s="6" t="str">
        <f t="shared" si="140"/>
        <v>High</v>
      </c>
      <c r="P499" s="6">
        <v>0.14399999999999999</v>
      </c>
      <c r="Q499" s="6">
        <f t="shared" si="127"/>
        <v>0.14399999999999999</v>
      </c>
      <c r="R499" s="6">
        <v>16</v>
      </c>
      <c r="S499" s="6" t="str">
        <f t="shared" si="128"/>
        <v>OK</v>
      </c>
      <c r="T499" s="4">
        <f t="shared" si="129"/>
        <v>45297</v>
      </c>
      <c r="U499" s="11">
        <f t="shared" si="130"/>
        <v>16</v>
      </c>
      <c r="V499" s="6">
        <f t="shared" si="131"/>
        <v>27158.894079999998</v>
      </c>
      <c r="W499" s="6">
        <f t="shared" si="132"/>
        <v>14921.76</v>
      </c>
      <c r="X499" s="6">
        <f t="shared" si="133"/>
        <v>12237.134079999998</v>
      </c>
      <c r="Y499" s="6">
        <f t="shared" si="134"/>
        <v>0.45057556629345635</v>
      </c>
      <c r="Z499" s="4" t="str">
        <f t="shared" si="135"/>
        <v>Q4-2023</v>
      </c>
      <c r="AA499" t="str">
        <f t="shared" si="136"/>
        <v>Components</v>
      </c>
      <c r="AB499" t="str">
        <f t="shared" si="137"/>
        <v>Components</v>
      </c>
      <c r="AC499" t="str">
        <f t="shared" si="138"/>
        <v>Compliant</v>
      </c>
      <c r="AD499" t="str">
        <f t="shared" si="139"/>
        <v>Late</v>
      </c>
      <c r="AE499" s="8">
        <f>MIN(Q499,Scenario!$B$2)</f>
        <v>0.14399999999999999</v>
      </c>
      <c r="AF499" s="33">
        <f>L499*(1+Scenario!$B$3)</f>
        <v>1072.5014999999999</v>
      </c>
      <c r="AG499" s="6">
        <f>R499*(1+Scenario!$B$4)</f>
        <v>19.2</v>
      </c>
      <c r="AH499" s="33">
        <f t="shared" si="141"/>
        <v>32590.672896</v>
      </c>
      <c r="AI499" s="33">
        <f t="shared" si="142"/>
        <v>20592.028799999996</v>
      </c>
      <c r="AJ499" s="33">
        <f t="shared" si="143"/>
        <v>11998.644096000004</v>
      </c>
    </row>
    <row r="500" spans="1:36" hidden="1" x14ac:dyDescent="0.25">
      <c r="A500" s="12" t="s">
        <v>481</v>
      </c>
      <c r="B500" s="27">
        <v>45278</v>
      </c>
      <c r="C500" s="4">
        <v>45305</v>
      </c>
      <c r="D500" s="12" t="s">
        <v>647</v>
      </c>
      <c r="E500" s="12" t="s">
        <v>654</v>
      </c>
      <c r="F500" s="12" t="s">
        <v>691</v>
      </c>
      <c r="G500" s="12" t="s">
        <v>704</v>
      </c>
      <c r="H500" s="12" t="s">
        <v>710</v>
      </c>
      <c r="I500" s="12" t="s">
        <v>726</v>
      </c>
      <c r="J500" s="12" t="s">
        <v>729</v>
      </c>
      <c r="K500" s="12" t="s">
        <v>1200</v>
      </c>
      <c r="L500" s="6">
        <v>1408.3</v>
      </c>
      <c r="M500" s="6">
        <v>2193.13</v>
      </c>
      <c r="N500" s="6">
        <f t="shared" si="126"/>
        <v>2193.13</v>
      </c>
      <c r="O500" s="6" t="str">
        <f t="shared" si="140"/>
        <v>High</v>
      </c>
      <c r="P500" s="6">
        <v>7.0999999999999994E-2</v>
      </c>
      <c r="Q500" s="6">
        <f t="shared" si="127"/>
        <v>7.0999999999999994E-2</v>
      </c>
      <c r="R500" s="6">
        <v>7</v>
      </c>
      <c r="S500" s="6" t="str">
        <f t="shared" si="128"/>
        <v>OK</v>
      </c>
      <c r="T500" s="4">
        <f t="shared" si="129"/>
        <v>45305</v>
      </c>
      <c r="U500" s="11">
        <f t="shared" si="130"/>
        <v>27</v>
      </c>
      <c r="V500" s="6">
        <f t="shared" si="131"/>
        <v>14261.92439</v>
      </c>
      <c r="W500" s="6">
        <f t="shared" si="132"/>
        <v>9858.1</v>
      </c>
      <c r="X500" s="6">
        <f t="shared" si="133"/>
        <v>4403.8243899999998</v>
      </c>
      <c r="Y500" s="6">
        <f t="shared" si="134"/>
        <v>0.30878191957656281</v>
      </c>
      <c r="Z500" s="4" t="str">
        <f t="shared" si="135"/>
        <v>Q4-2023</v>
      </c>
      <c r="AA500" t="str">
        <f t="shared" si="136"/>
        <v>Networking</v>
      </c>
      <c r="AB500" t="str">
        <f t="shared" si="137"/>
        <v>Networking</v>
      </c>
      <c r="AC500" t="str">
        <f t="shared" si="138"/>
        <v>Compliant</v>
      </c>
      <c r="AD500" t="str">
        <f t="shared" si="139"/>
        <v>Late</v>
      </c>
      <c r="AE500" s="8">
        <f>MIN(Q500,Scenario!$B$2)</f>
        <v>7.0999999999999994E-2</v>
      </c>
      <c r="AF500" s="33">
        <f>L500*(1+Scenario!$B$3)</f>
        <v>1619.5449999999998</v>
      </c>
      <c r="AG500" s="6">
        <f>R500*(1+Scenario!$B$4)</f>
        <v>8.4</v>
      </c>
      <c r="AH500" s="33">
        <f t="shared" si="141"/>
        <v>17114.309268000001</v>
      </c>
      <c r="AI500" s="33">
        <f t="shared" si="142"/>
        <v>13604.178</v>
      </c>
      <c r="AJ500" s="33">
        <f t="shared" si="143"/>
        <v>3510.131268000001</v>
      </c>
    </row>
    <row r="501" spans="1:36" hidden="1" x14ac:dyDescent="0.25">
      <c r="A501" s="12" t="s">
        <v>553</v>
      </c>
      <c r="B501" s="27">
        <v>45288</v>
      </c>
      <c r="C501" s="4">
        <v>45292</v>
      </c>
      <c r="D501" s="12" t="s">
        <v>646</v>
      </c>
      <c r="E501" s="12" t="s">
        <v>661</v>
      </c>
      <c r="F501" s="12" t="s">
        <v>695</v>
      </c>
      <c r="G501" s="12" t="s">
        <v>702</v>
      </c>
      <c r="H501" s="12" t="s">
        <v>710</v>
      </c>
      <c r="I501" s="12" t="s">
        <v>720</v>
      </c>
      <c r="J501" s="12" t="s">
        <v>728</v>
      </c>
      <c r="K501" s="12" t="s">
        <v>1271</v>
      </c>
      <c r="L501" s="6">
        <v>1141.8</v>
      </c>
      <c r="M501" s="6">
        <v>2318.7399999999998</v>
      </c>
      <c r="N501" s="6">
        <f t="shared" si="126"/>
        <v>2318.7399999999998</v>
      </c>
      <c r="O501" s="6" t="str">
        <f t="shared" si="140"/>
        <v>High</v>
      </c>
      <c r="P501" s="6">
        <v>0.107</v>
      </c>
      <c r="Q501" s="6">
        <f t="shared" si="127"/>
        <v>0.107</v>
      </c>
      <c r="R501" s="6">
        <v>32</v>
      </c>
      <c r="S501" s="6" t="str">
        <f t="shared" si="128"/>
        <v>OK</v>
      </c>
      <c r="T501" s="4">
        <f t="shared" si="129"/>
        <v>45292</v>
      </c>
      <c r="U501" s="11">
        <f t="shared" si="130"/>
        <v>4</v>
      </c>
      <c r="V501" s="6">
        <f t="shared" si="131"/>
        <v>66260.314239999992</v>
      </c>
      <c r="W501" s="6">
        <f t="shared" si="132"/>
        <v>36537.599999999999</v>
      </c>
      <c r="X501" s="6">
        <f t="shared" si="133"/>
        <v>29722.714239999994</v>
      </c>
      <c r="Y501" s="6">
        <f t="shared" si="134"/>
        <v>0.44857490612468304</v>
      </c>
      <c r="Z501" s="4" t="str">
        <f t="shared" si="135"/>
        <v>Q4-2023</v>
      </c>
      <c r="AA501" t="str">
        <f t="shared" si="136"/>
        <v>Printers</v>
      </c>
      <c r="AB501" t="str">
        <f t="shared" si="137"/>
        <v>Printers</v>
      </c>
      <c r="AC501" t="str">
        <f t="shared" si="138"/>
        <v>Compliant</v>
      </c>
      <c r="AD501" t="str">
        <f t="shared" si="139"/>
        <v>On-time</v>
      </c>
      <c r="AE501" s="8">
        <f>MIN(Q501,Scenario!$B$2)</f>
        <v>0.107</v>
      </c>
      <c r="AF501" s="33">
        <f>L501*(1+Scenario!$B$3)</f>
        <v>1313.07</v>
      </c>
      <c r="AG501" s="6">
        <f>R501*(1+Scenario!$B$4)</f>
        <v>38.4</v>
      </c>
      <c r="AH501" s="33">
        <f t="shared" si="141"/>
        <v>79512.377087999994</v>
      </c>
      <c r="AI501" s="33">
        <f t="shared" si="142"/>
        <v>50421.887999999999</v>
      </c>
      <c r="AJ501" s="33">
        <f t="shared" si="143"/>
        <v>29090.489087999995</v>
      </c>
    </row>
    <row r="502" spans="1:36" x14ac:dyDescent="0.25">
      <c r="A502" s="12" t="s">
        <v>643</v>
      </c>
      <c r="B502" s="27">
        <v>45267</v>
      </c>
      <c r="C502" s="4">
        <v>45293</v>
      </c>
      <c r="D502" s="12" t="s">
        <v>649</v>
      </c>
      <c r="E502" s="12" t="s">
        <v>656</v>
      </c>
      <c r="F502" s="12" t="s">
        <v>698</v>
      </c>
      <c r="G502" s="12" t="s">
        <v>706</v>
      </c>
      <c r="H502" s="12" t="s">
        <v>710</v>
      </c>
      <c r="I502" s="12" t="s">
        <v>718</v>
      </c>
      <c r="J502" s="12" t="s">
        <v>727</v>
      </c>
      <c r="K502" s="12" t="s">
        <v>1361</v>
      </c>
      <c r="L502" s="6">
        <v>1071.99</v>
      </c>
      <c r="M502" s="6">
        <v>2397.3000000000002</v>
      </c>
      <c r="N502" s="6">
        <f t="shared" si="126"/>
        <v>2397.3000000000002</v>
      </c>
      <c r="O502" s="6" t="str">
        <f t="shared" si="140"/>
        <v>High</v>
      </c>
      <c r="P502" s="6">
        <v>6.2E-2</v>
      </c>
      <c r="Q502" s="6">
        <f t="shared" si="127"/>
        <v>6.2E-2</v>
      </c>
      <c r="R502" s="6">
        <v>18</v>
      </c>
      <c r="S502" s="6" t="str">
        <f t="shared" si="128"/>
        <v>OK</v>
      </c>
      <c r="T502" s="4">
        <f t="shared" si="129"/>
        <v>45293</v>
      </c>
      <c r="U502" s="11">
        <f t="shared" si="130"/>
        <v>26</v>
      </c>
      <c r="V502" s="6">
        <f t="shared" si="131"/>
        <v>40476.013200000001</v>
      </c>
      <c r="W502" s="6">
        <f t="shared" si="132"/>
        <v>19295.82</v>
      </c>
      <c r="X502" s="6">
        <f t="shared" si="133"/>
        <v>21180.193200000002</v>
      </c>
      <c r="Y502" s="6">
        <f t="shared" si="134"/>
        <v>0.52327765324476183</v>
      </c>
      <c r="Z502" s="4" t="str">
        <f t="shared" si="135"/>
        <v>Q4-2023</v>
      </c>
      <c r="AA502" t="str">
        <f t="shared" si="136"/>
        <v>Components</v>
      </c>
      <c r="AB502" t="str">
        <f t="shared" si="137"/>
        <v>Components</v>
      </c>
      <c r="AC502" t="str">
        <f t="shared" si="138"/>
        <v>Compliant</v>
      </c>
      <c r="AD502" t="str">
        <f t="shared" si="139"/>
        <v>Late</v>
      </c>
      <c r="AE502" s="8">
        <f>MIN(Q502,Scenario!$B$2)</f>
        <v>6.2E-2</v>
      </c>
      <c r="AF502" s="33">
        <f>L502*(1+Scenario!$B$3)</f>
        <v>1232.7884999999999</v>
      </c>
      <c r="AG502" s="6">
        <f>R502*(1+Scenario!$B$4)</f>
        <v>21.599999999999998</v>
      </c>
      <c r="AH502" s="33">
        <f t="shared" si="141"/>
        <v>48571.215839999997</v>
      </c>
      <c r="AI502" s="33">
        <f t="shared" si="142"/>
        <v>26628.231599999996</v>
      </c>
      <c r="AJ502" s="33">
        <f t="shared" si="143"/>
        <v>21942.984240000002</v>
      </c>
    </row>
    <row r="503" spans="1:36" hidden="1" x14ac:dyDescent="0.25">
      <c r="A503" s="12" t="s">
        <v>239</v>
      </c>
      <c r="B503" s="27">
        <v>45279</v>
      </c>
      <c r="C503" s="4">
        <v>45280</v>
      </c>
      <c r="D503" s="12" t="s">
        <v>648</v>
      </c>
      <c r="E503" s="12" t="s">
        <v>655</v>
      </c>
      <c r="F503" s="12" t="s">
        <v>692</v>
      </c>
      <c r="G503" s="12" t="s">
        <v>704</v>
      </c>
      <c r="H503" s="12" t="s">
        <v>710</v>
      </c>
      <c r="I503" s="12" t="s">
        <v>713</v>
      </c>
      <c r="J503" s="12" t="s">
        <v>730</v>
      </c>
      <c r="K503" s="12" t="s">
        <v>959</v>
      </c>
      <c r="L503" s="6">
        <v>1080.43</v>
      </c>
      <c r="M503" s="6">
        <v>2529.15</v>
      </c>
      <c r="N503" s="6">
        <f t="shared" si="126"/>
        <v>2529.15</v>
      </c>
      <c r="O503" s="6" t="str">
        <f t="shared" si="140"/>
        <v>High</v>
      </c>
      <c r="P503" s="6">
        <v>0.14699999999999999</v>
      </c>
      <c r="Q503" s="6">
        <f t="shared" si="127"/>
        <v>0.14699999999999999</v>
      </c>
      <c r="R503" s="6">
        <v>10</v>
      </c>
      <c r="S503" s="6" t="str">
        <f t="shared" si="128"/>
        <v>OK</v>
      </c>
      <c r="T503" s="4">
        <f t="shared" si="129"/>
        <v>45280</v>
      </c>
      <c r="U503" s="11">
        <f t="shared" si="130"/>
        <v>1</v>
      </c>
      <c r="V503" s="6">
        <f t="shared" si="131"/>
        <v>21573.6495</v>
      </c>
      <c r="W503" s="6">
        <f t="shared" si="132"/>
        <v>10804.300000000001</v>
      </c>
      <c r="X503" s="6">
        <f t="shared" si="133"/>
        <v>10769.349499999998</v>
      </c>
      <c r="Y503" s="6">
        <f t="shared" si="134"/>
        <v>0.49918997247081437</v>
      </c>
      <c r="Z503" s="4" t="str">
        <f t="shared" si="135"/>
        <v>Q4-2023</v>
      </c>
      <c r="AA503" t="str">
        <f t="shared" si="136"/>
        <v>Phones</v>
      </c>
      <c r="AB503" t="str">
        <f t="shared" si="137"/>
        <v>Phones</v>
      </c>
      <c r="AC503" t="str">
        <f t="shared" si="138"/>
        <v>Compliant</v>
      </c>
      <c r="AD503" t="str">
        <f t="shared" si="139"/>
        <v>On-time</v>
      </c>
      <c r="AE503" s="8">
        <f>MIN(Q503,Scenario!$B$2)</f>
        <v>0.14699999999999999</v>
      </c>
      <c r="AF503" s="33">
        <f>L503*(1+Scenario!$B$3)</f>
        <v>1242.4945</v>
      </c>
      <c r="AG503" s="6">
        <f>R503*(1+Scenario!$B$4)</f>
        <v>12</v>
      </c>
      <c r="AH503" s="33">
        <f t="shared" si="141"/>
        <v>25888.379400000002</v>
      </c>
      <c r="AI503" s="33">
        <f t="shared" si="142"/>
        <v>14909.934000000001</v>
      </c>
      <c r="AJ503" s="33">
        <f t="shared" si="143"/>
        <v>10978.445400000001</v>
      </c>
    </row>
    <row r="504" spans="1:36" hidden="1" x14ac:dyDescent="0.25">
      <c r="A504" s="12" t="s">
        <v>359</v>
      </c>
      <c r="B504" s="27">
        <v>45261</v>
      </c>
      <c r="C504" s="4">
        <v>45278</v>
      </c>
      <c r="D504" s="12" t="s">
        <v>647</v>
      </c>
      <c r="E504" s="12" t="s">
        <v>652</v>
      </c>
      <c r="F504" s="12" t="s">
        <v>694</v>
      </c>
      <c r="G504" s="12" t="s">
        <v>705</v>
      </c>
      <c r="H504" s="12" t="s">
        <v>711</v>
      </c>
      <c r="I504" s="12" t="s">
        <v>725</v>
      </c>
      <c r="J504" s="12" t="s">
        <v>731</v>
      </c>
      <c r="K504" s="12" t="s">
        <v>1079</v>
      </c>
      <c r="L504" s="6">
        <v>1495.79</v>
      </c>
      <c r="M504" s="6">
        <v>2783.12</v>
      </c>
      <c r="N504" s="6">
        <f t="shared" si="126"/>
        <v>2783.12</v>
      </c>
      <c r="O504" s="6" t="str">
        <f t="shared" si="140"/>
        <v>High</v>
      </c>
      <c r="P504" s="6">
        <v>0.02</v>
      </c>
      <c r="Q504" s="6">
        <f t="shared" si="127"/>
        <v>0.02</v>
      </c>
      <c r="R504" s="6">
        <v>5</v>
      </c>
      <c r="S504" s="6" t="str">
        <f t="shared" si="128"/>
        <v>OK</v>
      </c>
      <c r="T504" s="4">
        <f t="shared" si="129"/>
        <v>45278</v>
      </c>
      <c r="U504" s="11">
        <f t="shared" si="130"/>
        <v>17</v>
      </c>
      <c r="V504" s="6">
        <f t="shared" si="131"/>
        <v>13637.287999999999</v>
      </c>
      <c r="W504" s="6">
        <f t="shared" si="132"/>
        <v>7478.95</v>
      </c>
      <c r="X504" s="6">
        <f t="shared" si="133"/>
        <v>6158.3379999999988</v>
      </c>
      <c r="Y504" s="6">
        <f t="shared" si="134"/>
        <v>0.45158084217331185</v>
      </c>
      <c r="Z504" s="4" t="str">
        <f t="shared" si="135"/>
        <v>Q4-2023</v>
      </c>
      <c r="AA504" t="str">
        <f t="shared" si="136"/>
        <v>Laptops</v>
      </c>
      <c r="AB504" t="str">
        <f t="shared" si="137"/>
        <v>Laptops</v>
      </c>
      <c r="AC504" t="str">
        <f t="shared" si="138"/>
        <v>Compliant</v>
      </c>
      <c r="AD504" t="str">
        <f t="shared" si="139"/>
        <v>Late</v>
      </c>
      <c r="AE504" s="8">
        <f>MIN(Q504,Scenario!$B$2)</f>
        <v>0.02</v>
      </c>
      <c r="AF504" s="33">
        <f>L504*(1+Scenario!$B$3)</f>
        <v>1720.1584999999998</v>
      </c>
      <c r="AG504" s="6">
        <f>R504*(1+Scenario!$B$4)</f>
        <v>6</v>
      </c>
      <c r="AH504" s="33">
        <f t="shared" si="141"/>
        <v>16364.7456</v>
      </c>
      <c r="AI504" s="33">
        <f t="shared" si="142"/>
        <v>10320.950999999999</v>
      </c>
      <c r="AJ504" s="33">
        <f t="shared" si="143"/>
        <v>6043.7946000000011</v>
      </c>
    </row>
    <row r="505" spans="1:36" hidden="1" x14ac:dyDescent="0.25">
      <c r="A505" s="12" t="s">
        <v>111</v>
      </c>
      <c r="B505" s="27">
        <v>45870</v>
      </c>
      <c r="C505" s="4">
        <v>45885</v>
      </c>
      <c r="D505" s="12" t="s">
        <v>647</v>
      </c>
      <c r="E505" s="12" t="s">
        <v>654</v>
      </c>
      <c r="F505" s="15" t="s">
        <v>1367</v>
      </c>
      <c r="G505" s="12" t="s">
        <v>706</v>
      </c>
      <c r="H505" s="12" t="s">
        <v>711</v>
      </c>
      <c r="I505" s="12" t="s">
        <v>719</v>
      </c>
      <c r="J505" s="12" t="s">
        <v>732</v>
      </c>
      <c r="K505" s="12" t="s">
        <v>830</v>
      </c>
      <c r="L505" s="6">
        <v>24.44</v>
      </c>
      <c r="M505" s="6">
        <v>28.69</v>
      </c>
      <c r="N505" s="6">
        <f t="shared" si="126"/>
        <v>28.69</v>
      </c>
      <c r="O505" s="6" t="str">
        <f t="shared" si="140"/>
        <v>Low</v>
      </c>
      <c r="P505" s="6">
        <v>0.14599999999999999</v>
      </c>
      <c r="Q505" s="6">
        <f t="shared" si="127"/>
        <v>0.14599999999999999</v>
      </c>
      <c r="R505" s="6">
        <v>6</v>
      </c>
      <c r="S505" s="6" t="str">
        <f t="shared" si="128"/>
        <v>OK</v>
      </c>
      <c r="T505" s="4">
        <f t="shared" si="129"/>
        <v>45885</v>
      </c>
      <c r="U505" s="11">
        <f t="shared" si="130"/>
        <v>15</v>
      </c>
      <c r="V505" s="6">
        <f t="shared" si="131"/>
        <v>147.00756000000001</v>
      </c>
      <c r="W505" s="6">
        <f t="shared" si="132"/>
        <v>146.64000000000001</v>
      </c>
      <c r="X505" s="6">
        <f t="shared" si="133"/>
        <v>0.36755999999999744</v>
      </c>
      <c r="Y505" s="6">
        <f t="shared" si="134"/>
        <v>2.5002795774584476E-3</v>
      </c>
      <c r="Z505" s="4" t="str">
        <f t="shared" si="135"/>
        <v>Q3-2025</v>
      </c>
      <c r="AA505" t="str">
        <f t="shared" si="136"/>
        <v>Monitors</v>
      </c>
      <c r="AB505" t="str">
        <f t="shared" si="137"/>
        <v>Monitors</v>
      </c>
      <c r="AC505" t="str">
        <f t="shared" si="138"/>
        <v>Compliant</v>
      </c>
      <c r="AD505" t="str">
        <f t="shared" si="139"/>
        <v>Late</v>
      </c>
      <c r="AE505" s="8">
        <f>MIN(Q505,Scenario!$B$2)</f>
        <v>0.14599999999999999</v>
      </c>
      <c r="AF505" s="33">
        <f>L505*(1+Scenario!$B$3)</f>
        <v>28.105999999999998</v>
      </c>
      <c r="AG505" s="6">
        <f>R505*(1+Scenario!$B$4)</f>
        <v>7.1999999999999993</v>
      </c>
      <c r="AH505" s="33">
        <f t="shared" si="141"/>
        <v>176.40907199999998</v>
      </c>
      <c r="AI505" s="33">
        <f t="shared" si="142"/>
        <v>202.36319999999998</v>
      </c>
      <c r="AJ505" s="33">
        <f t="shared" si="143"/>
        <v>-25.954127999999997</v>
      </c>
    </row>
    <row r="506" spans="1:36" x14ac:dyDescent="0.25">
      <c r="A506" s="12" t="s">
        <v>142</v>
      </c>
      <c r="B506" s="27">
        <v>45874</v>
      </c>
      <c r="C506" s="4">
        <v>45883</v>
      </c>
      <c r="D506" s="12" t="s">
        <v>649</v>
      </c>
      <c r="E506" s="12" t="s">
        <v>658</v>
      </c>
      <c r="F506" s="12" t="s">
        <v>683</v>
      </c>
      <c r="G506" s="12" t="s">
        <v>703</v>
      </c>
      <c r="H506" s="12" t="s">
        <v>711</v>
      </c>
      <c r="I506" s="12" t="s">
        <v>718</v>
      </c>
      <c r="J506" s="12" t="s">
        <v>727</v>
      </c>
      <c r="K506" s="12" t="s">
        <v>861</v>
      </c>
      <c r="L506" s="6">
        <v>41.76</v>
      </c>
      <c r="M506" s="6">
        <v>45.19</v>
      </c>
      <c r="N506" s="6">
        <f t="shared" si="126"/>
        <v>45.19</v>
      </c>
      <c r="O506" s="6" t="str">
        <f t="shared" si="140"/>
        <v>Low</v>
      </c>
      <c r="P506" s="6">
        <v>0.17899999999999999</v>
      </c>
      <c r="Q506" s="6">
        <f t="shared" si="127"/>
        <v>0.17899999999999999</v>
      </c>
      <c r="R506" s="6">
        <v>23</v>
      </c>
      <c r="S506" s="6" t="str">
        <f t="shared" si="128"/>
        <v>OK</v>
      </c>
      <c r="T506" s="4">
        <f t="shared" si="129"/>
        <v>45883</v>
      </c>
      <c r="U506" s="11">
        <f t="shared" si="130"/>
        <v>9</v>
      </c>
      <c r="V506" s="6">
        <f t="shared" si="131"/>
        <v>853.32276999999988</v>
      </c>
      <c r="W506" s="6">
        <f t="shared" si="132"/>
        <v>960.4799999999999</v>
      </c>
      <c r="X506" s="6">
        <f t="shared" si="133"/>
        <v>-107.15723000000003</v>
      </c>
      <c r="Y506" s="6">
        <f t="shared" si="134"/>
        <v>-0.12557643340514638</v>
      </c>
      <c r="Z506" s="4" t="str">
        <f t="shared" si="135"/>
        <v>Q3-2025</v>
      </c>
      <c r="AA506" t="str">
        <f t="shared" si="136"/>
        <v>Components</v>
      </c>
      <c r="AB506" t="str">
        <f t="shared" si="137"/>
        <v>Components</v>
      </c>
      <c r="AC506" t="str">
        <f t="shared" si="138"/>
        <v>Compliant</v>
      </c>
      <c r="AD506" t="str">
        <f t="shared" si="139"/>
        <v>Late</v>
      </c>
      <c r="AE506" s="8">
        <f>MIN(Q506,Scenario!$B$2)</f>
        <v>0.17899999999999999</v>
      </c>
      <c r="AF506" s="33">
        <f>L506*(1+Scenario!$B$3)</f>
        <v>48.023999999999994</v>
      </c>
      <c r="AG506" s="6">
        <f>R506*(1+Scenario!$B$4)</f>
        <v>27.599999999999998</v>
      </c>
      <c r="AH506" s="33">
        <f t="shared" si="141"/>
        <v>1023.9873239999998</v>
      </c>
      <c r="AI506" s="33">
        <f t="shared" si="142"/>
        <v>1325.4623999999997</v>
      </c>
      <c r="AJ506" s="33">
        <f t="shared" si="143"/>
        <v>-301.47507599999983</v>
      </c>
    </row>
    <row r="507" spans="1:36" hidden="1" x14ac:dyDescent="0.25">
      <c r="A507" s="12" t="s">
        <v>565</v>
      </c>
      <c r="B507" s="27">
        <v>45875</v>
      </c>
      <c r="C507" s="4">
        <v>45892</v>
      </c>
      <c r="D507" s="12" t="s">
        <v>648</v>
      </c>
      <c r="E507" s="12" t="s">
        <v>655</v>
      </c>
      <c r="F507" s="12" t="s">
        <v>672</v>
      </c>
      <c r="G507" s="12" t="s">
        <v>704</v>
      </c>
      <c r="H507" s="12" t="s">
        <v>710</v>
      </c>
      <c r="I507" s="12" t="s">
        <v>720</v>
      </c>
      <c r="J507" s="12" t="s">
        <v>732</v>
      </c>
      <c r="K507" s="12" t="s">
        <v>1283</v>
      </c>
      <c r="L507" s="6">
        <v>86.64</v>
      </c>
      <c r="M507" s="6">
        <v>213.06</v>
      </c>
      <c r="N507" s="6">
        <f t="shared" si="126"/>
        <v>213.06</v>
      </c>
      <c r="O507" s="6" t="str">
        <f t="shared" si="140"/>
        <v>Low</v>
      </c>
      <c r="P507" s="6">
        <v>0.21199999999999999</v>
      </c>
      <c r="Q507" s="6">
        <f t="shared" si="127"/>
        <v>0.21199999999999999</v>
      </c>
      <c r="R507" s="6">
        <v>11</v>
      </c>
      <c r="S507" s="6" t="str">
        <f t="shared" si="128"/>
        <v>OK</v>
      </c>
      <c r="T507" s="4">
        <f t="shared" si="129"/>
        <v>45892</v>
      </c>
      <c r="U507" s="11">
        <f t="shared" si="130"/>
        <v>17</v>
      </c>
      <c r="V507" s="6">
        <f t="shared" si="131"/>
        <v>1846.8040799999999</v>
      </c>
      <c r="W507" s="6">
        <f t="shared" si="132"/>
        <v>953.04</v>
      </c>
      <c r="X507" s="6">
        <f t="shared" si="133"/>
        <v>893.76407999999992</v>
      </c>
      <c r="Y507" s="6">
        <f t="shared" si="134"/>
        <v>0.48395175735154322</v>
      </c>
      <c r="Z507" s="4" t="str">
        <f t="shared" si="135"/>
        <v>Q3-2025</v>
      </c>
      <c r="AA507" t="str">
        <f t="shared" si="136"/>
        <v>Monitors</v>
      </c>
      <c r="AB507" t="str">
        <f t="shared" si="137"/>
        <v>Monitors</v>
      </c>
      <c r="AC507" t="str">
        <f t="shared" si="138"/>
        <v>Non-compliant</v>
      </c>
      <c r="AD507" t="str">
        <f t="shared" si="139"/>
        <v>Late</v>
      </c>
      <c r="AE507" s="8">
        <f>MIN(Q507,Scenario!$B$2)</f>
        <v>0.2</v>
      </c>
      <c r="AF507" s="33">
        <f>L507*(1+Scenario!$B$3)</f>
        <v>99.635999999999996</v>
      </c>
      <c r="AG507" s="6">
        <f>R507*(1+Scenario!$B$4)</f>
        <v>13.2</v>
      </c>
      <c r="AH507" s="33">
        <f t="shared" si="141"/>
        <v>2249.9135999999999</v>
      </c>
      <c r="AI507" s="33">
        <f t="shared" si="142"/>
        <v>1315.1951999999999</v>
      </c>
      <c r="AJ507" s="33">
        <f t="shared" si="143"/>
        <v>934.71839999999997</v>
      </c>
    </row>
    <row r="508" spans="1:36" hidden="1" x14ac:dyDescent="0.25">
      <c r="A508" s="12" t="s">
        <v>194</v>
      </c>
      <c r="B508" s="27">
        <v>45890</v>
      </c>
      <c r="C508" s="4">
        <v>45912</v>
      </c>
      <c r="D508" s="12" t="s">
        <v>647</v>
      </c>
      <c r="E508" s="12" t="s">
        <v>659</v>
      </c>
      <c r="F508" s="12" t="s">
        <v>676</v>
      </c>
      <c r="G508" s="12" t="s">
        <v>702</v>
      </c>
      <c r="H508" s="12" t="s">
        <v>707</v>
      </c>
      <c r="I508" s="12" t="s">
        <v>717</v>
      </c>
      <c r="J508" s="12" t="s">
        <v>728</v>
      </c>
      <c r="K508" s="12" t="s">
        <v>913</v>
      </c>
      <c r="L508" s="6">
        <v>352.66</v>
      </c>
      <c r="M508" s="6">
        <v>411.18</v>
      </c>
      <c r="N508" s="6">
        <f t="shared" si="126"/>
        <v>411.18</v>
      </c>
      <c r="O508" s="6" t="str">
        <f t="shared" si="140"/>
        <v>Low</v>
      </c>
      <c r="P508" s="6">
        <v>0.17299999999999999</v>
      </c>
      <c r="Q508" s="6">
        <f t="shared" si="127"/>
        <v>0.17299999999999999</v>
      </c>
      <c r="R508" s="6">
        <v>13</v>
      </c>
      <c r="S508" s="6" t="str">
        <f t="shared" si="128"/>
        <v>OK</v>
      </c>
      <c r="T508" s="4">
        <f t="shared" si="129"/>
        <v>45912</v>
      </c>
      <c r="U508" s="11">
        <f t="shared" si="130"/>
        <v>22</v>
      </c>
      <c r="V508" s="6">
        <f t="shared" si="131"/>
        <v>4420.5961799999995</v>
      </c>
      <c r="W508" s="6">
        <f t="shared" si="132"/>
        <v>4584.58</v>
      </c>
      <c r="X508" s="6">
        <f t="shared" si="133"/>
        <v>-163.98382000000038</v>
      </c>
      <c r="Y508" s="6">
        <f t="shared" si="134"/>
        <v>-3.7095408248758066E-2</v>
      </c>
      <c r="Z508" s="4" t="str">
        <f t="shared" si="135"/>
        <v>Q3-2025</v>
      </c>
      <c r="AA508" t="str">
        <f t="shared" si="136"/>
        <v>Printers</v>
      </c>
      <c r="AB508" t="str">
        <f t="shared" si="137"/>
        <v>Printers</v>
      </c>
      <c r="AC508" t="str">
        <f t="shared" si="138"/>
        <v>Compliant</v>
      </c>
      <c r="AD508" t="str">
        <f t="shared" si="139"/>
        <v>Late</v>
      </c>
      <c r="AE508" s="8">
        <f>MIN(Q508,Scenario!$B$2)</f>
        <v>0.17299999999999999</v>
      </c>
      <c r="AF508" s="33">
        <f>L508*(1+Scenario!$B$3)</f>
        <v>405.55899999999997</v>
      </c>
      <c r="AG508" s="6">
        <f>R508*(1+Scenario!$B$4)</f>
        <v>15.6</v>
      </c>
      <c r="AH508" s="33">
        <f t="shared" si="141"/>
        <v>5304.715416</v>
      </c>
      <c r="AI508" s="33">
        <f t="shared" si="142"/>
        <v>6326.7203999999992</v>
      </c>
      <c r="AJ508" s="33">
        <f t="shared" si="143"/>
        <v>-1022.0049839999992</v>
      </c>
    </row>
    <row r="509" spans="1:36" x14ac:dyDescent="0.25">
      <c r="A509" s="12" t="s">
        <v>616</v>
      </c>
      <c r="B509" s="27">
        <v>45880</v>
      </c>
      <c r="C509" s="4">
        <v>45897</v>
      </c>
      <c r="D509" s="12" t="s">
        <v>649</v>
      </c>
      <c r="E509" s="12" t="s">
        <v>657</v>
      </c>
      <c r="F509" s="12" t="s">
        <v>690</v>
      </c>
      <c r="G509" s="12" t="s">
        <v>702</v>
      </c>
      <c r="H509" s="12" t="s">
        <v>708</v>
      </c>
      <c r="I509" s="12" t="s">
        <v>721</v>
      </c>
      <c r="J509" s="12" t="s">
        <v>729</v>
      </c>
      <c r="K509" s="12" t="s">
        <v>1334</v>
      </c>
      <c r="L509" s="6">
        <v>416.16</v>
      </c>
      <c r="M509" s="6">
        <v>571.9</v>
      </c>
      <c r="N509" s="6">
        <f t="shared" si="126"/>
        <v>571.9</v>
      </c>
      <c r="O509" s="6" t="str">
        <f t="shared" si="140"/>
        <v>Middle</v>
      </c>
      <c r="P509" s="6">
        <v>7.0999999999999994E-2</v>
      </c>
      <c r="Q509" s="6">
        <f t="shared" si="127"/>
        <v>7.0999999999999994E-2</v>
      </c>
      <c r="R509" s="6">
        <v>2</v>
      </c>
      <c r="S509" s="6" t="str">
        <f t="shared" si="128"/>
        <v>OK</v>
      </c>
      <c r="T509" s="4">
        <f t="shared" si="129"/>
        <v>45897</v>
      </c>
      <c r="U509" s="11">
        <f t="shared" si="130"/>
        <v>17</v>
      </c>
      <c r="V509" s="6">
        <f t="shared" si="131"/>
        <v>1062.5902000000001</v>
      </c>
      <c r="W509" s="6">
        <f t="shared" si="132"/>
        <v>832.32</v>
      </c>
      <c r="X509" s="6">
        <f t="shared" si="133"/>
        <v>230.27020000000005</v>
      </c>
      <c r="Y509" s="6">
        <f t="shared" si="134"/>
        <v>0.21670649701079497</v>
      </c>
      <c r="Z509" s="4" t="str">
        <f t="shared" si="135"/>
        <v>Q3-2025</v>
      </c>
      <c r="AA509" t="str">
        <f t="shared" si="136"/>
        <v>Networking</v>
      </c>
      <c r="AB509" t="str">
        <f t="shared" si="137"/>
        <v>Networking</v>
      </c>
      <c r="AC509" t="str">
        <f t="shared" si="138"/>
        <v>Compliant</v>
      </c>
      <c r="AD509" t="str">
        <f t="shared" si="139"/>
        <v>Late</v>
      </c>
      <c r="AE509" s="8">
        <f>MIN(Q509,Scenario!$B$2)</f>
        <v>7.0999999999999994E-2</v>
      </c>
      <c r="AF509" s="33">
        <f>L509*(1+Scenario!$B$3)</f>
        <v>478.584</v>
      </c>
      <c r="AG509" s="6">
        <f>R509*(1+Scenario!$B$4)</f>
        <v>2.4</v>
      </c>
      <c r="AH509" s="33">
        <f t="shared" si="141"/>
        <v>1275.10824</v>
      </c>
      <c r="AI509" s="33">
        <f t="shared" si="142"/>
        <v>1148.6016</v>
      </c>
      <c r="AJ509" s="33">
        <f t="shared" si="143"/>
        <v>126.50664000000006</v>
      </c>
    </row>
    <row r="510" spans="1:36" hidden="1" x14ac:dyDescent="0.25">
      <c r="A510" s="12" t="s">
        <v>102</v>
      </c>
      <c r="B510" s="27">
        <v>45876</v>
      </c>
      <c r="C510" s="4">
        <v>45888</v>
      </c>
      <c r="D510" s="12" t="s">
        <v>646</v>
      </c>
      <c r="E510" s="12" t="s">
        <v>650</v>
      </c>
      <c r="F510" s="12" t="s">
        <v>678</v>
      </c>
      <c r="G510" s="12" t="s">
        <v>701</v>
      </c>
      <c r="H510" s="14" t="s">
        <v>1379</v>
      </c>
      <c r="I510" s="12" t="s">
        <v>724</v>
      </c>
      <c r="J510" s="12" t="s">
        <v>727</v>
      </c>
      <c r="K510" s="12" t="s">
        <v>821</v>
      </c>
      <c r="L510" s="6">
        <v>601.51</v>
      </c>
      <c r="M510" s="6">
        <v>679.35</v>
      </c>
      <c r="N510" s="6">
        <f t="shared" si="126"/>
        <v>679.35</v>
      </c>
      <c r="O510" s="6" t="str">
        <f t="shared" si="140"/>
        <v>Middle</v>
      </c>
      <c r="P510" s="6">
        <v>0.188</v>
      </c>
      <c r="Q510" s="6">
        <f t="shared" si="127"/>
        <v>0.188</v>
      </c>
      <c r="R510" s="6">
        <v>3</v>
      </c>
      <c r="S510" s="6" t="str">
        <f t="shared" si="128"/>
        <v>OK</v>
      </c>
      <c r="T510" s="4">
        <f t="shared" si="129"/>
        <v>45888</v>
      </c>
      <c r="U510" s="11">
        <f t="shared" si="130"/>
        <v>12</v>
      </c>
      <c r="V510" s="6">
        <f t="shared" si="131"/>
        <v>1654.8966000000003</v>
      </c>
      <c r="W510" s="6">
        <f t="shared" si="132"/>
        <v>1804.53</v>
      </c>
      <c r="X510" s="6">
        <f t="shared" si="133"/>
        <v>-149.63339999999971</v>
      </c>
      <c r="Y510" s="6">
        <f t="shared" si="134"/>
        <v>-9.0418579626062243E-2</v>
      </c>
      <c r="Z510" s="4" t="str">
        <f t="shared" si="135"/>
        <v>Q3-2025</v>
      </c>
      <c r="AA510" t="str">
        <f t="shared" si="136"/>
        <v>Components</v>
      </c>
      <c r="AB510" t="str">
        <f t="shared" si="137"/>
        <v>Components</v>
      </c>
      <c r="AC510" t="str">
        <f t="shared" si="138"/>
        <v>Compliant</v>
      </c>
      <c r="AD510" t="str">
        <f t="shared" si="139"/>
        <v>Late</v>
      </c>
      <c r="AE510" s="8">
        <f>MIN(Q510,Scenario!$B$2)</f>
        <v>0.188</v>
      </c>
      <c r="AF510" s="33">
        <f>L510*(1+Scenario!$B$3)</f>
        <v>691.73649999999998</v>
      </c>
      <c r="AG510" s="6">
        <f>R510*(1+Scenario!$B$4)</f>
        <v>3.5999999999999996</v>
      </c>
      <c r="AH510" s="33">
        <f t="shared" si="141"/>
        <v>1985.87592</v>
      </c>
      <c r="AI510" s="33">
        <f t="shared" si="142"/>
        <v>2490.2513999999996</v>
      </c>
      <c r="AJ510" s="33">
        <f t="shared" si="143"/>
        <v>-504.3754799999997</v>
      </c>
    </row>
    <row r="511" spans="1:36" hidden="1" x14ac:dyDescent="0.25">
      <c r="A511" s="12" t="s">
        <v>590</v>
      </c>
      <c r="B511" s="27">
        <v>45872</v>
      </c>
      <c r="C511" s="4">
        <v>45885</v>
      </c>
      <c r="D511" s="12" t="s">
        <v>648</v>
      </c>
      <c r="E511" s="12" t="s">
        <v>653</v>
      </c>
      <c r="F511" s="12" t="s">
        <v>681</v>
      </c>
      <c r="G511" s="12" t="s">
        <v>706</v>
      </c>
      <c r="H511" s="12" t="s">
        <v>710</v>
      </c>
      <c r="I511" s="12" t="s">
        <v>719</v>
      </c>
      <c r="J511" s="12" t="s">
        <v>729</v>
      </c>
      <c r="K511" s="12" t="s">
        <v>1308</v>
      </c>
      <c r="L511" s="6">
        <v>698.66</v>
      </c>
      <c r="M511" s="6">
        <v>868.62</v>
      </c>
      <c r="N511" s="6">
        <f t="shared" si="126"/>
        <v>868.62</v>
      </c>
      <c r="O511" s="6" t="str">
        <f t="shared" si="140"/>
        <v>Middle</v>
      </c>
      <c r="P511" s="6">
        <v>7.1999999999999995E-2</v>
      </c>
      <c r="Q511" s="6">
        <f t="shared" si="127"/>
        <v>7.1999999999999995E-2</v>
      </c>
      <c r="R511" s="6">
        <v>15</v>
      </c>
      <c r="S511" s="6" t="str">
        <f t="shared" si="128"/>
        <v>OK</v>
      </c>
      <c r="T511" s="4">
        <f t="shared" si="129"/>
        <v>45885</v>
      </c>
      <c r="U511" s="11">
        <f t="shared" si="130"/>
        <v>13</v>
      </c>
      <c r="V511" s="6">
        <f t="shared" si="131"/>
        <v>12091.190399999999</v>
      </c>
      <c r="W511" s="6">
        <f t="shared" si="132"/>
        <v>10479.9</v>
      </c>
      <c r="X511" s="6">
        <f t="shared" si="133"/>
        <v>1611.2903999999999</v>
      </c>
      <c r="Y511" s="6">
        <f t="shared" si="134"/>
        <v>0.13326151906432637</v>
      </c>
      <c r="Z511" s="4" t="str">
        <f t="shared" si="135"/>
        <v>Q3-2025</v>
      </c>
      <c r="AA511" t="str">
        <f t="shared" si="136"/>
        <v>Networking</v>
      </c>
      <c r="AB511" t="str">
        <f t="shared" si="137"/>
        <v>Networking</v>
      </c>
      <c r="AC511" t="str">
        <f t="shared" si="138"/>
        <v>Compliant</v>
      </c>
      <c r="AD511" t="str">
        <f t="shared" si="139"/>
        <v>Late</v>
      </c>
      <c r="AE511" s="8">
        <f>MIN(Q511,Scenario!$B$2)</f>
        <v>7.1999999999999995E-2</v>
      </c>
      <c r="AF511" s="33">
        <f>L511*(1+Scenario!$B$3)</f>
        <v>803.45899999999995</v>
      </c>
      <c r="AG511" s="6">
        <f>R511*(1+Scenario!$B$4)</f>
        <v>18</v>
      </c>
      <c r="AH511" s="33">
        <f t="shared" si="141"/>
        <v>14509.42848</v>
      </c>
      <c r="AI511" s="33">
        <f t="shared" si="142"/>
        <v>14462.261999999999</v>
      </c>
      <c r="AJ511" s="33">
        <f t="shared" si="143"/>
        <v>47.166480000001684</v>
      </c>
    </row>
    <row r="512" spans="1:36" x14ac:dyDescent="0.25">
      <c r="A512" s="12" t="s">
        <v>605</v>
      </c>
      <c r="B512" s="27">
        <v>45899</v>
      </c>
      <c r="C512" s="4">
        <v>45922</v>
      </c>
      <c r="D512" s="12" t="s">
        <v>649</v>
      </c>
      <c r="E512" s="12" t="s">
        <v>657</v>
      </c>
      <c r="F512" s="12" t="s">
        <v>673</v>
      </c>
      <c r="G512" s="12" t="s">
        <v>701</v>
      </c>
      <c r="H512" s="12" t="s">
        <v>711</v>
      </c>
      <c r="I512" s="12" t="s">
        <v>718</v>
      </c>
      <c r="J512" s="12" t="s">
        <v>727</v>
      </c>
      <c r="K512" s="12" t="s">
        <v>1323</v>
      </c>
      <c r="L512" s="6">
        <v>663.9</v>
      </c>
      <c r="M512" s="6">
        <v>947.77</v>
      </c>
      <c r="N512" s="6">
        <f t="shared" si="126"/>
        <v>947.77</v>
      </c>
      <c r="O512" s="6" t="str">
        <f t="shared" si="140"/>
        <v>Middle</v>
      </c>
      <c r="P512" s="6">
        <v>0.17399999999999999</v>
      </c>
      <c r="Q512" s="6">
        <f t="shared" si="127"/>
        <v>0.17399999999999999</v>
      </c>
      <c r="R512" s="6">
        <v>15</v>
      </c>
      <c r="S512" s="6" t="str">
        <f t="shared" si="128"/>
        <v>OK</v>
      </c>
      <c r="T512" s="4">
        <f t="shared" si="129"/>
        <v>45922</v>
      </c>
      <c r="U512" s="11">
        <f t="shared" si="130"/>
        <v>23</v>
      </c>
      <c r="V512" s="6">
        <f t="shared" si="131"/>
        <v>11742.8703</v>
      </c>
      <c r="W512" s="6">
        <f t="shared" si="132"/>
        <v>9958.5</v>
      </c>
      <c r="X512" s="6">
        <f t="shared" si="133"/>
        <v>1784.3703000000005</v>
      </c>
      <c r="Y512" s="6">
        <f t="shared" si="134"/>
        <v>0.1519535049280073</v>
      </c>
      <c r="Z512" s="4" t="str">
        <f t="shared" si="135"/>
        <v>Q3-2025</v>
      </c>
      <c r="AA512" t="str">
        <f t="shared" si="136"/>
        <v>Components</v>
      </c>
      <c r="AB512" t="str">
        <f t="shared" si="137"/>
        <v>Components</v>
      </c>
      <c r="AC512" t="str">
        <f t="shared" si="138"/>
        <v>Compliant</v>
      </c>
      <c r="AD512" t="str">
        <f t="shared" si="139"/>
        <v>Late</v>
      </c>
      <c r="AE512" s="8">
        <f>MIN(Q512,Scenario!$B$2)</f>
        <v>0.17399999999999999</v>
      </c>
      <c r="AF512" s="33">
        <f>L512*(1+Scenario!$B$3)</f>
        <v>763.4849999999999</v>
      </c>
      <c r="AG512" s="6">
        <f>R512*(1+Scenario!$B$4)</f>
        <v>18</v>
      </c>
      <c r="AH512" s="33">
        <f t="shared" si="141"/>
        <v>14091.444360000001</v>
      </c>
      <c r="AI512" s="33">
        <f t="shared" si="142"/>
        <v>13742.729999999998</v>
      </c>
      <c r="AJ512" s="33">
        <f t="shared" si="143"/>
        <v>348.71436000000358</v>
      </c>
    </row>
    <row r="513" spans="1:36" hidden="1" x14ac:dyDescent="0.25">
      <c r="A513" s="12" t="s">
        <v>529</v>
      </c>
      <c r="B513" s="27">
        <v>45874</v>
      </c>
      <c r="C513" s="4">
        <v>45897</v>
      </c>
      <c r="D513" s="12" t="s">
        <v>647</v>
      </c>
      <c r="E513" s="12" t="s">
        <v>654</v>
      </c>
      <c r="F513" s="12" t="s">
        <v>691</v>
      </c>
      <c r="G513" s="12" t="s">
        <v>703</v>
      </c>
      <c r="H513" s="12" t="s">
        <v>710</v>
      </c>
      <c r="I513" s="12" t="s">
        <v>725</v>
      </c>
      <c r="J513" s="12" t="s">
        <v>731</v>
      </c>
      <c r="K513" s="12" t="s">
        <v>1248</v>
      </c>
      <c r="L513" s="6">
        <v>638.54</v>
      </c>
      <c r="M513" s="6">
        <v>987.24</v>
      </c>
      <c r="N513" s="6">
        <f t="shared" si="126"/>
        <v>987.24</v>
      </c>
      <c r="O513" s="6" t="str">
        <f t="shared" si="140"/>
        <v>Middle</v>
      </c>
      <c r="P513" s="6">
        <v>0</v>
      </c>
      <c r="Q513" s="6">
        <f t="shared" si="127"/>
        <v>0</v>
      </c>
      <c r="R513" s="6">
        <v>11</v>
      </c>
      <c r="S513" s="6" t="str">
        <f t="shared" si="128"/>
        <v>OK</v>
      </c>
      <c r="T513" s="4">
        <f t="shared" si="129"/>
        <v>45897</v>
      </c>
      <c r="U513" s="11">
        <f t="shared" si="130"/>
        <v>23</v>
      </c>
      <c r="V513" s="6">
        <f t="shared" si="131"/>
        <v>10859.64</v>
      </c>
      <c r="W513" s="6">
        <f t="shared" si="132"/>
        <v>7023.94</v>
      </c>
      <c r="X513" s="6">
        <f t="shared" si="133"/>
        <v>3835.7</v>
      </c>
      <c r="Y513" s="6">
        <f t="shared" si="134"/>
        <v>0.35320692030306716</v>
      </c>
      <c r="Z513" s="4" t="str">
        <f t="shared" si="135"/>
        <v>Q3-2025</v>
      </c>
      <c r="AA513" t="str">
        <f t="shared" si="136"/>
        <v>Laptops</v>
      </c>
      <c r="AB513" t="str">
        <f t="shared" si="137"/>
        <v>Laptops</v>
      </c>
      <c r="AC513" t="str">
        <f t="shared" si="138"/>
        <v>Compliant</v>
      </c>
      <c r="AD513" t="str">
        <f t="shared" si="139"/>
        <v>Late</v>
      </c>
      <c r="AE513" s="8">
        <f>MIN(Q513,Scenario!$B$2)</f>
        <v>0</v>
      </c>
      <c r="AF513" s="33">
        <f>L513*(1+Scenario!$B$3)</f>
        <v>734.32099999999991</v>
      </c>
      <c r="AG513" s="6">
        <f>R513*(1+Scenario!$B$4)</f>
        <v>13.2</v>
      </c>
      <c r="AH513" s="33">
        <f t="shared" si="141"/>
        <v>13031.567999999999</v>
      </c>
      <c r="AI513" s="33">
        <f t="shared" si="142"/>
        <v>9693.0371999999988</v>
      </c>
      <c r="AJ513" s="33">
        <f t="shared" si="143"/>
        <v>3338.5308000000005</v>
      </c>
    </row>
    <row r="514" spans="1:36" hidden="1" x14ac:dyDescent="0.25">
      <c r="A514" s="12" t="s">
        <v>395</v>
      </c>
      <c r="B514" s="27">
        <v>45876</v>
      </c>
      <c r="C514" s="4">
        <v>45906</v>
      </c>
      <c r="D514" s="12" t="s">
        <v>648</v>
      </c>
      <c r="E514" s="12" t="s">
        <v>653</v>
      </c>
      <c r="F514" s="12" t="s">
        <v>681</v>
      </c>
      <c r="G514" s="12" t="s">
        <v>702</v>
      </c>
      <c r="H514" s="12" t="s">
        <v>711</v>
      </c>
      <c r="I514" s="12" t="s">
        <v>724</v>
      </c>
      <c r="J514" s="12" t="s">
        <v>729</v>
      </c>
      <c r="K514" s="12" t="s">
        <v>1114</v>
      </c>
      <c r="L514" s="6">
        <v>833.73</v>
      </c>
      <c r="M514" s="6">
        <v>1116.5999999999999</v>
      </c>
      <c r="N514" s="6">
        <f t="shared" ref="N514:N577" si="144">ABS(M514)</f>
        <v>1116.5999999999999</v>
      </c>
      <c r="O514" s="6" t="str">
        <f t="shared" si="140"/>
        <v>Middle</v>
      </c>
      <c r="P514" s="6">
        <v>0.17599999999999999</v>
      </c>
      <c r="Q514" s="6">
        <f t="shared" ref="Q514:Q577" si="145">IF(P514&gt;0.3, 0.3, P514)</f>
        <v>0.17599999999999999</v>
      </c>
      <c r="R514" s="6">
        <v>14</v>
      </c>
      <c r="S514" s="6" t="str">
        <f t="shared" ref="S514:S577" si="146">IFERROR(IF(C514&lt;B514,"Correct", "OK"), "Error")</f>
        <v>OK</v>
      </c>
      <c r="T514" s="4">
        <f t="shared" ref="T514:T577" si="147">IF(C514&lt;B514,B514+7,C514)</f>
        <v>45906</v>
      </c>
      <c r="U514" s="11">
        <f t="shared" ref="U514:U577" si="148">T514-B514</f>
        <v>30</v>
      </c>
      <c r="V514" s="6">
        <f t="shared" ref="V514:V577" si="149">N514*R514*(1-Q514)</f>
        <v>12881.097599999999</v>
      </c>
      <c r="W514" s="6">
        <f t="shared" ref="W514:W577" si="150">L514*R514</f>
        <v>11672.220000000001</v>
      </c>
      <c r="X514" s="6">
        <f t="shared" ref="X514:X577" si="151">V514-W514</f>
        <v>1208.877599999998</v>
      </c>
      <c r="Y514" s="6">
        <f t="shared" ref="Y514:Y577" si="152">IF(V514=0, 0, X514/V514)</f>
        <v>9.3848958958279924E-2</v>
      </c>
      <c r="Z514" s="4" t="str">
        <f t="shared" ref="Z514:Z577" si="153">"Q"&amp;ROUNDUP(MONTH(B514)/3,0)&amp;"-"&amp;YEAR(B514)</f>
        <v>Q3-2025</v>
      </c>
      <c r="AA514" t="str">
        <f t="shared" ref="AA514:AA577" si="154">PROPER(J514)</f>
        <v>Networking</v>
      </c>
      <c r="AB514" t="str">
        <f t="shared" ref="AB514:AB577" si="155">TRIM(J514)</f>
        <v>Networking</v>
      </c>
      <c r="AC514" t="str">
        <f t="shared" ref="AC514:AC577" si="156">IF(Q514&gt;20%, "Non-compliant","Compliant")</f>
        <v>Compliant</v>
      </c>
      <c r="AD514" t="str">
        <f t="shared" ref="AD514:AD577" si="157">IF(U514&lt;=7,"On-time","Late")</f>
        <v>Late</v>
      </c>
      <c r="AE514" s="8">
        <f>MIN(Q514,Scenario!$B$2)</f>
        <v>0.17599999999999999</v>
      </c>
      <c r="AF514" s="33">
        <f>L514*(1+Scenario!$B$3)</f>
        <v>958.78949999999998</v>
      </c>
      <c r="AG514" s="6">
        <f>R514*(1+Scenario!$B$4)</f>
        <v>16.8</v>
      </c>
      <c r="AH514" s="33">
        <f t="shared" si="141"/>
        <v>15457.317120000002</v>
      </c>
      <c r="AI514" s="33">
        <f t="shared" si="142"/>
        <v>16107.6636</v>
      </c>
      <c r="AJ514" s="33">
        <f t="shared" si="143"/>
        <v>-650.34647999999834</v>
      </c>
    </row>
    <row r="515" spans="1:36" hidden="1" x14ac:dyDescent="0.25">
      <c r="A515" s="12" t="s">
        <v>304</v>
      </c>
      <c r="B515" s="27">
        <v>45897</v>
      </c>
      <c r="C515" s="4">
        <v>45895</v>
      </c>
      <c r="D515" s="12" t="s">
        <v>646</v>
      </c>
      <c r="E515" s="12" t="s">
        <v>651</v>
      </c>
      <c r="F515" s="12" t="s">
        <v>663</v>
      </c>
      <c r="G515" s="12" t="s">
        <v>705</v>
      </c>
      <c r="H515" s="12" t="s">
        <v>707</v>
      </c>
      <c r="I515" s="12" t="s">
        <v>720</v>
      </c>
      <c r="J515" s="12" t="s">
        <v>733</v>
      </c>
      <c r="K515" s="12" t="s">
        <v>1024</v>
      </c>
      <c r="L515" s="6">
        <v>521.05999999999995</v>
      </c>
      <c r="M515" s="6">
        <v>1240.31</v>
      </c>
      <c r="N515" s="6">
        <f t="shared" si="144"/>
        <v>1240.31</v>
      </c>
      <c r="O515" s="6" t="str">
        <f t="shared" ref="O515:O578" si="158">IF(N515&lt;=QUARTILE(N515:N1145,1), "Low", IF(N515&lt;=QUARTILE(N515:N1145,2),"Middle", "High"))</f>
        <v>High</v>
      </c>
      <c r="P515" s="6">
        <v>0.14599999999999999</v>
      </c>
      <c r="Q515" s="6">
        <f t="shared" si="145"/>
        <v>0.14599999999999999</v>
      </c>
      <c r="R515" s="6">
        <v>18</v>
      </c>
      <c r="S515" s="6" t="str">
        <f t="shared" si="146"/>
        <v>Correct</v>
      </c>
      <c r="T515" s="4">
        <f t="shared" si="147"/>
        <v>45904</v>
      </c>
      <c r="U515" s="11">
        <f t="shared" si="148"/>
        <v>7</v>
      </c>
      <c r="V515" s="6">
        <f t="shared" si="149"/>
        <v>19066.045319999997</v>
      </c>
      <c r="W515" s="6">
        <f t="shared" si="150"/>
        <v>9379.0799999999981</v>
      </c>
      <c r="X515" s="6">
        <f t="shared" si="151"/>
        <v>9686.9653199999993</v>
      </c>
      <c r="Y515" s="6">
        <f t="shared" si="152"/>
        <v>0.50807417885650974</v>
      </c>
      <c r="Z515" s="4" t="str">
        <f t="shared" si="153"/>
        <v>Q3-2025</v>
      </c>
      <c r="AA515" t="str">
        <f t="shared" si="154"/>
        <v>Accessories</v>
      </c>
      <c r="AB515" t="str">
        <f t="shared" si="155"/>
        <v>Accessories</v>
      </c>
      <c r="AC515" t="str">
        <f t="shared" si="156"/>
        <v>Compliant</v>
      </c>
      <c r="AD515" t="str">
        <f t="shared" si="157"/>
        <v>On-time</v>
      </c>
      <c r="AE515" s="8">
        <f>MIN(Q515,Scenario!$B$2)</f>
        <v>0.14599999999999999</v>
      </c>
      <c r="AF515" s="33">
        <f>L515*(1+Scenario!$B$3)</f>
        <v>599.21899999999994</v>
      </c>
      <c r="AG515" s="6">
        <f>R515*(1+Scenario!$B$4)</f>
        <v>21.599999999999998</v>
      </c>
      <c r="AH515" s="33">
        <f t="shared" ref="AH515:AH578" si="159">N515*AG515*(1-AE515)</f>
        <v>22879.254383999996</v>
      </c>
      <c r="AI515" s="33">
        <f t="shared" ref="AI515:AI578" si="160">AF515*AG515</f>
        <v>12943.130399999998</v>
      </c>
      <c r="AJ515" s="33">
        <f t="shared" ref="AJ515:AJ578" si="161">AH515-AI515</f>
        <v>9936.123983999998</v>
      </c>
    </row>
    <row r="516" spans="1:36" hidden="1" x14ac:dyDescent="0.25">
      <c r="A516" s="12" t="s">
        <v>234</v>
      </c>
      <c r="B516" s="27">
        <v>45894</v>
      </c>
      <c r="C516" s="4">
        <v>45924</v>
      </c>
      <c r="D516" s="12" t="s">
        <v>646</v>
      </c>
      <c r="E516" s="12" t="s">
        <v>650</v>
      </c>
      <c r="F516" s="12" t="s">
        <v>664</v>
      </c>
      <c r="G516" s="12" t="s">
        <v>704</v>
      </c>
      <c r="H516" s="12" t="s">
        <v>711</v>
      </c>
      <c r="I516" s="12" t="s">
        <v>717</v>
      </c>
      <c r="J516" s="12" t="s">
        <v>727</v>
      </c>
      <c r="K516" s="12" t="s">
        <v>954</v>
      </c>
      <c r="L516" s="6">
        <v>589.14</v>
      </c>
      <c r="M516" s="6">
        <v>1300.58</v>
      </c>
      <c r="N516" s="6">
        <f t="shared" si="144"/>
        <v>1300.58</v>
      </c>
      <c r="O516" s="6" t="str">
        <f t="shared" si="158"/>
        <v>High</v>
      </c>
      <c r="P516" s="6">
        <v>5.5E-2</v>
      </c>
      <c r="Q516" s="6">
        <f t="shared" si="145"/>
        <v>5.5E-2</v>
      </c>
      <c r="R516" s="6">
        <v>11</v>
      </c>
      <c r="S516" s="6" t="str">
        <f t="shared" si="146"/>
        <v>OK</v>
      </c>
      <c r="T516" s="4">
        <f t="shared" si="147"/>
        <v>45924</v>
      </c>
      <c r="U516" s="11">
        <f t="shared" si="148"/>
        <v>30</v>
      </c>
      <c r="V516" s="6">
        <f t="shared" si="149"/>
        <v>13519.529099999998</v>
      </c>
      <c r="W516" s="6">
        <f t="shared" si="150"/>
        <v>6480.54</v>
      </c>
      <c r="X516" s="6">
        <f t="shared" si="151"/>
        <v>7038.989099999998</v>
      </c>
      <c r="Y516" s="6">
        <f t="shared" si="152"/>
        <v>0.52065342275863724</v>
      </c>
      <c r="Z516" s="4" t="str">
        <f t="shared" si="153"/>
        <v>Q3-2025</v>
      </c>
      <c r="AA516" t="str">
        <f t="shared" si="154"/>
        <v>Components</v>
      </c>
      <c r="AB516" t="str">
        <f t="shared" si="155"/>
        <v>Components</v>
      </c>
      <c r="AC516" t="str">
        <f t="shared" si="156"/>
        <v>Compliant</v>
      </c>
      <c r="AD516" t="str">
        <f t="shared" si="157"/>
        <v>Late</v>
      </c>
      <c r="AE516" s="8">
        <f>MIN(Q516,Scenario!$B$2)</f>
        <v>5.5E-2</v>
      </c>
      <c r="AF516" s="33">
        <f>L516*(1+Scenario!$B$3)</f>
        <v>677.51099999999997</v>
      </c>
      <c r="AG516" s="6">
        <f>R516*(1+Scenario!$B$4)</f>
        <v>13.2</v>
      </c>
      <c r="AH516" s="33">
        <f t="shared" si="159"/>
        <v>16223.434919999998</v>
      </c>
      <c r="AI516" s="33">
        <f t="shared" si="160"/>
        <v>8943.145199999999</v>
      </c>
      <c r="AJ516" s="33">
        <f t="shared" si="161"/>
        <v>7280.2897199999989</v>
      </c>
    </row>
    <row r="517" spans="1:36" x14ac:dyDescent="0.25">
      <c r="A517" s="12" t="s">
        <v>488</v>
      </c>
      <c r="B517" s="27">
        <v>45882</v>
      </c>
      <c r="C517" s="4">
        <v>45903</v>
      </c>
      <c r="D517" s="12" t="s">
        <v>649</v>
      </c>
      <c r="E517" s="12" t="s">
        <v>657</v>
      </c>
      <c r="F517" s="12" t="s">
        <v>690</v>
      </c>
      <c r="G517" s="12" t="s">
        <v>702</v>
      </c>
      <c r="H517" s="12" t="s">
        <v>707</v>
      </c>
      <c r="I517" s="12" t="s">
        <v>714</v>
      </c>
      <c r="J517" s="12" t="s">
        <v>730</v>
      </c>
      <c r="K517" s="12" t="s">
        <v>1207</v>
      </c>
      <c r="L517" s="6">
        <v>603.47</v>
      </c>
      <c r="M517" s="6">
        <v>1344.05</v>
      </c>
      <c r="N517" s="6">
        <f t="shared" si="144"/>
        <v>1344.05</v>
      </c>
      <c r="O517" s="6" t="str">
        <f t="shared" si="158"/>
        <v>High</v>
      </c>
      <c r="P517" s="6">
        <v>0.20499999999999999</v>
      </c>
      <c r="Q517" s="6">
        <f t="shared" si="145"/>
        <v>0.20499999999999999</v>
      </c>
      <c r="R517" s="6">
        <v>18</v>
      </c>
      <c r="S517" s="6" t="str">
        <f t="shared" si="146"/>
        <v>OK</v>
      </c>
      <c r="T517" s="4">
        <f t="shared" si="147"/>
        <v>45903</v>
      </c>
      <c r="U517" s="11">
        <f t="shared" si="148"/>
        <v>21</v>
      </c>
      <c r="V517" s="6">
        <f t="shared" si="149"/>
        <v>19233.355499999998</v>
      </c>
      <c r="W517" s="6">
        <f t="shared" si="150"/>
        <v>10862.460000000001</v>
      </c>
      <c r="X517" s="6">
        <f t="shared" si="151"/>
        <v>8370.8954999999969</v>
      </c>
      <c r="Y517" s="6">
        <f t="shared" si="152"/>
        <v>0.43522803392262976</v>
      </c>
      <c r="Z517" s="4" t="str">
        <f t="shared" si="153"/>
        <v>Q3-2025</v>
      </c>
      <c r="AA517" t="str">
        <f t="shared" si="154"/>
        <v>Phones</v>
      </c>
      <c r="AB517" t="str">
        <f t="shared" si="155"/>
        <v>Phones</v>
      </c>
      <c r="AC517" t="str">
        <f t="shared" si="156"/>
        <v>Non-compliant</v>
      </c>
      <c r="AD517" t="str">
        <f t="shared" si="157"/>
        <v>Late</v>
      </c>
      <c r="AE517" s="8">
        <f>MIN(Q517,Scenario!$B$2)</f>
        <v>0.2</v>
      </c>
      <c r="AF517" s="33">
        <f>L517*(1+Scenario!$B$3)</f>
        <v>693.9905</v>
      </c>
      <c r="AG517" s="6">
        <f>R517*(1+Scenario!$B$4)</f>
        <v>21.599999999999998</v>
      </c>
      <c r="AH517" s="33">
        <f t="shared" si="159"/>
        <v>23225.183999999997</v>
      </c>
      <c r="AI517" s="33">
        <f t="shared" si="160"/>
        <v>14990.194799999999</v>
      </c>
      <c r="AJ517" s="33">
        <f t="shared" si="161"/>
        <v>8234.9891999999982</v>
      </c>
    </row>
    <row r="518" spans="1:36" hidden="1" x14ac:dyDescent="0.25">
      <c r="A518" s="12" t="s">
        <v>242</v>
      </c>
      <c r="B518" s="27">
        <v>45879</v>
      </c>
      <c r="C518" s="4">
        <v>45899</v>
      </c>
      <c r="D518" s="12" t="s">
        <v>648</v>
      </c>
      <c r="E518" s="12" t="s">
        <v>660</v>
      </c>
      <c r="F518" s="12" t="s">
        <v>686</v>
      </c>
      <c r="G518" s="12" t="s">
        <v>701</v>
      </c>
      <c r="H518" s="12" t="s">
        <v>709</v>
      </c>
      <c r="I518" s="12" t="s">
        <v>723</v>
      </c>
      <c r="J518" s="12" t="s">
        <v>728</v>
      </c>
      <c r="K518" s="12" t="s">
        <v>962</v>
      </c>
      <c r="L518" s="6">
        <v>933.29</v>
      </c>
      <c r="M518" s="6">
        <v>1456.81</v>
      </c>
      <c r="N518" s="6">
        <f t="shared" si="144"/>
        <v>1456.81</v>
      </c>
      <c r="O518" s="6" t="str">
        <f t="shared" si="158"/>
        <v>High</v>
      </c>
      <c r="P518" s="6">
        <v>0.123</v>
      </c>
      <c r="Q518" s="6">
        <f t="shared" si="145"/>
        <v>0.123</v>
      </c>
      <c r="R518" s="6">
        <v>13</v>
      </c>
      <c r="S518" s="6" t="str">
        <f t="shared" si="146"/>
        <v>OK</v>
      </c>
      <c r="T518" s="4">
        <f t="shared" si="147"/>
        <v>45899</v>
      </c>
      <c r="U518" s="11">
        <f t="shared" si="148"/>
        <v>20</v>
      </c>
      <c r="V518" s="6">
        <f t="shared" si="149"/>
        <v>16609.090809999998</v>
      </c>
      <c r="W518" s="6">
        <f t="shared" si="150"/>
        <v>12132.77</v>
      </c>
      <c r="X518" s="6">
        <f t="shared" si="151"/>
        <v>4476.3208099999974</v>
      </c>
      <c r="Y518" s="6">
        <f t="shared" si="152"/>
        <v>0.26951028573489977</v>
      </c>
      <c r="Z518" s="4" t="str">
        <f t="shared" si="153"/>
        <v>Q3-2025</v>
      </c>
      <c r="AA518" t="str">
        <f t="shared" si="154"/>
        <v>Printers</v>
      </c>
      <c r="AB518" t="str">
        <f t="shared" si="155"/>
        <v>Printers</v>
      </c>
      <c r="AC518" t="str">
        <f t="shared" si="156"/>
        <v>Compliant</v>
      </c>
      <c r="AD518" t="str">
        <f t="shared" si="157"/>
        <v>Late</v>
      </c>
      <c r="AE518" s="8">
        <f>MIN(Q518,Scenario!$B$2)</f>
        <v>0.123</v>
      </c>
      <c r="AF518" s="33">
        <f>L518*(1+Scenario!$B$3)</f>
        <v>1073.2834999999998</v>
      </c>
      <c r="AG518" s="6">
        <f>R518*(1+Scenario!$B$4)</f>
        <v>15.6</v>
      </c>
      <c r="AH518" s="33">
        <f t="shared" si="159"/>
        <v>19930.908971999997</v>
      </c>
      <c r="AI518" s="33">
        <f t="shared" si="160"/>
        <v>16743.222599999997</v>
      </c>
      <c r="AJ518" s="33">
        <f t="shared" si="161"/>
        <v>3187.6863720000001</v>
      </c>
    </row>
    <row r="519" spans="1:36" hidden="1" x14ac:dyDescent="0.25">
      <c r="A519" s="12" t="s">
        <v>559</v>
      </c>
      <c r="B519" s="27">
        <v>45889</v>
      </c>
      <c r="C519" s="4">
        <v>45895</v>
      </c>
      <c r="D519" s="12" t="s">
        <v>648</v>
      </c>
      <c r="E519" s="12" t="s">
        <v>660</v>
      </c>
      <c r="F519" s="12" t="s">
        <v>700</v>
      </c>
      <c r="G519" s="12" t="s">
        <v>701</v>
      </c>
      <c r="H519" s="12" t="s">
        <v>707</v>
      </c>
      <c r="I519" s="12" t="s">
        <v>724</v>
      </c>
      <c r="J519" s="12" t="s">
        <v>729</v>
      </c>
      <c r="K519" s="12" t="s">
        <v>1277</v>
      </c>
      <c r="L519" s="6">
        <v>1304.95</v>
      </c>
      <c r="M519" s="6">
        <v>1712.03</v>
      </c>
      <c r="N519" s="6">
        <f t="shared" si="144"/>
        <v>1712.03</v>
      </c>
      <c r="O519" s="6" t="str">
        <f t="shared" si="158"/>
        <v>High</v>
      </c>
      <c r="P519" s="6">
        <v>0.21199999999999999</v>
      </c>
      <c r="Q519" s="6">
        <f t="shared" si="145"/>
        <v>0.21199999999999999</v>
      </c>
      <c r="R519" s="6">
        <v>8</v>
      </c>
      <c r="S519" s="6" t="str">
        <f t="shared" si="146"/>
        <v>OK</v>
      </c>
      <c r="T519" s="4">
        <f t="shared" si="147"/>
        <v>45895</v>
      </c>
      <c r="U519" s="11">
        <f t="shared" si="148"/>
        <v>6</v>
      </c>
      <c r="V519" s="6">
        <f t="shared" si="149"/>
        <v>10792.637119999999</v>
      </c>
      <c r="W519" s="6">
        <f t="shared" si="150"/>
        <v>10439.6</v>
      </c>
      <c r="X519" s="6">
        <f t="shared" si="151"/>
        <v>353.03711999999905</v>
      </c>
      <c r="Y519" s="6">
        <f t="shared" si="152"/>
        <v>3.2710922833287949E-2</v>
      </c>
      <c r="Z519" s="4" t="str">
        <f t="shared" si="153"/>
        <v>Q3-2025</v>
      </c>
      <c r="AA519" t="str">
        <f t="shared" si="154"/>
        <v>Networking</v>
      </c>
      <c r="AB519" t="str">
        <f t="shared" si="155"/>
        <v>Networking</v>
      </c>
      <c r="AC519" t="str">
        <f t="shared" si="156"/>
        <v>Non-compliant</v>
      </c>
      <c r="AD519" t="str">
        <f t="shared" si="157"/>
        <v>On-time</v>
      </c>
      <c r="AE519" s="8">
        <f>MIN(Q519,Scenario!$B$2)</f>
        <v>0.2</v>
      </c>
      <c r="AF519" s="33">
        <f>L519*(1+Scenario!$B$3)</f>
        <v>1500.6924999999999</v>
      </c>
      <c r="AG519" s="6">
        <f>R519*(1+Scenario!$B$4)</f>
        <v>9.6</v>
      </c>
      <c r="AH519" s="33">
        <f t="shared" si="159"/>
        <v>13148.390399999998</v>
      </c>
      <c r="AI519" s="33">
        <f t="shared" si="160"/>
        <v>14406.647999999999</v>
      </c>
      <c r="AJ519" s="33">
        <f t="shared" si="161"/>
        <v>-1258.2576000000008</v>
      </c>
    </row>
    <row r="520" spans="1:36" hidden="1" x14ac:dyDescent="0.25">
      <c r="A520" s="12" t="s">
        <v>256</v>
      </c>
      <c r="B520" s="27">
        <v>45871</v>
      </c>
      <c r="C520" s="4">
        <v>45877</v>
      </c>
      <c r="D520" s="12" t="s">
        <v>647</v>
      </c>
      <c r="E520" s="12" t="s">
        <v>652</v>
      </c>
      <c r="F520" s="12" t="s">
        <v>666</v>
      </c>
      <c r="G520" s="12" t="s">
        <v>704</v>
      </c>
      <c r="H520" s="12" t="s">
        <v>711</v>
      </c>
      <c r="I520" s="12" t="s">
        <v>725</v>
      </c>
      <c r="J520" s="12" t="s">
        <v>731</v>
      </c>
      <c r="K520" s="12" t="s">
        <v>976</v>
      </c>
      <c r="L520" s="6">
        <v>1225.94</v>
      </c>
      <c r="M520" s="6">
        <v>1793.08</v>
      </c>
      <c r="N520" s="6">
        <f t="shared" si="144"/>
        <v>1793.08</v>
      </c>
      <c r="O520" s="6" t="str">
        <f t="shared" si="158"/>
        <v>High</v>
      </c>
      <c r="P520" s="6">
        <v>0.13600000000000001</v>
      </c>
      <c r="Q520" s="6">
        <f t="shared" si="145"/>
        <v>0.13600000000000001</v>
      </c>
      <c r="R520" s="6">
        <v>22</v>
      </c>
      <c r="S520" s="6" t="str">
        <f t="shared" si="146"/>
        <v>OK</v>
      </c>
      <c r="T520" s="4">
        <f t="shared" si="147"/>
        <v>45877</v>
      </c>
      <c r="U520" s="11">
        <f t="shared" si="148"/>
        <v>6</v>
      </c>
      <c r="V520" s="6">
        <f t="shared" si="149"/>
        <v>34082.864639999993</v>
      </c>
      <c r="W520" s="6">
        <f t="shared" si="150"/>
        <v>26970.68</v>
      </c>
      <c r="X520" s="6">
        <f t="shared" si="151"/>
        <v>7112.1846399999922</v>
      </c>
      <c r="Y520" s="6">
        <f t="shared" si="152"/>
        <v>0.20867332353434462</v>
      </c>
      <c r="Z520" s="4" t="str">
        <f t="shared" si="153"/>
        <v>Q3-2025</v>
      </c>
      <c r="AA520" t="str">
        <f t="shared" si="154"/>
        <v>Laptops</v>
      </c>
      <c r="AB520" t="str">
        <f t="shared" si="155"/>
        <v>Laptops</v>
      </c>
      <c r="AC520" t="str">
        <f t="shared" si="156"/>
        <v>Compliant</v>
      </c>
      <c r="AD520" t="str">
        <f t="shared" si="157"/>
        <v>On-time</v>
      </c>
      <c r="AE520" s="8">
        <f>MIN(Q520,Scenario!$B$2)</f>
        <v>0.13600000000000001</v>
      </c>
      <c r="AF520" s="33">
        <f>L520*(1+Scenario!$B$3)</f>
        <v>1409.8309999999999</v>
      </c>
      <c r="AG520" s="6">
        <f>R520*(1+Scenario!$B$4)</f>
        <v>26.4</v>
      </c>
      <c r="AH520" s="33">
        <f t="shared" si="159"/>
        <v>40899.437568000001</v>
      </c>
      <c r="AI520" s="33">
        <f t="shared" si="160"/>
        <v>37219.538399999998</v>
      </c>
      <c r="AJ520" s="33">
        <f t="shared" si="161"/>
        <v>3679.8991680000036</v>
      </c>
    </row>
    <row r="521" spans="1:36" hidden="1" x14ac:dyDescent="0.25">
      <c r="A521" s="12" t="s">
        <v>440</v>
      </c>
      <c r="B521" s="27">
        <v>45897</v>
      </c>
      <c r="C521" s="4">
        <v>45905</v>
      </c>
      <c r="D521" s="12" t="s">
        <v>646</v>
      </c>
      <c r="E521" s="12" t="s">
        <v>651</v>
      </c>
      <c r="F521" s="12" t="s">
        <v>663</v>
      </c>
      <c r="G521" s="12" t="s">
        <v>705</v>
      </c>
      <c r="H521" s="12" t="s">
        <v>709</v>
      </c>
      <c r="I521" s="12" t="s">
        <v>718</v>
      </c>
      <c r="J521" s="12" t="s">
        <v>731</v>
      </c>
      <c r="K521" s="12" t="s">
        <v>1159</v>
      </c>
      <c r="L521" s="6">
        <v>1271.0999999999999</v>
      </c>
      <c r="M521" s="6">
        <v>1932.42</v>
      </c>
      <c r="N521" s="6">
        <f t="shared" si="144"/>
        <v>1932.42</v>
      </c>
      <c r="O521" s="6" t="str">
        <f t="shared" si="158"/>
        <v>High</v>
      </c>
      <c r="P521" s="6">
        <v>0.25</v>
      </c>
      <c r="Q521" s="6">
        <f t="shared" si="145"/>
        <v>0.25</v>
      </c>
      <c r="R521" s="6">
        <v>21</v>
      </c>
      <c r="S521" s="6" t="str">
        <f t="shared" si="146"/>
        <v>OK</v>
      </c>
      <c r="T521" s="4">
        <f t="shared" si="147"/>
        <v>45905</v>
      </c>
      <c r="U521" s="11">
        <f t="shared" si="148"/>
        <v>8</v>
      </c>
      <c r="V521" s="6">
        <f t="shared" si="149"/>
        <v>30435.614999999998</v>
      </c>
      <c r="W521" s="6">
        <f t="shared" si="150"/>
        <v>26693.1</v>
      </c>
      <c r="X521" s="6">
        <f t="shared" si="151"/>
        <v>3742.5149999999994</v>
      </c>
      <c r="Y521" s="6">
        <f t="shared" si="152"/>
        <v>0.12296498690760807</v>
      </c>
      <c r="Z521" s="4" t="str">
        <f t="shared" si="153"/>
        <v>Q3-2025</v>
      </c>
      <c r="AA521" t="str">
        <f t="shared" si="154"/>
        <v>Laptops</v>
      </c>
      <c r="AB521" t="str">
        <f t="shared" si="155"/>
        <v>Laptops</v>
      </c>
      <c r="AC521" t="str">
        <f t="shared" si="156"/>
        <v>Non-compliant</v>
      </c>
      <c r="AD521" t="str">
        <f t="shared" si="157"/>
        <v>Late</v>
      </c>
      <c r="AE521" s="8">
        <f>MIN(Q521,Scenario!$B$2)</f>
        <v>0.2</v>
      </c>
      <c r="AF521" s="33">
        <f>L521*(1+Scenario!$B$3)</f>
        <v>1461.7649999999999</v>
      </c>
      <c r="AG521" s="6">
        <f>R521*(1+Scenario!$B$4)</f>
        <v>25.2</v>
      </c>
      <c r="AH521" s="33">
        <f t="shared" si="159"/>
        <v>38957.587200000002</v>
      </c>
      <c r="AI521" s="33">
        <f t="shared" si="160"/>
        <v>36836.477999999996</v>
      </c>
      <c r="AJ521" s="33">
        <f t="shared" si="161"/>
        <v>2121.1092000000062</v>
      </c>
    </row>
    <row r="522" spans="1:36" hidden="1" x14ac:dyDescent="0.25">
      <c r="A522" s="12" t="s">
        <v>370</v>
      </c>
      <c r="B522" s="27">
        <v>45883</v>
      </c>
      <c r="C522" s="4">
        <v>45911</v>
      </c>
      <c r="D522" s="12" t="s">
        <v>648</v>
      </c>
      <c r="E522" s="12" t="s">
        <v>655</v>
      </c>
      <c r="F522" s="12" t="s">
        <v>670</v>
      </c>
      <c r="G522" s="12" t="s">
        <v>703</v>
      </c>
      <c r="H522" s="12" t="s">
        <v>711</v>
      </c>
      <c r="I522" s="12" t="s">
        <v>721</v>
      </c>
      <c r="J522" s="12" t="s">
        <v>728</v>
      </c>
      <c r="K522" s="12" t="s">
        <v>1090</v>
      </c>
      <c r="L522" s="6">
        <v>1203.02</v>
      </c>
      <c r="M522" s="6">
        <v>2439.33</v>
      </c>
      <c r="N522" s="6">
        <f t="shared" si="144"/>
        <v>2439.33</v>
      </c>
      <c r="O522" s="6" t="str">
        <f t="shared" si="158"/>
        <v>High</v>
      </c>
      <c r="P522" s="6">
        <v>0</v>
      </c>
      <c r="Q522" s="6">
        <f t="shared" si="145"/>
        <v>0</v>
      </c>
      <c r="R522" s="6">
        <v>18</v>
      </c>
      <c r="S522" s="6" t="str">
        <f t="shared" si="146"/>
        <v>OK</v>
      </c>
      <c r="T522" s="4">
        <f t="shared" si="147"/>
        <v>45911</v>
      </c>
      <c r="U522" s="11">
        <f t="shared" si="148"/>
        <v>28</v>
      </c>
      <c r="V522" s="6">
        <f t="shared" si="149"/>
        <v>43907.94</v>
      </c>
      <c r="W522" s="6">
        <f t="shared" si="150"/>
        <v>21654.36</v>
      </c>
      <c r="X522" s="6">
        <f t="shared" si="151"/>
        <v>22253.58</v>
      </c>
      <c r="Y522" s="6">
        <f t="shared" si="152"/>
        <v>0.50682359500354612</v>
      </c>
      <c r="Z522" s="4" t="str">
        <f t="shared" si="153"/>
        <v>Q3-2025</v>
      </c>
      <c r="AA522" t="str">
        <f t="shared" si="154"/>
        <v>Printers</v>
      </c>
      <c r="AB522" t="str">
        <f t="shared" si="155"/>
        <v>Printers</v>
      </c>
      <c r="AC522" t="str">
        <f t="shared" si="156"/>
        <v>Compliant</v>
      </c>
      <c r="AD522" t="str">
        <f t="shared" si="157"/>
        <v>Late</v>
      </c>
      <c r="AE522" s="8">
        <f>MIN(Q522,Scenario!$B$2)</f>
        <v>0</v>
      </c>
      <c r="AF522" s="33">
        <f>L522*(1+Scenario!$B$3)</f>
        <v>1383.473</v>
      </c>
      <c r="AG522" s="6">
        <f>R522*(1+Scenario!$B$4)</f>
        <v>21.599999999999998</v>
      </c>
      <c r="AH522" s="33">
        <f t="shared" si="159"/>
        <v>52689.527999999991</v>
      </c>
      <c r="AI522" s="33">
        <f t="shared" si="160"/>
        <v>29883.016799999998</v>
      </c>
      <c r="AJ522" s="33">
        <f t="shared" si="161"/>
        <v>22806.511199999994</v>
      </c>
    </row>
    <row r="523" spans="1:36" hidden="1" x14ac:dyDescent="0.25">
      <c r="A523" s="12" t="s">
        <v>174</v>
      </c>
      <c r="B523" s="27">
        <v>45870</v>
      </c>
      <c r="C523" s="4">
        <v>45890</v>
      </c>
      <c r="D523" s="12" t="s">
        <v>647</v>
      </c>
      <c r="E523" s="12" t="s">
        <v>659</v>
      </c>
      <c r="F523" s="12" t="s">
        <v>685</v>
      </c>
      <c r="G523" s="12" t="s">
        <v>701</v>
      </c>
      <c r="H523" s="12" t="s">
        <v>711</v>
      </c>
      <c r="I523" s="12" t="s">
        <v>714</v>
      </c>
      <c r="J523" s="12" t="s">
        <v>730</v>
      </c>
      <c r="K523" s="12" t="s">
        <v>893</v>
      </c>
      <c r="L523" s="6">
        <v>1220.4100000000001</v>
      </c>
      <c r="M523" s="6">
        <v>2552.2199999999998</v>
      </c>
      <c r="N523" s="6">
        <f t="shared" si="144"/>
        <v>2552.2199999999998</v>
      </c>
      <c r="O523" s="6" t="str">
        <f t="shared" si="158"/>
        <v>High</v>
      </c>
      <c r="P523" s="6">
        <v>0.18099999999999999</v>
      </c>
      <c r="Q523" s="6">
        <f t="shared" si="145"/>
        <v>0.18099999999999999</v>
      </c>
      <c r="R523" s="6">
        <v>14</v>
      </c>
      <c r="S523" s="6" t="str">
        <f t="shared" si="146"/>
        <v>OK</v>
      </c>
      <c r="T523" s="4">
        <f t="shared" si="147"/>
        <v>45890</v>
      </c>
      <c r="U523" s="11">
        <f t="shared" si="148"/>
        <v>20</v>
      </c>
      <c r="V523" s="6">
        <f t="shared" si="149"/>
        <v>29263.754519999995</v>
      </c>
      <c r="W523" s="6">
        <f t="shared" si="150"/>
        <v>17085.740000000002</v>
      </c>
      <c r="X523" s="6">
        <f t="shared" si="151"/>
        <v>12178.014519999993</v>
      </c>
      <c r="Y523" s="6">
        <f t="shared" si="152"/>
        <v>0.41614668793360271</v>
      </c>
      <c r="Z523" s="4" t="str">
        <f t="shared" si="153"/>
        <v>Q3-2025</v>
      </c>
      <c r="AA523" t="str">
        <f t="shared" si="154"/>
        <v>Phones</v>
      </c>
      <c r="AB523" t="str">
        <f t="shared" si="155"/>
        <v>Phones</v>
      </c>
      <c r="AC523" t="str">
        <f t="shared" si="156"/>
        <v>Compliant</v>
      </c>
      <c r="AD523" t="str">
        <f t="shared" si="157"/>
        <v>Late</v>
      </c>
      <c r="AE523" s="8">
        <f>MIN(Q523,Scenario!$B$2)</f>
        <v>0.18099999999999999</v>
      </c>
      <c r="AF523" s="33">
        <f>L523*(1+Scenario!$B$3)</f>
        <v>1403.4714999999999</v>
      </c>
      <c r="AG523" s="6">
        <f>R523*(1+Scenario!$B$4)</f>
        <v>16.8</v>
      </c>
      <c r="AH523" s="33">
        <f t="shared" si="159"/>
        <v>35116.505423999995</v>
      </c>
      <c r="AI523" s="33">
        <f t="shared" si="160"/>
        <v>23578.321199999998</v>
      </c>
      <c r="AJ523" s="33">
        <f t="shared" si="161"/>
        <v>11538.184223999997</v>
      </c>
    </row>
    <row r="524" spans="1:36" x14ac:dyDescent="0.25">
      <c r="A524" s="12" t="s">
        <v>496</v>
      </c>
      <c r="B524" s="27">
        <v>45899</v>
      </c>
      <c r="C524" s="4">
        <v>45903</v>
      </c>
      <c r="D524" s="12" t="s">
        <v>649</v>
      </c>
      <c r="E524" s="12" t="s">
        <v>657</v>
      </c>
      <c r="F524" s="12" t="s">
        <v>673</v>
      </c>
      <c r="G524" s="12" t="s">
        <v>705</v>
      </c>
      <c r="H524" s="12" t="s">
        <v>709</v>
      </c>
      <c r="I524" s="12" t="s">
        <v>713</v>
      </c>
      <c r="J524" s="12" t="s">
        <v>731</v>
      </c>
      <c r="K524" s="12" t="s">
        <v>1215</v>
      </c>
      <c r="L524" s="6">
        <v>1286.56</v>
      </c>
      <c r="M524" s="6">
        <v>2777.35</v>
      </c>
      <c r="N524" s="6">
        <f t="shared" si="144"/>
        <v>2777.35</v>
      </c>
      <c r="O524" s="6" t="str">
        <f t="shared" si="158"/>
        <v>High</v>
      </c>
      <c r="P524" s="6">
        <v>0.13200000000000001</v>
      </c>
      <c r="Q524" s="6">
        <f t="shared" si="145"/>
        <v>0.13200000000000001</v>
      </c>
      <c r="R524" s="6">
        <v>15</v>
      </c>
      <c r="S524" s="6" t="str">
        <f t="shared" si="146"/>
        <v>OK</v>
      </c>
      <c r="T524" s="4">
        <f t="shared" si="147"/>
        <v>45903</v>
      </c>
      <c r="U524" s="11">
        <f t="shared" si="148"/>
        <v>4</v>
      </c>
      <c r="V524" s="6">
        <f t="shared" si="149"/>
        <v>36161.097000000002</v>
      </c>
      <c r="W524" s="6">
        <f t="shared" si="150"/>
        <v>19298.399999999998</v>
      </c>
      <c r="X524" s="6">
        <f t="shared" si="151"/>
        <v>16862.697000000004</v>
      </c>
      <c r="Y524" s="6">
        <f t="shared" si="152"/>
        <v>0.46632150014696744</v>
      </c>
      <c r="Z524" s="4" t="str">
        <f t="shared" si="153"/>
        <v>Q3-2025</v>
      </c>
      <c r="AA524" t="str">
        <f t="shared" si="154"/>
        <v>Laptops</v>
      </c>
      <c r="AB524" t="str">
        <f t="shared" si="155"/>
        <v>Laptops</v>
      </c>
      <c r="AC524" t="str">
        <f t="shared" si="156"/>
        <v>Compliant</v>
      </c>
      <c r="AD524" t="str">
        <f t="shared" si="157"/>
        <v>On-time</v>
      </c>
      <c r="AE524" s="8">
        <f>MIN(Q524,Scenario!$B$2)</f>
        <v>0.13200000000000001</v>
      </c>
      <c r="AF524" s="33">
        <f>L524*(1+Scenario!$B$3)</f>
        <v>1479.5439999999999</v>
      </c>
      <c r="AG524" s="6">
        <f>R524*(1+Scenario!$B$4)</f>
        <v>18</v>
      </c>
      <c r="AH524" s="33">
        <f t="shared" si="159"/>
        <v>43393.316399999996</v>
      </c>
      <c r="AI524" s="33">
        <f t="shared" si="160"/>
        <v>26631.791999999998</v>
      </c>
      <c r="AJ524" s="33">
        <f t="shared" si="161"/>
        <v>16761.524399999998</v>
      </c>
    </row>
    <row r="525" spans="1:36" x14ac:dyDescent="0.25">
      <c r="A525" s="12" t="s">
        <v>410</v>
      </c>
      <c r="B525" s="27">
        <v>45890</v>
      </c>
      <c r="C525" s="4">
        <v>45914</v>
      </c>
      <c r="D525" s="12" t="s">
        <v>649</v>
      </c>
      <c r="E525" s="12" t="s">
        <v>656</v>
      </c>
      <c r="F525" s="12" t="s">
        <v>671</v>
      </c>
      <c r="G525" s="12" t="s">
        <v>703</v>
      </c>
      <c r="H525" s="12" t="s">
        <v>708</v>
      </c>
      <c r="I525" s="12" t="s">
        <v>720</v>
      </c>
      <c r="J525" s="12" t="s">
        <v>732</v>
      </c>
      <c r="K525" s="12" t="s">
        <v>1129</v>
      </c>
      <c r="L525" s="6">
        <v>1397.67</v>
      </c>
      <c r="M525" s="6">
        <v>3131.37</v>
      </c>
      <c r="N525" s="6">
        <f t="shared" si="144"/>
        <v>3131.37</v>
      </c>
      <c r="O525" s="6" t="str">
        <f t="shared" si="158"/>
        <v>High</v>
      </c>
      <c r="P525" s="6">
        <v>0.10299999999999999</v>
      </c>
      <c r="Q525" s="6">
        <f t="shared" si="145"/>
        <v>0.10299999999999999</v>
      </c>
      <c r="R525" s="6">
        <v>20</v>
      </c>
      <c r="S525" s="6" t="str">
        <f t="shared" si="146"/>
        <v>OK</v>
      </c>
      <c r="T525" s="4">
        <f t="shared" si="147"/>
        <v>45914</v>
      </c>
      <c r="U525" s="11">
        <f t="shared" si="148"/>
        <v>24</v>
      </c>
      <c r="V525" s="6">
        <f t="shared" si="149"/>
        <v>56176.777799999996</v>
      </c>
      <c r="W525" s="6">
        <f t="shared" si="150"/>
        <v>27953.4</v>
      </c>
      <c r="X525" s="6">
        <f t="shared" si="151"/>
        <v>28223.377799999995</v>
      </c>
      <c r="Y525" s="6">
        <f t="shared" si="152"/>
        <v>0.50240293062874808</v>
      </c>
      <c r="Z525" s="4" t="str">
        <f t="shared" si="153"/>
        <v>Q3-2025</v>
      </c>
      <c r="AA525" t="str">
        <f t="shared" si="154"/>
        <v>Monitors</v>
      </c>
      <c r="AB525" t="str">
        <f t="shared" si="155"/>
        <v>Monitors</v>
      </c>
      <c r="AC525" t="str">
        <f t="shared" si="156"/>
        <v>Compliant</v>
      </c>
      <c r="AD525" t="str">
        <f t="shared" si="157"/>
        <v>Late</v>
      </c>
      <c r="AE525" s="8">
        <f>MIN(Q525,Scenario!$B$2)</f>
        <v>0.10299999999999999</v>
      </c>
      <c r="AF525" s="33">
        <f>L525*(1+Scenario!$B$3)</f>
        <v>1607.3205</v>
      </c>
      <c r="AG525" s="6">
        <f>R525*(1+Scenario!$B$4)</f>
        <v>24</v>
      </c>
      <c r="AH525" s="33">
        <f t="shared" si="159"/>
        <v>67412.133360000007</v>
      </c>
      <c r="AI525" s="33">
        <f t="shared" si="160"/>
        <v>38575.692000000003</v>
      </c>
      <c r="AJ525" s="33">
        <f t="shared" si="161"/>
        <v>28836.441360000004</v>
      </c>
    </row>
    <row r="526" spans="1:36" x14ac:dyDescent="0.25">
      <c r="A526" s="12" t="s">
        <v>457</v>
      </c>
      <c r="B526" s="27">
        <v>45526</v>
      </c>
      <c r="C526" s="4">
        <v>45539</v>
      </c>
      <c r="D526" s="12" t="s">
        <v>649</v>
      </c>
      <c r="E526" s="12" t="s">
        <v>656</v>
      </c>
      <c r="F526" s="12" t="s">
        <v>698</v>
      </c>
      <c r="G526" s="12" t="s">
        <v>703</v>
      </c>
      <c r="H526" s="12" t="s">
        <v>707</v>
      </c>
      <c r="I526" s="12" t="s">
        <v>716</v>
      </c>
      <c r="J526" s="12" t="s">
        <v>728</v>
      </c>
      <c r="K526" s="12" t="s">
        <v>1176</v>
      </c>
      <c r="L526" s="6">
        <v>90.04</v>
      </c>
      <c r="M526" s="6">
        <v>194.62</v>
      </c>
      <c r="N526" s="6">
        <f t="shared" si="144"/>
        <v>194.62</v>
      </c>
      <c r="O526" s="6" t="str">
        <f t="shared" si="158"/>
        <v>Low</v>
      </c>
      <c r="P526" s="6">
        <v>4.2999999999999997E-2</v>
      </c>
      <c r="Q526" s="6">
        <f t="shared" si="145"/>
        <v>4.2999999999999997E-2</v>
      </c>
      <c r="R526" s="6">
        <v>32</v>
      </c>
      <c r="S526" s="6" t="str">
        <f t="shared" si="146"/>
        <v>OK</v>
      </c>
      <c r="T526" s="4">
        <f t="shared" si="147"/>
        <v>45539</v>
      </c>
      <c r="U526" s="11">
        <f t="shared" si="148"/>
        <v>13</v>
      </c>
      <c r="V526" s="6">
        <f t="shared" si="149"/>
        <v>5960.04288</v>
      </c>
      <c r="W526" s="6">
        <f t="shared" si="150"/>
        <v>2881.28</v>
      </c>
      <c r="X526" s="6">
        <f t="shared" si="151"/>
        <v>3078.7628799999998</v>
      </c>
      <c r="Y526" s="6">
        <f t="shared" si="152"/>
        <v>0.51656723650954672</v>
      </c>
      <c r="Z526" s="4" t="str">
        <f t="shared" si="153"/>
        <v>Q3-2024</v>
      </c>
      <c r="AA526" t="str">
        <f t="shared" si="154"/>
        <v>Printers</v>
      </c>
      <c r="AB526" t="str">
        <f t="shared" si="155"/>
        <v>Printers</v>
      </c>
      <c r="AC526" t="str">
        <f t="shared" si="156"/>
        <v>Compliant</v>
      </c>
      <c r="AD526" t="str">
        <f t="shared" si="157"/>
        <v>Late</v>
      </c>
      <c r="AE526" s="8">
        <f>MIN(Q526,Scenario!$B$2)</f>
        <v>4.2999999999999997E-2</v>
      </c>
      <c r="AF526" s="33">
        <f>L526*(1+Scenario!$B$3)</f>
        <v>103.54599999999999</v>
      </c>
      <c r="AG526" s="6">
        <f>R526*(1+Scenario!$B$4)</f>
        <v>38.4</v>
      </c>
      <c r="AH526" s="33">
        <f t="shared" si="159"/>
        <v>7152.0514559999992</v>
      </c>
      <c r="AI526" s="33">
        <f t="shared" si="160"/>
        <v>3976.1663999999996</v>
      </c>
      <c r="AJ526" s="33">
        <f t="shared" si="161"/>
        <v>3175.8850559999996</v>
      </c>
    </row>
    <row r="527" spans="1:36" hidden="1" x14ac:dyDescent="0.25">
      <c r="A527" s="12" t="s">
        <v>613</v>
      </c>
      <c r="B527" s="27">
        <v>45521</v>
      </c>
      <c r="C527" s="4">
        <v>45519</v>
      </c>
      <c r="D527" s="12" t="s">
        <v>648</v>
      </c>
      <c r="E527" s="12" t="s">
        <v>655</v>
      </c>
      <c r="F527" s="12" t="s">
        <v>692</v>
      </c>
      <c r="G527" s="12" t="s">
        <v>704</v>
      </c>
      <c r="H527" s="12" t="s">
        <v>711</v>
      </c>
      <c r="I527" s="12" t="s">
        <v>724</v>
      </c>
      <c r="J527" s="12" t="s">
        <v>732</v>
      </c>
      <c r="K527" s="12" t="s">
        <v>1331</v>
      </c>
      <c r="L527" s="6">
        <v>165.3</v>
      </c>
      <c r="M527" s="6">
        <v>275.07</v>
      </c>
      <c r="N527" s="6">
        <f t="shared" si="144"/>
        <v>275.07</v>
      </c>
      <c r="O527" s="6" t="str">
        <f t="shared" si="158"/>
        <v>Low</v>
      </c>
      <c r="P527" s="6">
        <v>0.13300000000000001</v>
      </c>
      <c r="Q527" s="6">
        <f t="shared" si="145"/>
        <v>0.13300000000000001</v>
      </c>
      <c r="R527" s="6">
        <v>25</v>
      </c>
      <c r="S527" s="6" t="str">
        <f t="shared" si="146"/>
        <v>Correct</v>
      </c>
      <c r="T527" s="4">
        <f t="shared" si="147"/>
        <v>45528</v>
      </c>
      <c r="U527" s="11">
        <f t="shared" si="148"/>
        <v>7</v>
      </c>
      <c r="V527" s="6">
        <f t="shared" si="149"/>
        <v>5962.1422499999999</v>
      </c>
      <c r="W527" s="6">
        <f t="shared" si="150"/>
        <v>4132.5</v>
      </c>
      <c r="X527" s="6">
        <f t="shared" si="151"/>
        <v>1829.6422499999999</v>
      </c>
      <c r="Y527" s="6">
        <f t="shared" si="152"/>
        <v>0.30687665159280625</v>
      </c>
      <c r="Z527" s="4" t="str">
        <f t="shared" si="153"/>
        <v>Q3-2024</v>
      </c>
      <c r="AA527" t="str">
        <f t="shared" si="154"/>
        <v>Monitors</v>
      </c>
      <c r="AB527" t="str">
        <f t="shared" si="155"/>
        <v>Monitors</v>
      </c>
      <c r="AC527" t="str">
        <f t="shared" si="156"/>
        <v>Compliant</v>
      </c>
      <c r="AD527" t="str">
        <f t="shared" si="157"/>
        <v>On-time</v>
      </c>
      <c r="AE527" s="8">
        <f>MIN(Q527,Scenario!$B$2)</f>
        <v>0.13300000000000001</v>
      </c>
      <c r="AF527" s="33">
        <f>L527*(1+Scenario!$B$3)</f>
        <v>190.095</v>
      </c>
      <c r="AG527" s="6">
        <f>R527*(1+Scenario!$B$4)</f>
        <v>30</v>
      </c>
      <c r="AH527" s="33">
        <f t="shared" si="159"/>
        <v>7154.5707000000002</v>
      </c>
      <c r="AI527" s="33">
        <f t="shared" si="160"/>
        <v>5702.85</v>
      </c>
      <c r="AJ527" s="33">
        <f t="shared" si="161"/>
        <v>1451.7206999999999</v>
      </c>
    </row>
    <row r="528" spans="1:36" hidden="1" x14ac:dyDescent="0.25">
      <c r="A528" s="12" t="s">
        <v>170</v>
      </c>
      <c r="B528" s="27">
        <v>45511</v>
      </c>
      <c r="C528" s="4">
        <v>45521</v>
      </c>
      <c r="D528" s="12" t="s">
        <v>647</v>
      </c>
      <c r="E528" s="12" t="s">
        <v>652</v>
      </c>
      <c r="F528" s="12" t="s">
        <v>666</v>
      </c>
      <c r="G528" s="12" t="s">
        <v>704</v>
      </c>
      <c r="H528" s="12" t="s">
        <v>708</v>
      </c>
      <c r="I528" s="12" t="s">
        <v>723</v>
      </c>
      <c r="J528" s="12" t="s">
        <v>729</v>
      </c>
      <c r="K528" s="12" t="s">
        <v>889</v>
      </c>
      <c r="L528" s="6">
        <v>436.58</v>
      </c>
      <c r="M528" s="6">
        <v>527.48</v>
      </c>
      <c r="N528" s="6">
        <f t="shared" si="144"/>
        <v>527.48</v>
      </c>
      <c r="O528" s="6" t="str">
        <f t="shared" si="158"/>
        <v>Low</v>
      </c>
      <c r="P528" s="6">
        <v>0.111</v>
      </c>
      <c r="Q528" s="6">
        <f t="shared" si="145"/>
        <v>0.111</v>
      </c>
      <c r="R528" s="6">
        <v>19</v>
      </c>
      <c r="S528" s="6" t="str">
        <f t="shared" si="146"/>
        <v>OK</v>
      </c>
      <c r="T528" s="4">
        <f t="shared" si="147"/>
        <v>45521</v>
      </c>
      <c r="U528" s="11">
        <f t="shared" si="148"/>
        <v>10</v>
      </c>
      <c r="V528" s="6">
        <f t="shared" si="149"/>
        <v>8909.6646800000017</v>
      </c>
      <c r="W528" s="6">
        <f t="shared" si="150"/>
        <v>8295.02</v>
      </c>
      <c r="X528" s="6">
        <f t="shared" si="151"/>
        <v>614.64468000000124</v>
      </c>
      <c r="Y528" s="6">
        <f t="shared" si="152"/>
        <v>6.8986286473802644E-2</v>
      </c>
      <c r="Z528" s="4" t="str">
        <f t="shared" si="153"/>
        <v>Q3-2024</v>
      </c>
      <c r="AA528" t="str">
        <f t="shared" si="154"/>
        <v>Networking</v>
      </c>
      <c r="AB528" t="str">
        <f t="shared" si="155"/>
        <v>Networking</v>
      </c>
      <c r="AC528" t="str">
        <f t="shared" si="156"/>
        <v>Compliant</v>
      </c>
      <c r="AD528" t="str">
        <f t="shared" si="157"/>
        <v>Late</v>
      </c>
      <c r="AE528" s="8">
        <f>MIN(Q528,Scenario!$B$2)</f>
        <v>0.111</v>
      </c>
      <c r="AF528" s="33">
        <f>L528*(1+Scenario!$B$3)</f>
        <v>502.06699999999995</v>
      </c>
      <c r="AG528" s="6">
        <f>R528*(1+Scenario!$B$4)</f>
        <v>22.8</v>
      </c>
      <c r="AH528" s="33">
        <f t="shared" si="159"/>
        <v>10691.597616000001</v>
      </c>
      <c r="AI528" s="33">
        <f t="shared" si="160"/>
        <v>11447.1276</v>
      </c>
      <c r="AJ528" s="33">
        <f t="shared" si="161"/>
        <v>-755.52998399999888</v>
      </c>
    </row>
    <row r="529" spans="1:36" x14ac:dyDescent="0.25">
      <c r="A529" s="12" t="s">
        <v>405</v>
      </c>
      <c r="B529" s="27">
        <v>45514</v>
      </c>
      <c r="C529" s="4">
        <v>45542</v>
      </c>
      <c r="D529" s="12" t="s">
        <v>649</v>
      </c>
      <c r="E529" s="12" t="s">
        <v>657</v>
      </c>
      <c r="F529" s="12" t="s">
        <v>673</v>
      </c>
      <c r="G529" s="12" t="s">
        <v>703</v>
      </c>
      <c r="H529" s="12" t="s">
        <v>711</v>
      </c>
      <c r="I529" s="12" t="s">
        <v>721</v>
      </c>
      <c r="J529" s="12" t="s">
        <v>728</v>
      </c>
      <c r="K529" s="12" t="s">
        <v>1124</v>
      </c>
      <c r="L529" s="6">
        <v>229.96</v>
      </c>
      <c r="M529" s="6">
        <v>564.26</v>
      </c>
      <c r="N529" s="6">
        <f t="shared" si="144"/>
        <v>564.26</v>
      </c>
      <c r="O529" s="6" t="str">
        <f t="shared" si="158"/>
        <v>Middle</v>
      </c>
      <c r="P529" s="6">
        <v>0.105</v>
      </c>
      <c r="Q529" s="6">
        <f t="shared" si="145"/>
        <v>0.105</v>
      </c>
      <c r="R529" s="6">
        <v>5</v>
      </c>
      <c r="S529" s="6" t="str">
        <f t="shared" si="146"/>
        <v>OK</v>
      </c>
      <c r="T529" s="4">
        <f t="shared" si="147"/>
        <v>45542</v>
      </c>
      <c r="U529" s="11">
        <f t="shared" si="148"/>
        <v>28</v>
      </c>
      <c r="V529" s="6">
        <f t="shared" si="149"/>
        <v>2525.0635000000002</v>
      </c>
      <c r="W529" s="6">
        <f t="shared" si="150"/>
        <v>1149.8</v>
      </c>
      <c r="X529" s="6">
        <f t="shared" si="151"/>
        <v>1375.2635000000002</v>
      </c>
      <c r="Y529" s="6">
        <f t="shared" si="152"/>
        <v>0.54464511486542821</v>
      </c>
      <c r="Z529" s="4" t="str">
        <f t="shared" si="153"/>
        <v>Q3-2024</v>
      </c>
      <c r="AA529" t="str">
        <f t="shared" si="154"/>
        <v>Printers</v>
      </c>
      <c r="AB529" t="str">
        <f t="shared" si="155"/>
        <v>Printers</v>
      </c>
      <c r="AC529" t="str">
        <f t="shared" si="156"/>
        <v>Compliant</v>
      </c>
      <c r="AD529" t="str">
        <f t="shared" si="157"/>
        <v>Late</v>
      </c>
      <c r="AE529" s="8">
        <f>MIN(Q529,Scenario!$B$2)</f>
        <v>0.105</v>
      </c>
      <c r="AF529" s="33">
        <f>L529*(1+Scenario!$B$3)</f>
        <v>264.45400000000001</v>
      </c>
      <c r="AG529" s="6">
        <f>R529*(1+Scenario!$B$4)</f>
        <v>6</v>
      </c>
      <c r="AH529" s="33">
        <f t="shared" si="159"/>
        <v>3030.0762</v>
      </c>
      <c r="AI529" s="33">
        <f t="shared" si="160"/>
        <v>1586.7240000000002</v>
      </c>
      <c r="AJ529" s="33">
        <f t="shared" si="161"/>
        <v>1443.3521999999998</v>
      </c>
    </row>
    <row r="530" spans="1:36" x14ac:dyDescent="0.25">
      <c r="A530" s="12" t="s">
        <v>505</v>
      </c>
      <c r="B530" s="27">
        <v>45523</v>
      </c>
      <c r="C530" s="4">
        <v>45542</v>
      </c>
      <c r="D530" s="12" t="s">
        <v>649</v>
      </c>
      <c r="E530" s="12" t="s">
        <v>657</v>
      </c>
      <c r="F530" s="12" t="s">
        <v>679</v>
      </c>
      <c r="G530" s="12" t="s">
        <v>701</v>
      </c>
      <c r="H530" s="12" t="s">
        <v>711</v>
      </c>
      <c r="I530" s="12" t="s">
        <v>713</v>
      </c>
      <c r="J530" s="12" t="s">
        <v>727</v>
      </c>
      <c r="K530" s="12" t="s">
        <v>1224</v>
      </c>
      <c r="L530" s="6">
        <v>297.58999999999997</v>
      </c>
      <c r="M530" s="6">
        <v>666.41</v>
      </c>
      <c r="N530" s="6">
        <f t="shared" si="144"/>
        <v>666.41</v>
      </c>
      <c r="O530" s="6" t="str">
        <f t="shared" si="158"/>
        <v>Middle</v>
      </c>
      <c r="P530" s="6">
        <v>0</v>
      </c>
      <c r="Q530" s="6">
        <f t="shared" si="145"/>
        <v>0</v>
      </c>
      <c r="R530" s="6">
        <v>10</v>
      </c>
      <c r="S530" s="6" t="str">
        <f t="shared" si="146"/>
        <v>OK</v>
      </c>
      <c r="T530" s="4">
        <f t="shared" si="147"/>
        <v>45542</v>
      </c>
      <c r="U530" s="11">
        <f t="shared" si="148"/>
        <v>19</v>
      </c>
      <c r="V530" s="6">
        <f t="shared" si="149"/>
        <v>6664.0999999999995</v>
      </c>
      <c r="W530" s="6">
        <f t="shared" si="150"/>
        <v>2975.8999999999996</v>
      </c>
      <c r="X530" s="6">
        <f t="shared" si="151"/>
        <v>3688.2</v>
      </c>
      <c r="Y530" s="6">
        <f t="shared" si="152"/>
        <v>0.55344307558409989</v>
      </c>
      <c r="Z530" s="4" t="str">
        <f t="shared" si="153"/>
        <v>Q3-2024</v>
      </c>
      <c r="AA530" t="str">
        <f t="shared" si="154"/>
        <v>Components</v>
      </c>
      <c r="AB530" t="str">
        <f t="shared" si="155"/>
        <v>Components</v>
      </c>
      <c r="AC530" t="str">
        <f t="shared" si="156"/>
        <v>Compliant</v>
      </c>
      <c r="AD530" t="str">
        <f t="shared" si="157"/>
        <v>Late</v>
      </c>
      <c r="AE530" s="8">
        <f>MIN(Q530,Scenario!$B$2)</f>
        <v>0</v>
      </c>
      <c r="AF530" s="33">
        <f>L530*(1+Scenario!$B$3)</f>
        <v>342.22849999999994</v>
      </c>
      <c r="AG530" s="6">
        <f>R530*(1+Scenario!$B$4)</f>
        <v>12</v>
      </c>
      <c r="AH530" s="33">
        <f t="shared" si="159"/>
        <v>7996.92</v>
      </c>
      <c r="AI530" s="33">
        <f t="shared" si="160"/>
        <v>4106.7419999999993</v>
      </c>
      <c r="AJ530" s="33">
        <f t="shared" si="161"/>
        <v>3890.1780000000008</v>
      </c>
    </row>
    <row r="531" spans="1:36" hidden="1" x14ac:dyDescent="0.25">
      <c r="A531" s="12" t="s">
        <v>509</v>
      </c>
      <c r="B531" s="27">
        <v>45508</v>
      </c>
      <c r="C531" s="4">
        <v>45521</v>
      </c>
      <c r="D531" s="12" t="s">
        <v>648</v>
      </c>
      <c r="E531" s="12" t="s">
        <v>660</v>
      </c>
      <c r="F531" s="12" t="s">
        <v>697</v>
      </c>
      <c r="G531" s="12" t="s">
        <v>704</v>
      </c>
      <c r="H531" s="12" t="s">
        <v>707</v>
      </c>
      <c r="I531" s="12" t="s">
        <v>726</v>
      </c>
      <c r="J531" s="12" t="s">
        <v>732</v>
      </c>
      <c r="K531" s="12" t="s">
        <v>1228</v>
      </c>
      <c r="L531" s="6">
        <v>352.79</v>
      </c>
      <c r="M531" s="6">
        <v>754.22</v>
      </c>
      <c r="N531" s="6">
        <f t="shared" si="144"/>
        <v>754.22</v>
      </c>
      <c r="O531" s="6" t="str">
        <f t="shared" si="158"/>
        <v>Middle</v>
      </c>
      <c r="P531" s="6">
        <v>0.113</v>
      </c>
      <c r="Q531" s="6">
        <f t="shared" si="145"/>
        <v>0.113</v>
      </c>
      <c r="R531" s="6">
        <v>7</v>
      </c>
      <c r="S531" s="6" t="str">
        <f t="shared" si="146"/>
        <v>OK</v>
      </c>
      <c r="T531" s="4">
        <f t="shared" si="147"/>
        <v>45521</v>
      </c>
      <c r="U531" s="11">
        <f t="shared" si="148"/>
        <v>13</v>
      </c>
      <c r="V531" s="6">
        <f t="shared" si="149"/>
        <v>4682.9519799999998</v>
      </c>
      <c r="W531" s="6">
        <f t="shared" si="150"/>
        <v>2469.5300000000002</v>
      </c>
      <c r="X531" s="6">
        <f t="shared" si="151"/>
        <v>2213.4219799999996</v>
      </c>
      <c r="Y531" s="6">
        <f t="shared" si="152"/>
        <v>0.47265528014233443</v>
      </c>
      <c r="Z531" s="4" t="str">
        <f t="shared" si="153"/>
        <v>Q3-2024</v>
      </c>
      <c r="AA531" t="str">
        <f t="shared" si="154"/>
        <v>Monitors</v>
      </c>
      <c r="AB531" t="str">
        <f t="shared" si="155"/>
        <v>Monitors</v>
      </c>
      <c r="AC531" t="str">
        <f t="shared" si="156"/>
        <v>Compliant</v>
      </c>
      <c r="AD531" t="str">
        <f t="shared" si="157"/>
        <v>Late</v>
      </c>
      <c r="AE531" s="8">
        <f>MIN(Q531,Scenario!$B$2)</f>
        <v>0.113</v>
      </c>
      <c r="AF531" s="33">
        <f>L531*(1+Scenario!$B$3)</f>
        <v>405.70850000000002</v>
      </c>
      <c r="AG531" s="6">
        <f>R531*(1+Scenario!$B$4)</f>
        <v>8.4</v>
      </c>
      <c r="AH531" s="33">
        <f t="shared" si="159"/>
        <v>5619.5423760000003</v>
      </c>
      <c r="AI531" s="33">
        <f t="shared" si="160"/>
        <v>3407.9514000000004</v>
      </c>
      <c r="AJ531" s="33">
        <f t="shared" si="161"/>
        <v>2211.590976</v>
      </c>
    </row>
    <row r="532" spans="1:36" hidden="1" x14ac:dyDescent="0.25">
      <c r="A532" s="12" t="s">
        <v>424</v>
      </c>
      <c r="B532" s="27">
        <v>45534</v>
      </c>
      <c r="C532" s="4">
        <v>45540</v>
      </c>
      <c r="D532" s="12" t="s">
        <v>647</v>
      </c>
      <c r="E532" s="12" t="s">
        <v>652</v>
      </c>
      <c r="F532" s="12" t="s">
        <v>694</v>
      </c>
      <c r="G532" s="12" t="s">
        <v>702</v>
      </c>
      <c r="H532" s="12" t="s">
        <v>708</v>
      </c>
      <c r="I532" s="12" t="s">
        <v>725</v>
      </c>
      <c r="J532" s="12" t="s">
        <v>731</v>
      </c>
      <c r="K532" s="12" t="s">
        <v>1143</v>
      </c>
      <c r="L532" s="6">
        <v>466.16</v>
      </c>
      <c r="M532" s="6">
        <v>876.81</v>
      </c>
      <c r="N532" s="6">
        <f t="shared" si="144"/>
        <v>876.81</v>
      </c>
      <c r="O532" s="6" t="str">
        <f t="shared" si="158"/>
        <v>Middle</v>
      </c>
      <c r="P532" s="6">
        <v>0.24099999999999999</v>
      </c>
      <c r="Q532" s="6">
        <f t="shared" si="145"/>
        <v>0.24099999999999999</v>
      </c>
      <c r="R532" s="6">
        <v>8</v>
      </c>
      <c r="S532" s="6" t="str">
        <f t="shared" si="146"/>
        <v>OK</v>
      </c>
      <c r="T532" s="4">
        <f t="shared" si="147"/>
        <v>45540</v>
      </c>
      <c r="U532" s="11">
        <f t="shared" si="148"/>
        <v>6</v>
      </c>
      <c r="V532" s="6">
        <f t="shared" si="149"/>
        <v>5323.9903199999999</v>
      </c>
      <c r="W532" s="6">
        <f t="shared" si="150"/>
        <v>3729.28</v>
      </c>
      <c r="X532" s="6">
        <f t="shared" si="151"/>
        <v>1594.7103199999997</v>
      </c>
      <c r="Y532" s="6">
        <f t="shared" si="152"/>
        <v>0.29953291124691594</v>
      </c>
      <c r="Z532" s="4" t="str">
        <f t="shared" si="153"/>
        <v>Q3-2024</v>
      </c>
      <c r="AA532" t="str">
        <f t="shared" si="154"/>
        <v>Laptops</v>
      </c>
      <c r="AB532" t="str">
        <f t="shared" si="155"/>
        <v>Laptops</v>
      </c>
      <c r="AC532" t="str">
        <f t="shared" si="156"/>
        <v>Non-compliant</v>
      </c>
      <c r="AD532" t="str">
        <f t="shared" si="157"/>
        <v>On-time</v>
      </c>
      <c r="AE532" s="8">
        <f>MIN(Q532,Scenario!$B$2)</f>
        <v>0.2</v>
      </c>
      <c r="AF532" s="33">
        <f>L532*(1+Scenario!$B$3)</f>
        <v>536.08399999999995</v>
      </c>
      <c r="AG532" s="6">
        <f>R532*(1+Scenario!$B$4)</f>
        <v>9.6</v>
      </c>
      <c r="AH532" s="33">
        <f t="shared" si="159"/>
        <v>6733.9007999999994</v>
      </c>
      <c r="AI532" s="33">
        <f t="shared" si="160"/>
        <v>5146.4063999999989</v>
      </c>
      <c r="AJ532" s="33">
        <f t="shared" si="161"/>
        <v>1587.4944000000005</v>
      </c>
    </row>
    <row r="533" spans="1:36" hidden="1" x14ac:dyDescent="0.25">
      <c r="A533" s="12" t="s">
        <v>206</v>
      </c>
      <c r="B533" s="27">
        <v>45516</v>
      </c>
      <c r="C533" s="4">
        <v>45538</v>
      </c>
      <c r="D533" s="12" t="s">
        <v>648</v>
      </c>
      <c r="E533" s="12" t="s">
        <v>660</v>
      </c>
      <c r="F533" s="12" t="s">
        <v>697</v>
      </c>
      <c r="G533" s="12" t="s">
        <v>704</v>
      </c>
      <c r="H533" s="12" t="s">
        <v>710</v>
      </c>
      <c r="I533" s="12" t="s">
        <v>714</v>
      </c>
      <c r="J533" s="12" t="s">
        <v>731</v>
      </c>
      <c r="K533" s="12" t="s">
        <v>926</v>
      </c>
      <c r="L533" s="6">
        <v>797.8</v>
      </c>
      <c r="M533" s="6">
        <v>886.22</v>
      </c>
      <c r="N533" s="6">
        <f t="shared" si="144"/>
        <v>886.22</v>
      </c>
      <c r="O533" s="6" t="str">
        <f t="shared" si="158"/>
        <v>Middle</v>
      </c>
      <c r="P533" s="6">
        <v>0.23599999999999999</v>
      </c>
      <c r="Q533" s="6">
        <f t="shared" si="145"/>
        <v>0.23599999999999999</v>
      </c>
      <c r="R533" s="6">
        <v>36</v>
      </c>
      <c r="S533" s="6" t="str">
        <f t="shared" si="146"/>
        <v>OK</v>
      </c>
      <c r="T533" s="4">
        <f t="shared" si="147"/>
        <v>45538</v>
      </c>
      <c r="U533" s="11">
        <f t="shared" si="148"/>
        <v>22</v>
      </c>
      <c r="V533" s="6">
        <f t="shared" si="149"/>
        <v>24374.594880000001</v>
      </c>
      <c r="W533" s="6">
        <f t="shared" si="150"/>
        <v>28720.799999999999</v>
      </c>
      <c r="X533" s="6">
        <f t="shared" si="151"/>
        <v>-4346.2051199999987</v>
      </c>
      <c r="Y533" s="6">
        <f t="shared" si="152"/>
        <v>-0.17830881462428633</v>
      </c>
      <c r="Z533" s="4" t="str">
        <f t="shared" si="153"/>
        <v>Q3-2024</v>
      </c>
      <c r="AA533" t="str">
        <f t="shared" si="154"/>
        <v>Laptops</v>
      </c>
      <c r="AB533" t="str">
        <f t="shared" si="155"/>
        <v>Laptops</v>
      </c>
      <c r="AC533" t="str">
        <f t="shared" si="156"/>
        <v>Non-compliant</v>
      </c>
      <c r="AD533" t="str">
        <f t="shared" si="157"/>
        <v>Late</v>
      </c>
      <c r="AE533" s="8">
        <f>MIN(Q533,Scenario!$B$2)</f>
        <v>0.2</v>
      </c>
      <c r="AF533" s="33">
        <f>L533*(1+Scenario!$B$3)</f>
        <v>917.46999999999991</v>
      </c>
      <c r="AG533" s="6">
        <f>R533*(1+Scenario!$B$4)</f>
        <v>43.199999999999996</v>
      </c>
      <c r="AH533" s="33">
        <f t="shared" si="159"/>
        <v>30627.763200000001</v>
      </c>
      <c r="AI533" s="33">
        <f t="shared" si="160"/>
        <v>39634.703999999991</v>
      </c>
      <c r="AJ533" s="33">
        <f t="shared" si="161"/>
        <v>-9006.9407999999894</v>
      </c>
    </row>
    <row r="534" spans="1:36" hidden="1" x14ac:dyDescent="0.25">
      <c r="A534" s="12" t="s">
        <v>598</v>
      </c>
      <c r="B534" s="27">
        <v>45507</v>
      </c>
      <c r="C534" s="4">
        <v>45513</v>
      </c>
      <c r="D534" s="12" t="s">
        <v>646</v>
      </c>
      <c r="E534" s="12" t="s">
        <v>650</v>
      </c>
      <c r="F534" s="12" t="s">
        <v>675</v>
      </c>
      <c r="G534" s="12" t="s">
        <v>704</v>
      </c>
      <c r="H534" s="12" t="s">
        <v>709</v>
      </c>
      <c r="I534" s="12" t="s">
        <v>722</v>
      </c>
      <c r="J534" s="12" t="s">
        <v>731</v>
      </c>
      <c r="K534" s="12" t="s">
        <v>1316</v>
      </c>
      <c r="L534" s="6">
        <v>643.21</v>
      </c>
      <c r="M534" s="6">
        <v>1112.81</v>
      </c>
      <c r="N534" s="6">
        <f t="shared" si="144"/>
        <v>1112.81</v>
      </c>
      <c r="O534" s="6" t="str">
        <f t="shared" si="158"/>
        <v>Middle</v>
      </c>
      <c r="P534" s="6">
        <v>0.14099999999999999</v>
      </c>
      <c r="Q534" s="6">
        <f t="shared" si="145"/>
        <v>0.14099999999999999</v>
      </c>
      <c r="R534" s="6">
        <v>4</v>
      </c>
      <c r="S534" s="6" t="str">
        <f t="shared" si="146"/>
        <v>OK</v>
      </c>
      <c r="T534" s="4">
        <f t="shared" si="147"/>
        <v>45513</v>
      </c>
      <c r="U534" s="11">
        <f t="shared" si="148"/>
        <v>6</v>
      </c>
      <c r="V534" s="6">
        <f t="shared" si="149"/>
        <v>3823.6151599999998</v>
      </c>
      <c r="W534" s="6">
        <f t="shared" si="150"/>
        <v>2572.84</v>
      </c>
      <c r="X534" s="6">
        <f t="shared" si="151"/>
        <v>1250.7751599999997</v>
      </c>
      <c r="Y534" s="6">
        <f t="shared" si="152"/>
        <v>0.32711847496702562</v>
      </c>
      <c r="Z534" s="4" t="str">
        <f t="shared" si="153"/>
        <v>Q3-2024</v>
      </c>
      <c r="AA534" t="str">
        <f t="shared" si="154"/>
        <v>Laptops</v>
      </c>
      <c r="AB534" t="str">
        <f t="shared" si="155"/>
        <v>Laptops</v>
      </c>
      <c r="AC534" t="str">
        <f t="shared" si="156"/>
        <v>Compliant</v>
      </c>
      <c r="AD534" t="str">
        <f t="shared" si="157"/>
        <v>On-time</v>
      </c>
      <c r="AE534" s="8">
        <f>MIN(Q534,Scenario!$B$2)</f>
        <v>0.14099999999999999</v>
      </c>
      <c r="AF534" s="33">
        <f>L534*(1+Scenario!$B$3)</f>
        <v>739.69150000000002</v>
      </c>
      <c r="AG534" s="6">
        <f>R534*(1+Scenario!$B$4)</f>
        <v>4.8</v>
      </c>
      <c r="AH534" s="33">
        <f t="shared" si="159"/>
        <v>4588.3381919999993</v>
      </c>
      <c r="AI534" s="33">
        <f t="shared" si="160"/>
        <v>3550.5192000000002</v>
      </c>
      <c r="AJ534" s="33">
        <f t="shared" si="161"/>
        <v>1037.8189919999991</v>
      </c>
    </row>
    <row r="535" spans="1:36" hidden="1" x14ac:dyDescent="0.25">
      <c r="A535" s="12" t="s">
        <v>415</v>
      </c>
      <c r="B535" s="27">
        <v>45516</v>
      </c>
      <c r="C535" s="4">
        <v>45519</v>
      </c>
      <c r="D535" s="12" t="s">
        <v>648</v>
      </c>
      <c r="E535" s="12" t="s">
        <v>660</v>
      </c>
      <c r="F535" s="12" t="s">
        <v>677</v>
      </c>
      <c r="G535" s="12" t="s">
        <v>701</v>
      </c>
      <c r="H535" s="12" t="s">
        <v>709</v>
      </c>
      <c r="I535" s="12" t="s">
        <v>726</v>
      </c>
      <c r="J535" s="12" t="s">
        <v>728</v>
      </c>
      <c r="K535" s="12" t="s">
        <v>1134</v>
      </c>
      <c r="L535" s="6">
        <v>850.7</v>
      </c>
      <c r="M535" s="6">
        <v>1118.56</v>
      </c>
      <c r="N535" s="6">
        <f t="shared" si="144"/>
        <v>1118.56</v>
      </c>
      <c r="O535" s="6" t="str">
        <f t="shared" si="158"/>
        <v>Middle</v>
      </c>
      <c r="P535" s="6">
        <v>0.18</v>
      </c>
      <c r="Q535" s="6">
        <f t="shared" si="145"/>
        <v>0.18</v>
      </c>
      <c r="R535" s="6">
        <v>19</v>
      </c>
      <c r="S535" s="6" t="str">
        <f t="shared" si="146"/>
        <v>OK</v>
      </c>
      <c r="T535" s="4">
        <f t="shared" si="147"/>
        <v>45519</v>
      </c>
      <c r="U535" s="11">
        <f t="shared" si="148"/>
        <v>3</v>
      </c>
      <c r="V535" s="6">
        <f t="shared" si="149"/>
        <v>17427.164800000002</v>
      </c>
      <c r="W535" s="6">
        <f t="shared" si="150"/>
        <v>16163.300000000001</v>
      </c>
      <c r="X535" s="6">
        <f t="shared" si="151"/>
        <v>1263.8648000000012</v>
      </c>
      <c r="Y535" s="6">
        <f t="shared" si="152"/>
        <v>7.2522685962090688E-2</v>
      </c>
      <c r="Z535" s="4" t="str">
        <f t="shared" si="153"/>
        <v>Q3-2024</v>
      </c>
      <c r="AA535" t="str">
        <f t="shared" si="154"/>
        <v>Printers</v>
      </c>
      <c r="AB535" t="str">
        <f t="shared" si="155"/>
        <v>Printers</v>
      </c>
      <c r="AC535" t="str">
        <f t="shared" si="156"/>
        <v>Compliant</v>
      </c>
      <c r="AD535" t="str">
        <f t="shared" si="157"/>
        <v>On-time</v>
      </c>
      <c r="AE535" s="8">
        <f>MIN(Q535,Scenario!$B$2)</f>
        <v>0.18</v>
      </c>
      <c r="AF535" s="33">
        <f>L535*(1+Scenario!$B$3)</f>
        <v>978.30499999999995</v>
      </c>
      <c r="AG535" s="6">
        <f>R535*(1+Scenario!$B$4)</f>
        <v>22.8</v>
      </c>
      <c r="AH535" s="33">
        <f t="shared" si="159"/>
        <v>20912.597760000001</v>
      </c>
      <c r="AI535" s="33">
        <f t="shared" si="160"/>
        <v>22305.353999999999</v>
      </c>
      <c r="AJ535" s="33">
        <f t="shared" si="161"/>
        <v>-1392.7562399999988</v>
      </c>
    </row>
    <row r="536" spans="1:36" hidden="1" x14ac:dyDescent="0.25">
      <c r="A536" s="12" t="s">
        <v>615</v>
      </c>
      <c r="B536" s="27">
        <v>45523</v>
      </c>
      <c r="C536" s="4">
        <v>45537</v>
      </c>
      <c r="D536" s="12" t="s">
        <v>648</v>
      </c>
      <c r="E536" s="12" t="s">
        <v>653</v>
      </c>
      <c r="F536" s="12" t="s">
        <v>667</v>
      </c>
      <c r="G536" s="12" t="s">
        <v>704</v>
      </c>
      <c r="H536" s="12" t="s">
        <v>710</v>
      </c>
      <c r="I536" s="12" t="s">
        <v>712</v>
      </c>
      <c r="J536" s="12" t="s">
        <v>728</v>
      </c>
      <c r="K536" s="12" t="s">
        <v>1333</v>
      </c>
      <c r="L536" s="6">
        <v>1337.01</v>
      </c>
      <c r="M536" s="6">
        <v>1269.78</v>
      </c>
      <c r="N536" s="6">
        <f t="shared" si="144"/>
        <v>1269.78</v>
      </c>
      <c r="O536" s="6" t="str">
        <f t="shared" si="158"/>
        <v>High</v>
      </c>
      <c r="P536" s="6">
        <v>0.16</v>
      </c>
      <c r="Q536" s="6">
        <f t="shared" si="145"/>
        <v>0.16</v>
      </c>
      <c r="R536" s="6">
        <v>7</v>
      </c>
      <c r="S536" s="6" t="str">
        <f t="shared" si="146"/>
        <v>OK</v>
      </c>
      <c r="T536" s="4">
        <f t="shared" si="147"/>
        <v>45537</v>
      </c>
      <c r="U536" s="11">
        <f t="shared" si="148"/>
        <v>14</v>
      </c>
      <c r="V536" s="6">
        <f t="shared" si="149"/>
        <v>7466.3063999999986</v>
      </c>
      <c r="W536" s="6">
        <f t="shared" si="150"/>
        <v>9359.07</v>
      </c>
      <c r="X536" s="6">
        <f t="shared" si="151"/>
        <v>-1892.7636000000011</v>
      </c>
      <c r="Y536" s="6">
        <f t="shared" si="152"/>
        <v>-0.25350735672996244</v>
      </c>
      <c r="Z536" s="4" t="str">
        <f t="shared" si="153"/>
        <v>Q3-2024</v>
      </c>
      <c r="AA536" t="str">
        <f t="shared" si="154"/>
        <v>Printers</v>
      </c>
      <c r="AB536" t="str">
        <f t="shared" si="155"/>
        <v>Printers</v>
      </c>
      <c r="AC536" t="str">
        <f t="shared" si="156"/>
        <v>Compliant</v>
      </c>
      <c r="AD536" t="str">
        <f t="shared" si="157"/>
        <v>Late</v>
      </c>
      <c r="AE536" s="8">
        <f>MIN(Q536,Scenario!$B$2)</f>
        <v>0.16</v>
      </c>
      <c r="AF536" s="33">
        <f>L536*(1+Scenario!$B$3)</f>
        <v>1537.5614999999998</v>
      </c>
      <c r="AG536" s="6">
        <f>R536*(1+Scenario!$B$4)</f>
        <v>8.4</v>
      </c>
      <c r="AH536" s="33">
        <f t="shared" si="159"/>
        <v>8959.5676800000001</v>
      </c>
      <c r="AI536" s="33">
        <f t="shared" si="160"/>
        <v>12915.516599999999</v>
      </c>
      <c r="AJ536" s="33">
        <f t="shared" si="161"/>
        <v>-3955.9489199999989</v>
      </c>
    </row>
    <row r="537" spans="1:36" x14ac:dyDescent="0.25">
      <c r="A537" s="12" t="s">
        <v>55</v>
      </c>
      <c r="B537" s="27">
        <v>45531</v>
      </c>
      <c r="C537" s="4">
        <v>45554</v>
      </c>
      <c r="D537" s="12" t="s">
        <v>649</v>
      </c>
      <c r="E537" s="12" t="s">
        <v>656</v>
      </c>
      <c r="F537" s="12" t="s">
        <v>671</v>
      </c>
      <c r="G537" s="12" t="s">
        <v>705</v>
      </c>
      <c r="H537" s="12" t="s">
        <v>711</v>
      </c>
      <c r="I537" s="12" t="s">
        <v>726</v>
      </c>
      <c r="J537" s="12" t="s">
        <v>732</v>
      </c>
      <c r="K537" s="12" t="s">
        <v>774</v>
      </c>
      <c r="L537" s="6">
        <v>1024.01</v>
      </c>
      <c r="M537" s="6">
        <v>1580.97</v>
      </c>
      <c r="N537" s="6">
        <f t="shared" si="144"/>
        <v>1580.97</v>
      </c>
      <c r="O537" s="6" t="str">
        <f t="shared" si="158"/>
        <v>High</v>
      </c>
      <c r="P537" s="6">
        <v>3.6999999999999998E-2</v>
      </c>
      <c r="Q537" s="6">
        <f t="shared" si="145"/>
        <v>3.6999999999999998E-2</v>
      </c>
      <c r="R537" s="6">
        <v>27</v>
      </c>
      <c r="S537" s="6" t="str">
        <f t="shared" si="146"/>
        <v>OK</v>
      </c>
      <c r="T537" s="4">
        <f t="shared" si="147"/>
        <v>45554</v>
      </c>
      <c r="U537" s="11">
        <f t="shared" si="148"/>
        <v>23</v>
      </c>
      <c r="V537" s="6">
        <f t="shared" si="149"/>
        <v>41106.800970000004</v>
      </c>
      <c r="W537" s="6">
        <f t="shared" si="150"/>
        <v>27648.27</v>
      </c>
      <c r="X537" s="6">
        <f t="shared" si="151"/>
        <v>13458.530970000003</v>
      </c>
      <c r="Y537" s="6">
        <f t="shared" si="152"/>
        <v>0.3274039976942531</v>
      </c>
      <c r="Z537" s="4" t="str">
        <f t="shared" si="153"/>
        <v>Q3-2024</v>
      </c>
      <c r="AA537" t="str">
        <f t="shared" si="154"/>
        <v>Monitors</v>
      </c>
      <c r="AB537" t="str">
        <f t="shared" si="155"/>
        <v>Monitors</v>
      </c>
      <c r="AC537" t="str">
        <f t="shared" si="156"/>
        <v>Compliant</v>
      </c>
      <c r="AD537" t="str">
        <f t="shared" si="157"/>
        <v>Late</v>
      </c>
      <c r="AE537" s="8">
        <f>MIN(Q537,Scenario!$B$2)</f>
        <v>3.6999999999999998E-2</v>
      </c>
      <c r="AF537" s="33">
        <f>L537*(1+Scenario!$B$3)</f>
        <v>1177.6115</v>
      </c>
      <c r="AG537" s="6">
        <f>R537*(1+Scenario!$B$4)</f>
        <v>32.4</v>
      </c>
      <c r="AH537" s="33">
        <f t="shared" si="159"/>
        <v>49328.161163999997</v>
      </c>
      <c r="AI537" s="33">
        <f t="shared" si="160"/>
        <v>38154.6126</v>
      </c>
      <c r="AJ537" s="33">
        <f t="shared" si="161"/>
        <v>11173.548563999997</v>
      </c>
    </row>
    <row r="538" spans="1:36" hidden="1" x14ac:dyDescent="0.25">
      <c r="A538" s="12" t="s">
        <v>441</v>
      </c>
      <c r="B538" s="27">
        <v>45522</v>
      </c>
      <c r="C538" s="4">
        <v>45547</v>
      </c>
      <c r="D538" s="12" t="s">
        <v>647</v>
      </c>
      <c r="E538" s="12" t="s">
        <v>654</v>
      </c>
      <c r="F538" s="12" t="s">
        <v>691</v>
      </c>
      <c r="G538" s="12" t="s">
        <v>704</v>
      </c>
      <c r="H538" s="12" t="s">
        <v>709</v>
      </c>
      <c r="I538" s="12" t="s">
        <v>712</v>
      </c>
      <c r="J538" s="12" t="s">
        <v>730</v>
      </c>
      <c r="K538" s="12" t="s">
        <v>1160</v>
      </c>
      <c r="L538" s="6">
        <v>1154.03</v>
      </c>
      <c r="M538" s="6">
        <v>1590.36</v>
      </c>
      <c r="N538" s="6">
        <f t="shared" si="144"/>
        <v>1590.36</v>
      </c>
      <c r="O538" s="6" t="str">
        <f t="shared" si="158"/>
        <v>High</v>
      </c>
      <c r="P538" s="6">
        <v>0.314</v>
      </c>
      <c r="Q538" s="6">
        <f t="shared" si="145"/>
        <v>0.3</v>
      </c>
      <c r="R538" s="6">
        <v>18</v>
      </c>
      <c r="S538" s="6" t="str">
        <f t="shared" si="146"/>
        <v>OK</v>
      </c>
      <c r="T538" s="4">
        <f t="shared" si="147"/>
        <v>45547</v>
      </c>
      <c r="U538" s="11">
        <f t="shared" si="148"/>
        <v>25</v>
      </c>
      <c r="V538" s="6">
        <f t="shared" si="149"/>
        <v>20038.536</v>
      </c>
      <c r="W538" s="6">
        <f t="shared" si="150"/>
        <v>20772.54</v>
      </c>
      <c r="X538" s="6">
        <f t="shared" si="151"/>
        <v>-734.00400000000081</v>
      </c>
      <c r="Y538" s="6">
        <f t="shared" si="152"/>
        <v>-3.6629622044245191E-2</v>
      </c>
      <c r="Z538" s="4" t="str">
        <f t="shared" si="153"/>
        <v>Q3-2024</v>
      </c>
      <c r="AA538" t="str">
        <f t="shared" si="154"/>
        <v>Phones</v>
      </c>
      <c r="AB538" t="str">
        <f t="shared" si="155"/>
        <v>Phones</v>
      </c>
      <c r="AC538" t="str">
        <f t="shared" si="156"/>
        <v>Non-compliant</v>
      </c>
      <c r="AD538" t="str">
        <f t="shared" si="157"/>
        <v>Late</v>
      </c>
      <c r="AE538" s="8">
        <f>MIN(Q538,Scenario!$B$2)</f>
        <v>0.2</v>
      </c>
      <c r="AF538" s="33">
        <f>L538*(1+Scenario!$B$3)</f>
        <v>1327.1344999999999</v>
      </c>
      <c r="AG538" s="6">
        <f>R538*(1+Scenario!$B$4)</f>
        <v>21.599999999999998</v>
      </c>
      <c r="AH538" s="33">
        <f t="shared" si="159"/>
        <v>27481.4208</v>
      </c>
      <c r="AI538" s="33">
        <f t="shared" si="160"/>
        <v>28666.105199999995</v>
      </c>
      <c r="AJ538" s="33">
        <f t="shared" si="161"/>
        <v>-1184.6843999999946</v>
      </c>
    </row>
    <row r="539" spans="1:36" hidden="1" x14ac:dyDescent="0.25">
      <c r="A539" s="12" t="s">
        <v>172</v>
      </c>
      <c r="B539" s="27">
        <v>45531</v>
      </c>
      <c r="C539" s="4">
        <v>45553</v>
      </c>
      <c r="D539" s="12" t="s">
        <v>647</v>
      </c>
      <c r="E539" s="12" t="s">
        <v>654</v>
      </c>
      <c r="F539" s="12" t="s">
        <v>680</v>
      </c>
      <c r="G539" s="12" t="s">
        <v>704</v>
      </c>
      <c r="H539" s="12" t="s">
        <v>711</v>
      </c>
      <c r="I539" s="12" t="s">
        <v>717</v>
      </c>
      <c r="J539" s="12" t="s">
        <v>727</v>
      </c>
      <c r="K539" s="12" t="s">
        <v>891</v>
      </c>
      <c r="L539" s="6">
        <v>896.75</v>
      </c>
      <c r="M539" s="6">
        <v>1651.14</v>
      </c>
      <c r="N539" s="6">
        <f t="shared" si="144"/>
        <v>1651.14</v>
      </c>
      <c r="O539" s="6" t="str">
        <f t="shared" si="158"/>
        <v>High</v>
      </c>
      <c r="P539" s="6">
        <v>2.5000000000000001E-2</v>
      </c>
      <c r="Q539" s="6">
        <f t="shared" si="145"/>
        <v>2.5000000000000001E-2</v>
      </c>
      <c r="R539" s="6">
        <v>15</v>
      </c>
      <c r="S539" s="6" t="str">
        <f t="shared" si="146"/>
        <v>OK</v>
      </c>
      <c r="T539" s="4">
        <f t="shared" si="147"/>
        <v>45553</v>
      </c>
      <c r="U539" s="11">
        <f t="shared" si="148"/>
        <v>22</v>
      </c>
      <c r="V539" s="6">
        <f t="shared" si="149"/>
        <v>24147.922500000001</v>
      </c>
      <c r="W539" s="6">
        <f t="shared" si="150"/>
        <v>13451.25</v>
      </c>
      <c r="X539" s="6">
        <f t="shared" si="151"/>
        <v>10696.672500000001</v>
      </c>
      <c r="Y539" s="6">
        <f t="shared" si="152"/>
        <v>0.44296450346815552</v>
      </c>
      <c r="Z539" s="4" t="str">
        <f t="shared" si="153"/>
        <v>Q3-2024</v>
      </c>
      <c r="AA539" t="str">
        <f t="shared" si="154"/>
        <v>Components</v>
      </c>
      <c r="AB539" t="str">
        <f t="shared" si="155"/>
        <v>Components</v>
      </c>
      <c r="AC539" t="str">
        <f t="shared" si="156"/>
        <v>Compliant</v>
      </c>
      <c r="AD539" t="str">
        <f t="shared" si="157"/>
        <v>Late</v>
      </c>
      <c r="AE539" s="8">
        <f>MIN(Q539,Scenario!$B$2)</f>
        <v>2.5000000000000001E-2</v>
      </c>
      <c r="AF539" s="33">
        <f>L539*(1+Scenario!$B$3)</f>
        <v>1031.2624999999998</v>
      </c>
      <c r="AG539" s="6">
        <f>R539*(1+Scenario!$B$4)</f>
        <v>18</v>
      </c>
      <c r="AH539" s="33">
        <f t="shared" si="159"/>
        <v>28977.507000000001</v>
      </c>
      <c r="AI539" s="33">
        <f t="shared" si="160"/>
        <v>18562.724999999999</v>
      </c>
      <c r="AJ539" s="33">
        <f t="shared" si="161"/>
        <v>10414.782000000003</v>
      </c>
    </row>
    <row r="540" spans="1:36" hidden="1" x14ac:dyDescent="0.25">
      <c r="A540" s="12" t="s">
        <v>367</v>
      </c>
      <c r="B540" s="27">
        <v>45512</v>
      </c>
      <c r="C540" s="4">
        <v>45524</v>
      </c>
      <c r="D540" s="12" t="s">
        <v>647</v>
      </c>
      <c r="E540" s="12" t="s">
        <v>652</v>
      </c>
      <c r="F540" s="12" t="s">
        <v>666</v>
      </c>
      <c r="G540" s="12" t="s">
        <v>705</v>
      </c>
      <c r="H540" s="12" t="s">
        <v>707</v>
      </c>
      <c r="I540" s="12" t="s">
        <v>722</v>
      </c>
      <c r="J540" s="12" t="s">
        <v>729</v>
      </c>
      <c r="K540" s="12" t="s">
        <v>1087</v>
      </c>
      <c r="L540" s="6">
        <v>1233.3599999999999</v>
      </c>
      <c r="M540" s="6">
        <v>2120.4</v>
      </c>
      <c r="N540" s="6">
        <f t="shared" si="144"/>
        <v>2120.4</v>
      </c>
      <c r="O540" s="6" t="str">
        <f t="shared" si="158"/>
        <v>High</v>
      </c>
      <c r="P540" s="6">
        <v>0.17899999999999999</v>
      </c>
      <c r="Q540" s="6">
        <f t="shared" si="145"/>
        <v>0.17899999999999999</v>
      </c>
      <c r="R540" s="6">
        <v>20</v>
      </c>
      <c r="S540" s="6" t="str">
        <f t="shared" si="146"/>
        <v>OK</v>
      </c>
      <c r="T540" s="4">
        <f t="shared" si="147"/>
        <v>45524</v>
      </c>
      <c r="U540" s="11">
        <f t="shared" si="148"/>
        <v>12</v>
      </c>
      <c r="V540" s="6">
        <f t="shared" si="149"/>
        <v>34816.968000000001</v>
      </c>
      <c r="W540" s="6">
        <f t="shared" si="150"/>
        <v>24667.199999999997</v>
      </c>
      <c r="X540" s="6">
        <f t="shared" si="151"/>
        <v>10149.768000000004</v>
      </c>
      <c r="Y540" s="6">
        <f t="shared" si="152"/>
        <v>0.29151785991244278</v>
      </c>
      <c r="Z540" s="4" t="str">
        <f t="shared" si="153"/>
        <v>Q3-2024</v>
      </c>
      <c r="AA540" t="str">
        <f t="shared" si="154"/>
        <v>Networking</v>
      </c>
      <c r="AB540" t="str">
        <f t="shared" si="155"/>
        <v>Networking</v>
      </c>
      <c r="AC540" t="str">
        <f t="shared" si="156"/>
        <v>Compliant</v>
      </c>
      <c r="AD540" t="str">
        <f t="shared" si="157"/>
        <v>Late</v>
      </c>
      <c r="AE540" s="8">
        <f>MIN(Q540,Scenario!$B$2)</f>
        <v>0.17899999999999999</v>
      </c>
      <c r="AF540" s="33">
        <f>L540*(1+Scenario!$B$3)</f>
        <v>1418.3639999999998</v>
      </c>
      <c r="AG540" s="6">
        <f>R540*(1+Scenario!$B$4)</f>
        <v>24</v>
      </c>
      <c r="AH540" s="33">
        <f t="shared" si="159"/>
        <v>41780.361600000004</v>
      </c>
      <c r="AI540" s="33">
        <f t="shared" si="160"/>
        <v>34040.735999999997</v>
      </c>
      <c r="AJ540" s="33">
        <f t="shared" si="161"/>
        <v>7739.6256000000067</v>
      </c>
    </row>
    <row r="541" spans="1:36" x14ac:dyDescent="0.25">
      <c r="A541" s="12" t="s">
        <v>122</v>
      </c>
      <c r="B541" s="27">
        <v>45518</v>
      </c>
      <c r="C541" s="4">
        <v>45539</v>
      </c>
      <c r="D541" s="12" t="s">
        <v>649</v>
      </c>
      <c r="E541" s="12" t="s">
        <v>658</v>
      </c>
      <c r="F541" s="12" t="s">
        <v>693</v>
      </c>
      <c r="G541" s="12" t="s">
        <v>703</v>
      </c>
      <c r="H541" s="12" t="s">
        <v>708</v>
      </c>
      <c r="I541" s="12" t="s">
        <v>713</v>
      </c>
      <c r="J541" s="12" t="s">
        <v>730</v>
      </c>
      <c r="K541" s="12" t="s">
        <v>841</v>
      </c>
      <c r="L541" s="6">
        <v>1138.8</v>
      </c>
      <c r="M541" s="6">
        <v>2250.81</v>
      </c>
      <c r="N541" s="6">
        <f t="shared" si="144"/>
        <v>2250.81</v>
      </c>
      <c r="O541" s="6" t="str">
        <f t="shared" si="158"/>
        <v>High</v>
      </c>
      <c r="P541" s="6">
        <v>0.123</v>
      </c>
      <c r="Q541" s="6">
        <f t="shared" si="145"/>
        <v>0.123</v>
      </c>
      <c r="R541" s="6">
        <v>12</v>
      </c>
      <c r="S541" s="6" t="str">
        <f t="shared" si="146"/>
        <v>OK</v>
      </c>
      <c r="T541" s="4">
        <f t="shared" si="147"/>
        <v>45539</v>
      </c>
      <c r="U541" s="11">
        <f t="shared" si="148"/>
        <v>21</v>
      </c>
      <c r="V541" s="6">
        <f t="shared" si="149"/>
        <v>23687.524440000001</v>
      </c>
      <c r="W541" s="6">
        <f t="shared" si="150"/>
        <v>13665.599999999999</v>
      </c>
      <c r="X541" s="6">
        <f t="shared" si="151"/>
        <v>10021.924440000003</v>
      </c>
      <c r="Y541" s="6">
        <f t="shared" si="152"/>
        <v>0.42308872188756258</v>
      </c>
      <c r="Z541" s="4" t="str">
        <f t="shared" si="153"/>
        <v>Q3-2024</v>
      </c>
      <c r="AA541" t="str">
        <f t="shared" si="154"/>
        <v>Phones</v>
      </c>
      <c r="AB541" t="str">
        <f t="shared" si="155"/>
        <v>Phones</v>
      </c>
      <c r="AC541" t="str">
        <f t="shared" si="156"/>
        <v>Compliant</v>
      </c>
      <c r="AD541" t="str">
        <f t="shared" si="157"/>
        <v>Late</v>
      </c>
      <c r="AE541" s="8">
        <f>MIN(Q541,Scenario!$B$2)</f>
        <v>0.123</v>
      </c>
      <c r="AF541" s="33">
        <f>L541*(1+Scenario!$B$3)</f>
        <v>1309.6199999999999</v>
      </c>
      <c r="AG541" s="6">
        <f>R541*(1+Scenario!$B$4)</f>
        <v>14.399999999999999</v>
      </c>
      <c r="AH541" s="33">
        <f t="shared" si="159"/>
        <v>28425.029327999997</v>
      </c>
      <c r="AI541" s="33">
        <f t="shared" si="160"/>
        <v>18858.527999999995</v>
      </c>
      <c r="AJ541" s="33">
        <f t="shared" si="161"/>
        <v>9566.5013280000021</v>
      </c>
    </row>
    <row r="542" spans="1:36" hidden="1" x14ac:dyDescent="0.25">
      <c r="A542" s="12" t="s">
        <v>551</v>
      </c>
      <c r="B542" s="27">
        <v>45520</v>
      </c>
      <c r="C542" s="4">
        <v>45530</v>
      </c>
      <c r="D542" s="12" t="s">
        <v>648</v>
      </c>
      <c r="E542" s="12" t="s">
        <v>660</v>
      </c>
      <c r="F542" s="12" t="s">
        <v>677</v>
      </c>
      <c r="G542" s="12" t="s">
        <v>701</v>
      </c>
      <c r="H542" s="12" t="s">
        <v>710</v>
      </c>
      <c r="I542" s="12" t="s">
        <v>716</v>
      </c>
      <c r="J542" s="12" t="s">
        <v>731</v>
      </c>
      <c r="K542" s="12" t="s">
        <v>1121</v>
      </c>
      <c r="L542" s="6">
        <v>1291.7</v>
      </c>
      <c r="M542" s="6">
        <v>2657.84</v>
      </c>
      <c r="N542" s="6">
        <f t="shared" si="144"/>
        <v>2657.84</v>
      </c>
      <c r="O542" s="6" t="str">
        <f t="shared" si="158"/>
        <v>High</v>
      </c>
      <c r="P542" s="6">
        <v>8.6999999999999994E-2</v>
      </c>
      <c r="Q542" s="6">
        <f t="shared" si="145"/>
        <v>8.6999999999999994E-2</v>
      </c>
      <c r="R542" s="6">
        <v>21</v>
      </c>
      <c r="S542" s="6" t="str">
        <f t="shared" si="146"/>
        <v>OK</v>
      </c>
      <c r="T542" s="4">
        <f t="shared" si="147"/>
        <v>45530</v>
      </c>
      <c r="U542" s="11">
        <f t="shared" si="148"/>
        <v>10</v>
      </c>
      <c r="V542" s="6">
        <f t="shared" si="149"/>
        <v>50958.766320000002</v>
      </c>
      <c r="W542" s="6">
        <f t="shared" si="150"/>
        <v>27125.7</v>
      </c>
      <c r="X542" s="6">
        <f t="shared" si="151"/>
        <v>23833.066320000002</v>
      </c>
      <c r="Y542" s="6">
        <f t="shared" si="152"/>
        <v>0.46769315745083367</v>
      </c>
      <c r="Z542" s="4" t="str">
        <f t="shared" si="153"/>
        <v>Q3-2024</v>
      </c>
      <c r="AA542" t="str">
        <f t="shared" si="154"/>
        <v>Laptops</v>
      </c>
      <c r="AB542" t="str">
        <f t="shared" si="155"/>
        <v>Laptops</v>
      </c>
      <c r="AC542" t="str">
        <f t="shared" si="156"/>
        <v>Compliant</v>
      </c>
      <c r="AD542" t="str">
        <f t="shared" si="157"/>
        <v>Late</v>
      </c>
      <c r="AE542" s="8">
        <f>MIN(Q542,Scenario!$B$2)</f>
        <v>8.6999999999999994E-2</v>
      </c>
      <c r="AF542" s="33">
        <f>L542*(1+Scenario!$B$3)</f>
        <v>1485.4549999999999</v>
      </c>
      <c r="AG542" s="6">
        <f>R542*(1+Scenario!$B$4)</f>
        <v>25.2</v>
      </c>
      <c r="AH542" s="33">
        <f t="shared" si="159"/>
        <v>61150.519584000001</v>
      </c>
      <c r="AI542" s="33">
        <f t="shared" si="160"/>
        <v>37433.466</v>
      </c>
      <c r="AJ542" s="33">
        <f t="shared" si="161"/>
        <v>23717.053584000001</v>
      </c>
    </row>
    <row r="543" spans="1:36" hidden="1" x14ac:dyDescent="0.25">
      <c r="A543" s="12" t="s">
        <v>569</v>
      </c>
      <c r="B543" s="27">
        <v>45535</v>
      </c>
      <c r="C543" s="4">
        <v>45561</v>
      </c>
      <c r="D543" s="12" t="s">
        <v>647</v>
      </c>
      <c r="E543" s="12" t="s">
        <v>652</v>
      </c>
      <c r="F543" s="12" t="s">
        <v>689</v>
      </c>
      <c r="G543" s="12" t="s">
        <v>702</v>
      </c>
      <c r="H543" s="12" t="s">
        <v>708</v>
      </c>
      <c r="I543" s="12" t="s">
        <v>714</v>
      </c>
      <c r="J543" s="12" t="s">
        <v>730</v>
      </c>
      <c r="K543" s="12" t="s">
        <v>1287</v>
      </c>
      <c r="L543" s="6">
        <v>1189.03</v>
      </c>
      <c r="M543" s="6">
        <v>2949.62</v>
      </c>
      <c r="N543" s="6">
        <f t="shared" si="144"/>
        <v>2949.62</v>
      </c>
      <c r="O543" s="6" t="str">
        <f t="shared" si="158"/>
        <v>High</v>
      </c>
      <c r="P543" s="6">
        <v>0.125</v>
      </c>
      <c r="Q543" s="6">
        <f t="shared" si="145"/>
        <v>0.125</v>
      </c>
      <c r="R543" s="6">
        <v>13</v>
      </c>
      <c r="S543" s="6" t="str">
        <f t="shared" si="146"/>
        <v>OK</v>
      </c>
      <c r="T543" s="4">
        <f t="shared" si="147"/>
        <v>45561</v>
      </c>
      <c r="U543" s="11">
        <f t="shared" si="148"/>
        <v>26</v>
      </c>
      <c r="V543" s="6">
        <f t="shared" si="149"/>
        <v>33551.927499999998</v>
      </c>
      <c r="W543" s="6">
        <f t="shared" si="150"/>
        <v>15457.39</v>
      </c>
      <c r="X543" s="6">
        <f t="shared" si="151"/>
        <v>18094.537499999999</v>
      </c>
      <c r="Y543" s="6">
        <f t="shared" si="152"/>
        <v>0.53929949330034765</v>
      </c>
      <c r="Z543" s="4" t="str">
        <f t="shared" si="153"/>
        <v>Q3-2024</v>
      </c>
      <c r="AA543" t="str">
        <f t="shared" si="154"/>
        <v>Phones</v>
      </c>
      <c r="AB543" t="str">
        <f t="shared" si="155"/>
        <v>Phones</v>
      </c>
      <c r="AC543" t="str">
        <f t="shared" si="156"/>
        <v>Compliant</v>
      </c>
      <c r="AD543" t="str">
        <f t="shared" si="157"/>
        <v>Late</v>
      </c>
      <c r="AE543" s="8">
        <f>MIN(Q543,Scenario!$B$2)</f>
        <v>0.125</v>
      </c>
      <c r="AF543" s="33">
        <f>L543*(1+Scenario!$B$3)</f>
        <v>1367.3844999999999</v>
      </c>
      <c r="AG543" s="6">
        <f>R543*(1+Scenario!$B$4)</f>
        <v>15.6</v>
      </c>
      <c r="AH543" s="33">
        <f t="shared" si="159"/>
        <v>40262.313000000002</v>
      </c>
      <c r="AI543" s="33">
        <f t="shared" si="160"/>
        <v>21331.198199999999</v>
      </c>
      <c r="AJ543" s="33">
        <f t="shared" si="161"/>
        <v>18931.114800000003</v>
      </c>
    </row>
    <row r="544" spans="1:36" hidden="1" x14ac:dyDescent="0.25">
      <c r="A544" s="12" t="s">
        <v>49</v>
      </c>
      <c r="B544" s="27">
        <v>45527</v>
      </c>
      <c r="C544" s="4">
        <v>45525</v>
      </c>
      <c r="D544" s="12" t="s">
        <v>646</v>
      </c>
      <c r="E544" s="12" t="s">
        <v>661</v>
      </c>
      <c r="F544" s="12" t="s">
        <v>682</v>
      </c>
      <c r="G544" s="12" t="s">
        <v>702</v>
      </c>
      <c r="H544" s="12" t="s">
        <v>707</v>
      </c>
      <c r="I544" s="12" t="s">
        <v>718</v>
      </c>
      <c r="J544" s="12" t="s">
        <v>727</v>
      </c>
      <c r="K544" s="12" t="s">
        <v>768</v>
      </c>
      <c r="L544" s="6">
        <v>1432.52</v>
      </c>
      <c r="M544" s="6">
        <v>3036.87</v>
      </c>
      <c r="N544" s="6">
        <f t="shared" si="144"/>
        <v>3036.87</v>
      </c>
      <c r="O544" s="6" t="str">
        <f t="shared" si="158"/>
        <v>High</v>
      </c>
      <c r="P544" s="6">
        <v>0</v>
      </c>
      <c r="Q544" s="6">
        <f t="shared" si="145"/>
        <v>0</v>
      </c>
      <c r="R544" s="6">
        <v>9</v>
      </c>
      <c r="S544" s="6" t="str">
        <f t="shared" si="146"/>
        <v>Correct</v>
      </c>
      <c r="T544" s="4">
        <f t="shared" si="147"/>
        <v>45534</v>
      </c>
      <c r="U544" s="11">
        <f t="shared" si="148"/>
        <v>7</v>
      </c>
      <c r="V544" s="6">
        <f t="shared" si="149"/>
        <v>27331.829999999998</v>
      </c>
      <c r="W544" s="6">
        <f t="shared" si="150"/>
        <v>12892.68</v>
      </c>
      <c r="X544" s="6">
        <f t="shared" si="151"/>
        <v>14439.149999999998</v>
      </c>
      <c r="Y544" s="6">
        <f t="shared" si="152"/>
        <v>0.52829064135112791</v>
      </c>
      <c r="Z544" s="4" t="str">
        <f t="shared" si="153"/>
        <v>Q3-2024</v>
      </c>
      <c r="AA544" t="str">
        <f t="shared" si="154"/>
        <v>Components</v>
      </c>
      <c r="AB544" t="str">
        <f t="shared" si="155"/>
        <v>Components</v>
      </c>
      <c r="AC544" t="str">
        <f t="shared" si="156"/>
        <v>Compliant</v>
      </c>
      <c r="AD544" t="str">
        <f t="shared" si="157"/>
        <v>On-time</v>
      </c>
      <c r="AE544" s="8">
        <f>MIN(Q544,Scenario!$B$2)</f>
        <v>0</v>
      </c>
      <c r="AF544" s="33">
        <f>L544*(1+Scenario!$B$3)</f>
        <v>1647.3979999999999</v>
      </c>
      <c r="AG544" s="6">
        <f>R544*(1+Scenario!$B$4)</f>
        <v>10.799999999999999</v>
      </c>
      <c r="AH544" s="33">
        <f t="shared" si="159"/>
        <v>32798.195999999996</v>
      </c>
      <c r="AI544" s="33">
        <f t="shared" si="160"/>
        <v>17791.898399999998</v>
      </c>
      <c r="AJ544" s="33">
        <f t="shared" si="161"/>
        <v>15006.297599999998</v>
      </c>
    </row>
    <row r="545" spans="1:36" hidden="1" x14ac:dyDescent="0.25">
      <c r="A545" s="12" t="s">
        <v>91</v>
      </c>
      <c r="B545" s="27">
        <v>45532</v>
      </c>
      <c r="C545" s="4">
        <v>45560</v>
      </c>
      <c r="D545" s="12" t="s">
        <v>648</v>
      </c>
      <c r="E545" s="12" t="s">
        <v>655</v>
      </c>
      <c r="F545" s="12" t="s">
        <v>692</v>
      </c>
      <c r="G545" s="12" t="s">
        <v>703</v>
      </c>
      <c r="H545" s="12" t="s">
        <v>708</v>
      </c>
      <c r="I545" s="14" t="s">
        <v>1368</v>
      </c>
      <c r="J545" s="12" t="s">
        <v>733</v>
      </c>
      <c r="K545" s="12" t="s">
        <v>810</v>
      </c>
      <c r="L545" s="6">
        <v>1394.65</v>
      </c>
      <c r="M545" s="6">
        <v>3144.1</v>
      </c>
      <c r="N545" s="6">
        <f t="shared" si="144"/>
        <v>3144.1</v>
      </c>
      <c r="O545" s="6" t="str">
        <f t="shared" si="158"/>
        <v>High</v>
      </c>
      <c r="P545" s="6">
        <v>0.13400000000000001</v>
      </c>
      <c r="Q545" s="6">
        <f t="shared" si="145"/>
        <v>0.13400000000000001</v>
      </c>
      <c r="R545" s="6">
        <v>13</v>
      </c>
      <c r="S545" s="6" t="str">
        <f t="shared" si="146"/>
        <v>OK</v>
      </c>
      <c r="T545" s="4">
        <f t="shared" si="147"/>
        <v>45560</v>
      </c>
      <c r="U545" s="11">
        <f t="shared" si="148"/>
        <v>28</v>
      </c>
      <c r="V545" s="6">
        <f t="shared" si="149"/>
        <v>35396.277799999996</v>
      </c>
      <c r="W545" s="6">
        <f t="shared" si="150"/>
        <v>18130.45</v>
      </c>
      <c r="X545" s="6">
        <f t="shared" si="151"/>
        <v>17265.827799999995</v>
      </c>
      <c r="Y545" s="6">
        <f t="shared" si="152"/>
        <v>0.4877865378263021</v>
      </c>
      <c r="Z545" s="4" t="str">
        <f t="shared" si="153"/>
        <v>Q3-2024</v>
      </c>
      <c r="AA545" t="str">
        <f t="shared" si="154"/>
        <v>Accessories</v>
      </c>
      <c r="AB545" t="str">
        <f t="shared" si="155"/>
        <v>Accessories</v>
      </c>
      <c r="AC545" t="str">
        <f t="shared" si="156"/>
        <v>Compliant</v>
      </c>
      <c r="AD545" t="str">
        <f t="shared" si="157"/>
        <v>Late</v>
      </c>
      <c r="AE545" s="8">
        <f>MIN(Q545,Scenario!$B$2)</f>
        <v>0.13400000000000001</v>
      </c>
      <c r="AF545" s="33">
        <f>L545*(1+Scenario!$B$3)</f>
        <v>1603.8475000000001</v>
      </c>
      <c r="AG545" s="6">
        <f>R545*(1+Scenario!$B$4)</f>
        <v>15.6</v>
      </c>
      <c r="AH545" s="33">
        <f t="shared" si="159"/>
        <v>42475.533360000001</v>
      </c>
      <c r="AI545" s="33">
        <f t="shared" si="160"/>
        <v>25020.021000000001</v>
      </c>
      <c r="AJ545" s="33">
        <f t="shared" si="161"/>
        <v>17455.512360000001</v>
      </c>
    </row>
    <row r="546" spans="1:36" x14ac:dyDescent="0.25">
      <c r="A546" s="12" t="s">
        <v>69</v>
      </c>
      <c r="B546" s="27">
        <v>45168</v>
      </c>
      <c r="C546" s="4">
        <v>45170</v>
      </c>
      <c r="D546" s="12" t="s">
        <v>649</v>
      </c>
      <c r="E546" s="12" t="s">
        <v>656</v>
      </c>
      <c r="F546" s="12" t="s">
        <v>684</v>
      </c>
      <c r="G546" s="12" t="s">
        <v>701</v>
      </c>
      <c r="H546" s="12" t="s">
        <v>711</v>
      </c>
      <c r="I546" s="12" t="s">
        <v>725</v>
      </c>
      <c r="J546" s="12" t="s">
        <v>729</v>
      </c>
      <c r="K546" s="12" t="s">
        <v>788</v>
      </c>
      <c r="L546" s="6">
        <v>44.42</v>
      </c>
      <c r="M546" s="6">
        <v>41.9</v>
      </c>
      <c r="N546" s="6">
        <f t="shared" si="144"/>
        <v>41.9</v>
      </c>
      <c r="O546" s="6" t="str">
        <f t="shared" si="158"/>
        <v>Low</v>
      </c>
      <c r="P546" s="6">
        <v>0.14399999999999999</v>
      </c>
      <c r="Q546" s="6">
        <f t="shared" si="145"/>
        <v>0.14399999999999999</v>
      </c>
      <c r="R546" s="6">
        <v>6</v>
      </c>
      <c r="S546" s="6" t="str">
        <f t="shared" si="146"/>
        <v>OK</v>
      </c>
      <c r="T546" s="4">
        <f t="shared" si="147"/>
        <v>45170</v>
      </c>
      <c r="U546" s="11">
        <f t="shared" si="148"/>
        <v>2</v>
      </c>
      <c r="V546" s="6">
        <f t="shared" si="149"/>
        <v>215.19839999999996</v>
      </c>
      <c r="W546" s="6">
        <f t="shared" si="150"/>
        <v>266.52</v>
      </c>
      <c r="X546" s="6">
        <f t="shared" si="151"/>
        <v>-51.321600000000018</v>
      </c>
      <c r="Y546" s="6">
        <f t="shared" si="152"/>
        <v>-0.23848504449847224</v>
      </c>
      <c r="Z546" s="4" t="str">
        <f t="shared" si="153"/>
        <v>Q3-2023</v>
      </c>
      <c r="AA546" t="str">
        <f t="shared" si="154"/>
        <v>Networking</v>
      </c>
      <c r="AB546" t="str">
        <f t="shared" si="155"/>
        <v>Networking</v>
      </c>
      <c r="AC546" t="str">
        <f t="shared" si="156"/>
        <v>Compliant</v>
      </c>
      <c r="AD546" t="str">
        <f t="shared" si="157"/>
        <v>On-time</v>
      </c>
      <c r="AE546" s="8">
        <f>MIN(Q546,Scenario!$B$2)</f>
        <v>0.14399999999999999</v>
      </c>
      <c r="AF546" s="33">
        <f>L546*(1+Scenario!$B$3)</f>
        <v>51.082999999999998</v>
      </c>
      <c r="AG546" s="6">
        <f>R546*(1+Scenario!$B$4)</f>
        <v>7.1999999999999993</v>
      </c>
      <c r="AH546" s="33">
        <f t="shared" si="159"/>
        <v>258.23807999999997</v>
      </c>
      <c r="AI546" s="33">
        <f t="shared" si="160"/>
        <v>367.79759999999993</v>
      </c>
      <c r="AJ546" s="33">
        <f t="shared" si="161"/>
        <v>-109.55951999999996</v>
      </c>
    </row>
    <row r="547" spans="1:36" hidden="1" x14ac:dyDescent="0.25">
      <c r="A547" s="12" t="s">
        <v>296</v>
      </c>
      <c r="B547" s="27">
        <v>45153</v>
      </c>
      <c r="C547" s="4">
        <v>45163</v>
      </c>
      <c r="D547" s="12" t="s">
        <v>646</v>
      </c>
      <c r="E547" s="12" t="s">
        <v>650</v>
      </c>
      <c r="F547" s="12" t="s">
        <v>664</v>
      </c>
      <c r="G547" s="12" t="s">
        <v>705</v>
      </c>
      <c r="H547" s="12" t="s">
        <v>707</v>
      </c>
      <c r="I547" s="12" t="s">
        <v>725</v>
      </c>
      <c r="J547" s="12" t="s">
        <v>730</v>
      </c>
      <c r="K547" s="12" t="s">
        <v>1016</v>
      </c>
      <c r="L547" s="6">
        <v>91.85</v>
      </c>
      <c r="M547" s="6">
        <v>111.29</v>
      </c>
      <c r="N547" s="6">
        <f t="shared" si="144"/>
        <v>111.29</v>
      </c>
      <c r="O547" s="6" t="str">
        <f t="shared" si="158"/>
        <v>Low</v>
      </c>
      <c r="P547" s="6">
        <v>0</v>
      </c>
      <c r="Q547" s="6">
        <f t="shared" si="145"/>
        <v>0</v>
      </c>
      <c r="R547" s="6">
        <v>6</v>
      </c>
      <c r="S547" s="6" t="str">
        <f t="shared" si="146"/>
        <v>OK</v>
      </c>
      <c r="T547" s="4">
        <f t="shared" si="147"/>
        <v>45163</v>
      </c>
      <c r="U547" s="11">
        <f t="shared" si="148"/>
        <v>10</v>
      </c>
      <c r="V547" s="6">
        <f t="shared" si="149"/>
        <v>667.74</v>
      </c>
      <c r="W547" s="6">
        <f t="shared" si="150"/>
        <v>551.09999999999991</v>
      </c>
      <c r="X547" s="6">
        <f t="shared" si="151"/>
        <v>116.6400000000001</v>
      </c>
      <c r="Y547" s="6">
        <f t="shared" si="152"/>
        <v>0.17467876718483258</v>
      </c>
      <c r="Z547" s="4" t="str">
        <f t="shared" si="153"/>
        <v>Q3-2023</v>
      </c>
      <c r="AA547" t="str">
        <f t="shared" si="154"/>
        <v>Phones</v>
      </c>
      <c r="AB547" t="str">
        <f t="shared" si="155"/>
        <v>Phones</v>
      </c>
      <c r="AC547" t="str">
        <f t="shared" si="156"/>
        <v>Compliant</v>
      </c>
      <c r="AD547" t="str">
        <f t="shared" si="157"/>
        <v>Late</v>
      </c>
      <c r="AE547" s="8">
        <f>MIN(Q547,Scenario!$B$2)</f>
        <v>0</v>
      </c>
      <c r="AF547" s="33">
        <f>L547*(1+Scenario!$B$3)</f>
        <v>105.62749999999998</v>
      </c>
      <c r="AG547" s="6">
        <f>R547*(1+Scenario!$B$4)</f>
        <v>7.1999999999999993</v>
      </c>
      <c r="AH547" s="33">
        <f t="shared" si="159"/>
        <v>801.28800000000001</v>
      </c>
      <c r="AI547" s="33">
        <f t="shared" si="160"/>
        <v>760.5179999999998</v>
      </c>
      <c r="AJ547" s="33">
        <f t="shared" si="161"/>
        <v>40.770000000000209</v>
      </c>
    </row>
    <row r="548" spans="1:36" hidden="1" x14ac:dyDescent="0.25">
      <c r="A548" s="12" t="s">
        <v>139</v>
      </c>
      <c r="B548" s="27">
        <v>45159</v>
      </c>
      <c r="C548" s="4">
        <v>45173</v>
      </c>
      <c r="D548" s="12" t="s">
        <v>648</v>
      </c>
      <c r="E548" s="12" t="s">
        <v>653</v>
      </c>
      <c r="F548" s="12" t="s">
        <v>681</v>
      </c>
      <c r="G548" s="12" t="s">
        <v>702</v>
      </c>
      <c r="H548" s="12" t="s">
        <v>710</v>
      </c>
      <c r="I548" s="12" t="s">
        <v>721</v>
      </c>
      <c r="J548" s="12" t="s">
        <v>727</v>
      </c>
      <c r="K548" s="12" t="s">
        <v>858</v>
      </c>
      <c r="L548" s="6">
        <v>178.19</v>
      </c>
      <c r="M548" s="6">
        <v>284.43</v>
      </c>
      <c r="N548" s="6">
        <f t="shared" si="144"/>
        <v>284.43</v>
      </c>
      <c r="O548" s="6" t="str">
        <f t="shared" si="158"/>
        <v>Low</v>
      </c>
      <c r="P548" s="6">
        <v>8.8999999999999996E-2</v>
      </c>
      <c r="Q548" s="6">
        <f t="shared" si="145"/>
        <v>8.8999999999999996E-2</v>
      </c>
      <c r="R548" s="6">
        <v>8</v>
      </c>
      <c r="S548" s="6" t="str">
        <f t="shared" si="146"/>
        <v>OK</v>
      </c>
      <c r="T548" s="4">
        <f t="shared" si="147"/>
        <v>45173</v>
      </c>
      <c r="U548" s="11">
        <f t="shared" si="148"/>
        <v>14</v>
      </c>
      <c r="V548" s="6">
        <f t="shared" si="149"/>
        <v>2072.9258400000003</v>
      </c>
      <c r="W548" s="6">
        <f t="shared" si="150"/>
        <v>1425.52</v>
      </c>
      <c r="X548" s="6">
        <f t="shared" si="151"/>
        <v>647.40584000000035</v>
      </c>
      <c r="Y548" s="6">
        <f t="shared" si="152"/>
        <v>0.31231500302972742</v>
      </c>
      <c r="Z548" s="4" t="str">
        <f t="shared" si="153"/>
        <v>Q3-2023</v>
      </c>
      <c r="AA548" t="str">
        <f t="shared" si="154"/>
        <v>Components</v>
      </c>
      <c r="AB548" t="str">
        <f t="shared" si="155"/>
        <v>Components</v>
      </c>
      <c r="AC548" t="str">
        <f t="shared" si="156"/>
        <v>Compliant</v>
      </c>
      <c r="AD548" t="str">
        <f t="shared" si="157"/>
        <v>Late</v>
      </c>
      <c r="AE548" s="8">
        <f>MIN(Q548,Scenario!$B$2)</f>
        <v>8.8999999999999996E-2</v>
      </c>
      <c r="AF548" s="33">
        <f>L548*(1+Scenario!$B$3)</f>
        <v>204.91849999999999</v>
      </c>
      <c r="AG548" s="6">
        <f>R548*(1+Scenario!$B$4)</f>
        <v>9.6</v>
      </c>
      <c r="AH548" s="33">
        <f t="shared" si="159"/>
        <v>2487.5110079999999</v>
      </c>
      <c r="AI548" s="33">
        <f t="shared" si="160"/>
        <v>1967.2175999999999</v>
      </c>
      <c r="AJ548" s="33">
        <f t="shared" si="161"/>
        <v>520.293408</v>
      </c>
    </row>
    <row r="549" spans="1:36" hidden="1" x14ac:dyDescent="0.25">
      <c r="A549" s="12" t="s">
        <v>284</v>
      </c>
      <c r="B549" s="27">
        <v>45141</v>
      </c>
      <c r="C549" s="4">
        <v>45152</v>
      </c>
      <c r="D549" s="12" t="s">
        <v>648</v>
      </c>
      <c r="E549" s="12" t="s">
        <v>655</v>
      </c>
      <c r="F549" s="12" t="s">
        <v>672</v>
      </c>
      <c r="G549" s="12" t="s">
        <v>701</v>
      </c>
      <c r="H549" s="12" t="s">
        <v>711</v>
      </c>
      <c r="I549" s="12" t="s">
        <v>713</v>
      </c>
      <c r="J549" s="12" t="s">
        <v>733</v>
      </c>
      <c r="K549" s="12" t="s">
        <v>1004</v>
      </c>
      <c r="L549" s="6">
        <v>232.73</v>
      </c>
      <c r="M549" s="6">
        <v>334.19</v>
      </c>
      <c r="N549" s="6">
        <f t="shared" si="144"/>
        <v>334.19</v>
      </c>
      <c r="O549" s="6" t="str">
        <f t="shared" si="158"/>
        <v>Low</v>
      </c>
      <c r="P549" s="6">
        <v>0.13400000000000001</v>
      </c>
      <c r="Q549" s="6">
        <f t="shared" si="145"/>
        <v>0.13400000000000001</v>
      </c>
      <c r="R549" s="6">
        <v>25</v>
      </c>
      <c r="S549" s="6" t="str">
        <f t="shared" si="146"/>
        <v>OK</v>
      </c>
      <c r="T549" s="4">
        <f t="shared" si="147"/>
        <v>45152</v>
      </c>
      <c r="U549" s="11">
        <f t="shared" si="148"/>
        <v>11</v>
      </c>
      <c r="V549" s="6">
        <f t="shared" si="149"/>
        <v>7235.2134999999998</v>
      </c>
      <c r="W549" s="6">
        <f t="shared" si="150"/>
        <v>5818.25</v>
      </c>
      <c r="X549" s="6">
        <f t="shared" si="151"/>
        <v>1416.9634999999998</v>
      </c>
      <c r="Y549" s="6">
        <f t="shared" si="152"/>
        <v>0.1958426658729559</v>
      </c>
      <c r="Z549" s="4" t="str">
        <f t="shared" si="153"/>
        <v>Q3-2023</v>
      </c>
      <c r="AA549" t="str">
        <f t="shared" si="154"/>
        <v>Accessories</v>
      </c>
      <c r="AB549" t="str">
        <f t="shared" si="155"/>
        <v>Accessories</v>
      </c>
      <c r="AC549" t="str">
        <f t="shared" si="156"/>
        <v>Compliant</v>
      </c>
      <c r="AD549" t="str">
        <f t="shared" si="157"/>
        <v>Late</v>
      </c>
      <c r="AE549" s="8">
        <f>MIN(Q549,Scenario!$B$2)</f>
        <v>0.13400000000000001</v>
      </c>
      <c r="AF549" s="33">
        <f>L549*(1+Scenario!$B$3)</f>
        <v>267.63949999999994</v>
      </c>
      <c r="AG549" s="6">
        <f>R549*(1+Scenario!$B$4)</f>
        <v>30</v>
      </c>
      <c r="AH549" s="33">
        <f t="shared" si="159"/>
        <v>8682.2561999999998</v>
      </c>
      <c r="AI549" s="33">
        <f t="shared" si="160"/>
        <v>8029.1849999999986</v>
      </c>
      <c r="AJ549" s="33">
        <f t="shared" si="161"/>
        <v>653.07120000000123</v>
      </c>
    </row>
    <row r="550" spans="1:36" hidden="1" x14ac:dyDescent="0.25">
      <c r="A550" s="12" t="s">
        <v>591</v>
      </c>
      <c r="B550" s="27">
        <v>45140</v>
      </c>
      <c r="C550" s="4">
        <v>45157</v>
      </c>
      <c r="D550" s="12" t="s">
        <v>648</v>
      </c>
      <c r="E550" s="12" t="s">
        <v>653</v>
      </c>
      <c r="F550" s="12" t="s">
        <v>688</v>
      </c>
      <c r="G550" s="12" t="s">
        <v>701</v>
      </c>
      <c r="H550" s="12" t="s">
        <v>708</v>
      </c>
      <c r="I550" s="12" t="s">
        <v>721</v>
      </c>
      <c r="J550" s="12" t="s">
        <v>729</v>
      </c>
      <c r="K550" s="12" t="s">
        <v>1309</v>
      </c>
      <c r="L550" s="6">
        <v>175.38</v>
      </c>
      <c r="M550" s="6">
        <v>347.9</v>
      </c>
      <c r="N550" s="6">
        <f t="shared" si="144"/>
        <v>347.9</v>
      </c>
      <c r="O550" s="6" t="str">
        <f t="shared" si="158"/>
        <v>Low</v>
      </c>
      <c r="P550" s="6">
        <v>7.1999999999999995E-2</v>
      </c>
      <c r="Q550" s="6">
        <f t="shared" si="145"/>
        <v>7.1999999999999995E-2</v>
      </c>
      <c r="R550" s="6">
        <v>43</v>
      </c>
      <c r="S550" s="6" t="str">
        <f t="shared" si="146"/>
        <v>OK</v>
      </c>
      <c r="T550" s="4">
        <f t="shared" si="147"/>
        <v>45157</v>
      </c>
      <c r="U550" s="11">
        <f t="shared" si="148"/>
        <v>17</v>
      </c>
      <c r="V550" s="6">
        <f t="shared" si="149"/>
        <v>13882.6016</v>
      </c>
      <c r="W550" s="6">
        <f t="shared" si="150"/>
        <v>7541.34</v>
      </c>
      <c r="X550" s="6">
        <f t="shared" si="151"/>
        <v>6341.2615999999998</v>
      </c>
      <c r="Y550" s="6">
        <f t="shared" si="152"/>
        <v>0.45677761148169804</v>
      </c>
      <c r="Z550" s="4" t="str">
        <f t="shared" si="153"/>
        <v>Q3-2023</v>
      </c>
      <c r="AA550" t="str">
        <f t="shared" si="154"/>
        <v>Networking</v>
      </c>
      <c r="AB550" t="str">
        <f t="shared" si="155"/>
        <v>Networking</v>
      </c>
      <c r="AC550" t="str">
        <f t="shared" si="156"/>
        <v>Compliant</v>
      </c>
      <c r="AD550" t="str">
        <f t="shared" si="157"/>
        <v>Late</v>
      </c>
      <c r="AE550" s="8">
        <f>MIN(Q550,Scenario!$B$2)</f>
        <v>7.1999999999999995E-2</v>
      </c>
      <c r="AF550" s="33">
        <f>L550*(1+Scenario!$B$3)</f>
        <v>201.68699999999998</v>
      </c>
      <c r="AG550" s="6">
        <f>R550*(1+Scenario!$B$4)</f>
        <v>51.6</v>
      </c>
      <c r="AH550" s="33">
        <f t="shared" si="159"/>
        <v>16659.121920000001</v>
      </c>
      <c r="AI550" s="33">
        <f t="shared" si="160"/>
        <v>10407.049199999999</v>
      </c>
      <c r="AJ550" s="33">
        <f t="shared" si="161"/>
        <v>6252.0727200000019</v>
      </c>
    </row>
    <row r="551" spans="1:36" hidden="1" x14ac:dyDescent="0.25">
      <c r="A551" s="12" t="s">
        <v>236</v>
      </c>
      <c r="B551" s="27">
        <v>45164</v>
      </c>
      <c r="C551" s="4">
        <v>45179</v>
      </c>
      <c r="D551" s="12" t="s">
        <v>646</v>
      </c>
      <c r="E551" s="12" t="s">
        <v>661</v>
      </c>
      <c r="F551" s="12" t="s">
        <v>695</v>
      </c>
      <c r="G551" s="12" t="s">
        <v>703</v>
      </c>
      <c r="H551" s="12" t="s">
        <v>711</v>
      </c>
      <c r="I551" s="12" t="s">
        <v>725</v>
      </c>
      <c r="J551" s="12" t="s">
        <v>727</v>
      </c>
      <c r="K551" s="12" t="s">
        <v>956</v>
      </c>
      <c r="L551" s="6">
        <v>241.14</v>
      </c>
      <c r="M551" s="6">
        <v>496.52</v>
      </c>
      <c r="N551" s="6">
        <f t="shared" si="144"/>
        <v>496.52</v>
      </c>
      <c r="O551" s="6" t="str">
        <f t="shared" si="158"/>
        <v>Low</v>
      </c>
      <c r="P551" s="6">
        <v>9.2999999999999999E-2</v>
      </c>
      <c r="Q551" s="6">
        <f t="shared" si="145"/>
        <v>9.2999999999999999E-2</v>
      </c>
      <c r="R551" s="6">
        <v>10</v>
      </c>
      <c r="S551" s="6" t="str">
        <f t="shared" si="146"/>
        <v>OK</v>
      </c>
      <c r="T551" s="4">
        <f t="shared" si="147"/>
        <v>45179</v>
      </c>
      <c r="U551" s="11">
        <f t="shared" si="148"/>
        <v>15</v>
      </c>
      <c r="V551" s="6">
        <f t="shared" si="149"/>
        <v>4503.4363999999996</v>
      </c>
      <c r="W551" s="6">
        <f t="shared" si="150"/>
        <v>2411.3999999999996</v>
      </c>
      <c r="X551" s="6">
        <f t="shared" si="151"/>
        <v>2092.0364</v>
      </c>
      <c r="Y551" s="6">
        <f t="shared" si="152"/>
        <v>0.46454223268257994</v>
      </c>
      <c r="Z551" s="4" t="str">
        <f t="shared" si="153"/>
        <v>Q3-2023</v>
      </c>
      <c r="AA551" t="str">
        <f t="shared" si="154"/>
        <v>Components</v>
      </c>
      <c r="AB551" t="str">
        <f t="shared" si="155"/>
        <v>Components</v>
      </c>
      <c r="AC551" t="str">
        <f t="shared" si="156"/>
        <v>Compliant</v>
      </c>
      <c r="AD551" t="str">
        <f t="shared" si="157"/>
        <v>Late</v>
      </c>
      <c r="AE551" s="8">
        <f>MIN(Q551,Scenario!$B$2)</f>
        <v>9.2999999999999999E-2</v>
      </c>
      <c r="AF551" s="33">
        <f>L551*(1+Scenario!$B$3)</f>
        <v>277.31099999999998</v>
      </c>
      <c r="AG551" s="6">
        <f>R551*(1+Scenario!$B$4)</f>
        <v>12</v>
      </c>
      <c r="AH551" s="33">
        <f t="shared" si="159"/>
        <v>5404.1236799999997</v>
      </c>
      <c r="AI551" s="33">
        <f t="shared" si="160"/>
        <v>3327.732</v>
      </c>
      <c r="AJ551" s="33">
        <f t="shared" si="161"/>
        <v>2076.3916799999997</v>
      </c>
    </row>
    <row r="552" spans="1:36" x14ac:dyDescent="0.25">
      <c r="A552" s="12" t="s">
        <v>307</v>
      </c>
      <c r="B552" s="27">
        <v>45161</v>
      </c>
      <c r="C552" s="4">
        <v>45191</v>
      </c>
      <c r="D552" s="12" t="s">
        <v>649</v>
      </c>
      <c r="E552" s="12" t="s">
        <v>658</v>
      </c>
      <c r="F552" s="12" t="s">
        <v>683</v>
      </c>
      <c r="G552" s="12" t="s">
        <v>704</v>
      </c>
      <c r="H552" s="12" t="s">
        <v>710</v>
      </c>
      <c r="I552" s="12" t="s">
        <v>719</v>
      </c>
      <c r="J552" s="12" t="s">
        <v>733</v>
      </c>
      <c r="K552" s="12" t="s">
        <v>1027</v>
      </c>
      <c r="L552" s="6">
        <v>209.81</v>
      </c>
      <c r="M552" s="6">
        <v>523</v>
      </c>
      <c r="N552" s="6">
        <f t="shared" si="144"/>
        <v>523</v>
      </c>
      <c r="O552" s="6" t="str">
        <f t="shared" si="158"/>
        <v>Low</v>
      </c>
      <c r="P552" s="6">
        <v>5.8999999999999997E-2</v>
      </c>
      <c r="Q552" s="6">
        <f t="shared" si="145"/>
        <v>5.8999999999999997E-2</v>
      </c>
      <c r="R552" s="6">
        <v>15</v>
      </c>
      <c r="S552" s="6" t="str">
        <f t="shared" si="146"/>
        <v>OK</v>
      </c>
      <c r="T552" s="4">
        <f t="shared" si="147"/>
        <v>45191</v>
      </c>
      <c r="U552" s="11">
        <f t="shared" si="148"/>
        <v>30</v>
      </c>
      <c r="V552" s="6">
        <f t="shared" si="149"/>
        <v>7382.1450000000004</v>
      </c>
      <c r="W552" s="6">
        <f t="shared" si="150"/>
        <v>3147.15</v>
      </c>
      <c r="X552" s="6">
        <f t="shared" si="151"/>
        <v>4234.9950000000008</v>
      </c>
      <c r="Y552" s="6">
        <f t="shared" si="152"/>
        <v>0.57368082041195356</v>
      </c>
      <c r="Z552" s="4" t="str">
        <f t="shared" si="153"/>
        <v>Q3-2023</v>
      </c>
      <c r="AA552" t="str">
        <f t="shared" si="154"/>
        <v>Accessories</v>
      </c>
      <c r="AB552" t="str">
        <f t="shared" si="155"/>
        <v>Accessories</v>
      </c>
      <c r="AC552" t="str">
        <f t="shared" si="156"/>
        <v>Compliant</v>
      </c>
      <c r="AD552" t="str">
        <f t="shared" si="157"/>
        <v>Late</v>
      </c>
      <c r="AE552" s="8">
        <f>MIN(Q552,Scenario!$B$2)</f>
        <v>5.8999999999999997E-2</v>
      </c>
      <c r="AF552" s="33">
        <f>L552*(1+Scenario!$B$3)</f>
        <v>241.28149999999999</v>
      </c>
      <c r="AG552" s="6">
        <f>R552*(1+Scenario!$B$4)</f>
        <v>18</v>
      </c>
      <c r="AH552" s="33">
        <f t="shared" si="159"/>
        <v>8858.5740000000005</v>
      </c>
      <c r="AI552" s="33">
        <f t="shared" si="160"/>
        <v>4343.067</v>
      </c>
      <c r="AJ552" s="33">
        <f t="shared" si="161"/>
        <v>4515.5070000000005</v>
      </c>
    </row>
    <row r="553" spans="1:36" hidden="1" x14ac:dyDescent="0.25">
      <c r="A553" s="12" t="s">
        <v>641</v>
      </c>
      <c r="B553" s="27">
        <v>45141</v>
      </c>
      <c r="C553" s="4">
        <v>45168</v>
      </c>
      <c r="D553" s="12" t="s">
        <v>647</v>
      </c>
      <c r="E553" s="12" t="s">
        <v>659</v>
      </c>
      <c r="F553" s="12" t="s">
        <v>685</v>
      </c>
      <c r="G553" s="12" t="s">
        <v>704</v>
      </c>
      <c r="H553" s="12" t="s">
        <v>710</v>
      </c>
      <c r="I553" s="12" t="s">
        <v>725</v>
      </c>
      <c r="J553" s="12" t="s">
        <v>732</v>
      </c>
      <c r="K553" s="12" t="s">
        <v>1359</v>
      </c>
      <c r="L553" s="6">
        <v>226.04</v>
      </c>
      <c r="M553" s="6">
        <v>545.72</v>
      </c>
      <c r="N553" s="6">
        <f t="shared" si="144"/>
        <v>545.72</v>
      </c>
      <c r="O553" s="6" t="str">
        <f t="shared" si="158"/>
        <v>Low</v>
      </c>
      <c r="P553" s="6">
        <v>0.151</v>
      </c>
      <c r="Q553" s="6">
        <f t="shared" si="145"/>
        <v>0.151</v>
      </c>
      <c r="R553" s="6">
        <v>11</v>
      </c>
      <c r="S553" s="6" t="str">
        <f t="shared" si="146"/>
        <v>OK</v>
      </c>
      <c r="T553" s="4">
        <f t="shared" si="147"/>
        <v>45168</v>
      </c>
      <c r="U553" s="11">
        <f t="shared" si="148"/>
        <v>27</v>
      </c>
      <c r="V553" s="6">
        <f t="shared" si="149"/>
        <v>5096.4790800000001</v>
      </c>
      <c r="W553" s="6">
        <f t="shared" si="150"/>
        <v>2486.44</v>
      </c>
      <c r="X553" s="6">
        <f t="shared" si="151"/>
        <v>2610.03908</v>
      </c>
      <c r="Y553" s="6">
        <f t="shared" si="152"/>
        <v>0.51212592831834014</v>
      </c>
      <c r="Z553" s="4" t="str">
        <f t="shared" si="153"/>
        <v>Q3-2023</v>
      </c>
      <c r="AA553" t="str">
        <f t="shared" si="154"/>
        <v>Monitors</v>
      </c>
      <c r="AB553" t="str">
        <f t="shared" si="155"/>
        <v>Monitors</v>
      </c>
      <c r="AC553" t="str">
        <f t="shared" si="156"/>
        <v>Compliant</v>
      </c>
      <c r="AD553" t="str">
        <f t="shared" si="157"/>
        <v>Late</v>
      </c>
      <c r="AE553" s="8">
        <f>MIN(Q553,Scenario!$B$2)</f>
        <v>0.151</v>
      </c>
      <c r="AF553" s="33">
        <f>L553*(1+Scenario!$B$3)</f>
        <v>259.94599999999997</v>
      </c>
      <c r="AG553" s="6">
        <f>R553*(1+Scenario!$B$4)</f>
        <v>13.2</v>
      </c>
      <c r="AH553" s="33">
        <f t="shared" si="159"/>
        <v>6115.7748959999999</v>
      </c>
      <c r="AI553" s="33">
        <f t="shared" si="160"/>
        <v>3431.2871999999993</v>
      </c>
      <c r="AJ553" s="33">
        <f t="shared" si="161"/>
        <v>2684.4876960000006</v>
      </c>
    </row>
    <row r="554" spans="1:36" hidden="1" x14ac:dyDescent="0.25">
      <c r="A554" s="12" t="s">
        <v>83</v>
      </c>
      <c r="B554" s="27">
        <v>45157</v>
      </c>
      <c r="C554" s="4">
        <v>45176</v>
      </c>
      <c r="D554" s="12" t="s">
        <v>646</v>
      </c>
      <c r="E554" s="12" t="s">
        <v>661</v>
      </c>
      <c r="F554" s="12" t="s">
        <v>682</v>
      </c>
      <c r="G554" s="12" t="s">
        <v>706</v>
      </c>
      <c r="H554" s="12" t="s">
        <v>707</v>
      </c>
      <c r="I554" s="12" t="s">
        <v>726</v>
      </c>
      <c r="J554" s="12" t="s">
        <v>732</v>
      </c>
      <c r="K554" s="12" t="s">
        <v>802</v>
      </c>
      <c r="L554" s="6">
        <v>494.61</v>
      </c>
      <c r="M554" s="6">
        <v>605.23</v>
      </c>
      <c r="N554" s="6">
        <f t="shared" si="144"/>
        <v>605.23</v>
      </c>
      <c r="O554" s="6" t="str">
        <f t="shared" si="158"/>
        <v>Middle</v>
      </c>
      <c r="P554" s="6">
        <v>0.20399999999999999</v>
      </c>
      <c r="Q554" s="6">
        <f t="shared" si="145"/>
        <v>0.20399999999999999</v>
      </c>
      <c r="R554" s="6">
        <v>18</v>
      </c>
      <c r="S554" s="6" t="str">
        <f t="shared" si="146"/>
        <v>OK</v>
      </c>
      <c r="T554" s="4">
        <f t="shared" si="147"/>
        <v>45176</v>
      </c>
      <c r="U554" s="11">
        <f t="shared" si="148"/>
        <v>19</v>
      </c>
      <c r="V554" s="6">
        <f t="shared" si="149"/>
        <v>8671.7354400000004</v>
      </c>
      <c r="W554" s="6">
        <f t="shared" si="150"/>
        <v>8902.98</v>
      </c>
      <c r="X554" s="6">
        <f t="shared" si="151"/>
        <v>-231.24455999999918</v>
      </c>
      <c r="Y554" s="6">
        <f t="shared" si="152"/>
        <v>-2.6666468505639647E-2</v>
      </c>
      <c r="Z554" s="4" t="str">
        <f t="shared" si="153"/>
        <v>Q3-2023</v>
      </c>
      <c r="AA554" t="str">
        <f t="shared" si="154"/>
        <v>Monitors</v>
      </c>
      <c r="AB554" t="str">
        <f t="shared" si="155"/>
        <v>Monitors</v>
      </c>
      <c r="AC554" t="str">
        <f t="shared" si="156"/>
        <v>Non-compliant</v>
      </c>
      <c r="AD554" t="str">
        <f t="shared" si="157"/>
        <v>Late</v>
      </c>
      <c r="AE554" s="8">
        <f>MIN(Q554,Scenario!$B$2)</f>
        <v>0.2</v>
      </c>
      <c r="AF554" s="33">
        <f>L554*(1+Scenario!$B$3)</f>
        <v>568.80149999999992</v>
      </c>
      <c r="AG554" s="6">
        <f>R554*(1+Scenario!$B$4)</f>
        <v>21.599999999999998</v>
      </c>
      <c r="AH554" s="33">
        <f t="shared" si="159"/>
        <v>10458.374400000001</v>
      </c>
      <c r="AI554" s="33">
        <f t="shared" si="160"/>
        <v>12286.112399999996</v>
      </c>
      <c r="AJ554" s="33">
        <f t="shared" si="161"/>
        <v>-1827.7379999999957</v>
      </c>
    </row>
    <row r="555" spans="1:36" hidden="1" x14ac:dyDescent="0.25">
      <c r="A555" s="12" t="s">
        <v>140</v>
      </c>
      <c r="B555" s="27">
        <v>45150</v>
      </c>
      <c r="C555" s="4">
        <v>45175</v>
      </c>
      <c r="D555" s="12" t="s">
        <v>647</v>
      </c>
      <c r="E555" s="12" t="s">
        <v>659</v>
      </c>
      <c r="F555" s="12" t="s">
        <v>685</v>
      </c>
      <c r="G555" s="12" t="s">
        <v>705</v>
      </c>
      <c r="H555" s="12" t="s">
        <v>707</v>
      </c>
      <c r="I555" s="12" t="s">
        <v>717</v>
      </c>
      <c r="J555" s="12" t="s">
        <v>727</v>
      </c>
      <c r="K555" s="12" t="s">
        <v>859</v>
      </c>
      <c r="L555" s="6">
        <v>950.77</v>
      </c>
      <c r="M555" s="6">
        <v>694.78</v>
      </c>
      <c r="N555" s="6">
        <f t="shared" si="144"/>
        <v>694.78</v>
      </c>
      <c r="O555" s="6" t="str">
        <f t="shared" si="158"/>
        <v>Middle</v>
      </c>
      <c r="P555" s="6">
        <v>8.4000000000000005E-2</v>
      </c>
      <c r="Q555" s="6">
        <f t="shared" si="145"/>
        <v>8.4000000000000005E-2</v>
      </c>
      <c r="R555" s="6">
        <v>14</v>
      </c>
      <c r="S555" s="6" t="str">
        <f t="shared" si="146"/>
        <v>OK</v>
      </c>
      <c r="T555" s="4">
        <f t="shared" si="147"/>
        <v>45175</v>
      </c>
      <c r="U555" s="11">
        <f t="shared" si="148"/>
        <v>25</v>
      </c>
      <c r="V555" s="6">
        <f t="shared" si="149"/>
        <v>8909.8587200000002</v>
      </c>
      <c r="W555" s="6">
        <f t="shared" si="150"/>
        <v>13310.779999999999</v>
      </c>
      <c r="X555" s="6">
        <f t="shared" si="151"/>
        <v>-4400.9212799999987</v>
      </c>
      <c r="Y555" s="6">
        <f t="shared" si="152"/>
        <v>-0.49393839097821279</v>
      </c>
      <c r="Z555" s="4" t="str">
        <f t="shared" si="153"/>
        <v>Q3-2023</v>
      </c>
      <c r="AA555" t="str">
        <f t="shared" si="154"/>
        <v>Components</v>
      </c>
      <c r="AB555" t="str">
        <f t="shared" si="155"/>
        <v>Components</v>
      </c>
      <c r="AC555" t="str">
        <f t="shared" si="156"/>
        <v>Compliant</v>
      </c>
      <c r="AD555" t="str">
        <f t="shared" si="157"/>
        <v>Late</v>
      </c>
      <c r="AE555" s="8">
        <f>MIN(Q555,Scenario!$B$2)</f>
        <v>8.4000000000000005E-2</v>
      </c>
      <c r="AF555" s="33">
        <f>L555*(1+Scenario!$B$3)</f>
        <v>1093.3854999999999</v>
      </c>
      <c r="AG555" s="6">
        <f>R555*(1+Scenario!$B$4)</f>
        <v>16.8</v>
      </c>
      <c r="AH555" s="33">
        <f t="shared" si="159"/>
        <v>10691.830464000001</v>
      </c>
      <c r="AI555" s="33">
        <f t="shared" si="160"/>
        <v>18368.876399999997</v>
      </c>
      <c r="AJ555" s="33">
        <f t="shared" si="161"/>
        <v>-7677.0459359999968</v>
      </c>
    </row>
    <row r="556" spans="1:36" x14ac:dyDescent="0.25">
      <c r="A556" s="12" t="s">
        <v>205</v>
      </c>
      <c r="B556" s="27">
        <v>45146</v>
      </c>
      <c r="C556" s="4">
        <v>45160</v>
      </c>
      <c r="D556" s="12" t="s">
        <v>649</v>
      </c>
      <c r="E556" s="12" t="s">
        <v>658</v>
      </c>
      <c r="F556" s="12" t="s">
        <v>674</v>
      </c>
      <c r="G556" s="12" t="s">
        <v>703</v>
      </c>
      <c r="H556" s="12" t="s">
        <v>711</v>
      </c>
      <c r="I556" s="12" t="s">
        <v>725</v>
      </c>
      <c r="J556" s="12" t="s">
        <v>732</v>
      </c>
      <c r="K556" s="12" t="s">
        <v>925</v>
      </c>
      <c r="L556" s="6">
        <v>446.69</v>
      </c>
      <c r="M556" s="6">
        <v>967.25</v>
      </c>
      <c r="N556" s="6">
        <f t="shared" si="144"/>
        <v>967.25</v>
      </c>
      <c r="O556" s="6" t="str">
        <f t="shared" si="158"/>
        <v>Middle</v>
      </c>
      <c r="P556" s="6">
        <v>9.4E-2</v>
      </c>
      <c r="Q556" s="6">
        <f t="shared" si="145"/>
        <v>9.4E-2</v>
      </c>
      <c r="R556" s="6">
        <v>10</v>
      </c>
      <c r="S556" s="6" t="str">
        <f t="shared" si="146"/>
        <v>OK</v>
      </c>
      <c r="T556" s="4">
        <f t="shared" si="147"/>
        <v>45160</v>
      </c>
      <c r="U556" s="11">
        <f t="shared" si="148"/>
        <v>14</v>
      </c>
      <c r="V556" s="6">
        <f t="shared" si="149"/>
        <v>8763.2849999999999</v>
      </c>
      <c r="W556" s="6">
        <f t="shared" si="150"/>
        <v>4466.8999999999996</v>
      </c>
      <c r="X556" s="6">
        <f t="shared" si="151"/>
        <v>4296.3850000000002</v>
      </c>
      <c r="Y556" s="6">
        <f t="shared" si="152"/>
        <v>0.49027105702941309</v>
      </c>
      <c r="Z556" s="4" t="str">
        <f t="shared" si="153"/>
        <v>Q3-2023</v>
      </c>
      <c r="AA556" t="str">
        <f t="shared" si="154"/>
        <v>Monitors</v>
      </c>
      <c r="AB556" t="str">
        <f t="shared" si="155"/>
        <v>Monitors</v>
      </c>
      <c r="AC556" t="str">
        <f t="shared" si="156"/>
        <v>Compliant</v>
      </c>
      <c r="AD556" t="str">
        <f t="shared" si="157"/>
        <v>Late</v>
      </c>
      <c r="AE556" s="8">
        <f>MIN(Q556,Scenario!$B$2)</f>
        <v>9.4E-2</v>
      </c>
      <c r="AF556" s="33">
        <f>L556*(1+Scenario!$B$3)</f>
        <v>513.69349999999997</v>
      </c>
      <c r="AG556" s="6">
        <f>R556*(1+Scenario!$B$4)</f>
        <v>12</v>
      </c>
      <c r="AH556" s="33">
        <f t="shared" si="159"/>
        <v>10515.942000000001</v>
      </c>
      <c r="AI556" s="33">
        <f t="shared" si="160"/>
        <v>6164.3220000000001</v>
      </c>
      <c r="AJ556" s="33">
        <f t="shared" si="161"/>
        <v>4351.6200000000008</v>
      </c>
    </row>
    <row r="557" spans="1:36" hidden="1" x14ac:dyDescent="0.25">
      <c r="A557" s="12" t="s">
        <v>216</v>
      </c>
      <c r="B557" s="27">
        <v>45153</v>
      </c>
      <c r="C557" s="4">
        <v>45176</v>
      </c>
      <c r="D557" s="12" t="s">
        <v>648</v>
      </c>
      <c r="E557" s="12" t="s">
        <v>660</v>
      </c>
      <c r="F557" s="12" t="s">
        <v>700</v>
      </c>
      <c r="G557" s="12" t="s">
        <v>706</v>
      </c>
      <c r="H557" s="12" t="s">
        <v>708</v>
      </c>
      <c r="I557" s="12" t="s">
        <v>723</v>
      </c>
      <c r="J557" s="12" t="s">
        <v>730</v>
      </c>
      <c r="K557" s="12" t="s">
        <v>936</v>
      </c>
      <c r="L557" s="6">
        <v>590.33000000000004</v>
      </c>
      <c r="M557" s="6">
        <v>973.04</v>
      </c>
      <c r="N557" s="6">
        <f t="shared" si="144"/>
        <v>973.04</v>
      </c>
      <c r="O557" s="6" t="str">
        <f t="shared" si="158"/>
        <v>Middle</v>
      </c>
      <c r="P557" s="6">
        <v>0</v>
      </c>
      <c r="Q557" s="6">
        <f t="shared" si="145"/>
        <v>0</v>
      </c>
      <c r="R557" s="6">
        <v>26</v>
      </c>
      <c r="S557" s="6" t="str">
        <f t="shared" si="146"/>
        <v>OK</v>
      </c>
      <c r="T557" s="4">
        <f t="shared" si="147"/>
        <v>45176</v>
      </c>
      <c r="U557" s="11">
        <f t="shared" si="148"/>
        <v>23</v>
      </c>
      <c r="V557" s="6">
        <f t="shared" si="149"/>
        <v>25299.040000000001</v>
      </c>
      <c r="W557" s="6">
        <f t="shared" si="150"/>
        <v>15348.580000000002</v>
      </c>
      <c r="X557" s="6">
        <f t="shared" si="151"/>
        <v>9950.4599999999991</v>
      </c>
      <c r="Y557" s="6">
        <f t="shared" si="152"/>
        <v>0.39331373838691108</v>
      </c>
      <c r="Z557" s="4" t="str">
        <f t="shared" si="153"/>
        <v>Q3-2023</v>
      </c>
      <c r="AA557" t="str">
        <f t="shared" si="154"/>
        <v>Phones</v>
      </c>
      <c r="AB557" t="str">
        <f t="shared" si="155"/>
        <v>Phones</v>
      </c>
      <c r="AC557" t="str">
        <f t="shared" si="156"/>
        <v>Compliant</v>
      </c>
      <c r="AD557" t="str">
        <f t="shared" si="157"/>
        <v>Late</v>
      </c>
      <c r="AE557" s="8">
        <f>MIN(Q557,Scenario!$B$2)</f>
        <v>0</v>
      </c>
      <c r="AF557" s="33">
        <f>L557*(1+Scenario!$B$3)</f>
        <v>678.87950000000001</v>
      </c>
      <c r="AG557" s="6">
        <f>R557*(1+Scenario!$B$4)</f>
        <v>31.2</v>
      </c>
      <c r="AH557" s="33">
        <f t="shared" si="159"/>
        <v>30358.847999999998</v>
      </c>
      <c r="AI557" s="33">
        <f t="shared" si="160"/>
        <v>21181.040399999998</v>
      </c>
      <c r="AJ557" s="33">
        <f t="shared" si="161"/>
        <v>9177.8076000000001</v>
      </c>
    </row>
    <row r="558" spans="1:36" hidden="1" x14ac:dyDescent="0.25">
      <c r="A558" s="12" t="s">
        <v>276</v>
      </c>
      <c r="B558" s="27">
        <v>45142</v>
      </c>
      <c r="C558" s="4">
        <v>45162</v>
      </c>
      <c r="D558" s="12" t="s">
        <v>648</v>
      </c>
      <c r="E558" s="12" t="s">
        <v>655</v>
      </c>
      <c r="F558" s="12" t="s">
        <v>672</v>
      </c>
      <c r="G558" s="12" t="s">
        <v>703</v>
      </c>
      <c r="H558" s="12" t="s">
        <v>711</v>
      </c>
      <c r="I558" s="14" t="s">
        <v>1368</v>
      </c>
      <c r="J558" s="12" t="s">
        <v>729</v>
      </c>
      <c r="K558" s="12" t="s">
        <v>996</v>
      </c>
      <c r="L558" s="6">
        <v>582.88</v>
      </c>
      <c r="M558" s="6">
        <v>1044.1400000000001</v>
      </c>
      <c r="N558" s="6">
        <f t="shared" si="144"/>
        <v>1044.1400000000001</v>
      </c>
      <c r="O558" s="6" t="str">
        <f t="shared" si="158"/>
        <v>Middle</v>
      </c>
      <c r="P558" s="6">
        <v>0.216</v>
      </c>
      <c r="Q558" s="6">
        <f t="shared" si="145"/>
        <v>0.216</v>
      </c>
      <c r="R558" s="6">
        <v>10</v>
      </c>
      <c r="S558" s="6" t="str">
        <f t="shared" si="146"/>
        <v>OK</v>
      </c>
      <c r="T558" s="4">
        <f t="shared" si="147"/>
        <v>45162</v>
      </c>
      <c r="U558" s="11">
        <f t="shared" si="148"/>
        <v>20</v>
      </c>
      <c r="V558" s="6">
        <f t="shared" si="149"/>
        <v>8186.057600000001</v>
      </c>
      <c r="W558" s="6">
        <f t="shared" si="150"/>
        <v>5828.8</v>
      </c>
      <c r="X558" s="6">
        <f t="shared" si="151"/>
        <v>2357.2576000000008</v>
      </c>
      <c r="Y558" s="6">
        <f t="shared" si="152"/>
        <v>0.28796005539956138</v>
      </c>
      <c r="Z558" s="4" t="str">
        <f t="shared" si="153"/>
        <v>Q3-2023</v>
      </c>
      <c r="AA558" t="str">
        <f t="shared" si="154"/>
        <v>Networking</v>
      </c>
      <c r="AB558" t="str">
        <f t="shared" si="155"/>
        <v>Networking</v>
      </c>
      <c r="AC558" t="str">
        <f t="shared" si="156"/>
        <v>Non-compliant</v>
      </c>
      <c r="AD558" t="str">
        <f t="shared" si="157"/>
        <v>Late</v>
      </c>
      <c r="AE558" s="8">
        <f>MIN(Q558,Scenario!$B$2)</f>
        <v>0.2</v>
      </c>
      <c r="AF558" s="33">
        <f>L558*(1+Scenario!$B$3)</f>
        <v>670.3119999999999</v>
      </c>
      <c r="AG558" s="6">
        <f>R558*(1+Scenario!$B$4)</f>
        <v>12</v>
      </c>
      <c r="AH558" s="33">
        <f t="shared" si="159"/>
        <v>10023.744000000001</v>
      </c>
      <c r="AI558" s="33">
        <f t="shared" si="160"/>
        <v>8043.7439999999988</v>
      </c>
      <c r="AJ558" s="33">
        <f t="shared" si="161"/>
        <v>1980.0000000000018</v>
      </c>
    </row>
    <row r="559" spans="1:36" hidden="1" x14ac:dyDescent="0.25">
      <c r="A559" s="12" t="s">
        <v>547</v>
      </c>
      <c r="B559" s="27">
        <v>45155</v>
      </c>
      <c r="C559" s="4">
        <v>45172</v>
      </c>
      <c r="D559" s="12" t="s">
        <v>646</v>
      </c>
      <c r="E559" s="12" t="s">
        <v>661</v>
      </c>
      <c r="F559" s="12" t="s">
        <v>687</v>
      </c>
      <c r="G559" s="12" t="s">
        <v>706</v>
      </c>
      <c r="H559" s="12" t="s">
        <v>707</v>
      </c>
      <c r="I559" s="12" t="s">
        <v>720</v>
      </c>
      <c r="J559" s="12" t="s">
        <v>730</v>
      </c>
      <c r="K559" s="12" t="s">
        <v>1266</v>
      </c>
      <c r="L559" s="6">
        <v>676.37</v>
      </c>
      <c r="M559" s="6">
        <v>1276.67</v>
      </c>
      <c r="N559" s="6">
        <f t="shared" si="144"/>
        <v>1276.67</v>
      </c>
      <c r="O559" s="6" t="str">
        <f t="shared" si="158"/>
        <v>High</v>
      </c>
      <c r="P559" s="6">
        <v>6.6000000000000003E-2</v>
      </c>
      <c r="Q559" s="6">
        <f t="shared" si="145"/>
        <v>6.6000000000000003E-2</v>
      </c>
      <c r="R559" s="6">
        <v>10</v>
      </c>
      <c r="S559" s="6" t="str">
        <f t="shared" si="146"/>
        <v>OK</v>
      </c>
      <c r="T559" s="4">
        <f t="shared" si="147"/>
        <v>45172</v>
      </c>
      <c r="U559" s="11">
        <f t="shared" si="148"/>
        <v>17</v>
      </c>
      <c r="V559" s="6">
        <f t="shared" si="149"/>
        <v>11924.0978</v>
      </c>
      <c r="W559" s="6">
        <f t="shared" si="150"/>
        <v>6763.7</v>
      </c>
      <c r="X559" s="6">
        <f t="shared" si="151"/>
        <v>5160.3977999999997</v>
      </c>
      <c r="Y559" s="6">
        <f t="shared" si="152"/>
        <v>0.4327705027712872</v>
      </c>
      <c r="Z559" s="4" t="str">
        <f t="shared" si="153"/>
        <v>Q3-2023</v>
      </c>
      <c r="AA559" t="str">
        <f t="shared" si="154"/>
        <v>Phones</v>
      </c>
      <c r="AB559" t="str">
        <f t="shared" si="155"/>
        <v>Phones</v>
      </c>
      <c r="AC559" t="str">
        <f t="shared" si="156"/>
        <v>Compliant</v>
      </c>
      <c r="AD559" t="str">
        <f t="shared" si="157"/>
        <v>Late</v>
      </c>
      <c r="AE559" s="8">
        <f>MIN(Q559,Scenario!$B$2)</f>
        <v>6.6000000000000003E-2</v>
      </c>
      <c r="AF559" s="33">
        <f>L559*(1+Scenario!$B$3)</f>
        <v>777.82549999999992</v>
      </c>
      <c r="AG559" s="6">
        <f>R559*(1+Scenario!$B$4)</f>
        <v>12</v>
      </c>
      <c r="AH559" s="33">
        <f t="shared" si="159"/>
        <v>14308.917359999999</v>
      </c>
      <c r="AI559" s="33">
        <f t="shared" si="160"/>
        <v>9333.905999999999</v>
      </c>
      <c r="AJ559" s="33">
        <f t="shared" si="161"/>
        <v>4975.0113600000004</v>
      </c>
    </row>
    <row r="560" spans="1:36" hidden="1" x14ac:dyDescent="0.25">
      <c r="A560" s="12" t="s">
        <v>198</v>
      </c>
      <c r="B560" s="27">
        <v>45157</v>
      </c>
      <c r="C560" s="4">
        <v>45161</v>
      </c>
      <c r="D560" s="12" t="s">
        <v>646</v>
      </c>
      <c r="E560" s="12" t="s">
        <v>651</v>
      </c>
      <c r="F560" s="12" t="s">
        <v>669</v>
      </c>
      <c r="G560" s="12" t="s">
        <v>705</v>
      </c>
      <c r="H560" s="12" t="s">
        <v>708</v>
      </c>
      <c r="I560" s="12" t="s">
        <v>713</v>
      </c>
      <c r="J560" s="12" t="s">
        <v>732</v>
      </c>
      <c r="K560" s="12" t="s">
        <v>917</v>
      </c>
      <c r="L560" s="6">
        <v>790.63</v>
      </c>
      <c r="M560" s="6">
        <v>1382.31</v>
      </c>
      <c r="N560" s="6">
        <f t="shared" si="144"/>
        <v>1382.31</v>
      </c>
      <c r="O560" s="6" t="str">
        <f t="shared" si="158"/>
        <v>High</v>
      </c>
      <c r="P560" s="6">
        <v>0.10100000000000001</v>
      </c>
      <c r="Q560" s="6">
        <f t="shared" si="145"/>
        <v>0.10100000000000001</v>
      </c>
      <c r="R560" s="6">
        <v>7</v>
      </c>
      <c r="S560" s="6" t="str">
        <f t="shared" si="146"/>
        <v>OK</v>
      </c>
      <c r="T560" s="4">
        <f t="shared" si="147"/>
        <v>45161</v>
      </c>
      <c r="U560" s="11">
        <f t="shared" si="148"/>
        <v>4</v>
      </c>
      <c r="V560" s="6">
        <f t="shared" si="149"/>
        <v>8698.8768300000011</v>
      </c>
      <c r="W560" s="6">
        <f t="shared" si="150"/>
        <v>5534.41</v>
      </c>
      <c r="X560" s="6">
        <f t="shared" si="151"/>
        <v>3164.4668300000012</v>
      </c>
      <c r="Y560" s="6">
        <f t="shared" si="152"/>
        <v>0.36377878338116448</v>
      </c>
      <c r="Z560" s="4" t="str">
        <f t="shared" si="153"/>
        <v>Q3-2023</v>
      </c>
      <c r="AA560" t="str">
        <f t="shared" si="154"/>
        <v>Monitors</v>
      </c>
      <c r="AB560" t="str">
        <f t="shared" si="155"/>
        <v>Monitors</v>
      </c>
      <c r="AC560" t="str">
        <f t="shared" si="156"/>
        <v>Compliant</v>
      </c>
      <c r="AD560" t="str">
        <f t="shared" si="157"/>
        <v>On-time</v>
      </c>
      <c r="AE560" s="8">
        <f>MIN(Q560,Scenario!$B$2)</f>
        <v>0.10100000000000001</v>
      </c>
      <c r="AF560" s="33">
        <f>L560*(1+Scenario!$B$3)</f>
        <v>909.22449999999992</v>
      </c>
      <c r="AG560" s="6">
        <f>R560*(1+Scenario!$B$4)</f>
        <v>8.4</v>
      </c>
      <c r="AH560" s="33">
        <f t="shared" si="159"/>
        <v>10438.652196000001</v>
      </c>
      <c r="AI560" s="33">
        <f t="shared" si="160"/>
        <v>7637.4857999999995</v>
      </c>
      <c r="AJ560" s="33">
        <f t="shared" si="161"/>
        <v>2801.1663960000014</v>
      </c>
    </row>
    <row r="561" spans="1:36" hidden="1" x14ac:dyDescent="0.25">
      <c r="A561" s="12" t="s">
        <v>96</v>
      </c>
      <c r="B561" s="27">
        <v>45157</v>
      </c>
      <c r="C561" s="4">
        <v>45181</v>
      </c>
      <c r="D561" s="12" t="s">
        <v>648</v>
      </c>
      <c r="E561" s="12" t="s">
        <v>653</v>
      </c>
      <c r="F561" s="12" t="s">
        <v>688</v>
      </c>
      <c r="G561" s="12" t="s">
        <v>706</v>
      </c>
      <c r="H561" s="12" t="s">
        <v>707</v>
      </c>
      <c r="I561" s="12" t="s">
        <v>714</v>
      </c>
      <c r="J561" s="12" t="s">
        <v>728</v>
      </c>
      <c r="K561" s="12" t="s">
        <v>815</v>
      </c>
      <c r="L561" s="6">
        <v>1183.95</v>
      </c>
      <c r="M561" s="6">
        <v>1503.53</v>
      </c>
      <c r="N561" s="6">
        <f t="shared" si="144"/>
        <v>1503.53</v>
      </c>
      <c r="O561" s="6" t="str">
        <f t="shared" si="158"/>
        <v>High</v>
      </c>
      <c r="P561" s="6">
        <v>0.24099999999999999</v>
      </c>
      <c r="Q561" s="6">
        <f t="shared" si="145"/>
        <v>0.24099999999999999</v>
      </c>
      <c r="R561" s="6">
        <v>16</v>
      </c>
      <c r="S561" s="6" t="str">
        <f t="shared" si="146"/>
        <v>OK</v>
      </c>
      <c r="T561" s="4">
        <f t="shared" si="147"/>
        <v>45181</v>
      </c>
      <c r="U561" s="11">
        <f t="shared" si="148"/>
        <v>24</v>
      </c>
      <c r="V561" s="6">
        <f t="shared" si="149"/>
        <v>18258.868320000001</v>
      </c>
      <c r="W561" s="6">
        <f t="shared" si="150"/>
        <v>18943.2</v>
      </c>
      <c r="X561" s="6">
        <f t="shared" si="151"/>
        <v>-684.33167999999932</v>
      </c>
      <c r="Y561" s="6">
        <f t="shared" si="152"/>
        <v>-3.7479413729623705E-2</v>
      </c>
      <c r="Z561" s="4" t="str">
        <f t="shared" si="153"/>
        <v>Q3-2023</v>
      </c>
      <c r="AA561" t="str">
        <f t="shared" si="154"/>
        <v>Printers</v>
      </c>
      <c r="AB561" t="str">
        <f t="shared" si="155"/>
        <v>Printers</v>
      </c>
      <c r="AC561" t="str">
        <f t="shared" si="156"/>
        <v>Non-compliant</v>
      </c>
      <c r="AD561" t="str">
        <f t="shared" si="157"/>
        <v>Late</v>
      </c>
      <c r="AE561" s="8">
        <f>MIN(Q561,Scenario!$B$2)</f>
        <v>0.2</v>
      </c>
      <c r="AF561" s="33">
        <f>L561*(1+Scenario!$B$3)</f>
        <v>1361.5425</v>
      </c>
      <c r="AG561" s="6">
        <f>R561*(1+Scenario!$B$4)</f>
        <v>19.2</v>
      </c>
      <c r="AH561" s="33">
        <f t="shared" si="159"/>
        <v>23094.220799999999</v>
      </c>
      <c r="AI561" s="33">
        <f t="shared" si="160"/>
        <v>26141.615999999998</v>
      </c>
      <c r="AJ561" s="33">
        <f t="shared" si="161"/>
        <v>-3047.395199999999</v>
      </c>
    </row>
    <row r="562" spans="1:36" x14ac:dyDescent="0.25">
      <c r="A562" s="12" t="s">
        <v>485</v>
      </c>
      <c r="B562" s="27">
        <v>45167</v>
      </c>
      <c r="C562" s="4">
        <v>45188</v>
      </c>
      <c r="D562" s="12" t="s">
        <v>649</v>
      </c>
      <c r="E562" s="12" t="s">
        <v>657</v>
      </c>
      <c r="F562" s="12" t="s">
        <v>679</v>
      </c>
      <c r="G562" s="12" t="s">
        <v>705</v>
      </c>
      <c r="H562" s="12" t="s">
        <v>711</v>
      </c>
      <c r="I562" s="12" t="s">
        <v>717</v>
      </c>
      <c r="J562" s="12" t="s">
        <v>728</v>
      </c>
      <c r="K562" s="12" t="s">
        <v>1204</v>
      </c>
      <c r="L562" s="6">
        <v>784.46</v>
      </c>
      <c r="M562" s="6">
        <v>1843.51</v>
      </c>
      <c r="N562" s="6">
        <f t="shared" si="144"/>
        <v>1843.51</v>
      </c>
      <c r="O562" s="6" t="str">
        <f t="shared" si="158"/>
        <v>High</v>
      </c>
      <c r="P562" s="6">
        <v>0.13800000000000001</v>
      </c>
      <c r="Q562" s="6">
        <f t="shared" si="145"/>
        <v>0.13800000000000001</v>
      </c>
      <c r="R562" s="6">
        <v>23</v>
      </c>
      <c r="S562" s="6" t="str">
        <f t="shared" si="146"/>
        <v>OK</v>
      </c>
      <c r="T562" s="4">
        <f t="shared" si="147"/>
        <v>45188</v>
      </c>
      <c r="U562" s="11">
        <f t="shared" si="148"/>
        <v>21</v>
      </c>
      <c r="V562" s="6">
        <f t="shared" si="149"/>
        <v>36549.429260000004</v>
      </c>
      <c r="W562" s="6">
        <f t="shared" si="150"/>
        <v>18042.580000000002</v>
      </c>
      <c r="X562" s="6">
        <f t="shared" si="151"/>
        <v>18506.849260000003</v>
      </c>
      <c r="Y562" s="6">
        <f t="shared" si="152"/>
        <v>0.50635125184441798</v>
      </c>
      <c r="Z562" s="4" t="str">
        <f t="shared" si="153"/>
        <v>Q3-2023</v>
      </c>
      <c r="AA562" t="str">
        <f t="shared" si="154"/>
        <v>Printers</v>
      </c>
      <c r="AB562" t="str">
        <f t="shared" si="155"/>
        <v>Printers</v>
      </c>
      <c r="AC562" t="str">
        <f t="shared" si="156"/>
        <v>Compliant</v>
      </c>
      <c r="AD562" t="str">
        <f t="shared" si="157"/>
        <v>Late</v>
      </c>
      <c r="AE562" s="8">
        <f>MIN(Q562,Scenario!$B$2)</f>
        <v>0.13800000000000001</v>
      </c>
      <c r="AF562" s="33">
        <f>L562*(1+Scenario!$B$3)</f>
        <v>902.12900000000002</v>
      </c>
      <c r="AG562" s="6">
        <f>R562*(1+Scenario!$B$4)</f>
        <v>27.599999999999998</v>
      </c>
      <c r="AH562" s="33">
        <f t="shared" si="159"/>
        <v>43859.315111999997</v>
      </c>
      <c r="AI562" s="33">
        <f t="shared" si="160"/>
        <v>24898.760399999999</v>
      </c>
      <c r="AJ562" s="33">
        <f t="shared" si="161"/>
        <v>18960.554711999997</v>
      </c>
    </row>
    <row r="563" spans="1:36" x14ac:dyDescent="0.25">
      <c r="A563" s="12" t="s">
        <v>191</v>
      </c>
      <c r="B563" s="27">
        <v>45165</v>
      </c>
      <c r="C563" s="4">
        <v>45180</v>
      </c>
      <c r="D563" s="12" t="s">
        <v>649</v>
      </c>
      <c r="E563" s="12" t="s">
        <v>658</v>
      </c>
      <c r="F563" s="12" t="s">
        <v>683</v>
      </c>
      <c r="G563" s="12" t="s">
        <v>704</v>
      </c>
      <c r="H563" s="12" t="s">
        <v>709</v>
      </c>
      <c r="I563" s="12" t="s">
        <v>725</v>
      </c>
      <c r="J563" s="12" t="s">
        <v>728</v>
      </c>
      <c r="K563" s="12" t="s">
        <v>910</v>
      </c>
      <c r="L563" s="6">
        <v>943.79</v>
      </c>
      <c r="M563" s="6">
        <v>1913.76</v>
      </c>
      <c r="N563" s="6">
        <f t="shared" si="144"/>
        <v>1913.76</v>
      </c>
      <c r="O563" s="6" t="str">
        <f t="shared" si="158"/>
        <v>High</v>
      </c>
      <c r="P563" s="6">
        <v>9.0999999999999998E-2</v>
      </c>
      <c r="Q563" s="6">
        <f t="shared" si="145"/>
        <v>9.0999999999999998E-2</v>
      </c>
      <c r="R563" s="6">
        <v>9</v>
      </c>
      <c r="S563" s="6" t="str">
        <f t="shared" si="146"/>
        <v>OK</v>
      </c>
      <c r="T563" s="4">
        <f t="shared" si="147"/>
        <v>45180</v>
      </c>
      <c r="U563" s="11">
        <f t="shared" si="148"/>
        <v>15</v>
      </c>
      <c r="V563" s="6">
        <f t="shared" si="149"/>
        <v>15656.47056</v>
      </c>
      <c r="W563" s="6">
        <f t="shared" si="150"/>
        <v>8494.11</v>
      </c>
      <c r="X563" s="6">
        <f t="shared" si="151"/>
        <v>7162.3605599999992</v>
      </c>
      <c r="Y563" s="6">
        <f t="shared" si="152"/>
        <v>0.45746967891338081</v>
      </c>
      <c r="Z563" s="4" t="str">
        <f t="shared" si="153"/>
        <v>Q3-2023</v>
      </c>
      <c r="AA563" t="str">
        <f t="shared" si="154"/>
        <v>Printers</v>
      </c>
      <c r="AB563" t="str">
        <f t="shared" si="155"/>
        <v>Printers</v>
      </c>
      <c r="AC563" t="str">
        <f t="shared" si="156"/>
        <v>Compliant</v>
      </c>
      <c r="AD563" t="str">
        <f t="shared" si="157"/>
        <v>Late</v>
      </c>
      <c r="AE563" s="8">
        <f>MIN(Q563,Scenario!$B$2)</f>
        <v>9.0999999999999998E-2</v>
      </c>
      <c r="AF563" s="33">
        <f>L563*(1+Scenario!$B$3)</f>
        <v>1085.3584999999998</v>
      </c>
      <c r="AG563" s="6">
        <f>R563*(1+Scenario!$B$4)</f>
        <v>10.799999999999999</v>
      </c>
      <c r="AH563" s="33">
        <f t="shared" si="159"/>
        <v>18787.764671999998</v>
      </c>
      <c r="AI563" s="33">
        <f t="shared" si="160"/>
        <v>11721.871799999997</v>
      </c>
      <c r="AJ563" s="33">
        <f t="shared" si="161"/>
        <v>7065.8928720000004</v>
      </c>
    </row>
    <row r="564" spans="1:36" hidden="1" x14ac:dyDescent="0.25">
      <c r="A564" s="12" t="s">
        <v>498</v>
      </c>
      <c r="B564" s="27">
        <v>45148</v>
      </c>
      <c r="C564" s="4">
        <v>45153</v>
      </c>
      <c r="D564" s="12" t="s">
        <v>648</v>
      </c>
      <c r="E564" s="12" t="s">
        <v>655</v>
      </c>
      <c r="F564" s="12" t="s">
        <v>670</v>
      </c>
      <c r="G564" s="12" t="s">
        <v>702</v>
      </c>
      <c r="H564" s="12" t="s">
        <v>711</v>
      </c>
      <c r="I564" s="12" t="s">
        <v>715</v>
      </c>
      <c r="J564" s="12" t="s">
        <v>729</v>
      </c>
      <c r="K564" s="12" t="s">
        <v>1217</v>
      </c>
      <c r="L564" s="6">
        <v>1307.52</v>
      </c>
      <c r="M564" s="6">
        <v>1921.65</v>
      </c>
      <c r="N564" s="6">
        <f t="shared" si="144"/>
        <v>1921.65</v>
      </c>
      <c r="O564" s="6" t="str">
        <f t="shared" si="158"/>
        <v>High</v>
      </c>
      <c r="P564" s="6">
        <v>0.123</v>
      </c>
      <c r="Q564" s="6">
        <f t="shared" si="145"/>
        <v>0.123</v>
      </c>
      <c r="R564" s="6">
        <v>13</v>
      </c>
      <c r="S564" s="6" t="str">
        <f t="shared" si="146"/>
        <v>OK</v>
      </c>
      <c r="T564" s="4">
        <f t="shared" si="147"/>
        <v>45153</v>
      </c>
      <c r="U564" s="11">
        <f t="shared" si="148"/>
        <v>5</v>
      </c>
      <c r="V564" s="6">
        <f t="shared" si="149"/>
        <v>21908.731650000002</v>
      </c>
      <c r="W564" s="6">
        <f t="shared" si="150"/>
        <v>16997.759999999998</v>
      </c>
      <c r="X564" s="6">
        <f t="shared" si="151"/>
        <v>4910.9716500000031</v>
      </c>
      <c r="Y564" s="6">
        <f t="shared" si="152"/>
        <v>0.22415590863289445</v>
      </c>
      <c r="Z564" s="4" t="str">
        <f t="shared" si="153"/>
        <v>Q3-2023</v>
      </c>
      <c r="AA564" t="str">
        <f t="shared" si="154"/>
        <v>Networking</v>
      </c>
      <c r="AB564" t="str">
        <f t="shared" si="155"/>
        <v>Networking</v>
      </c>
      <c r="AC564" t="str">
        <f t="shared" si="156"/>
        <v>Compliant</v>
      </c>
      <c r="AD564" t="str">
        <f t="shared" si="157"/>
        <v>On-time</v>
      </c>
      <c r="AE564" s="8">
        <f>MIN(Q564,Scenario!$B$2)</f>
        <v>0.123</v>
      </c>
      <c r="AF564" s="33">
        <f>L564*(1+Scenario!$B$3)</f>
        <v>1503.6479999999999</v>
      </c>
      <c r="AG564" s="6">
        <f>R564*(1+Scenario!$B$4)</f>
        <v>15.6</v>
      </c>
      <c r="AH564" s="33">
        <f t="shared" si="159"/>
        <v>26290.47798</v>
      </c>
      <c r="AI564" s="33">
        <f t="shared" si="160"/>
        <v>23456.908799999997</v>
      </c>
      <c r="AJ564" s="33">
        <f t="shared" si="161"/>
        <v>2833.5691800000022</v>
      </c>
    </row>
    <row r="565" spans="1:36" hidden="1" x14ac:dyDescent="0.25">
      <c r="A565" s="12" t="s">
        <v>638</v>
      </c>
      <c r="B565" s="27">
        <v>45141</v>
      </c>
      <c r="C565" s="4">
        <v>45140</v>
      </c>
      <c r="D565" s="12" t="s">
        <v>647</v>
      </c>
      <c r="E565" s="12" t="s">
        <v>659</v>
      </c>
      <c r="F565" s="12" t="s">
        <v>685</v>
      </c>
      <c r="G565" s="12" t="s">
        <v>703</v>
      </c>
      <c r="H565" s="12" t="s">
        <v>711</v>
      </c>
      <c r="I565" s="12" t="s">
        <v>713</v>
      </c>
      <c r="J565" s="12" t="s">
        <v>729</v>
      </c>
      <c r="K565" s="12" t="s">
        <v>1356</v>
      </c>
      <c r="L565" s="6">
        <v>1021.97</v>
      </c>
      <c r="M565" s="6">
        <v>2296.25</v>
      </c>
      <c r="N565" s="6">
        <f t="shared" si="144"/>
        <v>2296.25</v>
      </c>
      <c r="O565" s="6" t="str">
        <f t="shared" si="158"/>
        <v>High</v>
      </c>
      <c r="P565" s="6">
        <v>0.161</v>
      </c>
      <c r="Q565" s="6">
        <f t="shared" si="145"/>
        <v>0.161</v>
      </c>
      <c r="R565" s="6">
        <v>26</v>
      </c>
      <c r="S565" s="6" t="str">
        <f t="shared" si="146"/>
        <v>Correct</v>
      </c>
      <c r="T565" s="4">
        <f t="shared" si="147"/>
        <v>45148</v>
      </c>
      <c r="U565" s="11">
        <f t="shared" si="148"/>
        <v>7</v>
      </c>
      <c r="V565" s="6">
        <f t="shared" si="149"/>
        <v>50090.397499999999</v>
      </c>
      <c r="W565" s="6">
        <f t="shared" si="150"/>
        <v>26571.22</v>
      </c>
      <c r="X565" s="6">
        <f t="shared" si="151"/>
        <v>23519.177499999998</v>
      </c>
      <c r="Y565" s="6">
        <f t="shared" si="152"/>
        <v>0.46953465482081669</v>
      </c>
      <c r="Z565" s="4" t="str">
        <f t="shared" si="153"/>
        <v>Q3-2023</v>
      </c>
      <c r="AA565" t="str">
        <f t="shared" si="154"/>
        <v>Networking</v>
      </c>
      <c r="AB565" t="str">
        <f t="shared" si="155"/>
        <v>Networking</v>
      </c>
      <c r="AC565" t="str">
        <f t="shared" si="156"/>
        <v>Compliant</v>
      </c>
      <c r="AD565" t="str">
        <f t="shared" si="157"/>
        <v>On-time</v>
      </c>
      <c r="AE565" s="8">
        <f>MIN(Q565,Scenario!$B$2)</f>
        <v>0.161</v>
      </c>
      <c r="AF565" s="33">
        <f>L565*(1+Scenario!$B$3)</f>
        <v>1175.2655</v>
      </c>
      <c r="AG565" s="6">
        <f>R565*(1+Scenario!$B$4)</f>
        <v>31.2</v>
      </c>
      <c r="AH565" s="33">
        <f t="shared" si="159"/>
        <v>60108.476999999999</v>
      </c>
      <c r="AI565" s="33">
        <f t="shared" si="160"/>
        <v>36668.283599999995</v>
      </c>
      <c r="AJ565" s="33">
        <f t="shared" si="161"/>
        <v>23440.193400000004</v>
      </c>
    </row>
    <row r="566" spans="1:36" hidden="1" x14ac:dyDescent="0.25">
      <c r="A566" s="12" t="s">
        <v>346</v>
      </c>
      <c r="B566" s="27">
        <v>45168</v>
      </c>
      <c r="C566" s="4">
        <v>45172</v>
      </c>
      <c r="D566" s="12" t="s">
        <v>647</v>
      </c>
      <c r="E566" s="12" t="s">
        <v>654</v>
      </c>
      <c r="F566" s="12" t="s">
        <v>680</v>
      </c>
      <c r="G566" s="12" t="s">
        <v>705</v>
      </c>
      <c r="H566" s="12" t="s">
        <v>709</v>
      </c>
      <c r="I566" s="12" t="s">
        <v>716</v>
      </c>
      <c r="J566" s="12" t="s">
        <v>733</v>
      </c>
      <c r="K566" s="12" t="s">
        <v>1066</v>
      </c>
      <c r="L566" s="6">
        <v>1082.25</v>
      </c>
      <c r="M566" s="6">
        <v>2433.34</v>
      </c>
      <c r="N566" s="6">
        <f t="shared" si="144"/>
        <v>2433.34</v>
      </c>
      <c r="O566" s="6" t="str">
        <f t="shared" si="158"/>
        <v>High</v>
      </c>
      <c r="P566" s="6">
        <v>0.27</v>
      </c>
      <c r="Q566" s="6">
        <f t="shared" si="145"/>
        <v>0.27</v>
      </c>
      <c r="R566" s="6">
        <v>4</v>
      </c>
      <c r="S566" s="6" t="str">
        <f t="shared" si="146"/>
        <v>OK</v>
      </c>
      <c r="T566" s="4">
        <f t="shared" si="147"/>
        <v>45172</v>
      </c>
      <c r="U566" s="11">
        <f t="shared" si="148"/>
        <v>4</v>
      </c>
      <c r="V566" s="6">
        <f t="shared" si="149"/>
        <v>7105.3528000000006</v>
      </c>
      <c r="W566" s="6">
        <f t="shared" si="150"/>
        <v>4329</v>
      </c>
      <c r="X566" s="6">
        <f t="shared" si="151"/>
        <v>2776.3528000000006</v>
      </c>
      <c r="Y566" s="6">
        <f t="shared" si="152"/>
        <v>0.3907410199251472</v>
      </c>
      <c r="Z566" s="4" t="str">
        <f t="shared" si="153"/>
        <v>Q3-2023</v>
      </c>
      <c r="AA566" t="str">
        <f t="shared" si="154"/>
        <v>Accessories</v>
      </c>
      <c r="AB566" t="str">
        <f t="shared" si="155"/>
        <v>Accessories</v>
      </c>
      <c r="AC566" t="str">
        <f t="shared" si="156"/>
        <v>Non-compliant</v>
      </c>
      <c r="AD566" t="str">
        <f t="shared" si="157"/>
        <v>On-time</v>
      </c>
      <c r="AE566" s="8">
        <f>MIN(Q566,Scenario!$B$2)</f>
        <v>0.2</v>
      </c>
      <c r="AF566" s="33">
        <f>L566*(1+Scenario!$B$3)</f>
        <v>1244.5874999999999</v>
      </c>
      <c r="AG566" s="6">
        <f>R566*(1+Scenario!$B$4)</f>
        <v>4.8</v>
      </c>
      <c r="AH566" s="33">
        <f t="shared" si="159"/>
        <v>9344.0256000000008</v>
      </c>
      <c r="AI566" s="33">
        <f t="shared" si="160"/>
        <v>5974.0199999999995</v>
      </c>
      <c r="AJ566" s="33">
        <f t="shared" si="161"/>
        <v>3370.0056000000013</v>
      </c>
    </row>
    <row r="567" spans="1:36" hidden="1" x14ac:dyDescent="0.25">
      <c r="A567" s="12" t="s">
        <v>427</v>
      </c>
      <c r="B567" s="27">
        <v>45163</v>
      </c>
      <c r="C567" s="4">
        <v>45185</v>
      </c>
      <c r="D567" s="12" t="s">
        <v>646</v>
      </c>
      <c r="E567" s="12" t="s">
        <v>651</v>
      </c>
      <c r="F567" s="12" t="s">
        <v>669</v>
      </c>
      <c r="G567" s="12" t="s">
        <v>701</v>
      </c>
      <c r="H567" s="12" t="s">
        <v>709</v>
      </c>
      <c r="I567" s="12" t="s">
        <v>716</v>
      </c>
      <c r="J567" s="12" t="s">
        <v>730</v>
      </c>
      <c r="K567" s="12" t="s">
        <v>1146</v>
      </c>
      <c r="L567" s="6">
        <v>1196.83</v>
      </c>
      <c r="M567" s="6">
        <v>2513.5100000000002</v>
      </c>
      <c r="N567" s="6">
        <f t="shared" si="144"/>
        <v>2513.5100000000002</v>
      </c>
      <c r="O567" s="6" t="str">
        <f t="shared" si="158"/>
        <v>High</v>
      </c>
      <c r="P567" s="6">
        <v>8.3000000000000004E-2</v>
      </c>
      <c r="Q567" s="6">
        <f t="shared" si="145"/>
        <v>8.3000000000000004E-2</v>
      </c>
      <c r="R567" s="6">
        <v>7</v>
      </c>
      <c r="S567" s="6" t="str">
        <f t="shared" si="146"/>
        <v>OK</v>
      </c>
      <c r="T567" s="4">
        <f t="shared" si="147"/>
        <v>45185</v>
      </c>
      <c r="U567" s="11">
        <f t="shared" si="148"/>
        <v>22</v>
      </c>
      <c r="V567" s="6">
        <f t="shared" si="149"/>
        <v>16134.22069</v>
      </c>
      <c r="W567" s="6">
        <f t="shared" si="150"/>
        <v>8377.81</v>
      </c>
      <c r="X567" s="6">
        <f t="shared" si="151"/>
        <v>7756.4106900000006</v>
      </c>
      <c r="Y567" s="6">
        <f t="shared" si="152"/>
        <v>0.48074281609445374</v>
      </c>
      <c r="Z567" s="4" t="str">
        <f t="shared" si="153"/>
        <v>Q3-2023</v>
      </c>
      <c r="AA567" t="str">
        <f t="shared" si="154"/>
        <v>Phones</v>
      </c>
      <c r="AB567" t="str">
        <f t="shared" si="155"/>
        <v>Phones</v>
      </c>
      <c r="AC567" t="str">
        <f t="shared" si="156"/>
        <v>Compliant</v>
      </c>
      <c r="AD567" t="str">
        <f t="shared" si="157"/>
        <v>Late</v>
      </c>
      <c r="AE567" s="8">
        <f>MIN(Q567,Scenario!$B$2)</f>
        <v>8.3000000000000004E-2</v>
      </c>
      <c r="AF567" s="33">
        <f>L567*(1+Scenario!$B$3)</f>
        <v>1376.3544999999999</v>
      </c>
      <c r="AG567" s="6">
        <f>R567*(1+Scenario!$B$4)</f>
        <v>8.4</v>
      </c>
      <c r="AH567" s="33">
        <f t="shared" si="159"/>
        <v>19361.064828000006</v>
      </c>
      <c r="AI567" s="33">
        <f t="shared" si="160"/>
        <v>11561.3778</v>
      </c>
      <c r="AJ567" s="33">
        <f t="shared" si="161"/>
        <v>7799.6870280000057</v>
      </c>
    </row>
    <row r="568" spans="1:36" hidden="1" x14ac:dyDescent="0.25">
      <c r="A568" s="12" t="s">
        <v>429</v>
      </c>
      <c r="B568" s="27">
        <v>45167</v>
      </c>
      <c r="C568" s="4">
        <v>45182</v>
      </c>
      <c r="D568" s="12" t="s">
        <v>648</v>
      </c>
      <c r="E568" s="12" t="s">
        <v>653</v>
      </c>
      <c r="F568" s="12" t="s">
        <v>688</v>
      </c>
      <c r="G568" s="12" t="s">
        <v>705</v>
      </c>
      <c r="H568" s="12" t="s">
        <v>709</v>
      </c>
      <c r="I568" s="12" t="s">
        <v>719</v>
      </c>
      <c r="J568" s="12" t="s">
        <v>728</v>
      </c>
      <c r="K568" s="12" t="s">
        <v>1148</v>
      </c>
      <c r="L568" s="6">
        <v>1287.6400000000001</v>
      </c>
      <c r="M568" s="6">
        <v>2717.15</v>
      </c>
      <c r="N568" s="6">
        <f t="shared" si="144"/>
        <v>2717.15</v>
      </c>
      <c r="O568" s="6" t="str">
        <f t="shared" si="158"/>
        <v>High</v>
      </c>
      <c r="P568" s="6">
        <v>3.2000000000000001E-2</v>
      </c>
      <c r="Q568" s="6">
        <f t="shared" si="145"/>
        <v>3.2000000000000001E-2</v>
      </c>
      <c r="R568" s="6">
        <v>7</v>
      </c>
      <c r="S568" s="6" t="str">
        <f t="shared" si="146"/>
        <v>OK</v>
      </c>
      <c r="T568" s="4">
        <f t="shared" si="147"/>
        <v>45182</v>
      </c>
      <c r="U568" s="11">
        <f t="shared" si="148"/>
        <v>15</v>
      </c>
      <c r="V568" s="6">
        <f t="shared" si="149"/>
        <v>18411.4084</v>
      </c>
      <c r="W568" s="6">
        <f t="shared" si="150"/>
        <v>9013.4800000000014</v>
      </c>
      <c r="X568" s="6">
        <f t="shared" si="151"/>
        <v>9397.9283999999989</v>
      </c>
      <c r="Y568" s="6">
        <f t="shared" si="152"/>
        <v>0.51044049405802105</v>
      </c>
      <c r="Z568" s="4" t="str">
        <f t="shared" si="153"/>
        <v>Q3-2023</v>
      </c>
      <c r="AA568" t="str">
        <f t="shared" si="154"/>
        <v>Printers</v>
      </c>
      <c r="AB568" t="str">
        <f t="shared" si="155"/>
        <v>Printers</v>
      </c>
      <c r="AC568" t="str">
        <f t="shared" si="156"/>
        <v>Compliant</v>
      </c>
      <c r="AD568" t="str">
        <f t="shared" si="157"/>
        <v>Late</v>
      </c>
      <c r="AE568" s="8">
        <f>MIN(Q568,Scenario!$B$2)</f>
        <v>3.2000000000000001E-2</v>
      </c>
      <c r="AF568" s="33">
        <f>L568*(1+Scenario!$B$3)</f>
        <v>1480.7860000000001</v>
      </c>
      <c r="AG568" s="6">
        <f>R568*(1+Scenario!$B$4)</f>
        <v>8.4</v>
      </c>
      <c r="AH568" s="33">
        <f t="shared" si="159"/>
        <v>22093.69008</v>
      </c>
      <c r="AI568" s="33">
        <f t="shared" si="160"/>
        <v>12438.602400000002</v>
      </c>
      <c r="AJ568" s="33">
        <f t="shared" si="161"/>
        <v>9655.0876799999987</v>
      </c>
    </row>
    <row r="569" spans="1:36" hidden="1" x14ac:dyDescent="0.25">
      <c r="A569" s="12" t="s">
        <v>543</v>
      </c>
      <c r="B569" s="27">
        <v>45162</v>
      </c>
      <c r="C569" s="4">
        <v>45189</v>
      </c>
      <c r="D569" s="12" t="s">
        <v>646</v>
      </c>
      <c r="E569" s="12" t="s">
        <v>661</v>
      </c>
      <c r="F569" s="12" t="s">
        <v>687</v>
      </c>
      <c r="G569" s="12" t="s">
        <v>705</v>
      </c>
      <c r="H569" s="12" t="s">
        <v>709</v>
      </c>
      <c r="I569" s="12" t="s">
        <v>724</v>
      </c>
      <c r="J569" s="12" t="s">
        <v>728</v>
      </c>
      <c r="K569" s="12" t="s">
        <v>1262</v>
      </c>
      <c r="L569" s="6">
        <v>1399.64</v>
      </c>
      <c r="M569" s="6">
        <v>3342.11</v>
      </c>
      <c r="N569" s="6">
        <f t="shared" si="144"/>
        <v>3342.11</v>
      </c>
      <c r="O569" s="6" t="str">
        <f t="shared" si="158"/>
        <v>High</v>
      </c>
      <c r="P569" s="6">
        <v>0</v>
      </c>
      <c r="Q569" s="6">
        <f t="shared" si="145"/>
        <v>0</v>
      </c>
      <c r="R569" s="6">
        <v>10</v>
      </c>
      <c r="S569" s="6" t="str">
        <f t="shared" si="146"/>
        <v>OK</v>
      </c>
      <c r="T569" s="4">
        <f t="shared" si="147"/>
        <v>45189</v>
      </c>
      <c r="U569" s="11">
        <f t="shared" si="148"/>
        <v>27</v>
      </c>
      <c r="V569" s="6">
        <f t="shared" si="149"/>
        <v>33421.1</v>
      </c>
      <c r="W569" s="6">
        <f t="shared" si="150"/>
        <v>13996.400000000001</v>
      </c>
      <c r="X569" s="6">
        <f t="shared" si="151"/>
        <v>19424.699999999997</v>
      </c>
      <c r="Y569" s="6">
        <f t="shared" si="152"/>
        <v>0.58121067229983447</v>
      </c>
      <c r="Z569" s="4" t="str">
        <f t="shared" si="153"/>
        <v>Q3-2023</v>
      </c>
      <c r="AA569" t="str">
        <f t="shared" si="154"/>
        <v>Printers</v>
      </c>
      <c r="AB569" t="str">
        <f t="shared" si="155"/>
        <v>Printers</v>
      </c>
      <c r="AC569" t="str">
        <f t="shared" si="156"/>
        <v>Compliant</v>
      </c>
      <c r="AD569" t="str">
        <f t="shared" si="157"/>
        <v>Late</v>
      </c>
      <c r="AE569" s="8">
        <f>MIN(Q569,Scenario!$B$2)</f>
        <v>0</v>
      </c>
      <c r="AF569" s="33">
        <f>L569*(1+Scenario!$B$3)</f>
        <v>1609.586</v>
      </c>
      <c r="AG569" s="6">
        <f>R569*(1+Scenario!$B$4)</f>
        <v>12</v>
      </c>
      <c r="AH569" s="33">
        <f t="shared" si="159"/>
        <v>40105.32</v>
      </c>
      <c r="AI569" s="33">
        <f t="shared" si="160"/>
        <v>19315.031999999999</v>
      </c>
      <c r="AJ569" s="33">
        <f t="shared" si="161"/>
        <v>20790.288</v>
      </c>
    </row>
    <row r="570" spans="1:36" x14ac:dyDescent="0.25">
      <c r="A570" s="12" t="s">
        <v>300</v>
      </c>
      <c r="B570" s="27">
        <v>45751</v>
      </c>
      <c r="C570" s="4">
        <v>45760</v>
      </c>
      <c r="D570" s="12" t="s">
        <v>649</v>
      </c>
      <c r="E570" s="12" t="s">
        <v>656</v>
      </c>
      <c r="F570" s="12" t="s">
        <v>684</v>
      </c>
      <c r="G570" s="12" t="s">
        <v>704</v>
      </c>
      <c r="H570" s="12" t="s">
        <v>709</v>
      </c>
      <c r="I570" s="12" t="s">
        <v>721</v>
      </c>
      <c r="J570" s="12" t="s">
        <v>730</v>
      </c>
      <c r="K570" s="12" t="s">
        <v>1020</v>
      </c>
      <c r="L570" s="6">
        <v>7.02</v>
      </c>
      <c r="M570" s="6">
        <v>6.28</v>
      </c>
      <c r="N570" s="6">
        <f t="shared" si="144"/>
        <v>6.28</v>
      </c>
      <c r="O570" s="6" t="str">
        <f t="shared" si="158"/>
        <v>Low</v>
      </c>
      <c r="P570" s="6">
        <v>0.13400000000000001</v>
      </c>
      <c r="Q570" s="6">
        <f t="shared" si="145"/>
        <v>0.13400000000000001</v>
      </c>
      <c r="R570" s="6">
        <v>14</v>
      </c>
      <c r="S570" s="6" t="str">
        <f t="shared" si="146"/>
        <v>OK</v>
      </c>
      <c r="T570" s="4">
        <f t="shared" si="147"/>
        <v>45760</v>
      </c>
      <c r="U570" s="11">
        <f t="shared" si="148"/>
        <v>9</v>
      </c>
      <c r="V570" s="6">
        <f t="shared" si="149"/>
        <v>76.138720000000006</v>
      </c>
      <c r="W570" s="6">
        <f t="shared" si="150"/>
        <v>98.28</v>
      </c>
      <c r="X570" s="6">
        <f t="shared" si="151"/>
        <v>-22.141279999999995</v>
      </c>
      <c r="Y570" s="6">
        <f t="shared" si="152"/>
        <v>-0.29080184169106066</v>
      </c>
      <c r="Z570" s="4" t="str">
        <f t="shared" si="153"/>
        <v>Q2-2025</v>
      </c>
      <c r="AA570" t="str">
        <f t="shared" si="154"/>
        <v>Phones</v>
      </c>
      <c r="AB570" t="str">
        <f t="shared" si="155"/>
        <v>Phones</v>
      </c>
      <c r="AC570" t="str">
        <f t="shared" si="156"/>
        <v>Compliant</v>
      </c>
      <c r="AD570" t="str">
        <f t="shared" si="157"/>
        <v>Late</v>
      </c>
      <c r="AE570" s="8">
        <f>MIN(Q570,Scenario!$B$2)</f>
        <v>0.13400000000000001</v>
      </c>
      <c r="AF570" s="33">
        <f>L570*(1+Scenario!$B$3)</f>
        <v>8.0729999999999986</v>
      </c>
      <c r="AG570" s="6">
        <f>R570*(1+Scenario!$B$4)</f>
        <v>16.8</v>
      </c>
      <c r="AH570" s="33">
        <f t="shared" si="159"/>
        <v>91.366464000000008</v>
      </c>
      <c r="AI570" s="33">
        <f t="shared" si="160"/>
        <v>135.62639999999999</v>
      </c>
      <c r="AJ570" s="33">
        <f t="shared" si="161"/>
        <v>-44.259935999999982</v>
      </c>
    </row>
    <row r="571" spans="1:36" x14ac:dyDescent="0.25">
      <c r="A571" s="12" t="s">
        <v>261</v>
      </c>
      <c r="B571" s="27">
        <v>45769</v>
      </c>
      <c r="C571" s="4">
        <v>45779</v>
      </c>
      <c r="D571" s="12" t="s">
        <v>649</v>
      </c>
      <c r="E571" s="12" t="s">
        <v>656</v>
      </c>
      <c r="F571" s="12" t="s">
        <v>671</v>
      </c>
      <c r="G571" s="12" t="s">
        <v>701</v>
      </c>
      <c r="H571" s="12" t="s">
        <v>709</v>
      </c>
      <c r="I571" s="12" t="s">
        <v>712</v>
      </c>
      <c r="J571" s="12" t="s">
        <v>732</v>
      </c>
      <c r="K571" s="12" t="s">
        <v>981</v>
      </c>
      <c r="L571" s="6">
        <v>20.149999999999999</v>
      </c>
      <c r="M571" s="6">
        <v>39.74</v>
      </c>
      <c r="N571" s="6">
        <f t="shared" si="144"/>
        <v>39.74</v>
      </c>
      <c r="O571" s="6" t="str">
        <f t="shared" si="158"/>
        <v>Low</v>
      </c>
      <c r="P571" s="6">
        <v>0.151</v>
      </c>
      <c r="Q571" s="6">
        <f t="shared" si="145"/>
        <v>0.151</v>
      </c>
      <c r="R571" s="6">
        <v>18</v>
      </c>
      <c r="S571" s="6" t="str">
        <f t="shared" si="146"/>
        <v>OK</v>
      </c>
      <c r="T571" s="4">
        <f t="shared" si="147"/>
        <v>45779</v>
      </c>
      <c r="U571" s="11">
        <f t="shared" si="148"/>
        <v>10</v>
      </c>
      <c r="V571" s="6">
        <f t="shared" si="149"/>
        <v>607.30668000000003</v>
      </c>
      <c r="W571" s="6">
        <f t="shared" si="150"/>
        <v>362.7</v>
      </c>
      <c r="X571" s="6">
        <f t="shared" si="151"/>
        <v>244.60668000000004</v>
      </c>
      <c r="Y571" s="6">
        <f t="shared" si="152"/>
        <v>0.4027729120318585</v>
      </c>
      <c r="Z571" s="4" t="str">
        <f t="shared" si="153"/>
        <v>Q2-2025</v>
      </c>
      <c r="AA571" t="str">
        <f t="shared" si="154"/>
        <v>Monitors</v>
      </c>
      <c r="AB571" t="str">
        <f t="shared" si="155"/>
        <v>Monitors</v>
      </c>
      <c r="AC571" t="str">
        <f t="shared" si="156"/>
        <v>Compliant</v>
      </c>
      <c r="AD571" t="str">
        <f t="shared" si="157"/>
        <v>Late</v>
      </c>
      <c r="AE571" s="8">
        <f>MIN(Q571,Scenario!$B$2)</f>
        <v>0.151</v>
      </c>
      <c r="AF571" s="33">
        <f>L571*(1+Scenario!$B$3)</f>
        <v>23.172499999999996</v>
      </c>
      <c r="AG571" s="6">
        <f>R571*(1+Scenario!$B$4)</f>
        <v>21.599999999999998</v>
      </c>
      <c r="AH571" s="33">
        <f t="shared" si="159"/>
        <v>728.76801599999999</v>
      </c>
      <c r="AI571" s="33">
        <f t="shared" si="160"/>
        <v>500.52599999999984</v>
      </c>
      <c r="AJ571" s="33">
        <f t="shared" si="161"/>
        <v>228.24201600000015</v>
      </c>
    </row>
    <row r="572" spans="1:36" hidden="1" x14ac:dyDescent="0.25">
      <c r="A572" s="12" t="s">
        <v>98</v>
      </c>
      <c r="B572" s="27">
        <v>45770</v>
      </c>
      <c r="C572" s="4">
        <v>45769</v>
      </c>
      <c r="D572" s="12" t="s">
        <v>648</v>
      </c>
      <c r="E572" s="12" t="s">
        <v>660</v>
      </c>
      <c r="F572" s="12" t="s">
        <v>686</v>
      </c>
      <c r="G572" s="12" t="s">
        <v>703</v>
      </c>
      <c r="H572" s="12" t="s">
        <v>710</v>
      </c>
      <c r="I572" s="12" t="s">
        <v>726</v>
      </c>
      <c r="J572" s="12" t="s">
        <v>732</v>
      </c>
      <c r="K572" s="12" t="s">
        <v>817</v>
      </c>
      <c r="L572" s="6">
        <v>23.24</v>
      </c>
      <c r="M572" s="6">
        <v>44.57</v>
      </c>
      <c r="N572" s="6">
        <f t="shared" si="144"/>
        <v>44.57</v>
      </c>
      <c r="O572" s="6" t="str">
        <f t="shared" si="158"/>
        <v>Low</v>
      </c>
      <c r="P572" s="6">
        <v>0.215</v>
      </c>
      <c r="Q572" s="6">
        <f t="shared" si="145"/>
        <v>0.215</v>
      </c>
      <c r="R572" s="6">
        <v>15</v>
      </c>
      <c r="S572" s="6" t="str">
        <f t="shared" si="146"/>
        <v>Correct</v>
      </c>
      <c r="T572" s="4">
        <f t="shared" si="147"/>
        <v>45777</v>
      </c>
      <c r="U572" s="11">
        <f t="shared" si="148"/>
        <v>7</v>
      </c>
      <c r="V572" s="6">
        <f t="shared" si="149"/>
        <v>524.81174999999996</v>
      </c>
      <c r="W572" s="6">
        <f t="shared" si="150"/>
        <v>348.59999999999997</v>
      </c>
      <c r="X572" s="6">
        <f t="shared" si="151"/>
        <v>176.21174999999999</v>
      </c>
      <c r="Y572" s="6">
        <f t="shared" si="152"/>
        <v>0.33576182316802167</v>
      </c>
      <c r="Z572" s="4" t="str">
        <f t="shared" si="153"/>
        <v>Q2-2025</v>
      </c>
      <c r="AA572" t="str">
        <f t="shared" si="154"/>
        <v>Monitors</v>
      </c>
      <c r="AB572" t="str">
        <f t="shared" si="155"/>
        <v>Monitors</v>
      </c>
      <c r="AC572" t="str">
        <f t="shared" si="156"/>
        <v>Non-compliant</v>
      </c>
      <c r="AD572" t="str">
        <f t="shared" si="157"/>
        <v>On-time</v>
      </c>
      <c r="AE572" s="8">
        <f>MIN(Q572,Scenario!$B$2)</f>
        <v>0.2</v>
      </c>
      <c r="AF572" s="33">
        <f>L572*(1+Scenario!$B$3)</f>
        <v>26.725999999999996</v>
      </c>
      <c r="AG572" s="6">
        <f>R572*(1+Scenario!$B$4)</f>
        <v>18</v>
      </c>
      <c r="AH572" s="33">
        <f t="shared" si="159"/>
        <v>641.80799999999999</v>
      </c>
      <c r="AI572" s="33">
        <f t="shared" si="160"/>
        <v>481.06799999999993</v>
      </c>
      <c r="AJ572" s="33">
        <f t="shared" si="161"/>
        <v>160.74000000000007</v>
      </c>
    </row>
    <row r="573" spans="1:36" x14ac:dyDescent="0.25">
      <c r="A573" s="12" t="s">
        <v>546</v>
      </c>
      <c r="B573" s="27">
        <v>45769</v>
      </c>
      <c r="C573" s="4">
        <v>45789</v>
      </c>
      <c r="D573" s="12" t="s">
        <v>649</v>
      </c>
      <c r="E573" s="12" t="s">
        <v>657</v>
      </c>
      <c r="F573" s="12" t="s">
        <v>679</v>
      </c>
      <c r="G573" s="12" t="s">
        <v>706</v>
      </c>
      <c r="H573" s="12" t="s">
        <v>709</v>
      </c>
      <c r="I573" s="12" t="s">
        <v>723</v>
      </c>
      <c r="J573" s="12" t="s">
        <v>732</v>
      </c>
      <c r="K573" s="12" t="s">
        <v>1265</v>
      </c>
      <c r="L573" s="6">
        <v>59.51</v>
      </c>
      <c r="M573" s="6">
        <v>67.040000000000006</v>
      </c>
      <c r="N573" s="6">
        <f t="shared" si="144"/>
        <v>67.040000000000006</v>
      </c>
      <c r="O573" s="6" t="str">
        <f t="shared" si="158"/>
        <v>Low</v>
      </c>
      <c r="P573" s="6">
        <v>0.114</v>
      </c>
      <c r="Q573" s="6">
        <f t="shared" si="145"/>
        <v>0.114</v>
      </c>
      <c r="R573" s="6">
        <v>9</v>
      </c>
      <c r="S573" s="6" t="str">
        <f t="shared" si="146"/>
        <v>OK</v>
      </c>
      <c r="T573" s="4">
        <f t="shared" si="147"/>
        <v>45789</v>
      </c>
      <c r="U573" s="11">
        <f t="shared" si="148"/>
        <v>20</v>
      </c>
      <c r="V573" s="6">
        <f t="shared" si="149"/>
        <v>534.57695999999999</v>
      </c>
      <c r="W573" s="6">
        <f t="shared" si="150"/>
        <v>535.59</v>
      </c>
      <c r="X573" s="6">
        <f t="shared" si="151"/>
        <v>-1.0130400000000463</v>
      </c>
      <c r="Y573" s="6">
        <f t="shared" si="152"/>
        <v>-1.8950311663264469E-3</v>
      </c>
      <c r="Z573" s="4" t="str">
        <f t="shared" si="153"/>
        <v>Q2-2025</v>
      </c>
      <c r="AA573" t="str">
        <f t="shared" si="154"/>
        <v>Monitors</v>
      </c>
      <c r="AB573" t="str">
        <f t="shared" si="155"/>
        <v>Monitors</v>
      </c>
      <c r="AC573" t="str">
        <f t="shared" si="156"/>
        <v>Compliant</v>
      </c>
      <c r="AD573" t="str">
        <f t="shared" si="157"/>
        <v>Late</v>
      </c>
      <c r="AE573" s="8">
        <f>MIN(Q573,Scenario!$B$2)</f>
        <v>0.114</v>
      </c>
      <c r="AF573" s="33">
        <f>L573*(1+Scenario!$B$3)</f>
        <v>68.436499999999995</v>
      </c>
      <c r="AG573" s="6">
        <f>R573*(1+Scenario!$B$4)</f>
        <v>10.799999999999999</v>
      </c>
      <c r="AH573" s="33">
        <f t="shared" si="159"/>
        <v>641.4923520000001</v>
      </c>
      <c r="AI573" s="33">
        <f t="shared" si="160"/>
        <v>739.11419999999987</v>
      </c>
      <c r="AJ573" s="33">
        <f t="shared" si="161"/>
        <v>-97.621847999999773</v>
      </c>
    </row>
    <row r="574" spans="1:36" hidden="1" x14ac:dyDescent="0.25">
      <c r="A574" s="12" t="s">
        <v>477</v>
      </c>
      <c r="B574" s="27">
        <v>45757</v>
      </c>
      <c r="C574" s="4">
        <v>45766</v>
      </c>
      <c r="D574" s="12" t="s">
        <v>646</v>
      </c>
      <c r="E574" s="12" t="s">
        <v>661</v>
      </c>
      <c r="F574" s="12" t="s">
        <v>687</v>
      </c>
      <c r="G574" s="12" t="s">
        <v>706</v>
      </c>
      <c r="H574" s="14" t="s">
        <v>1379</v>
      </c>
      <c r="I574" s="12" t="s">
        <v>715</v>
      </c>
      <c r="J574" s="12" t="s">
        <v>729</v>
      </c>
      <c r="K574" s="12" t="s">
        <v>1196</v>
      </c>
      <c r="L574" s="6">
        <v>113.74</v>
      </c>
      <c r="M574" s="6">
        <v>165.7</v>
      </c>
      <c r="N574" s="6">
        <f t="shared" si="144"/>
        <v>165.7</v>
      </c>
      <c r="O574" s="6" t="str">
        <f t="shared" si="158"/>
        <v>Low</v>
      </c>
      <c r="P574" s="6">
        <v>0.124</v>
      </c>
      <c r="Q574" s="6">
        <f t="shared" si="145"/>
        <v>0.124</v>
      </c>
      <c r="R574" s="6">
        <v>13</v>
      </c>
      <c r="S574" s="6" t="str">
        <f t="shared" si="146"/>
        <v>OK</v>
      </c>
      <c r="T574" s="4">
        <f t="shared" si="147"/>
        <v>45766</v>
      </c>
      <c r="U574" s="11">
        <f t="shared" si="148"/>
        <v>9</v>
      </c>
      <c r="V574" s="6">
        <f t="shared" si="149"/>
        <v>1886.9915999999998</v>
      </c>
      <c r="W574" s="6">
        <f t="shared" si="150"/>
        <v>1478.62</v>
      </c>
      <c r="X574" s="6">
        <f t="shared" si="151"/>
        <v>408.37159999999994</v>
      </c>
      <c r="Y574" s="6">
        <f t="shared" si="152"/>
        <v>0.21641410592394794</v>
      </c>
      <c r="Z574" s="4" t="str">
        <f t="shared" si="153"/>
        <v>Q2-2025</v>
      </c>
      <c r="AA574" t="str">
        <f t="shared" si="154"/>
        <v>Networking</v>
      </c>
      <c r="AB574" t="str">
        <f t="shared" si="155"/>
        <v>Networking</v>
      </c>
      <c r="AC574" t="str">
        <f t="shared" si="156"/>
        <v>Compliant</v>
      </c>
      <c r="AD574" t="str">
        <f t="shared" si="157"/>
        <v>Late</v>
      </c>
      <c r="AE574" s="8">
        <f>MIN(Q574,Scenario!$B$2)</f>
        <v>0.124</v>
      </c>
      <c r="AF574" s="33">
        <f>L574*(1+Scenario!$B$3)</f>
        <v>130.80099999999999</v>
      </c>
      <c r="AG574" s="6">
        <f>R574*(1+Scenario!$B$4)</f>
        <v>15.6</v>
      </c>
      <c r="AH574" s="33">
        <f t="shared" si="159"/>
        <v>2264.3899199999996</v>
      </c>
      <c r="AI574" s="33">
        <f t="shared" si="160"/>
        <v>2040.4955999999997</v>
      </c>
      <c r="AJ574" s="33">
        <f t="shared" si="161"/>
        <v>223.89431999999988</v>
      </c>
    </row>
    <row r="575" spans="1:36" x14ac:dyDescent="0.25">
      <c r="A575" s="12" t="s">
        <v>319</v>
      </c>
      <c r="B575" s="27">
        <v>45756</v>
      </c>
      <c r="C575" s="4">
        <v>45759</v>
      </c>
      <c r="D575" s="12" t="s">
        <v>649</v>
      </c>
      <c r="E575" s="12" t="s">
        <v>657</v>
      </c>
      <c r="F575" s="12" t="s">
        <v>679</v>
      </c>
      <c r="G575" s="12" t="s">
        <v>705</v>
      </c>
      <c r="H575" s="12" t="s">
        <v>710</v>
      </c>
      <c r="I575" s="12" t="s">
        <v>722</v>
      </c>
      <c r="J575" s="12" t="s">
        <v>732</v>
      </c>
      <c r="K575" s="12" t="s">
        <v>1039</v>
      </c>
      <c r="L575" s="6">
        <v>86.68</v>
      </c>
      <c r="M575" s="6">
        <v>213.32</v>
      </c>
      <c r="N575" s="6">
        <f t="shared" si="144"/>
        <v>213.32</v>
      </c>
      <c r="O575" s="6" t="str">
        <f t="shared" si="158"/>
        <v>Low</v>
      </c>
      <c r="P575" s="6">
        <v>3.7999999999999999E-2</v>
      </c>
      <c r="Q575" s="6">
        <f t="shared" si="145"/>
        <v>3.7999999999999999E-2</v>
      </c>
      <c r="R575" s="6">
        <v>8</v>
      </c>
      <c r="S575" s="6" t="str">
        <f t="shared" si="146"/>
        <v>OK</v>
      </c>
      <c r="T575" s="4">
        <f t="shared" si="147"/>
        <v>45759</v>
      </c>
      <c r="U575" s="11">
        <f t="shared" si="148"/>
        <v>3</v>
      </c>
      <c r="V575" s="6">
        <f t="shared" si="149"/>
        <v>1641.7107199999998</v>
      </c>
      <c r="W575" s="6">
        <f t="shared" si="150"/>
        <v>693.44</v>
      </c>
      <c r="X575" s="6">
        <f t="shared" si="151"/>
        <v>948.27071999999976</v>
      </c>
      <c r="Y575" s="6">
        <f t="shared" si="152"/>
        <v>0.57761133459614611</v>
      </c>
      <c r="Z575" s="4" t="str">
        <f t="shared" si="153"/>
        <v>Q2-2025</v>
      </c>
      <c r="AA575" t="str">
        <f t="shared" si="154"/>
        <v>Monitors</v>
      </c>
      <c r="AB575" t="str">
        <f t="shared" si="155"/>
        <v>Monitors</v>
      </c>
      <c r="AC575" t="str">
        <f t="shared" si="156"/>
        <v>Compliant</v>
      </c>
      <c r="AD575" t="str">
        <f t="shared" si="157"/>
        <v>On-time</v>
      </c>
      <c r="AE575" s="8">
        <f>MIN(Q575,Scenario!$B$2)</f>
        <v>3.7999999999999999E-2</v>
      </c>
      <c r="AF575" s="33">
        <f>L575*(1+Scenario!$B$3)</f>
        <v>99.682000000000002</v>
      </c>
      <c r="AG575" s="6">
        <f>R575*(1+Scenario!$B$4)</f>
        <v>9.6</v>
      </c>
      <c r="AH575" s="33">
        <f t="shared" si="159"/>
        <v>1970.0528639999998</v>
      </c>
      <c r="AI575" s="33">
        <f t="shared" si="160"/>
        <v>956.94719999999995</v>
      </c>
      <c r="AJ575" s="33">
        <f t="shared" si="161"/>
        <v>1013.1056639999998</v>
      </c>
    </row>
    <row r="576" spans="1:36" hidden="1" x14ac:dyDescent="0.25">
      <c r="A576" s="12" t="s">
        <v>332</v>
      </c>
      <c r="B576" s="27">
        <v>45748</v>
      </c>
      <c r="C576" s="4">
        <v>45774</v>
      </c>
      <c r="D576" s="12" t="s">
        <v>648</v>
      </c>
      <c r="E576" s="12" t="s">
        <v>660</v>
      </c>
      <c r="F576" s="12" t="s">
        <v>686</v>
      </c>
      <c r="G576" s="12" t="s">
        <v>701</v>
      </c>
      <c r="H576" s="12" t="s">
        <v>711</v>
      </c>
      <c r="I576" s="12" t="s">
        <v>714</v>
      </c>
      <c r="J576" s="12" t="s">
        <v>732</v>
      </c>
      <c r="K576" s="12" t="s">
        <v>1052</v>
      </c>
      <c r="L576" s="6">
        <v>156.55000000000001</v>
      </c>
      <c r="M576" s="6">
        <v>227.45</v>
      </c>
      <c r="N576" s="6">
        <f t="shared" si="144"/>
        <v>227.45</v>
      </c>
      <c r="O576" s="6" t="str">
        <f t="shared" si="158"/>
        <v>Low</v>
      </c>
      <c r="P576" s="6">
        <v>1.4E-2</v>
      </c>
      <c r="Q576" s="6">
        <f t="shared" si="145"/>
        <v>1.4E-2</v>
      </c>
      <c r="R576" s="6">
        <v>13</v>
      </c>
      <c r="S576" s="6" t="str">
        <f t="shared" si="146"/>
        <v>OK</v>
      </c>
      <c r="T576" s="4">
        <f t="shared" si="147"/>
        <v>45774</v>
      </c>
      <c r="U576" s="11">
        <f t="shared" si="148"/>
        <v>26</v>
      </c>
      <c r="V576" s="6">
        <f t="shared" si="149"/>
        <v>2915.4540999999999</v>
      </c>
      <c r="W576" s="6">
        <f t="shared" si="150"/>
        <v>2035.15</v>
      </c>
      <c r="X576" s="6">
        <f t="shared" si="151"/>
        <v>880.30409999999983</v>
      </c>
      <c r="Y576" s="6">
        <f t="shared" si="152"/>
        <v>0.3019440779396938</v>
      </c>
      <c r="Z576" s="4" t="str">
        <f t="shared" si="153"/>
        <v>Q2-2025</v>
      </c>
      <c r="AA576" t="str">
        <f t="shared" si="154"/>
        <v>Monitors</v>
      </c>
      <c r="AB576" t="str">
        <f t="shared" si="155"/>
        <v>Monitors</v>
      </c>
      <c r="AC576" t="str">
        <f t="shared" si="156"/>
        <v>Compliant</v>
      </c>
      <c r="AD576" t="str">
        <f t="shared" si="157"/>
        <v>Late</v>
      </c>
      <c r="AE576" s="8">
        <f>MIN(Q576,Scenario!$B$2)</f>
        <v>1.4E-2</v>
      </c>
      <c r="AF576" s="33">
        <f>L576*(1+Scenario!$B$3)</f>
        <v>180.0325</v>
      </c>
      <c r="AG576" s="6">
        <f>R576*(1+Scenario!$B$4)</f>
        <v>15.6</v>
      </c>
      <c r="AH576" s="33">
        <f t="shared" si="159"/>
        <v>3498.5449199999998</v>
      </c>
      <c r="AI576" s="33">
        <f t="shared" si="160"/>
        <v>2808.5070000000001</v>
      </c>
      <c r="AJ576" s="33">
        <f t="shared" si="161"/>
        <v>690.03791999999976</v>
      </c>
    </row>
    <row r="577" spans="1:36" x14ac:dyDescent="0.25">
      <c r="A577" s="12" t="s">
        <v>387</v>
      </c>
      <c r="B577" s="27">
        <v>45751</v>
      </c>
      <c r="C577" s="4">
        <v>45757</v>
      </c>
      <c r="D577" s="12" t="s">
        <v>649</v>
      </c>
      <c r="E577" s="12" t="s">
        <v>658</v>
      </c>
      <c r="F577" s="12" t="s">
        <v>674</v>
      </c>
      <c r="G577" s="12" t="s">
        <v>703</v>
      </c>
      <c r="H577" s="12" t="s">
        <v>711</v>
      </c>
      <c r="I577" s="12" t="s">
        <v>725</v>
      </c>
      <c r="J577" s="12" t="s">
        <v>728</v>
      </c>
      <c r="K577" s="12" t="s">
        <v>1107</v>
      </c>
      <c r="L577" s="6">
        <v>290.14</v>
      </c>
      <c r="M577" s="6">
        <v>250.73</v>
      </c>
      <c r="N577" s="6">
        <f t="shared" si="144"/>
        <v>250.73</v>
      </c>
      <c r="O577" s="6" t="str">
        <f t="shared" si="158"/>
        <v>Low</v>
      </c>
      <c r="P577" s="6">
        <v>3.4000000000000002E-2</v>
      </c>
      <c r="Q577" s="6">
        <f t="shared" si="145"/>
        <v>3.4000000000000002E-2</v>
      </c>
      <c r="R577" s="6">
        <v>17</v>
      </c>
      <c r="S577" s="6" t="str">
        <f t="shared" si="146"/>
        <v>OK</v>
      </c>
      <c r="T577" s="4">
        <f t="shared" si="147"/>
        <v>45757</v>
      </c>
      <c r="U577" s="11">
        <f t="shared" si="148"/>
        <v>6</v>
      </c>
      <c r="V577" s="6">
        <f t="shared" si="149"/>
        <v>4117.4880599999997</v>
      </c>
      <c r="W577" s="6">
        <f t="shared" si="150"/>
        <v>4932.38</v>
      </c>
      <c r="X577" s="6">
        <f t="shared" si="151"/>
        <v>-814.89194000000043</v>
      </c>
      <c r="Y577" s="6">
        <f t="shared" si="152"/>
        <v>-0.19790997038131072</v>
      </c>
      <c r="Z577" s="4" t="str">
        <f t="shared" si="153"/>
        <v>Q2-2025</v>
      </c>
      <c r="AA577" t="str">
        <f t="shared" si="154"/>
        <v>Printers</v>
      </c>
      <c r="AB577" t="str">
        <f t="shared" si="155"/>
        <v>Printers</v>
      </c>
      <c r="AC577" t="str">
        <f t="shared" si="156"/>
        <v>Compliant</v>
      </c>
      <c r="AD577" t="str">
        <f t="shared" si="157"/>
        <v>On-time</v>
      </c>
      <c r="AE577" s="8">
        <f>MIN(Q577,Scenario!$B$2)</f>
        <v>3.4000000000000002E-2</v>
      </c>
      <c r="AF577" s="33">
        <f>L577*(1+Scenario!$B$3)</f>
        <v>333.66099999999994</v>
      </c>
      <c r="AG577" s="6">
        <f>R577*(1+Scenario!$B$4)</f>
        <v>20.399999999999999</v>
      </c>
      <c r="AH577" s="33">
        <f t="shared" si="159"/>
        <v>4940.9856719999998</v>
      </c>
      <c r="AI577" s="33">
        <f t="shared" si="160"/>
        <v>6806.6843999999983</v>
      </c>
      <c r="AJ577" s="33">
        <f t="shared" si="161"/>
        <v>-1865.6987279999985</v>
      </c>
    </row>
    <row r="578" spans="1:36" hidden="1" x14ac:dyDescent="0.25">
      <c r="A578" s="12" t="s">
        <v>584</v>
      </c>
      <c r="B578" s="27">
        <v>45760</v>
      </c>
      <c r="C578" s="4">
        <v>45761</v>
      </c>
      <c r="D578" s="12" t="s">
        <v>647</v>
      </c>
      <c r="E578" s="12" t="s">
        <v>652</v>
      </c>
      <c r="F578" s="12" t="s">
        <v>666</v>
      </c>
      <c r="G578" s="12" t="s">
        <v>706</v>
      </c>
      <c r="H578" s="12" t="s">
        <v>708</v>
      </c>
      <c r="I578" s="12" t="s">
        <v>715</v>
      </c>
      <c r="J578" s="12" t="s">
        <v>727</v>
      </c>
      <c r="K578" s="12" t="s">
        <v>1302</v>
      </c>
      <c r="L578" s="6">
        <v>138.9</v>
      </c>
      <c r="M578" s="6">
        <v>289.92</v>
      </c>
      <c r="N578" s="6">
        <f t="shared" ref="N578:N632" si="162">ABS(M578)</f>
        <v>289.92</v>
      </c>
      <c r="O578" s="6" t="str">
        <f t="shared" si="158"/>
        <v>Low</v>
      </c>
      <c r="P578" s="6">
        <v>2.9000000000000001E-2</v>
      </c>
      <c r="Q578" s="6">
        <f t="shared" ref="Q578:Q632" si="163">IF(P578&gt;0.3, 0.3, P578)</f>
        <v>2.9000000000000001E-2</v>
      </c>
      <c r="R578" s="6">
        <v>12</v>
      </c>
      <c r="S578" s="6" t="str">
        <f t="shared" ref="S578:S632" si="164">IFERROR(IF(C578&lt;B578,"Correct", "OK"), "Error")</f>
        <v>OK</v>
      </c>
      <c r="T578" s="4">
        <f t="shared" ref="T578:T632" si="165">IF(C578&lt;B578,B578+7,C578)</f>
        <v>45761</v>
      </c>
      <c r="U578" s="11">
        <f t="shared" ref="U578:U632" si="166">T578-B578</f>
        <v>1</v>
      </c>
      <c r="V578" s="6">
        <f t="shared" ref="V578:V632" si="167">N578*R578*(1-Q578)</f>
        <v>3378.1478400000001</v>
      </c>
      <c r="W578" s="6">
        <f t="shared" ref="W578:W632" si="168">L578*R578</f>
        <v>1666.8000000000002</v>
      </c>
      <c r="X578" s="6">
        <f t="shared" ref="X578:X632" si="169">V578-W578</f>
        <v>1711.3478399999999</v>
      </c>
      <c r="Y578" s="6">
        <f t="shared" ref="Y578:Y632" si="170">IF(V578=0, 0, X578/V578)</f>
        <v>0.50659353025828491</v>
      </c>
      <c r="Z578" s="4" t="str">
        <f t="shared" ref="Z578:Z632" si="171">"Q"&amp;ROUNDUP(MONTH(B578)/3,0)&amp;"-"&amp;YEAR(B578)</f>
        <v>Q2-2025</v>
      </c>
      <c r="AA578" t="str">
        <f t="shared" ref="AA578:AA632" si="172">PROPER(J578)</f>
        <v>Components</v>
      </c>
      <c r="AB578" t="str">
        <f t="shared" ref="AB578:AB632" si="173">TRIM(J578)</f>
        <v>Components</v>
      </c>
      <c r="AC578" t="str">
        <f t="shared" ref="AC578:AC632" si="174">IF(Q578&gt;20%, "Non-compliant","Compliant")</f>
        <v>Compliant</v>
      </c>
      <c r="AD578" t="str">
        <f t="shared" ref="AD578:AD632" si="175">IF(U578&lt;=7,"On-time","Late")</f>
        <v>On-time</v>
      </c>
      <c r="AE578" s="8">
        <f>MIN(Q578,Scenario!$B$2)</f>
        <v>2.9000000000000001E-2</v>
      </c>
      <c r="AF578" s="33">
        <f>L578*(1+Scenario!$B$3)</f>
        <v>159.73499999999999</v>
      </c>
      <c r="AG578" s="6">
        <f>R578*(1+Scenario!$B$4)</f>
        <v>14.399999999999999</v>
      </c>
      <c r="AH578" s="33">
        <f t="shared" si="159"/>
        <v>4053.7774079999999</v>
      </c>
      <c r="AI578" s="33">
        <f t="shared" si="160"/>
        <v>2300.1839999999997</v>
      </c>
      <c r="AJ578" s="33">
        <f t="shared" si="161"/>
        <v>1753.5934080000002</v>
      </c>
    </row>
    <row r="579" spans="1:36" hidden="1" x14ac:dyDescent="0.25">
      <c r="A579" s="12" t="s">
        <v>635</v>
      </c>
      <c r="B579" s="27">
        <v>45764</v>
      </c>
      <c r="C579" s="4">
        <v>45780</v>
      </c>
      <c r="D579" s="12" t="s">
        <v>648</v>
      </c>
      <c r="E579" s="12" t="s">
        <v>655</v>
      </c>
      <c r="F579" s="12" t="s">
        <v>692</v>
      </c>
      <c r="G579" s="12" t="s">
        <v>704</v>
      </c>
      <c r="H579" s="12" t="s">
        <v>709</v>
      </c>
      <c r="I579" s="12" t="s">
        <v>713</v>
      </c>
      <c r="J579" s="12" t="s">
        <v>729</v>
      </c>
      <c r="K579" s="12" t="s">
        <v>1353</v>
      </c>
      <c r="L579" s="6">
        <v>168.68</v>
      </c>
      <c r="M579" s="6">
        <v>413.34</v>
      </c>
      <c r="N579" s="6">
        <f t="shared" si="162"/>
        <v>413.34</v>
      </c>
      <c r="O579" s="6" t="str">
        <f t="shared" ref="O579:O632" si="176">IF(N579&lt;=QUARTILE(N579:N1209,1), "Low", IF(N579&lt;=QUARTILE(N579:N1209,2),"Middle", "High"))</f>
        <v>Low</v>
      </c>
      <c r="P579" s="6">
        <v>0.186</v>
      </c>
      <c r="Q579" s="6">
        <f t="shared" si="163"/>
        <v>0.186</v>
      </c>
      <c r="R579" s="6">
        <v>7</v>
      </c>
      <c r="S579" s="6" t="str">
        <f t="shared" si="164"/>
        <v>OK</v>
      </c>
      <c r="T579" s="4">
        <f t="shared" si="165"/>
        <v>45780</v>
      </c>
      <c r="U579" s="11">
        <f t="shared" si="166"/>
        <v>16</v>
      </c>
      <c r="V579" s="6">
        <f t="shared" si="167"/>
        <v>2355.2113199999999</v>
      </c>
      <c r="W579" s="6">
        <f t="shared" si="168"/>
        <v>1180.76</v>
      </c>
      <c r="X579" s="6">
        <f t="shared" si="169"/>
        <v>1174.4513199999999</v>
      </c>
      <c r="Y579" s="6">
        <f t="shared" si="170"/>
        <v>0.49866069767361682</v>
      </c>
      <c r="Z579" s="4" t="str">
        <f t="shared" si="171"/>
        <v>Q2-2025</v>
      </c>
      <c r="AA579" t="str">
        <f t="shared" si="172"/>
        <v>Networking</v>
      </c>
      <c r="AB579" t="str">
        <f t="shared" si="173"/>
        <v>Networking</v>
      </c>
      <c r="AC579" t="str">
        <f t="shared" si="174"/>
        <v>Compliant</v>
      </c>
      <c r="AD579" t="str">
        <f t="shared" si="175"/>
        <v>Late</v>
      </c>
      <c r="AE579" s="8">
        <f>MIN(Q579,Scenario!$B$2)</f>
        <v>0.186</v>
      </c>
      <c r="AF579" s="33">
        <f>L579*(1+Scenario!$B$3)</f>
        <v>193.982</v>
      </c>
      <c r="AG579" s="6">
        <f>R579*(1+Scenario!$B$4)</f>
        <v>8.4</v>
      </c>
      <c r="AH579" s="33">
        <f t="shared" ref="AH579:AH632" si="177">N579*AG579*(1-AE579)</f>
        <v>2826.253584</v>
      </c>
      <c r="AI579" s="33">
        <f t="shared" ref="AI579:AI632" si="178">AF579*AG579</f>
        <v>1629.4488000000001</v>
      </c>
      <c r="AJ579" s="33">
        <f t="shared" ref="AJ579:AJ632" si="179">AH579-AI579</f>
        <v>1196.8047839999999</v>
      </c>
    </row>
    <row r="580" spans="1:36" x14ac:dyDescent="0.25">
      <c r="A580" s="12" t="s">
        <v>497</v>
      </c>
      <c r="B580" s="27">
        <v>45775</v>
      </c>
      <c r="C580" s="4">
        <v>45796</v>
      </c>
      <c r="D580" s="12" t="s">
        <v>649</v>
      </c>
      <c r="E580" s="12" t="s">
        <v>656</v>
      </c>
      <c r="F580" s="12" t="s">
        <v>671</v>
      </c>
      <c r="G580" s="12" t="s">
        <v>701</v>
      </c>
      <c r="H580" s="12" t="s">
        <v>710</v>
      </c>
      <c r="I580" s="12" t="s">
        <v>717</v>
      </c>
      <c r="J580" s="12" t="s">
        <v>730</v>
      </c>
      <c r="K580" s="12" t="s">
        <v>1216</v>
      </c>
      <c r="L580" s="6">
        <v>350.76</v>
      </c>
      <c r="M580" s="6">
        <v>492.18</v>
      </c>
      <c r="N580" s="6">
        <f t="shared" si="162"/>
        <v>492.18</v>
      </c>
      <c r="O580" s="6" t="str">
        <f t="shared" si="176"/>
        <v>Low</v>
      </c>
      <c r="P580" s="6">
        <v>5.2999999999999999E-2</v>
      </c>
      <c r="Q580" s="6">
        <f t="shared" si="163"/>
        <v>5.2999999999999999E-2</v>
      </c>
      <c r="R580" s="6">
        <v>11</v>
      </c>
      <c r="S580" s="6" t="str">
        <f t="shared" si="164"/>
        <v>OK</v>
      </c>
      <c r="T580" s="4">
        <f t="shared" si="165"/>
        <v>45796</v>
      </c>
      <c r="U580" s="11">
        <f t="shared" si="166"/>
        <v>21</v>
      </c>
      <c r="V580" s="6">
        <f t="shared" si="167"/>
        <v>5127.0390600000001</v>
      </c>
      <c r="W580" s="6">
        <f t="shared" si="168"/>
        <v>3858.3599999999997</v>
      </c>
      <c r="X580" s="6">
        <f t="shared" si="169"/>
        <v>1268.6790600000004</v>
      </c>
      <c r="Y580" s="6">
        <f t="shared" si="170"/>
        <v>0.24744868239798437</v>
      </c>
      <c r="Z580" s="4" t="str">
        <f t="shared" si="171"/>
        <v>Q2-2025</v>
      </c>
      <c r="AA580" t="str">
        <f t="shared" si="172"/>
        <v>Phones</v>
      </c>
      <c r="AB580" t="str">
        <f t="shared" si="173"/>
        <v>Phones</v>
      </c>
      <c r="AC580" t="str">
        <f t="shared" si="174"/>
        <v>Compliant</v>
      </c>
      <c r="AD580" t="str">
        <f t="shared" si="175"/>
        <v>Late</v>
      </c>
      <c r="AE580" s="8">
        <f>MIN(Q580,Scenario!$B$2)</f>
        <v>5.2999999999999999E-2</v>
      </c>
      <c r="AF580" s="33">
        <f>L580*(1+Scenario!$B$3)</f>
        <v>403.37399999999997</v>
      </c>
      <c r="AG580" s="6">
        <f>R580*(1+Scenario!$B$4)</f>
        <v>13.2</v>
      </c>
      <c r="AH580" s="33">
        <f t="shared" si="177"/>
        <v>6152.4468719999995</v>
      </c>
      <c r="AI580" s="33">
        <f t="shared" si="178"/>
        <v>5324.5367999999989</v>
      </c>
      <c r="AJ580" s="33">
        <f t="shared" si="179"/>
        <v>827.91007200000058</v>
      </c>
    </row>
    <row r="581" spans="1:36" hidden="1" x14ac:dyDescent="0.25">
      <c r="A581" s="12" t="s">
        <v>165</v>
      </c>
      <c r="B581" s="27">
        <v>45763</v>
      </c>
      <c r="C581" s="4">
        <v>45793</v>
      </c>
      <c r="D581" s="12" t="s">
        <v>648</v>
      </c>
      <c r="E581" s="12" t="s">
        <v>653</v>
      </c>
      <c r="F581" s="12" t="s">
        <v>681</v>
      </c>
      <c r="G581" s="12" t="s">
        <v>706</v>
      </c>
      <c r="H581" s="12" t="s">
        <v>710</v>
      </c>
      <c r="I581" s="12" t="s">
        <v>723</v>
      </c>
      <c r="J581" s="12" t="s">
        <v>728</v>
      </c>
      <c r="K581" s="12" t="s">
        <v>884</v>
      </c>
      <c r="L581" s="6">
        <v>763.32</v>
      </c>
      <c r="M581" s="6">
        <v>568.29</v>
      </c>
      <c r="N581" s="6">
        <f t="shared" si="162"/>
        <v>568.29</v>
      </c>
      <c r="O581" s="6" t="str">
        <f t="shared" si="176"/>
        <v>Low</v>
      </c>
      <c r="P581" s="6">
        <v>0.13100000000000001</v>
      </c>
      <c r="Q581" s="6">
        <f t="shared" si="163"/>
        <v>0.13100000000000001</v>
      </c>
      <c r="R581" s="6">
        <v>16</v>
      </c>
      <c r="S581" s="6" t="str">
        <f t="shared" si="164"/>
        <v>OK</v>
      </c>
      <c r="T581" s="4">
        <f t="shared" si="165"/>
        <v>45793</v>
      </c>
      <c r="U581" s="11">
        <f t="shared" si="166"/>
        <v>30</v>
      </c>
      <c r="V581" s="6">
        <f t="shared" si="167"/>
        <v>7901.5041599999995</v>
      </c>
      <c r="W581" s="6">
        <f t="shared" si="168"/>
        <v>12213.12</v>
      </c>
      <c r="X581" s="6">
        <f t="shared" si="169"/>
        <v>-4311.6158400000013</v>
      </c>
      <c r="Y581" s="6">
        <f t="shared" si="170"/>
        <v>-0.54567026134426555</v>
      </c>
      <c r="Z581" s="4" t="str">
        <f t="shared" si="171"/>
        <v>Q2-2025</v>
      </c>
      <c r="AA581" t="str">
        <f t="shared" si="172"/>
        <v>Printers</v>
      </c>
      <c r="AB581" t="str">
        <f t="shared" si="173"/>
        <v>Printers</v>
      </c>
      <c r="AC581" t="str">
        <f t="shared" si="174"/>
        <v>Compliant</v>
      </c>
      <c r="AD581" t="str">
        <f t="shared" si="175"/>
        <v>Late</v>
      </c>
      <c r="AE581" s="8">
        <f>MIN(Q581,Scenario!$B$2)</f>
        <v>0.13100000000000001</v>
      </c>
      <c r="AF581" s="33">
        <f>L581*(1+Scenario!$B$3)</f>
        <v>877.81799999999998</v>
      </c>
      <c r="AG581" s="6">
        <f>R581*(1+Scenario!$B$4)</f>
        <v>19.2</v>
      </c>
      <c r="AH581" s="33">
        <f t="shared" si="177"/>
        <v>9481.8049919999994</v>
      </c>
      <c r="AI581" s="33">
        <f t="shared" si="178"/>
        <v>16854.105599999999</v>
      </c>
      <c r="AJ581" s="33">
        <f t="shared" si="179"/>
        <v>-7372.3006079999996</v>
      </c>
    </row>
    <row r="582" spans="1:36" hidden="1" x14ac:dyDescent="0.25">
      <c r="A582" s="12" t="s">
        <v>86</v>
      </c>
      <c r="B582" s="27">
        <v>45756</v>
      </c>
      <c r="C582" s="4">
        <v>45783</v>
      </c>
      <c r="D582" s="12" t="s">
        <v>648</v>
      </c>
      <c r="E582" s="12" t="s">
        <v>655</v>
      </c>
      <c r="F582" s="12" t="s">
        <v>672</v>
      </c>
      <c r="G582" s="12" t="s">
        <v>706</v>
      </c>
      <c r="H582" s="12" t="s">
        <v>709</v>
      </c>
      <c r="I582" s="12" t="s">
        <v>721</v>
      </c>
      <c r="J582" s="12" t="s">
        <v>731</v>
      </c>
      <c r="K582" s="12" t="s">
        <v>805</v>
      </c>
      <c r="L582" s="6">
        <v>264.19</v>
      </c>
      <c r="M582" s="6">
        <v>620.92999999999995</v>
      </c>
      <c r="N582" s="6">
        <f t="shared" si="162"/>
        <v>620.92999999999995</v>
      </c>
      <c r="O582" s="6" t="str">
        <f t="shared" si="176"/>
        <v>Low</v>
      </c>
      <c r="P582" s="6">
        <v>0.14199999999999999</v>
      </c>
      <c r="Q582" s="6">
        <f t="shared" si="163"/>
        <v>0.14199999999999999</v>
      </c>
      <c r="R582" s="6">
        <v>12</v>
      </c>
      <c r="S582" s="6" t="str">
        <f t="shared" si="164"/>
        <v>OK</v>
      </c>
      <c r="T582" s="4">
        <f t="shared" si="165"/>
        <v>45783</v>
      </c>
      <c r="U582" s="11">
        <f t="shared" si="166"/>
        <v>27</v>
      </c>
      <c r="V582" s="6">
        <f t="shared" si="167"/>
        <v>6393.0952799999995</v>
      </c>
      <c r="W582" s="6">
        <f t="shared" si="168"/>
        <v>3170.2799999999997</v>
      </c>
      <c r="X582" s="6">
        <f t="shared" si="169"/>
        <v>3222.8152799999998</v>
      </c>
      <c r="Y582" s="6">
        <f t="shared" si="170"/>
        <v>0.50410875152794532</v>
      </c>
      <c r="Z582" s="4" t="str">
        <f t="shared" si="171"/>
        <v>Q2-2025</v>
      </c>
      <c r="AA582" t="str">
        <f t="shared" si="172"/>
        <v>Laptops</v>
      </c>
      <c r="AB582" t="str">
        <f t="shared" si="173"/>
        <v>Laptops</v>
      </c>
      <c r="AC582" t="str">
        <f t="shared" si="174"/>
        <v>Compliant</v>
      </c>
      <c r="AD582" t="str">
        <f t="shared" si="175"/>
        <v>Late</v>
      </c>
      <c r="AE582" s="8">
        <f>MIN(Q582,Scenario!$B$2)</f>
        <v>0.14199999999999999</v>
      </c>
      <c r="AF582" s="33">
        <f>L582*(1+Scenario!$B$3)</f>
        <v>303.81849999999997</v>
      </c>
      <c r="AG582" s="6">
        <f>R582*(1+Scenario!$B$4)</f>
        <v>14.399999999999999</v>
      </c>
      <c r="AH582" s="33">
        <f t="shared" si="177"/>
        <v>7671.7143359999982</v>
      </c>
      <c r="AI582" s="33">
        <f t="shared" si="178"/>
        <v>4374.9863999999989</v>
      </c>
      <c r="AJ582" s="33">
        <f t="shared" si="179"/>
        <v>3296.7279359999993</v>
      </c>
    </row>
    <row r="583" spans="1:36" hidden="1" x14ac:dyDescent="0.25">
      <c r="A583" s="12" t="s">
        <v>245</v>
      </c>
      <c r="B583" s="27">
        <v>45771</v>
      </c>
      <c r="C583" s="4">
        <v>45783</v>
      </c>
      <c r="D583" s="12" t="s">
        <v>648</v>
      </c>
      <c r="E583" s="12" t="s">
        <v>655</v>
      </c>
      <c r="F583" s="12" t="s">
        <v>672</v>
      </c>
      <c r="G583" s="12" t="s">
        <v>704</v>
      </c>
      <c r="H583" s="12" t="s">
        <v>708</v>
      </c>
      <c r="I583" s="12" t="s">
        <v>712</v>
      </c>
      <c r="J583" s="12" t="s">
        <v>730</v>
      </c>
      <c r="K583" s="12" t="s">
        <v>965</v>
      </c>
      <c r="L583" s="6">
        <v>394.13</v>
      </c>
      <c r="M583" s="6">
        <v>932.29</v>
      </c>
      <c r="N583" s="6">
        <f t="shared" si="162"/>
        <v>932.29</v>
      </c>
      <c r="O583" s="6" t="str">
        <f t="shared" si="176"/>
        <v>Middle</v>
      </c>
      <c r="P583" s="6">
        <v>0.109</v>
      </c>
      <c r="Q583" s="6">
        <f t="shared" si="163"/>
        <v>0.109</v>
      </c>
      <c r="R583" s="6">
        <v>7</v>
      </c>
      <c r="S583" s="6" t="str">
        <f t="shared" si="164"/>
        <v>OK</v>
      </c>
      <c r="T583" s="4">
        <f t="shared" si="165"/>
        <v>45783</v>
      </c>
      <c r="U583" s="11">
        <f t="shared" si="166"/>
        <v>12</v>
      </c>
      <c r="V583" s="6">
        <f t="shared" si="167"/>
        <v>5814.6927299999998</v>
      </c>
      <c r="W583" s="6">
        <f t="shared" si="168"/>
        <v>2758.91</v>
      </c>
      <c r="X583" s="6">
        <f t="shared" si="169"/>
        <v>3055.7827299999999</v>
      </c>
      <c r="Y583" s="6">
        <f t="shared" si="170"/>
        <v>0.5255278089303268</v>
      </c>
      <c r="Z583" s="4" t="str">
        <f t="shared" si="171"/>
        <v>Q2-2025</v>
      </c>
      <c r="AA583" t="str">
        <f t="shared" si="172"/>
        <v>Phones</v>
      </c>
      <c r="AB583" t="str">
        <f t="shared" si="173"/>
        <v>Phones</v>
      </c>
      <c r="AC583" t="str">
        <f t="shared" si="174"/>
        <v>Compliant</v>
      </c>
      <c r="AD583" t="str">
        <f t="shared" si="175"/>
        <v>Late</v>
      </c>
      <c r="AE583" s="8">
        <f>MIN(Q583,Scenario!$B$2)</f>
        <v>0.109</v>
      </c>
      <c r="AF583" s="33">
        <f>L583*(1+Scenario!$B$3)</f>
        <v>453.24949999999995</v>
      </c>
      <c r="AG583" s="6">
        <f>R583*(1+Scenario!$B$4)</f>
        <v>8.4</v>
      </c>
      <c r="AH583" s="33">
        <f t="shared" si="177"/>
        <v>6977.6312760000001</v>
      </c>
      <c r="AI583" s="33">
        <f t="shared" si="178"/>
        <v>3807.2957999999999</v>
      </c>
      <c r="AJ583" s="33">
        <f t="shared" si="179"/>
        <v>3170.3354760000002</v>
      </c>
    </row>
    <row r="584" spans="1:36" hidden="1" x14ac:dyDescent="0.25">
      <c r="A584" s="12" t="s">
        <v>70</v>
      </c>
      <c r="B584" s="27">
        <v>45753</v>
      </c>
      <c r="C584" s="4">
        <v>45777</v>
      </c>
      <c r="D584" s="12" t="s">
        <v>648</v>
      </c>
      <c r="E584" s="12" t="s">
        <v>655</v>
      </c>
      <c r="F584" s="12" t="s">
        <v>672</v>
      </c>
      <c r="G584" s="12" t="s">
        <v>702</v>
      </c>
      <c r="H584" s="12" t="s">
        <v>708</v>
      </c>
      <c r="I584" s="12" t="s">
        <v>723</v>
      </c>
      <c r="J584" s="12" t="s">
        <v>732</v>
      </c>
      <c r="K584" s="12" t="s">
        <v>789</v>
      </c>
      <c r="L584" s="6">
        <v>855.78</v>
      </c>
      <c r="M584" s="6">
        <v>977.38</v>
      </c>
      <c r="N584" s="6">
        <f t="shared" si="162"/>
        <v>977.38</v>
      </c>
      <c r="O584" s="6" t="str">
        <f t="shared" si="176"/>
        <v>Middle</v>
      </c>
      <c r="P584" s="6">
        <v>0.14699999999999999</v>
      </c>
      <c r="Q584" s="6">
        <f t="shared" si="163"/>
        <v>0.14699999999999999</v>
      </c>
      <c r="R584" s="6">
        <v>38</v>
      </c>
      <c r="S584" s="6" t="str">
        <f t="shared" si="164"/>
        <v>OK</v>
      </c>
      <c r="T584" s="4">
        <f t="shared" si="165"/>
        <v>45777</v>
      </c>
      <c r="U584" s="11">
        <f t="shared" si="166"/>
        <v>24</v>
      </c>
      <c r="V584" s="6">
        <f t="shared" si="167"/>
        <v>31680.795320000001</v>
      </c>
      <c r="W584" s="6">
        <f t="shared" si="168"/>
        <v>32519.64</v>
      </c>
      <c r="X584" s="6">
        <f t="shared" si="169"/>
        <v>-838.84467999999833</v>
      </c>
      <c r="Y584" s="6">
        <f t="shared" si="170"/>
        <v>-2.6478018355506307E-2</v>
      </c>
      <c r="Z584" s="4" t="str">
        <f t="shared" si="171"/>
        <v>Q2-2025</v>
      </c>
      <c r="AA584" t="str">
        <f t="shared" si="172"/>
        <v>Monitors</v>
      </c>
      <c r="AB584" t="str">
        <f t="shared" si="173"/>
        <v>Monitors</v>
      </c>
      <c r="AC584" t="str">
        <f t="shared" si="174"/>
        <v>Compliant</v>
      </c>
      <c r="AD584" t="str">
        <f t="shared" si="175"/>
        <v>Late</v>
      </c>
      <c r="AE584" s="8">
        <f>MIN(Q584,Scenario!$B$2)</f>
        <v>0.14699999999999999</v>
      </c>
      <c r="AF584" s="33">
        <f>L584*(1+Scenario!$B$3)</f>
        <v>984.14699999999993</v>
      </c>
      <c r="AG584" s="6">
        <f>R584*(1+Scenario!$B$4)</f>
        <v>45.6</v>
      </c>
      <c r="AH584" s="33">
        <f t="shared" si="177"/>
        <v>38016.954383999997</v>
      </c>
      <c r="AI584" s="33">
        <f t="shared" si="178"/>
        <v>44877.103199999998</v>
      </c>
      <c r="AJ584" s="33">
        <f t="shared" si="179"/>
        <v>-6860.1488160000008</v>
      </c>
    </row>
    <row r="585" spans="1:36" hidden="1" x14ac:dyDescent="0.25">
      <c r="A585" s="12" t="s">
        <v>308</v>
      </c>
      <c r="B585" s="27">
        <v>45758</v>
      </c>
      <c r="C585" s="4">
        <v>45781</v>
      </c>
      <c r="D585" s="12" t="s">
        <v>647</v>
      </c>
      <c r="E585" s="12" t="s">
        <v>652</v>
      </c>
      <c r="F585" s="12" t="s">
        <v>666</v>
      </c>
      <c r="G585" s="12" t="s">
        <v>705</v>
      </c>
      <c r="H585" s="12" t="s">
        <v>708</v>
      </c>
      <c r="I585" s="12" t="s">
        <v>724</v>
      </c>
      <c r="J585" s="12" t="s">
        <v>727</v>
      </c>
      <c r="K585" s="12" t="s">
        <v>1028</v>
      </c>
      <c r="L585" s="6">
        <v>786.2</v>
      </c>
      <c r="M585" s="6">
        <v>1075.3</v>
      </c>
      <c r="N585" s="6">
        <f t="shared" si="162"/>
        <v>1075.3</v>
      </c>
      <c r="O585" s="6" t="str">
        <f t="shared" si="176"/>
        <v>Middle</v>
      </c>
      <c r="P585" s="6">
        <v>0.08</v>
      </c>
      <c r="Q585" s="6">
        <f t="shared" si="163"/>
        <v>0.08</v>
      </c>
      <c r="R585" s="6">
        <v>9</v>
      </c>
      <c r="S585" s="6" t="str">
        <f t="shared" si="164"/>
        <v>OK</v>
      </c>
      <c r="T585" s="4">
        <f t="shared" si="165"/>
        <v>45781</v>
      </c>
      <c r="U585" s="11">
        <f t="shared" si="166"/>
        <v>23</v>
      </c>
      <c r="V585" s="6">
        <f t="shared" si="167"/>
        <v>8903.4839999999986</v>
      </c>
      <c r="W585" s="6">
        <f t="shared" si="168"/>
        <v>7075.8</v>
      </c>
      <c r="X585" s="6">
        <f t="shared" si="169"/>
        <v>1827.6839999999984</v>
      </c>
      <c r="Y585" s="6">
        <f t="shared" si="170"/>
        <v>0.20527739478163815</v>
      </c>
      <c r="Z585" s="4" t="str">
        <f t="shared" si="171"/>
        <v>Q2-2025</v>
      </c>
      <c r="AA585" t="str">
        <f t="shared" si="172"/>
        <v>Components</v>
      </c>
      <c r="AB585" t="str">
        <f t="shared" si="173"/>
        <v>Components</v>
      </c>
      <c r="AC585" t="str">
        <f t="shared" si="174"/>
        <v>Compliant</v>
      </c>
      <c r="AD585" t="str">
        <f t="shared" si="175"/>
        <v>Late</v>
      </c>
      <c r="AE585" s="8">
        <f>MIN(Q585,Scenario!$B$2)</f>
        <v>0.08</v>
      </c>
      <c r="AF585" s="33">
        <f>L585*(1+Scenario!$B$3)</f>
        <v>904.13</v>
      </c>
      <c r="AG585" s="6">
        <f>R585*(1+Scenario!$B$4)</f>
        <v>10.799999999999999</v>
      </c>
      <c r="AH585" s="33">
        <f t="shared" si="177"/>
        <v>10684.180799999998</v>
      </c>
      <c r="AI585" s="33">
        <f t="shared" si="178"/>
        <v>9764.6039999999994</v>
      </c>
      <c r="AJ585" s="33">
        <f t="shared" si="179"/>
        <v>919.57679999999891</v>
      </c>
    </row>
    <row r="586" spans="1:36" hidden="1" x14ac:dyDescent="0.25">
      <c r="A586" s="12" t="s">
        <v>599</v>
      </c>
      <c r="B586" s="27">
        <v>45764</v>
      </c>
      <c r="C586" s="4">
        <v>45764</v>
      </c>
      <c r="D586" s="12" t="s">
        <v>648</v>
      </c>
      <c r="E586" s="12" t="s">
        <v>655</v>
      </c>
      <c r="F586" s="12" t="s">
        <v>670</v>
      </c>
      <c r="G586" s="12" t="s">
        <v>701</v>
      </c>
      <c r="H586" s="12" t="s">
        <v>710</v>
      </c>
      <c r="I586" s="12" t="s">
        <v>716</v>
      </c>
      <c r="J586" s="12" t="s">
        <v>730</v>
      </c>
      <c r="K586" s="12" t="s">
        <v>1317</v>
      </c>
      <c r="L586" s="6">
        <v>719.41</v>
      </c>
      <c r="M586" s="6">
        <v>1125.99</v>
      </c>
      <c r="N586" s="6">
        <f t="shared" si="162"/>
        <v>1125.99</v>
      </c>
      <c r="O586" s="6" t="str">
        <f t="shared" si="176"/>
        <v>Middle</v>
      </c>
      <c r="P586" s="6">
        <v>4.1000000000000002E-2</v>
      </c>
      <c r="Q586" s="6">
        <f t="shared" si="163"/>
        <v>4.1000000000000002E-2</v>
      </c>
      <c r="R586" s="6">
        <v>21</v>
      </c>
      <c r="S586" s="6" t="str">
        <f t="shared" si="164"/>
        <v>OK</v>
      </c>
      <c r="T586" s="4">
        <f t="shared" si="165"/>
        <v>45764</v>
      </c>
      <c r="U586" s="11">
        <f t="shared" si="166"/>
        <v>0</v>
      </c>
      <c r="V586" s="6">
        <f t="shared" si="167"/>
        <v>22676.312610000001</v>
      </c>
      <c r="W586" s="6">
        <f t="shared" si="168"/>
        <v>15107.609999999999</v>
      </c>
      <c r="X586" s="6">
        <f t="shared" si="169"/>
        <v>7568.7026100000021</v>
      </c>
      <c r="Y586" s="6">
        <f t="shared" si="170"/>
        <v>0.33377131194876403</v>
      </c>
      <c r="Z586" s="4" t="str">
        <f t="shared" si="171"/>
        <v>Q2-2025</v>
      </c>
      <c r="AA586" t="str">
        <f t="shared" si="172"/>
        <v>Phones</v>
      </c>
      <c r="AB586" t="str">
        <f t="shared" si="173"/>
        <v>Phones</v>
      </c>
      <c r="AC586" t="str">
        <f t="shared" si="174"/>
        <v>Compliant</v>
      </c>
      <c r="AD586" t="str">
        <f t="shared" si="175"/>
        <v>On-time</v>
      </c>
      <c r="AE586" s="8">
        <f>MIN(Q586,Scenario!$B$2)</f>
        <v>4.1000000000000002E-2</v>
      </c>
      <c r="AF586" s="33">
        <f>L586*(1+Scenario!$B$3)</f>
        <v>827.3214999999999</v>
      </c>
      <c r="AG586" s="6">
        <f>R586*(1+Scenario!$B$4)</f>
        <v>25.2</v>
      </c>
      <c r="AH586" s="33">
        <f t="shared" si="177"/>
        <v>27211.575131999998</v>
      </c>
      <c r="AI586" s="33">
        <f t="shared" si="178"/>
        <v>20848.501799999998</v>
      </c>
      <c r="AJ586" s="33">
        <f t="shared" si="179"/>
        <v>6363.0733319999999</v>
      </c>
    </row>
    <row r="587" spans="1:36" hidden="1" x14ac:dyDescent="0.25">
      <c r="A587" s="12" t="s">
        <v>348</v>
      </c>
      <c r="B587" s="27">
        <v>45774</v>
      </c>
      <c r="C587" s="4">
        <v>45804</v>
      </c>
      <c r="D587" s="12" t="s">
        <v>647</v>
      </c>
      <c r="E587" s="12" t="s">
        <v>654</v>
      </c>
      <c r="F587" s="15" t="s">
        <v>1367</v>
      </c>
      <c r="G587" s="12" t="s">
        <v>706</v>
      </c>
      <c r="H587" s="12" t="s">
        <v>709</v>
      </c>
      <c r="I587" s="12" t="s">
        <v>722</v>
      </c>
      <c r="J587" s="12" t="s">
        <v>730</v>
      </c>
      <c r="K587" s="12" t="s">
        <v>1068</v>
      </c>
      <c r="L587" s="6">
        <v>481.32</v>
      </c>
      <c r="M587" s="6">
        <v>1135.99</v>
      </c>
      <c r="N587" s="6">
        <f t="shared" si="162"/>
        <v>1135.99</v>
      </c>
      <c r="O587" s="6" t="str">
        <f t="shared" si="176"/>
        <v>Middle</v>
      </c>
      <c r="P587" s="6">
        <v>0.14499999999999999</v>
      </c>
      <c r="Q587" s="6">
        <f t="shared" si="163"/>
        <v>0.14499999999999999</v>
      </c>
      <c r="R587" s="6">
        <v>5</v>
      </c>
      <c r="S587" s="6" t="str">
        <f t="shared" si="164"/>
        <v>OK</v>
      </c>
      <c r="T587" s="4">
        <f t="shared" si="165"/>
        <v>45804</v>
      </c>
      <c r="U587" s="11">
        <f t="shared" si="166"/>
        <v>30</v>
      </c>
      <c r="V587" s="6">
        <f t="shared" si="167"/>
        <v>4856.35725</v>
      </c>
      <c r="W587" s="6">
        <f t="shared" si="168"/>
        <v>2406.6</v>
      </c>
      <c r="X587" s="6">
        <f t="shared" si="169"/>
        <v>2449.7572500000001</v>
      </c>
      <c r="Y587" s="6">
        <f t="shared" si="170"/>
        <v>0.50444337677175621</v>
      </c>
      <c r="Z587" s="4" t="str">
        <f t="shared" si="171"/>
        <v>Q2-2025</v>
      </c>
      <c r="AA587" t="str">
        <f t="shared" si="172"/>
        <v>Phones</v>
      </c>
      <c r="AB587" t="str">
        <f t="shared" si="173"/>
        <v>Phones</v>
      </c>
      <c r="AC587" t="str">
        <f t="shared" si="174"/>
        <v>Compliant</v>
      </c>
      <c r="AD587" t="str">
        <f t="shared" si="175"/>
        <v>Late</v>
      </c>
      <c r="AE587" s="8">
        <f>MIN(Q587,Scenario!$B$2)</f>
        <v>0.14499999999999999</v>
      </c>
      <c r="AF587" s="33">
        <f>L587*(1+Scenario!$B$3)</f>
        <v>553.51799999999992</v>
      </c>
      <c r="AG587" s="6">
        <f>R587*(1+Scenario!$B$4)</f>
        <v>6</v>
      </c>
      <c r="AH587" s="33">
        <f t="shared" si="177"/>
        <v>5827.6287000000002</v>
      </c>
      <c r="AI587" s="33">
        <f t="shared" si="178"/>
        <v>3321.1079999999993</v>
      </c>
      <c r="AJ587" s="33">
        <f t="shared" si="179"/>
        <v>2506.5207000000009</v>
      </c>
    </row>
    <row r="588" spans="1:36" x14ac:dyDescent="0.25">
      <c r="A588" s="12" t="s">
        <v>77</v>
      </c>
      <c r="B588" s="27">
        <v>45774</v>
      </c>
      <c r="C588" s="4">
        <v>45802</v>
      </c>
      <c r="D588" s="12" t="s">
        <v>649</v>
      </c>
      <c r="E588" s="12" t="s">
        <v>657</v>
      </c>
      <c r="F588" s="12" t="s">
        <v>690</v>
      </c>
      <c r="G588" s="12" t="s">
        <v>705</v>
      </c>
      <c r="H588" s="12" t="s">
        <v>709</v>
      </c>
      <c r="I588" s="12" t="s">
        <v>714</v>
      </c>
      <c r="J588" s="12" t="s">
        <v>730</v>
      </c>
      <c r="K588" s="12" t="s">
        <v>796</v>
      </c>
      <c r="L588" s="6">
        <v>603.45000000000005</v>
      </c>
      <c r="M588" s="6">
        <v>1244.08</v>
      </c>
      <c r="N588" s="6">
        <f t="shared" si="162"/>
        <v>1244.08</v>
      </c>
      <c r="O588" s="6" t="str">
        <f t="shared" si="176"/>
        <v>Middle</v>
      </c>
      <c r="P588" s="6">
        <v>0.2</v>
      </c>
      <c r="Q588" s="6">
        <f t="shared" si="163"/>
        <v>0.2</v>
      </c>
      <c r="R588" s="6">
        <v>11</v>
      </c>
      <c r="S588" s="6" t="str">
        <f t="shared" si="164"/>
        <v>OK</v>
      </c>
      <c r="T588" s="4">
        <f t="shared" si="165"/>
        <v>45802</v>
      </c>
      <c r="U588" s="11">
        <f t="shared" si="166"/>
        <v>28</v>
      </c>
      <c r="V588" s="6">
        <f t="shared" si="167"/>
        <v>10947.904</v>
      </c>
      <c r="W588" s="6">
        <f t="shared" si="168"/>
        <v>6637.9500000000007</v>
      </c>
      <c r="X588" s="6">
        <f t="shared" si="169"/>
        <v>4309.9539999999997</v>
      </c>
      <c r="Y588" s="6">
        <f t="shared" si="170"/>
        <v>0.39367846119220623</v>
      </c>
      <c r="Z588" s="4" t="str">
        <f t="shared" si="171"/>
        <v>Q2-2025</v>
      </c>
      <c r="AA588" t="str">
        <f t="shared" si="172"/>
        <v>Phones</v>
      </c>
      <c r="AB588" t="str">
        <f t="shared" si="173"/>
        <v>Phones</v>
      </c>
      <c r="AC588" t="str">
        <f t="shared" si="174"/>
        <v>Compliant</v>
      </c>
      <c r="AD588" t="str">
        <f t="shared" si="175"/>
        <v>Late</v>
      </c>
      <c r="AE588" s="8">
        <f>MIN(Q588,Scenario!$B$2)</f>
        <v>0.2</v>
      </c>
      <c r="AF588" s="33">
        <f>L588*(1+Scenario!$B$3)</f>
        <v>693.96749999999997</v>
      </c>
      <c r="AG588" s="6">
        <f>R588*(1+Scenario!$B$4)</f>
        <v>13.2</v>
      </c>
      <c r="AH588" s="33">
        <f t="shared" si="177"/>
        <v>13137.4848</v>
      </c>
      <c r="AI588" s="33">
        <f t="shared" si="178"/>
        <v>9160.3709999999992</v>
      </c>
      <c r="AJ588" s="33">
        <f t="shared" si="179"/>
        <v>3977.113800000001</v>
      </c>
    </row>
    <row r="589" spans="1:36" hidden="1" x14ac:dyDescent="0.25">
      <c r="A589" s="12" t="s">
        <v>105</v>
      </c>
      <c r="B589" s="27">
        <v>45775</v>
      </c>
      <c r="C589" s="4">
        <v>45792</v>
      </c>
      <c r="D589" s="12" t="s">
        <v>647</v>
      </c>
      <c r="E589" s="12" t="s">
        <v>652</v>
      </c>
      <c r="F589" s="12" t="s">
        <v>694</v>
      </c>
      <c r="G589" s="12" t="s">
        <v>702</v>
      </c>
      <c r="H589" s="12" t="s">
        <v>711</v>
      </c>
      <c r="I589" s="12" t="s">
        <v>725</v>
      </c>
      <c r="J589" s="12" t="s">
        <v>729</v>
      </c>
      <c r="K589" s="12" t="s">
        <v>824</v>
      </c>
      <c r="L589" s="6">
        <v>691.19</v>
      </c>
      <c r="M589" s="6">
        <v>1284.3</v>
      </c>
      <c r="N589" s="6">
        <f t="shared" si="162"/>
        <v>1284.3</v>
      </c>
      <c r="O589" s="6" t="str">
        <f t="shared" si="176"/>
        <v>Middle</v>
      </c>
      <c r="P589" s="6">
        <v>7.3999999999999996E-2</v>
      </c>
      <c r="Q589" s="6">
        <f t="shared" si="163"/>
        <v>7.3999999999999996E-2</v>
      </c>
      <c r="R589" s="6">
        <v>7</v>
      </c>
      <c r="S589" s="6" t="str">
        <f t="shared" si="164"/>
        <v>OK</v>
      </c>
      <c r="T589" s="4">
        <f t="shared" si="165"/>
        <v>45792</v>
      </c>
      <c r="U589" s="11">
        <f t="shared" si="166"/>
        <v>17</v>
      </c>
      <c r="V589" s="6">
        <f t="shared" si="167"/>
        <v>8324.8326000000015</v>
      </c>
      <c r="W589" s="6">
        <f t="shared" si="168"/>
        <v>4838.33</v>
      </c>
      <c r="X589" s="6">
        <f t="shared" si="169"/>
        <v>3486.5026000000016</v>
      </c>
      <c r="Y589" s="6">
        <f t="shared" si="170"/>
        <v>0.41880753253825198</v>
      </c>
      <c r="Z589" s="4" t="str">
        <f t="shared" si="171"/>
        <v>Q2-2025</v>
      </c>
      <c r="AA589" t="str">
        <f t="shared" si="172"/>
        <v>Networking</v>
      </c>
      <c r="AB589" t="str">
        <f t="shared" si="173"/>
        <v>Networking</v>
      </c>
      <c r="AC589" t="str">
        <f t="shared" si="174"/>
        <v>Compliant</v>
      </c>
      <c r="AD589" t="str">
        <f t="shared" si="175"/>
        <v>Late</v>
      </c>
      <c r="AE589" s="8">
        <f>MIN(Q589,Scenario!$B$2)</f>
        <v>7.3999999999999996E-2</v>
      </c>
      <c r="AF589" s="33">
        <f>L589*(1+Scenario!$B$3)</f>
        <v>794.86850000000004</v>
      </c>
      <c r="AG589" s="6">
        <f>R589*(1+Scenario!$B$4)</f>
        <v>8.4</v>
      </c>
      <c r="AH589" s="33">
        <f t="shared" si="177"/>
        <v>9989.7991200000015</v>
      </c>
      <c r="AI589" s="33">
        <f t="shared" si="178"/>
        <v>6676.8954000000003</v>
      </c>
      <c r="AJ589" s="33">
        <f t="shared" si="179"/>
        <v>3312.9037200000012</v>
      </c>
    </row>
    <row r="590" spans="1:36" hidden="1" x14ac:dyDescent="0.25">
      <c r="A590" s="12" t="s">
        <v>414</v>
      </c>
      <c r="B590" s="27">
        <v>45759</v>
      </c>
      <c r="C590" s="4">
        <v>45777</v>
      </c>
      <c r="D590" s="12" t="s">
        <v>646</v>
      </c>
      <c r="E590" s="12" t="s">
        <v>650</v>
      </c>
      <c r="F590" s="12" t="s">
        <v>662</v>
      </c>
      <c r="G590" s="12" t="s">
        <v>701</v>
      </c>
      <c r="H590" s="12" t="s">
        <v>709</v>
      </c>
      <c r="I590" s="12" t="s">
        <v>721</v>
      </c>
      <c r="J590" s="12" t="s">
        <v>729</v>
      </c>
      <c r="K590" s="12" t="s">
        <v>1133</v>
      </c>
      <c r="L590" s="6">
        <v>1119.04</v>
      </c>
      <c r="M590" s="6">
        <v>1299.02</v>
      </c>
      <c r="N590" s="6">
        <f t="shared" si="162"/>
        <v>1299.02</v>
      </c>
      <c r="O590" s="6" t="str">
        <f t="shared" si="176"/>
        <v>Middle</v>
      </c>
      <c r="P590" s="6">
        <v>2.5000000000000001E-2</v>
      </c>
      <c r="Q590" s="6">
        <f t="shared" si="163"/>
        <v>2.5000000000000001E-2</v>
      </c>
      <c r="R590" s="6">
        <v>14</v>
      </c>
      <c r="S590" s="6" t="str">
        <f t="shared" si="164"/>
        <v>OK</v>
      </c>
      <c r="T590" s="4">
        <f t="shared" si="165"/>
        <v>45777</v>
      </c>
      <c r="U590" s="11">
        <f t="shared" si="166"/>
        <v>18</v>
      </c>
      <c r="V590" s="6">
        <f t="shared" si="167"/>
        <v>17731.623</v>
      </c>
      <c r="W590" s="6">
        <f t="shared" si="168"/>
        <v>15666.56</v>
      </c>
      <c r="X590" s="6">
        <f t="shared" si="169"/>
        <v>2065.0630000000001</v>
      </c>
      <c r="Y590" s="6">
        <f t="shared" si="170"/>
        <v>0.11646215352085933</v>
      </c>
      <c r="Z590" s="4" t="str">
        <f t="shared" si="171"/>
        <v>Q2-2025</v>
      </c>
      <c r="AA590" t="str">
        <f t="shared" si="172"/>
        <v>Networking</v>
      </c>
      <c r="AB590" t="str">
        <f t="shared" si="173"/>
        <v>Networking</v>
      </c>
      <c r="AC590" t="str">
        <f t="shared" si="174"/>
        <v>Compliant</v>
      </c>
      <c r="AD590" t="str">
        <f t="shared" si="175"/>
        <v>Late</v>
      </c>
      <c r="AE590" s="8">
        <f>MIN(Q590,Scenario!$B$2)</f>
        <v>2.5000000000000001E-2</v>
      </c>
      <c r="AF590" s="33">
        <f>L590*(1+Scenario!$B$3)</f>
        <v>1286.896</v>
      </c>
      <c r="AG590" s="6">
        <f>R590*(1+Scenario!$B$4)</f>
        <v>16.8</v>
      </c>
      <c r="AH590" s="33">
        <f t="shared" si="177"/>
        <v>21277.9476</v>
      </c>
      <c r="AI590" s="33">
        <f t="shared" si="178"/>
        <v>21619.852800000001</v>
      </c>
      <c r="AJ590" s="33">
        <f t="shared" si="179"/>
        <v>-341.90520000000106</v>
      </c>
    </row>
    <row r="591" spans="1:36" hidden="1" x14ac:dyDescent="0.25">
      <c r="A591" s="12" t="s">
        <v>520</v>
      </c>
      <c r="B591" s="27">
        <v>45774</v>
      </c>
      <c r="C591" s="4">
        <v>45794</v>
      </c>
      <c r="D591" s="12" t="s">
        <v>648</v>
      </c>
      <c r="E591" s="12" t="s">
        <v>660</v>
      </c>
      <c r="F591" s="12" t="s">
        <v>697</v>
      </c>
      <c r="G591" s="12" t="s">
        <v>701</v>
      </c>
      <c r="H591" s="12" t="s">
        <v>711</v>
      </c>
      <c r="I591" s="12" t="s">
        <v>725</v>
      </c>
      <c r="J591" s="12" t="s">
        <v>730</v>
      </c>
      <c r="K591" s="12" t="s">
        <v>1239</v>
      </c>
      <c r="L591" s="6">
        <v>932.26</v>
      </c>
      <c r="M591" s="6">
        <v>1624.67</v>
      </c>
      <c r="N591" s="6">
        <f t="shared" si="162"/>
        <v>1624.67</v>
      </c>
      <c r="O591" s="6" t="str">
        <f t="shared" si="176"/>
        <v>High</v>
      </c>
      <c r="P591" s="6">
        <v>0.23499999999999999</v>
      </c>
      <c r="Q591" s="6">
        <f t="shared" si="163"/>
        <v>0.23499999999999999</v>
      </c>
      <c r="R591" s="6">
        <v>28</v>
      </c>
      <c r="S591" s="6" t="str">
        <f t="shared" si="164"/>
        <v>OK</v>
      </c>
      <c r="T591" s="4">
        <f t="shared" si="165"/>
        <v>45794</v>
      </c>
      <c r="U591" s="11">
        <f t="shared" si="166"/>
        <v>20</v>
      </c>
      <c r="V591" s="6">
        <f t="shared" si="167"/>
        <v>34800.431400000001</v>
      </c>
      <c r="W591" s="6">
        <f t="shared" si="168"/>
        <v>26103.279999999999</v>
      </c>
      <c r="X591" s="6">
        <f t="shared" si="169"/>
        <v>8697.1514000000025</v>
      </c>
      <c r="Y591" s="6">
        <f t="shared" si="170"/>
        <v>0.24991504559337163</v>
      </c>
      <c r="Z591" s="4" t="str">
        <f t="shared" si="171"/>
        <v>Q2-2025</v>
      </c>
      <c r="AA591" t="str">
        <f t="shared" si="172"/>
        <v>Phones</v>
      </c>
      <c r="AB591" t="str">
        <f t="shared" si="173"/>
        <v>Phones</v>
      </c>
      <c r="AC591" t="str">
        <f t="shared" si="174"/>
        <v>Non-compliant</v>
      </c>
      <c r="AD591" t="str">
        <f t="shared" si="175"/>
        <v>Late</v>
      </c>
      <c r="AE591" s="8">
        <f>MIN(Q591,Scenario!$B$2)</f>
        <v>0.2</v>
      </c>
      <c r="AF591" s="33">
        <f>L591*(1+Scenario!$B$3)</f>
        <v>1072.0989999999999</v>
      </c>
      <c r="AG591" s="6">
        <f>R591*(1+Scenario!$B$4)</f>
        <v>33.6</v>
      </c>
      <c r="AH591" s="33">
        <f t="shared" si="177"/>
        <v>43671.129600000007</v>
      </c>
      <c r="AI591" s="33">
        <f t="shared" si="178"/>
        <v>36022.526400000002</v>
      </c>
      <c r="AJ591" s="33">
        <f t="shared" si="179"/>
        <v>7648.603200000005</v>
      </c>
    </row>
    <row r="592" spans="1:36" x14ac:dyDescent="0.25">
      <c r="A592" s="12" t="s">
        <v>44</v>
      </c>
      <c r="B592" s="27">
        <v>45754</v>
      </c>
      <c r="C592" s="4">
        <v>45758</v>
      </c>
      <c r="D592" s="12" t="s">
        <v>649</v>
      </c>
      <c r="E592" s="12" t="s">
        <v>657</v>
      </c>
      <c r="F592" s="12" t="s">
        <v>679</v>
      </c>
      <c r="G592" s="12" t="s">
        <v>702</v>
      </c>
      <c r="H592" s="12" t="s">
        <v>707</v>
      </c>
      <c r="I592" s="12" t="s">
        <v>718</v>
      </c>
      <c r="J592" s="12" t="s">
        <v>729</v>
      </c>
      <c r="K592" s="12" t="s">
        <v>763</v>
      </c>
      <c r="L592" s="6">
        <v>754.77</v>
      </c>
      <c r="M592" s="6">
        <v>1666.18</v>
      </c>
      <c r="N592" s="6">
        <f t="shared" si="162"/>
        <v>1666.18</v>
      </c>
      <c r="O592" s="6" t="str">
        <f t="shared" si="176"/>
        <v>High</v>
      </c>
      <c r="P592" s="6">
        <v>0.13900000000000001</v>
      </c>
      <c r="R592" s="6">
        <v>14</v>
      </c>
      <c r="S592" s="6" t="str">
        <f t="shared" si="164"/>
        <v>OK</v>
      </c>
      <c r="T592" s="4">
        <f t="shared" si="165"/>
        <v>45758</v>
      </c>
      <c r="U592" s="11">
        <f t="shared" si="166"/>
        <v>4</v>
      </c>
      <c r="V592" s="6">
        <f t="shared" si="167"/>
        <v>23326.52</v>
      </c>
      <c r="W592" s="6">
        <f t="shared" si="168"/>
        <v>10566.779999999999</v>
      </c>
      <c r="X592" s="6">
        <f t="shared" si="169"/>
        <v>12759.740000000002</v>
      </c>
      <c r="Y592" s="6">
        <f t="shared" si="170"/>
        <v>0.5470057256718962</v>
      </c>
      <c r="Z592" s="4" t="str">
        <f t="shared" si="171"/>
        <v>Q2-2025</v>
      </c>
      <c r="AA592" t="str">
        <f t="shared" si="172"/>
        <v>Networking</v>
      </c>
      <c r="AB592" t="str">
        <f t="shared" si="173"/>
        <v>Networking</v>
      </c>
      <c r="AC592" t="str">
        <f t="shared" si="174"/>
        <v>Compliant</v>
      </c>
      <c r="AD592" t="str">
        <f t="shared" si="175"/>
        <v>On-time</v>
      </c>
      <c r="AE592" s="8">
        <f>MIN(Q592,Scenario!$B$2)</f>
        <v>0.2</v>
      </c>
      <c r="AF592" s="33">
        <f>L592*(1+Scenario!$B$3)</f>
        <v>867.98549999999989</v>
      </c>
      <c r="AG592" s="6">
        <f>R592*(1+Scenario!$B$4)</f>
        <v>16.8</v>
      </c>
      <c r="AH592" s="33">
        <f t="shared" si="177"/>
        <v>22393.459200000001</v>
      </c>
      <c r="AI592" s="33">
        <f t="shared" si="178"/>
        <v>14582.156399999998</v>
      </c>
      <c r="AJ592" s="33">
        <f t="shared" si="179"/>
        <v>7811.3028000000031</v>
      </c>
    </row>
    <row r="593" spans="1:36" hidden="1" x14ac:dyDescent="0.25">
      <c r="A593" s="12" t="s">
        <v>278</v>
      </c>
      <c r="B593" s="27">
        <v>45763</v>
      </c>
      <c r="C593" s="4">
        <v>45773</v>
      </c>
      <c r="D593" s="12" t="s">
        <v>646</v>
      </c>
      <c r="E593" s="12" t="s">
        <v>651</v>
      </c>
      <c r="F593" s="12" t="s">
        <v>663</v>
      </c>
      <c r="G593" s="12" t="s">
        <v>706</v>
      </c>
      <c r="H593" s="12" t="s">
        <v>709</v>
      </c>
      <c r="I593" s="12" t="s">
        <v>721</v>
      </c>
      <c r="J593" s="12" t="s">
        <v>731</v>
      </c>
      <c r="K593" s="12" t="s">
        <v>998</v>
      </c>
      <c r="L593" s="6">
        <v>1457.44</v>
      </c>
      <c r="M593" s="6">
        <v>1996.81</v>
      </c>
      <c r="N593" s="6">
        <f t="shared" si="162"/>
        <v>1996.81</v>
      </c>
      <c r="O593" s="6" t="str">
        <f t="shared" si="176"/>
        <v>High</v>
      </c>
      <c r="P593" s="6">
        <v>0.126</v>
      </c>
      <c r="Q593" s="6">
        <f t="shared" si="163"/>
        <v>0.126</v>
      </c>
      <c r="R593" s="6">
        <v>23</v>
      </c>
      <c r="S593" s="6" t="str">
        <f t="shared" si="164"/>
        <v>OK</v>
      </c>
      <c r="T593" s="4">
        <f t="shared" si="165"/>
        <v>45773</v>
      </c>
      <c r="U593" s="11">
        <f t="shared" si="166"/>
        <v>10</v>
      </c>
      <c r="V593" s="6">
        <f t="shared" si="167"/>
        <v>40139.874619999995</v>
      </c>
      <c r="W593" s="6">
        <f t="shared" si="168"/>
        <v>33521.120000000003</v>
      </c>
      <c r="X593" s="6">
        <f t="shared" si="169"/>
        <v>6618.7546199999924</v>
      </c>
      <c r="Y593" s="6">
        <f t="shared" si="170"/>
        <v>0.16489225944672353</v>
      </c>
      <c r="Z593" s="4" t="str">
        <f t="shared" si="171"/>
        <v>Q2-2025</v>
      </c>
      <c r="AA593" t="str">
        <f t="shared" si="172"/>
        <v>Laptops</v>
      </c>
      <c r="AB593" t="str">
        <f t="shared" si="173"/>
        <v>Laptops</v>
      </c>
      <c r="AC593" t="str">
        <f t="shared" si="174"/>
        <v>Compliant</v>
      </c>
      <c r="AD593" t="str">
        <f t="shared" si="175"/>
        <v>Late</v>
      </c>
      <c r="AE593" s="8">
        <f>MIN(Q593,Scenario!$B$2)</f>
        <v>0.126</v>
      </c>
      <c r="AF593" s="33">
        <f>L593*(1+Scenario!$B$3)</f>
        <v>1676.056</v>
      </c>
      <c r="AG593" s="6">
        <f>R593*(1+Scenario!$B$4)</f>
        <v>27.599999999999998</v>
      </c>
      <c r="AH593" s="33">
        <f t="shared" si="177"/>
        <v>48167.84954399999</v>
      </c>
      <c r="AI593" s="33">
        <f t="shared" si="178"/>
        <v>46259.145599999996</v>
      </c>
      <c r="AJ593" s="33">
        <f t="shared" si="179"/>
        <v>1908.7039439999935</v>
      </c>
    </row>
    <row r="594" spans="1:36" x14ac:dyDescent="0.25">
      <c r="A594" s="12" t="s">
        <v>190</v>
      </c>
      <c r="B594" s="27">
        <v>45761</v>
      </c>
      <c r="C594" s="4">
        <v>45781</v>
      </c>
      <c r="D594" s="12" t="s">
        <v>649</v>
      </c>
      <c r="E594" s="12" t="s">
        <v>658</v>
      </c>
      <c r="F594" s="12" t="s">
        <v>674</v>
      </c>
      <c r="G594" s="12" t="s">
        <v>706</v>
      </c>
      <c r="H594" s="12" t="s">
        <v>709</v>
      </c>
      <c r="I594" s="12" t="s">
        <v>723</v>
      </c>
      <c r="J594" s="12" t="s">
        <v>732</v>
      </c>
      <c r="K594" s="12" t="s">
        <v>909</v>
      </c>
      <c r="L594" s="6">
        <v>1413.87</v>
      </c>
      <c r="M594" s="6">
        <v>3275</v>
      </c>
      <c r="N594" s="6">
        <f t="shared" si="162"/>
        <v>3275</v>
      </c>
      <c r="O594" s="6" t="str">
        <f t="shared" si="176"/>
        <v>High</v>
      </c>
      <c r="P594" s="6">
        <v>0.255</v>
      </c>
      <c r="Q594" s="6">
        <f t="shared" si="163"/>
        <v>0.255</v>
      </c>
      <c r="R594" s="6">
        <v>38</v>
      </c>
      <c r="S594" s="6" t="str">
        <f t="shared" si="164"/>
        <v>OK</v>
      </c>
      <c r="T594" s="4">
        <f t="shared" si="165"/>
        <v>45781</v>
      </c>
      <c r="U594" s="11">
        <f t="shared" si="166"/>
        <v>20</v>
      </c>
      <c r="V594" s="6">
        <f t="shared" si="167"/>
        <v>92715.25</v>
      </c>
      <c r="W594" s="6">
        <f t="shared" si="168"/>
        <v>53727.06</v>
      </c>
      <c r="X594" s="6">
        <f t="shared" si="169"/>
        <v>38988.19</v>
      </c>
      <c r="Y594" s="6">
        <f t="shared" si="170"/>
        <v>0.42051539525590453</v>
      </c>
      <c r="Z594" s="4" t="str">
        <f t="shared" si="171"/>
        <v>Q2-2025</v>
      </c>
      <c r="AA594" t="str">
        <f t="shared" si="172"/>
        <v>Monitors</v>
      </c>
      <c r="AB594" t="str">
        <f t="shared" si="173"/>
        <v>Monitors</v>
      </c>
      <c r="AC594" t="str">
        <f t="shared" si="174"/>
        <v>Non-compliant</v>
      </c>
      <c r="AD594" t="str">
        <f t="shared" si="175"/>
        <v>Late</v>
      </c>
      <c r="AE594" s="8">
        <f>MIN(Q594,Scenario!$B$2)</f>
        <v>0.2</v>
      </c>
      <c r="AF594" s="33">
        <f>L594*(1+Scenario!$B$3)</f>
        <v>1625.9504999999997</v>
      </c>
      <c r="AG594" s="6">
        <f>R594*(1+Scenario!$B$4)</f>
        <v>45.6</v>
      </c>
      <c r="AH594" s="33">
        <f t="shared" si="177"/>
        <v>119472</v>
      </c>
      <c r="AI594" s="33">
        <f t="shared" si="178"/>
        <v>74143.342799999984</v>
      </c>
      <c r="AJ594" s="33">
        <f t="shared" si="179"/>
        <v>45328.657200000016</v>
      </c>
    </row>
    <row r="595" spans="1:36" hidden="1" x14ac:dyDescent="0.25">
      <c r="A595" s="12" t="s">
        <v>504</v>
      </c>
      <c r="B595" s="27">
        <v>45403</v>
      </c>
      <c r="C595" s="4">
        <v>45431</v>
      </c>
      <c r="D595" s="12" t="s">
        <v>646</v>
      </c>
      <c r="E595" s="12" t="s">
        <v>651</v>
      </c>
      <c r="F595" s="12" t="s">
        <v>665</v>
      </c>
      <c r="G595" s="12" t="s">
        <v>701</v>
      </c>
      <c r="H595" s="12" t="s">
        <v>710</v>
      </c>
      <c r="I595" s="12" t="s">
        <v>720</v>
      </c>
      <c r="J595" s="12" t="s">
        <v>733</v>
      </c>
      <c r="K595" s="12" t="s">
        <v>1223</v>
      </c>
      <c r="L595" s="6">
        <v>187.22</v>
      </c>
      <c r="M595" s="6">
        <v>309.47000000000003</v>
      </c>
      <c r="N595" s="6">
        <f t="shared" si="162"/>
        <v>309.47000000000003</v>
      </c>
      <c r="O595" s="6" t="str">
        <f t="shared" si="176"/>
        <v>Low</v>
      </c>
      <c r="P595" s="6">
        <v>0</v>
      </c>
      <c r="Q595" s="6">
        <f t="shared" si="163"/>
        <v>0</v>
      </c>
      <c r="R595" s="6">
        <v>5</v>
      </c>
      <c r="S595" s="6" t="str">
        <f t="shared" si="164"/>
        <v>OK</v>
      </c>
      <c r="T595" s="4">
        <f t="shared" si="165"/>
        <v>45431</v>
      </c>
      <c r="U595" s="11">
        <f t="shared" si="166"/>
        <v>28</v>
      </c>
      <c r="V595" s="6">
        <f t="shared" si="167"/>
        <v>1547.3500000000001</v>
      </c>
      <c r="W595" s="6">
        <f t="shared" si="168"/>
        <v>936.1</v>
      </c>
      <c r="X595" s="6">
        <f t="shared" si="169"/>
        <v>611.25000000000011</v>
      </c>
      <c r="Y595" s="6">
        <f t="shared" si="170"/>
        <v>0.39503021294471197</v>
      </c>
      <c r="Z595" s="4" t="str">
        <f t="shared" si="171"/>
        <v>Q2-2024</v>
      </c>
      <c r="AA595" t="str">
        <f t="shared" si="172"/>
        <v>Accessories</v>
      </c>
      <c r="AB595" t="str">
        <f t="shared" si="173"/>
        <v>Accessories</v>
      </c>
      <c r="AC595" t="str">
        <f t="shared" si="174"/>
        <v>Compliant</v>
      </c>
      <c r="AD595" t="str">
        <f t="shared" si="175"/>
        <v>Late</v>
      </c>
      <c r="AE595" s="8">
        <f>MIN(Q595,Scenario!$B$2)</f>
        <v>0</v>
      </c>
      <c r="AF595" s="33">
        <f>L595*(1+Scenario!$B$3)</f>
        <v>215.30299999999997</v>
      </c>
      <c r="AG595" s="6">
        <f>R595*(1+Scenario!$B$4)</f>
        <v>6</v>
      </c>
      <c r="AH595" s="33">
        <f t="shared" si="177"/>
        <v>1856.8200000000002</v>
      </c>
      <c r="AI595" s="33">
        <f t="shared" si="178"/>
        <v>1291.8179999999998</v>
      </c>
      <c r="AJ595" s="33">
        <f t="shared" si="179"/>
        <v>565.00200000000041</v>
      </c>
    </row>
    <row r="596" spans="1:36" hidden="1" x14ac:dyDescent="0.25">
      <c r="A596" s="12" t="s">
        <v>539</v>
      </c>
      <c r="B596" s="27">
        <v>45398</v>
      </c>
      <c r="C596" s="4">
        <v>45409</v>
      </c>
      <c r="D596" s="12" t="s">
        <v>646</v>
      </c>
      <c r="E596" s="12" t="s">
        <v>650</v>
      </c>
      <c r="F596" s="12" t="s">
        <v>678</v>
      </c>
      <c r="G596" s="12" t="s">
        <v>706</v>
      </c>
      <c r="H596" s="12" t="s">
        <v>708</v>
      </c>
      <c r="I596" s="12" t="s">
        <v>726</v>
      </c>
      <c r="J596" s="12" t="s">
        <v>728</v>
      </c>
      <c r="K596" s="12" t="s">
        <v>1258</v>
      </c>
      <c r="L596" s="6">
        <v>401.3</v>
      </c>
      <c r="M596" s="6">
        <v>826.47</v>
      </c>
      <c r="N596" s="6">
        <f t="shared" si="162"/>
        <v>826.47</v>
      </c>
      <c r="O596" s="6" t="str">
        <f t="shared" si="176"/>
        <v>Low</v>
      </c>
      <c r="P596" s="6">
        <v>0.22500000000000001</v>
      </c>
      <c r="Q596" s="6">
        <f t="shared" si="163"/>
        <v>0.22500000000000001</v>
      </c>
      <c r="R596" s="6">
        <v>13</v>
      </c>
      <c r="S596" s="6" t="str">
        <f t="shared" si="164"/>
        <v>OK</v>
      </c>
      <c r="T596" s="4">
        <f t="shared" si="165"/>
        <v>45409</v>
      </c>
      <c r="U596" s="11">
        <f t="shared" si="166"/>
        <v>11</v>
      </c>
      <c r="V596" s="6">
        <f t="shared" si="167"/>
        <v>8326.6852500000005</v>
      </c>
      <c r="W596" s="6">
        <f t="shared" si="168"/>
        <v>5216.9000000000005</v>
      </c>
      <c r="X596" s="6">
        <f t="shared" si="169"/>
        <v>3109.7852499999999</v>
      </c>
      <c r="Y596" s="6">
        <f t="shared" si="170"/>
        <v>0.37347217489696755</v>
      </c>
      <c r="Z596" s="4" t="str">
        <f t="shared" si="171"/>
        <v>Q2-2024</v>
      </c>
      <c r="AA596" t="str">
        <f t="shared" si="172"/>
        <v>Printers</v>
      </c>
      <c r="AB596" t="str">
        <f t="shared" si="173"/>
        <v>Printers</v>
      </c>
      <c r="AC596" t="str">
        <f t="shared" si="174"/>
        <v>Non-compliant</v>
      </c>
      <c r="AD596" t="str">
        <f t="shared" si="175"/>
        <v>Late</v>
      </c>
      <c r="AE596" s="8">
        <f>MIN(Q596,Scenario!$B$2)</f>
        <v>0.2</v>
      </c>
      <c r="AF596" s="33">
        <f>L596*(1+Scenario!$B$3)</f>
        <v>461.495</v>
      </c>
      <c r="AG596" s="6">
        <f>R596*(1+Scenario!$B$4)</f>
        <v>15.6</v>
      </c>
      <c r="AH596" s="33">
        <f t="shared" si="177"/>
        <v>10314.345600000001</v>
      </c>
      <c r="AI596" s="33">
        <f t="shared" si="178"/>
        <v>7199.3220000000001</v>
      </c>
      <c r="AJ596" s="33">
        <f t="shared" si="179"/>
        <v>3115.0236000000004</v>
      </c>
    </row>
    <row r="597" spans="1:36" x14ac:dyDescent="0.25">
      <c r="A597" s="12" t="s">
        <v>515</v>
      </c>
      <c r="B597" s="27">
        <v>45408</v>
      </c>
      <c r="C597" s="4">
        <v>45406</v>
      </c>
      <c r="D597" s="12" t="s">
        <v>649</v>
      </c>
      <c r="E597" s="12" t="s">
        <v>658</v>
      </c>
      <c r="F597" s="12" t="s">
        <v>683</v>
      </c>
      <c r="G597" s="12" t="s">
        <v>703</v>
      </c>
      <c r="H597" s="12" t="s">
        <v>710</v>
      </c>
      <c r="I597" s="12" t="s">
        <v>725</v>
      </c>
      <c r="J597" s="12" t="s">
        <v>730</v>
      </c>
      <c r="K597" s="12" t="s">
        <v>1234</v>
      </c>
      <c r="L597" s="6">
        <v>1232.77</v>
      </c>
      <c r="M597" s="6">
        <v>891.73</v>
      </c>
      <c r="N597" s="6">
        <f t="shared" si="162"/>
        <v>891.73</v>
      </c>
      <c r="O597" s="6" t="str">
        <f t="shared" si="176"/>
        <v>Middle</v>
      </c>
      <c r="P597" s="6">
        <v>0.16700000000000001</v>
      </c>
      <c r="Q597" s="6">
        <f t="shared" si="163"/>
        <v>0.16700000000000001</v>
      </c>
      <c r="R597" s="6">
        <v>10</v>
      </c>
      <c r="S597" s="6" t="str">
        <f t="shared" si="164"/>
        <v>Correct</v>
      </c>
      <c r="T597" s="4">
        <f t="shared" si="165"/>
        <v>45415</v>
      </c>
      <c r="U597" s="11">
        <f t="shared" si="166"/>
        <v>7</v>
      </c>
      <c r="V597" s="6">
        <f t="shared" si="167"/>
        <v>7428.1108999999988</v>
      </c>
      <c r="W597" s="6">
        <f t="shared" si="168"/>
        <v>12327.7</v>
      </c>
      <c r="X597" s="6">
        <f t="shared" si="169"/>
        <v>-4899.589100000002</v>
      </c>
      <c r="Y597" s="6">
        <f t="shared" si="170"/>
        <v>-0.65960096260813805</v>
      </c>
      <c r="Z597" s="4" t="str">
        <f t="shared" si="171"/>
        <v>Q2-2024</v>
      </c>
      <c r="AA597" t="str">
        <f t="shared" si="172"/>
        <v>Phones</v>
      </c>
      <c r="AB597" t="str">
        <f t="shared" si="173"/>
        <v>Phones</v>
      </c>
      <c r="AC597" t="str">
        <f t="shared" si="174"/>
        <v>Compliant</v>
      </c>
      <c r="AD597" t="str">
        <f t="shared" si="175"/>
        <v>On-time</v>
      </c>
      <c r="AE597" s="8">
        <f>MIN(Q597,Scenario!$B$2)</f>
        <v>0.16700000000000001</v>
      </c>
      <c r="AF597" s="33">
        <f>L597*(1+Scenario!$B$3)</f>
        <v>1417.6854999999998</v>
      </c>
      <c r="AG597" s="6">
        <f>R597*(1+Scenario!$B$4)</f>
        <v>12</v>
      </c>
      <c r="AH597" s="33">
        <f t="shared" si="177"/>
        <v>8913.73308</v>
      </c>
      <c r="AI597" s="33">
        <f t="shared" si="178"/>
        <v>17012.225999999999</v>
      </c>
      <c r="AJ597" s="33">
        <f t="shared" si="179"/>
        <v>-8098.4929199999988</v>
      </c>
    </row>
    <row r="598" spans="1:36" x14ac:dyDescent="0.25">
      <c r="A598" s="12" t="s">
        <v>162</v>
      </c>
      <c r="B598" s="27">
        <v>45386</v>
      </c>
      <c r="C598" s="4">
        <v>45406</v>
      </c>
      <c r="D598" s="12" t="s">
        <v>649</v>
      </c>
      <c r="E598" s="12" t="s">
        <v>656</v>
      </c>
      <c r="F598" s="12" t="s">
        <v>698</v>
      </c>
      <c r="G598" s="12" t="s">
        <v>703</v>
      </c>
      <c r="H598" s="12" t="s">
        <v>711</v>
      </c>
      <c r="I598" s="12" t="s">
        <v>719</v>
      </c>
      <c r="J598" s="12" t="s">
        <v>733</v>
      </c>
      <c r="K598" s="12" t="s">
        <v>881</v>
      </c>
      <c r="L598" s="6">
        <v>683.42</v>
      </c>
      <c r="M598" s="6">
        <v>951.51</v>
      </c>
      <c r="N598" s="6">
        <f t="shared" si="162"/>
        <v>951.51</v>
      </c>
      <c r="O598" s="6" t="str">
        <f t="shared" si="176"/>
        <v>Middle</v>
      </c>
      <c r="P598" s="6">
        <v>0</v>
      </c>
      <c r="Q598" s="6">
        <f t="shared" si="163"/>
        <v>0</v>
      </c>
      <c r="R598" s="6">
        <v>14</v>
      </c>
      <c r="S598" s="6" t="str">
        <f t="shared" si="164"/>
        <v>OK</v>
      </c>
      <c r="T598" s="4">
        <f t="shared" si="165"/>
        <v>45406</v>
      </c>
      <c r="U598" s="11">
        <f t="shared" si="166"/>
        <v>20</v>
      </c>
      <c r="V598" s="6">
        <f t="shared" si="167"/>
        <v>13321.14</v>
      </c>
      <c r="W598" s="6">
        <f t="shared" si="168"/>
        <v>9567.8799999999992</v>
      </c>
      <c r="X598" s="6">
        <f t="shared" si="169"/>
        <v>3753.26</v>
      </c>
      <c r="Y598" s="6">
        <f t="shared" si="170"/>
        <v>0.28175216235247136</v>
      </c>
      <c r="Z598" s="4" t="str">
        <f t="shared" si="171"/>
        <v>Q2-2024</v>
      </c>
      <c r="AA598" t="str">
        <f t="shared" si="172"/>
        <v>Accessories</v>
      </c>
      <c r="AB598" t="str">
        <f t="shared" si="173"/>
        <v>Accessories</v>
      </c>
      <c r="AC598" t="str">
        <f t="shared" si="174"/>
        <v>Compliant</v>
      </c>
      <c r="AD598" t="str">
        <f t="shared" si="175"/>
        <v>Late</v>
      </c>
      <c r="AE598" s="8">
        <f>MIN(Q598,Scenario!$B$2)</f>
        <v>0</v>
      </c>
      <c r="AF598" s="33">
        <f>L598*(1+Scenario!$B$3)</f>
        <v>785.93299999999988</v>
      </c>
      <c r="AG598" s="6">
        <f>R598*(1+Scenario!$B$4)</f>
        <v>16.8</v>
      </c>
      <c r="AH598" s="33">
        <f t="shared" si="177"/>
        <v>15985.368</v>
      </c>
      <c r="AI598" s="33">
        <f t="shared" si="178"/>
        <v>13203.674399999998</v>
      </c>
      <c r="AJ598" s="33">
        <f t="shared" si="179"/>
        <v>2781.6936000000023</v>
      </c>
    </row>
    <row r="599" spans="1:36" hidden="1" x14ac:dyDescent="0.25">
      <c r="A599" s="12" t="s">
        <v>519</v>
      </c>
      <c r="B599" s="27">
        <v>45387</v>
      </c>
      <c r="C599" s="4">
        <v>45391</v>
      </c>
      <c r="D599" s="12" t="s">
        <v>646</v>
      </c>
      <c r="E599" s="12" t="s">
        <v>651</v>
      </c>
      <c r="F599" s="12" t="s">
        <v>665</v>
      </c>
      <c r="G599" s="12" t="s">
        <v>703</v>
      </c>
      <c r="H599" s="12" t="s">
        <v>711</v>
      </c>
      <c r="I599" s="12" t="s">
        <v>723</v>
      </c>
      <c r="J599" s="12" t="s">
        <v>727</v>
      </c>
      <c r="K599" s="12" t="s">
        <v>1238</v>
      </c>
      <c r="L599" s="6">
        <v>395.07</v>
      </c>
      <c r="M599" s="6">
        <v>970.27</v>
      </c>
      <c r="N599" s="6">
        <f t="shared" si="162"/>
        <v>970.27</v>
      </c>
      <c r="O599" s="6" t="str">
        <f t="shared" si="176"/>
        <v>Middle</v>
      </c>
      <c r="P599" s="6">
        <v>0.123</v>
      </c>
      <c r="Q599" s="6">
        <f t="shared" si="163"/>
        <v>0.123</v>
      </c>
      <c r="R599" s="6">
        <v>38</v>
      </c>
      <c r="S599" s="6" t="str">
        <f t="shared" si="164"/>
        <v>OK</v>
      </c>
      <c r="T599" s="4">
        <f t="shared" si="165"/>
        <v>45391</v>
      </c>
      <c r="U599" s="11">
        <f t="shared" si="166"/>
        <v>4</v>
      </c>
      <c r="V599" s="6">
        <f t="shared" si="167"/>
        <v>32335.21802</v>
      </c>
      <c r="W599" s="6">
        <f t="shared" si="168"/>
        <v>15012.66</v>
      </c>
      <c r="X599" s="6">
        <f t="shared" si="169"/>
        <v>17322.55802</v>
      </c>
      <c r="Y599" s="6">
        <f t="shared" si="170"/>
        <v>0.53571799049833657</v>
      </c>
      <c r="Z599" s="4" t="str">
        <f t="shared" si="171"/>
        <v>Q2-2024</v>
      </c>
      <c r="AA599" t="str">
        <f t="shared" si="172"/>
        <v>Components</v>
      </c>
      <c r="AB599" t="str">
        <f t="shared" si="173"/>
        <v>Components</v>
      </c>
      <c r="AC599" t="str">
        <f t="shared" si="174"/>
        <v>Compliant</v>
      </c>
      <c r="AD599" t="str">
        <f t="shared" si="175"/>
        <v>On-time</v>
      </c>
      <c r="AE599" s="8">
        <f>MIN(Q599,Scenario!$B$2)</f>
        <v>0.123</v>
      </c>
      <c r="AF599" s="33">
        <f>L599*(1+Scenario!$B$3)</f>
        <v>454.33049999999997</v>
      </c>
      <c r="AG599" s="6">
        <f>R599*(1+Scenario!$B$4)</f>
        <v>45.6</v>
      </c>
      <c r="AH599" s="33">
        <f t="shared" si="177"/>
        <v>38802.261623999999</v>
      </c>
      <c r="AI599" s="33">
        <f t="shared" si="178"/>
        <v>20717.470799999999</v>
      </c>
      <c r="AJ599" s="33">
        <f t="shared" si="179"/>
        <v>18084.790824</v>
      </c>
    </row>
    <row r="600" spans="1:36" hidden="1" x14ac:dyDescent="0.25">
      <c r="A600" s="12" t="s">
        <v>537</v>
      </c>
      <c r="B600" s="27">
        <v>45406</v>
      </c>
      <c r="C600" s="4">
        <v>45422</v>
      </c>
      <c r="D600" s="12" t="s">
        <v>646</v>
      </c>
      <c r="E600" s="12" t="s">
        <v>650</v>
      </c>
      <c r="F600" s="12" t="s">
        <v>662</v>
      </c>
      <c r="G600" s="12" t="s">
        <v>703</v>
      </c>
      <c r="H600" s="12" t="s">
        <v>708</v>
      </c>
      <c r="I600" s="12" t="s">
        <v>725</v>
      </c>
      <c r="J600" s="12" t="s">
        <v>732</v>
      </c>
      <c r="K600" s="12" t="s">
        <v>1256</v>
      </c>
      <c r="L600" s="6">
        <v>513.30999999999995</v>
      </c>
      <c r="M600" s="6">
        <v>1186.26</v>
      </c>
      <c r="N600" s="6">
        <f t="shared" si="162"/>
        <v>1186.26</v>
      </c>
      <c r="O600" s="6" t="str">
        <f t="shared" si="176"/>
        <v>Middle</v>
      </c>
      <c r="P600" s="6">
        <v>9.4E-2</v>
      </c>
      <c r="Q600" s="6">
        <f t="shared" si="163"/>
        <v>9.4E-2</v>
      </c>
      <c r="R600" s="6">
        <v>15</v>
      </c>
      <c r="S600" s="6" t="str">
        <f t="shared" si="164"/>
        <v>OK</v>
      </c>
      <c r="T600" s="4">
        <f t="shared" si="165"/>
        <v>45422</v>
      </c>
      <c r="U600" s="11">
        <f t="shared" si="166"/>
        <v>16</v>
      </c>
      <c r="V600" s="6">
        <f t="shared" si="167"/>
        <v>16121.273400000002</v>
      </c>
      <c r="W600" s="6">
        <f t="shared" si="168"/>
        <v>7699.65</v>
      </c>
      <c r="X600" s="6">
        <f t="shared" si="169"/>
        <v>8421.6234000000022</v>
      </c>
      <c r="Y600" s="6">
        <f t="shared" si="170"/>
        <v>0.52239194702820446</v>
      </c>
      <c r="Z600" s="4" t="str">
        <f t="shared" si="171"/>
        <v>Q2-2024</v>
      </c>
      <c r="AA600" t="str">
        <f t="shared" si="172"/>
        <v>Monitors</v>
      </c>
      <c r="AB600" t="str">
        <f t="shared" si="173"/>
        <v>Monitors</v>
      </c>
      <c r="AC600" t="str">
        <f t="shared" si="174"/>
        <v>Compliant</v>
      </c>
      <c r="AD600" t="str">
        <f t="shared" si="175"/>
        <v>Late</v>
      </c>
      <c r="AE600" s="8">
        <f>MIN(Q600,Scenario!$B$2)</f>
        <v>9.4E-2</v>
      </c>
      <c r="AF600" s="33">
        <f>L600*(1+Scenario!$B$3)</f>
        <v>590.30649999999991</v>
      </c>
      <c r="AG600" s="6">
        <f>R600*(1+Scenario!$B$4)</f>
        <v>18</v>
      </c>
      <c r="AH600" s="33">
        <f t="shared" si="177"/>
        <v>19345.52808</v>
      </c>
      <c r="AI600" s="33">
        <f t="shared" si="178"/>
        <v>10625.516999999998</v>
      </c>
      <c r="AJ600" s="33">
        <f t="shared" si="179"/>
        <v>8720.011080000002</v>
      </c>
    </row>
    <row r="601" spans="1:36" x14ac:dyDescent="0.25">
      <c r="A601" s="12" t="s">
        <v>48</v>
      </c>
      <c r="B601" s="27">
        <v>45400</v>
      </c>
      <c r="C601" s="4">
        <v>45420</v>
      </c>
      <c r="D601" s="12" t="s">
        <v>649</v>
      </c>
      <c r="E601" s="12" t="s">
        <v>658</v>
      </c>
      <c r="F601" s="12" t="s">
        <v>683</v>
      </c>
      <c r="G601" s="12" t="s">
        <v>703</v>
      </c>
      <c r="H601" s="14" t="s">
        <v>1379</v>
      </c>
      <c r="I601" s="12" t="s">
        <v>726</v>
      </c>
      <c r="J601" s="12" t="s">
        <v>731</v>
      </c>
      <c r="K601" s="12" t="s">
        <v>767</v>
      </c>
      <c r="L601" s="6">
        <v>645.33000000000004</v>
      </c>
      <c r="M601" s="6">
        <v>1321.85</v>
      </c>
      <c r="N601" s="6">
        <f t="shared" si="162"/>
        <v>1321.85</v>
      </c>
      <c r="O601" s="6" t="str">
        <f t="shared" si="176"/>
        <v>Middle</v>
      </c>
      <c r="P601" s="6">
        <v>0</v>
      </c>
      <c r="Q601" s="6">
        <f t="shared" si="163"/>
        <v>0</v>
      </c>
      <c r="R601" s="6">
        <v>10</v>
      </c>
      <c r="S601" s="6" t="str">
        <f t="shared" si="164"/>
        <v>OK</v>
      </c>
      <c r="T601" s="4">
        <f t="shared" si="165"/>
        <v>45420</v>
      </c>
      <c r="U601" s="11">
        <f t="shared" si="166"/>
        <v>20</v>
      </c>
      <c r="V601" s="6">
        <f t="shared" si="167"/>
        <v>13218.5</v>
      </c>
      <c r="W601" s="6">
        <f t="shared" si="168"/>
        <v>6453.3</v>
      </c>
      <c r="X601" s="6">
        <f t="shared" si="169"/>
        <v>6765.2</v>
      </c>
      <c r="Y601" s="6">
        <f t="shared" si="170"/>
        <v>0.51179785906116426</v>
      </c>
      <c r="Z601" s="4" t="str">
        <f t="shared" si="171"/>
        <v>Q2-2024</v>
      </c>
      <c r="AA601" t="str">
        <f t="shared" si="172"/>
        <v>Laptops</v>
      </c>
      <c r="AB601" t="str">
        <f t="shared" si="173"/>
        <v>Laptops</v>
      </c>
      <c r="AC601" t="str">
        <f t="shared" si="174"/>
        <v>Compliant</v>
      </c>
      <c r="AD601" t="str">
        <f t="shared" si="175"/>
        <v>Late</v>
      </c>
      <c r="AE601" s="8">
        <f>MIN(Q601,Scenario!$B$2)</f>
        <v>0</v>
      </c>
      <c r="AF601" s="33">
        <f>L601*(1+Scenario!$B$3)</f>
        <v>742.12950000000001</v>
      </c>
      <c r="AG601" s="6">
        <f>R601*(1+Scenario!$B$4)</f>
        <v>12</v>
      </c>
      <c r="AH601" s="33">
        <f t="shared" si="177"/>
        <v>15862.199999999999</v>
      </c>
      <c r="AI601" s="33">
        <f t="shared" si="178"/>
        <v>8905.5540000000001</v>
      </c>
      <c r="AJ601" s="33">
        <f t="shared" si="179"/>
        <v>6956.6459999999988</v>
      </c>
    </row>
    <row r="602" spans="1:36" hidden="1" x14ac:dyDescent="0.25">
      <c r="A602" s="12" t="s">
        <v>177</v>
      </c>
      <c r="B602" s="27">
        <v>45385</v>
      </c>
      <c r="C602" s="4">
        <v>45389</v>
      </c>
      <c r="D602" s="12" t="s">
        <v>648</v>
      </c>
      <c r="E602" s="12" t="s">
        <v>655</v>
      </c>
      <c r="F602" s="12" t="s">
        <v>672</v>
      </c>
      <c r="G602" s="12" t="s">
        <v>703</v>
      </c>
      <c r="H602" s="12" t="s">
        <v>711</v>
      </c>
      <c r="I602" s="12" t="s">
        <v>725</v>
      </c>
      <c r="J602" s="12" t="s">
        <v>730</v>
      </c>
      <c r="K602" s="12" t="s">
        <v>896</v>
      </c>
      <c r="L602" s="6">
        <v>1023.27</v>
      </c>
      <c r="M602" s="6">
        <v>1343.64</v>
      </c>
      <c r="N602" s="6">
        <f t="shared" si="162"/>
        <v>1343.64</v>
      </c>
      <c r="O602" s="6" t="str">
        <f t="shared" si="176"/>
        <v>Middle</v>
      </c>
      <c r="P602" s="6">
        <v>0.13300000000000001</v>
      </c>
      <c r="Q602" s="6">
        <f t="shared" si="163"/>
        <v>0.13300000000000001</v>
      </c>
      <c r="R602" s="6">
        <v>7</v>
      </c>
      <c r="S602" s="6" t="str">
        <f t="shared" si="164"/>
        <v>OK</v>
      </c>
      <c r="T602" s="4">
        <f t="shared" si="165"/>
        <v>45389</v>
      </c>
      <c r="U602" s="11">
        <f t="shared" si="166"/>
        <v>4</v>
      </c>
      <c r="V602" s="6">
        <f t="shared" si="167"/>
        <v>8154.5511600000009</v>
      </c>
      <c r="W602" s="6">
        <f t="shared" si="168"/>
        <v>7162.8899999999994</v>
      </c>
      <c r="X602" s="6">
        <f t="shared" si="169"/>
        <v>991.66116000000147</v>
      </c>
      <c r="Y602" s="6">
        <f t="shared" si="170"/>
        <v>0.12160830688810116</v>
      </c>
      <c r="Z602" s="4" t="str">
        <f t="shared" si="171"/>
        <v>Q2-2024</v>
      </c>
      <c r="AA602" t="str">
        <f t="shared" si="172"/>
        <v>Phones</v>
      </c>
      <c r="AB602" t="str">
        <f t="shared" si="173"/>
        <v>Phones</v>
      </c>
      <c r="AC602" t="str">
        <f t="shared" si="174"/>
        <v>Compliant</v>
      </c>
      <c r="AD602" t="str">
        <f t="shared" si="175"/>
        <v>On-time</v>
      </c>
      <c r="AE602" s="8">
        <f>MIN(Q602,Scenario!$B$2)</f>
        <v>0.13300000000000001</v>
      </c>
      <c r="AF602" s="33">
        <f>L602*(1+Scenario!$B$3)</f>
        <v>1176.7604999999999</v>
      </c>
      <c r="AG602" s="6">
        <f>R602*(1+Scenario!$B$4)</f>
        <v>8.4</v>
      </c>
      <c r="AH602" s="33">
        <f t="shared" si="177"/>
        <v>9785.4613920000011</v>
      </c>
      <c r="AI602" s="33">
        <f t="shared" si="178"/>
        <v>9884.7881999999991</v>
      </c>
      <c r="AJ602" s="33">
        <f t="shared" si="179"/>
        <v>-99.326807999997982</v>
      </c>
    </row>
    <row r="603" spans="1:36" hidden="1" x14ac:dyDescent="0.25">
      <c r="A603" s="12" t="s">
        <v>53</v>
      </c>
      <c r="B603" s="27">
        <v>45401</v>
      </c>
      <c r="C603" s="4">
        <v>45418</v>
      </c>
      <c r="D603" s="12" t="s">
        <v>646</v>
      </c>
      <c r="E603" s="12" t="s">
        <v>651</v>
      </c>
      <c r="F603" s="12" t="s">
        <v>663</v>
      </c>
      <c r="G603" s="12" t="s">
        <v>703</v>
      </c>
      <c r="H603" s="12" t="s">
        <v>708</v>
      </c>
      <c r="I603" s="12" t="s">
        <v>720</v>
      </c>
      <c r="J603" s="12" t="s">
        <v>728</v>
      </c>
      <c r="K603" s="12" t="s">
        <v>772</v>
      </c>
      <c r="L603" s="6">
        <v>865.33</v>
      </c>
      <c r="M603" s="6">
        <v>1395.64</v>
      </c>
      <c r="N603" s="6">
        <f t="shared" si="162"/>
        <v>1395.64</v>
      </c>
      <c r="O603" s="6" t="str">
        <f t="shared" si="176"/>
        <v>Middle</v>
      </c>
      <c r="P603" s="6">
        <v>0.17499999999999999</v>
      </c>
      <c r="Q603" s="6">
        <f t="shared" si="163"/>
        <v>0.17499999999999999</v>
      </c>
      <c r="R603" s="6">
        <v>13</v>
      </c>
      <c r="S603" s="6" t="str">
        <f t="shared" si="164"/>
        <v>OK</v>
      </c>
      <c r="T603" s="4">
        <f t="shared" si="165"/>
        <v>45418</v>
      </c>
      <c r="U603" s="11">
        <f t="shared" si="166"/>
        <v>17</v>
      </c>
      <c r="V603" s="6">
        <f t="shared" si="167"/>
        <v>14968.239</v>
      </c>
      <c r="W603" s="6">
        <f t="shared" si="168"/>
        <v>11249.29</v>
      </c>
      <c r="X603" s="6">
        <f t="shared" si="169"/>
        <v>3718.9489999999987</v>
      </c>
      <c r="Y603" s="6">
        <f t="shared" si="170"/>
        <v>0.24845601409758347</v>
      </c>
      <c r="Z603" s="4" t="str">
        <f t="shared" si="171"/>
        <v>Q2-2024</v>
      </c>
      <c r="AA603" t="str">
        <f t="shared" si="172"/>
        <v>Printers</v>
      </c>
      <c r="AB603" t="str">
        <f t="shared" si="173"/>
        <v>Printers</v>
      </c>
      <c r="AC603" t="str">
        <f t="shared" si="174"/>
        <v>Compliant</v>
      </c>
      <c r="AD603" t="str">
        <f t="shared" si="175"/>
        <v>Late</v>
      </c>
      <c r="AE603" s="8">
        <f>MIN(Q603,Scenario!$B$2)</f>
        <v>0.17499999999999999</v>
      </c>
      <c r="AF603" s="33">
        <f>L603*(1+Scenario!$B$3)</f>
        <v>995.12950000000001</v>
      </c>
      <c r="AG603" s="6">
        <f>R603*(1+Scenario!$B$4)</f>
        <v>15.6</v>
      </c>
      <c r="AH603" s="33">
        <f t="shared" si="177"/>
        <v>17961.8868</v>
      </c>
      <c r="AI603" s="33">
        <f t="shared" si="178"/>
        <v>15524.020199999999</v>
      </c>
      <c r="AJ603" s="33">
        <f t="shared" si="179"/>
        <v>2437.8666000000012</v>
      </c>
    </row>
    <row r="604" spans="1:36" hidden="1" x14ac:dyDescent="0.25">
      <c r="A604" s="12" t="s">
        <v>87</v>
      </c>
      <c r="B604" s="27">
        <v>45394</v>
      </c>
      <c r="C604" s="4">
        <v>45419</v>
      </c>
      <c r="D604" s="12" t="s">
        <v>646</v>
      </c>
      <c r="E604" s="12" t="s">
        <v>661</v>
      </c>
      <c r="F604" s="12" t="s">
        <v>682</v>
      </c>
      <c r="G604" s="12" t="s">
        <v>702</v>
      </c>
      <c r="H604" s="12" t="s">
        <v>710</v>
      </c>
      <c r="I604" s="12" t="s">
        <v>720</v>
      </c>
      <c r="J604" s="12" t="s">
        <v>731</v>
      </c>
      <c r="K604" s="12" t="s">
        <v>806</v>
      </c>
      <c r="L604" s="6">
        <v>1376.51</v>
      </c>
      <c r="M604" s="6">
        <v>1455.91</v>
      </c>
      <c r="N604" s="6">
        <f t="shared" si="162"/>
        <v>1455.91</v>
      </c>
      <c r="O604" s="6" t="str">
        <f t="shared" si="176"/>
        <v>High</v>
      </c>
      <c r="P604" s="6">
        <v>0.185</v>
      </c>
      <c r="Q604" s="6">
        <f t="shared" si="163"/>
        <v>0.185</v>
      </c>
      <c r="R604" s="6">
        <v>17</v>
      </c>
      <c r="S604" s="6" t="str">
        <f t="shared" si="164"/>
        <v>OK</v>
      </c>
      <c r="T604" s="4">
        <f t="shared" si="165"/>
        <v>45419</v>
      </c>
      <c r="U604" s="11">
        <f t="shared" si="166"/>
        <v>25</v>
      </c>
      <c r="V604" s="6">
        <f t="shared" si="167"/>
        <v>20171.63305</v>
      </c>
      <c r="W604" s="6">
        <f t="shared" si="168"/>
        <v>23400.67</v>
      </c>
      <c r="X604" s="6">
        <f t="shared" si="169"/>
        <v>-3229.0369499999979</v>
      </c>
      <c r="Y604" s="6">
        <f t="shared" si="170"/>
        <v>-0.1600781127634085</v>
      </c>
      <c r="Z604" s="4" t="str">
        <f t="shared" si="171"/>
        <v>Q2-2024</v>
      </c>
      <c r="AA604" t="str">
        <f t="shared" si="172"/>
        <v>Laptops</v>
      </c>
      <c r="AB604" t="str">
        <f t="shared" si="173"/>
        <v>Laptops</v>
      </c>
      <c r="AC604" t="str">
        <f t="shared" si="174"/>
        <v>Compliant</v>
      </c>
      <c r="AD604" t="str">
        <f t="shared" si="175"/>
        <v>Late</v>
      </c>
      <c r="AE604" s="8">
        <f>MIN(Q604,Scenario!$B$2)</f>
        <v>0.185</v>
      </c>
      <c r="AF604" s="33">
        <f>L604*(1+Scenario!$B$3)</f>
        <v>1582.9865</v>
      </c>
      <c r="AG604" s="6">
        <f>R604*(1+Scenario!$B$4)</f>
        <v>20.399999999999999</v>
      </c>
      <c r="AH604" s="33">
        <f t="shared" si="177"/>
        <v>24205.959659999997</v>
      </c>
      <c r="AI604" s="33">
        <f t="shared" si="178"/>
        <v>32292.924599999998</v>
      </c>
      <c r="AJ604" s="33">
        <f t="shared" si="179"/>
        <v>-8086.9649400000017</v>
      </c>
    </row>
    <row r="605" spans="1:36" x14ac:dyDescent="0.25">
      <c r="A605" s="12" t="s">
        <v>269</v>
      </c>
      <c r="B605" s="27">
        <v>45411</v>
      </c>
      <c r="C605" s="4">
        <v>45431</v>
      </c>
      <c r="D605" s="12" t="s">
        <v>649</v>
      </c>
      <c r="E605" s="12" t="s">
        <v>656</v>
      </c>
      <c r="F605" s="12" t="s">
        <v>698</v>
      </c>
      <c r="G605" s="12" t="s">
        <v>706</v>
      </c>
      <c r="H605" s="12" t="s">
        <v>709</v>
      </c>
      <c r="I605" s="12" t="s">
        <v>712</v>
      </c>
      <c r="J605" s="12" t="s">
        <v>731</v>
      </c>
      <c r="K605" s="12" t="s">
        <v>989</v>
      </c>
      <c r="L605" s="6">
        <v>668.97</v>
      </c>
      <c r="M605" s="6">
        <v>1667.44</v>
      </c>
      <c r="N605" s="6">
        <f t="shared" si="162"/>
        <v>1667.44</v>
      </c>
      <c r="O605" s="6" t="str">
        <f t="shared" si="176"/>
        <v>High</v>
      </c>
      <c r="P605" s="6">
        <v>3.4000000000000002E-2</v>
      </c>
      <c r="Q605" s="6">
        <f t="shared" si="163"/>
        <v>3.4000000000000002E-2</v>
      </c>
      <c r="R605" s="6">
        <v>15</v>
      </c>
      <c r="S605" s="6" t="str">
        <f t="shared" si="164"/>
        <v>OK</v>
      </c>
      <c r="T605" s="4">
        <f t="shared" si="165"/>
        <v>45431</v>
      </c>
      <c r="U605" s="11">
        <f t="shared" si="166"/>
        <v>20</v>
      </c>
      <c r="V605" s="6">
        <f t="shared" si="167"/>
        <v>24161.205600000001</v>
      </c>
      <c r="W605" s="6">
        <f t="shared" si="168"/>
        <v>10034.550000000001</v>
      </c>
      <c r="X605" s="6">
        <f t="shared" si="169"/>
        <v>14126.6556</v>
      </c>
      <c r="Y605" s="6">
        <f t="shared" si="170"/>
        <v>0.58468339013679016</v>
      </c>
      <c r="Z605" s="4" t="str">
        <f t="shared" si="171"/>
        <v>Q2-2024</v>
      </c>
      <c r="AA605" t="str">
        <f t="shared" si="172"/>
        <v>Laptops</v>
      </c>
      <c r="AB605" t="str">
        <f t="shared" si="173"/>
        <v>Laptops</v>
      </c>
      <c r="AC605" t="str">
        <f t="shared" si="174"/>
        <v>Compliant</v>
      </c>
      <c r="AD605" t="str">
        <f t="shared" si="175"/>
        <v>Late</v>
      </c>
      <c r="AE605" s="8">
        <f>MIN(Q605,Scenario!$B$2)</f>
        <v>3.4000000000000002E-2</v>
      </c>
      <c r="AF605" s="33">
        <f>L605*(1+Scenario!$B$3)</f>
        <v>769.31549999999993</v>
      </c>
      <c r="AG605" s="6">
        <f>R605*(1+Scenario!$B$4)</f>
        <v>18</v>
      </c>
      <c r="AH605" s="33">
        <f t="shared" si="177"/>
        <v>28993.44672</v>
      </c>
      <c r="AI605" s="33">
        <f t="shared" si="178"/>
        <v>13847.678999999998</v>
      </c>
      <c r="AJ605" s="33">
        <f t="shared" si="179"/>
        <v>15145.767720000002</v>
      </c>
    </row>
    <row r="606" spans="1:36" hidden="1" x14ac:dyDescent="0.25">
      <c r="A606" s="12" t="s">
        <v>101</v>
      </c>
      <c r="B606" s="27">
        <v>45388</v>
      </c>
      <c r="C606" s="4">
        <v>45407</v>
      </c>
      <c r="D606" s="12" t="s">
        <v>647</v>
      </c>
      <c r="E606" s="12" t="s">
        <v>659</v>
      </c>
      <c r="F606" s="12" t="s">
        <v>685</v>
      </c>
      <c r="G606" s="12" t="s">
        <v>701</v>
      </c>
      <c r="H606" s="12" t="s">
        <v>707</v>
      </c>
      <c r="I606" s="12" t="s">
        <v>723</v>
      </c>
      <c r="J606" s="12" t="s">
        <v>727</v>
      </c>
      <c r="K606" s="12" t="s">
        <v>820</v>
      </c>
      <c r="L606" s="6">
        <v>1366.48</v>
      </c>
      <c r="M606" s="6">
        <v>1678.14</v>
      </c>
      <c r="N606" s="6">
        <f t="shared" si="162"/>
        <v>1678.14</v>
      </c>
      <c r="O606" s="6" t="str">
        <f t="shared" si="176"/>
        <v>High</v>
      </c>
      <c r="P606" s="6">
        <v>0.154</v>
      </c>
      <c r="Q606" s="6">
        <f t="shared" si="163"/>
        <v>0.154</v>
      </c>
      <c r="R606" s="6">
        <v>10</v>
      </c>
      <c r="S606" s="6" t="str">
        <f t="shared" si="164"/>
        <v>OK</v>
      </c>
      <c r="T606" s="4">
        <f t="shared" si="165"/>
        <v>45407</v>
      </c>
      <c r="U606" s="11">
        <f t="shared" si="166"/>
        <v>19</v>
      </c>
      <c r="V606" s="6">
        <f t="shared" si="167"/>
        <v>14197.064400000001</v>
      </c>
      <c r="W606" s="6">
        <f t="shared" si="168"/>
        <v>13664.8</v>
      </c>
      <c r="X606" s="6">
        <f t="shared" si="169"/>
        <v>532.26440000000184</v>
      </c>
      <c r="Y606" s="6">
        <f t="shared" si="170"/>
        <v>3.7491159087790132E-2</v>
      </c>
      <c r="Z606" s="4" t="str">
        <f t="shared" si="171"/>
        <v>Q2-2024</v>
      </c>
      <c r="AA606" t="str">
        <f t="shared" si="172"/>
        <v>Components</v>
      </c>
      <c r="AB606" t="str">
        <f t="shared" si="173"/>
        <v>Components</v>
      </c>
      <c r="AC606" t="str">
        <f t="shared" si="174"/>
        <v>Compliant</v>
      </c>
      <c r="AD606" t="str">
        <f t="shared" si="175"/>
        <v>Late</v>
      </c>
      <c r="AE606" s="8">
        <f>MIN(Q606,Scenario!$B$2)</f>
        <v>0.154</v>
      </c>
      <c r="AF606" s="33">
        <f>L606*(1+Scenario!$B$3)</f>
        <v>1571.452</v>
      </c>
      <c r="AG606" s="6">
        <f>R606*(1+Scenario!$B$4)</f>
        <v>12</v>
      </c>
      <c r="AH606" s="33">
        <f t="shared" si="177"/>
        <v>17036.477279999999</v>
      </c>
      <c r="AI606" s="33">
        <f t="shared" si="178"/>
        <v>18857.423999999999</v>
      </c>
      <c r="AJ606" s="33">
        <f t="shared" si="179"/>
        <v>-1820.9467199999999</v>
      </c>
    </row>
    <row r="607" spans="1:36" hidden="1" x14ac:dyDescent="0.25">
      <c r="A607" s="12" t="s">
        <v>371</v>
      </c>
      <c r="B607" s="27">
        <v>45385</v>
      </c>
      <c r="C607" s="4">
        <v>45403</v>
      </c>
      <c r="D607" s="12" t="s">
        <v>648</v>
      </c>
      <c r="E607" s="12" t="s">
        <v>655</v>
      </c>
      <c r="F607" s="12" t="s">
        <v>672</v>
      </c>
      <c r="G607" s="12" t="s">
        <v>705</v>
      </c>
      <c r="H607" s="12" t="s">
        <v>710</v>
      </c>
      <c r="I607" s="12" t="s">
        <v>717</v>
      </c>
      <c r="J607" s="12" t="s">
        <v>729</v>
      </c>
      <c r="K607" s="12" t="s">
        <v>1091</v>
      </c>
      <c r="L607" s="6">
        <v>1176.69</v>
      </c>
      <c r="M607" s="6">
        <v>2201.54</v>
      </c>
      <c r="N607" s="6">
        <f t="shared" si="162"/>
        <v>2201.54</v>
      </c>
      <c r="O607" s="6" t="str">
        <f t="shared" si="176"/>
        <v>High</v>
      </c>
      <c r="P607" s="6">
        <v>0.17</v>
      </c>
      <c r="Q607" s="6">
        <f t="shared" si="163"/>
        <v>0.17</v>
      </c>
      <c r="R607" s="6">
        <v>27</v>
      </c>
      <c r="S607" s="6" t="str">
        <f t="shared" si="164"/>
        <v>OK</v>
      </c>
      <c r="T607" s="4">
        <f t="shared" si="165"/>
        <v>45403</v>
      </c>
      <c r="U607" s="11">
        <f t="shared" si="166"/>
        <v>18</v>
      </c>
      <c r="V607" s="6">
        <f t="shared" si="167"/>
        <v>49336.511399999996</v>
      </c>
      <c r="W607" s="6">
        <f t="shared" si="168"/>
        <v>31770.63</v>
      </c>
      <c r="X607" s="6">
        <f t="shared" si="169"/>
        <v>17565.881399999995</v>
      </c>
      <c r="Y607" s="6">
        <f t="shared" si="170"/>
        <v>0.35604222717701106</v>
      </c>
      <c r="Z607" s="4" t="str">
        <f t="shared" si="171"/>
        <v>Q2-2024</v>
      </c>
      <c r="AA607" t="str">
        <f t="shared" si="172"/>
        <v>Networking</v>
      </c>
      <c r="AB607" t="str">
        <f t="shared" si="173"/>
        <v>Networking</v>
      </c>
      <c r="AC607" t="str">
        <f t="shared" si="174"/>
        <v>Compliant</v>
      </c>
      <c r="AD607" t="str">
        <f t="shared" si="175"/>
        <v>Late</v>
      </c>
      <c r="AE607" s="8">
        <f>MIN(Q607,Scenario!$B$2)</f>
        <v>0.17</v>
      </c>
      <c r="AF607" s="33">
        <f>L607*(1+Scenario!$B$3)</f>
        <v>1353.1934999999999</v>
      </c>
      <c r="AG607" s="6">
        <f>R607*(1+Scenario!$B$4)</f>
        <v>32.4</v>
      </c>
      <c r="AH607" s="33">
        <f t="shared" si="177"/>
        <v>59203.813679999992</v>
      </c>
      <c r="AI607" s="33">
        <f t="shared" si="178"/>
        <v>43843.469399999994</v>
      </c>
      <c r="AJ607" s="33">
        <f t="shared" si="179"/>
        <v>15360.344279999998</v>
      </c>
    </row>
    <row r="608" spans="1:36" x14ac:dyDescent="0.25">
      <c r="A608" s="12" t="s">
        <v>349</v>
      </c>
      <c r="B608" s="27">
        <v>45391</v>
      </c>
      <c r="C608" s="4">
        <v>45400</v>
      </c>
      <c r="D608" s="12" t="s">
        <v>649</v>
      </c>
      <c r="E608" s="12" t="s">
        <v>657</v>
      </c>
      <c r="F608" s="12" t="s">
        <v>679</v>
      </c>
      <c r="G608" s="12" t="s">
        <v>704</v>
      </c>
      <c r="H608" s="12" t="s">
        <v>708</v>
      </c>
      <c r="I608" s="12" t="s">
        <v>718</v>
      </c>
      <c r="J608" s="12" t="s">
        <v>728</v>
      </c>
      <c r="K608" s="12" t="s">
        <v>1069</v>
      </c>
      <c r="L608" s="6">
        <v>1288.8499999999999</v>
      </c>
      <c r="M608" s="6">
        <v>2751.84</v>
      </c>
      <c r="N608" s="6">
        <f t="shared" si="162"/>
        <v>2751.84</v>
      </c>
      <c r="O608" s="6" t="str">
        <f t="shared" si="176"/>
        <v>High</v>
      </c>
      <c r="P608" s="6">
        <v>0.158</v>
      </c>
      <c r="Q608" s="6">
        <f t="shared" si="163"/>
        <v>0.158</v>
      </c>
      <c r="R608" s="6">
        <v>7</v>
      </c>
      <c r="S608" s="6" t="str">
        <f t="shared" si="164"/>
        <v>OK</v>
      </c>
      <c r="T608" s="4">
        <f t="shared" si="165"/>
        <v>45400</v>
      </c>
      <c r="U608" s="11">
        <f t="shared" si="166"/>
        <v>9</v>
      </c>
      <c r="V608" s="6">
        <f t="shared" si="167"/>
        <v>16219.34496</v>
      </c>
      <c r="W608" s="6">
        <f t="shared" si="168"/>
        <v>9021.9499999999989</v>
      </c>
      <c r="X608" s="6">
        <f t="shared" si="169"/>
        <v>7197.3949600000014</v>
      </c>
      <c r="Y608" s="6">
        <f t="shared" si="170"/>
        <v>0.44375373837538756</v>
      </c>
      <c r="Z608" s="4" t="str">
        <f t="shared" si="171"/>
        <v>Q2-2024</v>
      </c>
      <c r="AA608" t="str">
        <f t="shared" si="172"/>
        <v>Printers</v>
      </c>
      <c r="AB608" t="str">
        <f t="shared" si="173"/>
        <v>Printers</v>
      </c>
      <c r="AC608" t="str">
        <f t="shared" si="174"/>
        <v>Compliant</v>
      </c>
      <c r="AD608" t="str">
        <f t="shared" si="175"/>
        <v>Late</v>
      </c>
      <c r="AE608" s="8">
        <f>MIN(Q608,Scenario!$B$2)</f>
        <v>0.158</v>
      </c>
      <c r="AF608" s="33">
        <f>L608*(1+Scenario!$B$3)</f>
        <v>1482.1774999999998</v>
      </c>
      <c r="AG608" s="6">
        <f>R608*(1+Scenario!$B$4)</f>
        <v>8.4</v>
      </c>
      <c r="AH608" s="33">
        <f t="shared" si="177"/>
        <v>19463.213952000002</v>
      </c>
      <c r="AI608" s="33">
        <f t="shared" si="178"/>
        <v>12450.290999999999</v>
      </c>
      <c r="AJ608" s="33">
        <f t="shared" si="179"/>
        <v>7012.9229520000026</v>
      </c>
    </row>
    <row r="609" spans="1:36" hidden="1" x14ac:dyDescent="0.25">
      <c r="A609" s="12" t="s">
        <v>355</v>
      </c>
      <c r="B609" s="27">
        <v>45029</v>
      </c>
      <c r="C609" s="4">
        <v>45027</v>
      </c>
      <c r="D609" s="12" t="s">
        <v>648</v>
      </c>
      <c r="E609" s="12" t="s">
        <v>660</v>
      </c>
      <c r="F609" s="12" t="s">
        <v>686</v>
      </c>
      <c r="G609" s="12" t="s">
        <v>702</v>
      </c>
      <c r="H609" s="12" t="s">
        <v>709</v>
      </c>
      <c r="I609" s="12" t="s">
        <v>715</v>
      </c>
      <c r="J609" s="12" t="s">
        <v>729</v>
      </c>
      <c r="K609" s="12" t="s">
        <v>1075</v>
      </c>
      <c r="L609" s="6">
        <v>32.1</v>
      </c>
      <c r="M609" s="6">
        <v>70.599999999999994</v>
      </c>
      <c r="N609" s="6">
        <f t="shared" si="162"/>
        <v>70.599999999999994</v>
      </c>
      <c r="O609" s="6" t="str">
        <f t="shared" si="176"/>
        <v>Low</v>
      </c>
      <c r="P609" s="6">
        <v>0.28199999999999997</v>
      </c>
      <c r="Q609" s="6">
        <f t="shared" si="163"/>
        <v>0.28199999999999997</v>
      </c>
      <c r="R609" s="6">
        <v>22</v>
      </c>
      <c r="S609" s="6" t="str">
        <f t="shared" si="164"/>
        <v>Correct</v>
      </c>
      <c r="T609" s="4">
        <f t="shared" si="165"/>
        <v>45036</v>
      </c>
      <c r="U609" s="11">
        <f t="shared" si="166"/>
        <v>7</v>
      </c>
      <c r="V609" s="6">
        <f t="shared" si="167"/>
        <v>1115.1975999999997</v>
      </c>
      <c r="W609" s="6">
        <f t="shared" si="168"/>
        <v>706.2</v>
      </c>
      <c r="X609" s="6">
        <f t="shared" si="169"/>
        <v>408.99759999999969</v>
      </c>
      <c r="Y609" s="6">
        <f t="shared" si="170"/>
        <v>0.36674899587301818</v>
      </c>
      <c r="Z609" s="4" t="str">
        <f t="shared" si="171"/>
        <v>Q2-2023</v>
      </c>
      <c r="AA609" t="str">
        <f t="shared" si="172"/>
        <v>Networking</v>
      </c>
      <c r="AB609" t="str">
        <f t="shared" si="173"/>
        <v>Networking</v>
      </c>
      <c r="AC609" t="str">
        <f t="shared" si="174"/>
        <v>Non-compliant</v>
      </c>
      <c r="AD609" t="str">
        <f t="shared" si="175"/>
        <v>On-time</v>
      </c>
      <c r="AE609" s="8">
        <f>MIN(Q609,Scenario!$B$2)</f>
        <v>0.2</v>
      </c>
      <c r="AF609" s="33">
        <f>L609*(1+Scenario!$B$3)</f>
        <v>36.914999999999999</v>
      </c>
      <c r="AG609" s="6">
        <f>R609*(1+Scenario!$B$4)</f>
        <v>26.4</v>
      </c>
      <c r="AH609" s="33">
        <f t="shared" si="177"/>
        <v>1491.0719999999999</v>
      </c>
      <c r="AI609" s="33">
        <f t="shared" si="178"/>
        <v>974.55599999999993</v>
      </c>
      <c r="AJ609" s="33">
        <f t="shared" si="179"/>
        <v>516.51599999999996</v>
      </c>
    </row>
    <row r="610" spans="1:36" x14ac:dyDescent="0.25">
      <c r="A610" s="12" t="s">
        <v>589</v>
      </c>
      <c r="B610" s="27">
        <v>45042</v>
      </c>
      <c r="C610" s="4">
        <v>45042</v>
      </c>
      <c r="D610" s="12" t="s">
        <v>649</v>
      </c>
      <c r="E610" s="12" t="s">
        <v>657</v>
      </c>
      <c r="F610" s="12" t="s">
        <v>673</v>
      </c>
      <c r="G610" s="12" t="s">
        <v>704</v>
      </c>
      <c r="H610" s="12" t="s">
        <v>711</v>
      </c>
      <c r="I610" s="12" t="s">
        <v>724</v>
      </c>
      <c r="J610" s="12" t="s">
        <v>727</v>
      </c>
      <c r="K610" s="12" t="s">
        <v>1307</v>
      </c>
      <c r="L610" s="6">
        <v>81.489999999999995</v>
      </c>
      <c r="M610" s="6">
        <v>113.08</v>
      </c>
      <c r="N610" s="6">
        <f t="shared" si="162"/>
        <v>113.08</v>
      </c>
      <c r="O610" s="6" t="str">
        <f t="shared" si="176"/>
        <v>Low</v>
      </c>
      <c r="P610" s="6">
        <v>0.121</v>
      </c>
      <c r="Q610" s="6">
        <f t="shared" si="163"/>
        <v>0.121</v>
      </c>
      <c r="R610" s="6">
        <v>5</v>
      </c>
      <c r="S610" s="6" t="str">
        <f t="shared" si="164"/>
        <v>OK</v>
      </c>
      <c r="T610" s="4">
        <f t="shared" si="165"/>
        <v>45042</v>
      </c>
      <c r="U610" s="11">
        <f t="shared" si="166"/>
        <v>0</v>
      </c>
      <c r="V610" s="6">
        <f t="shared" si="167"/>
        <v>496.98660000000001</v>
      </c>
      <c r="W610" s="6">
        <f t="shared" si="168"/>
        <v>407.45</v>
      </c>
      <c r="X610" s="6">
        <f t="shared" si="169"/>
        <v>89.536600000000021</v>
      </c>
      <c r="Y610" s="6">
        <f t="shared" si="170"/>
        <v>0.18015898215364362</v>
      </c>
      <c r="Z610" s="4" t="str">
        <f t="shared" si="171"/>
        <v>Q2-2023</v>
      </c>
      <c r="AA610" t="str">
        <f t="shared" si="172"/>
        <v>Components</v>
      </c>
      <c r="AB610" t="str">
        <f t="shared" si="173"/>
        <v>Components</v>
      </c>
      <c r="AC610" t="str">
        <f t="shared" si="174"/>
        <v>Compliant</v>
      </c>
      <c r="AD610" t="str">
        <f t="shared" si="175"/>
        <v>On-time</v>
      </c>
      <c r="AE610" s="8">
        <f>MIN(Q610,Scenario!$B$2)</f>
        <v>0.121</v>
      </c>
      <c r="AF610" s="33">
        <f>L610*(1+Scenario!$B$3)</f>
        <v>93.713499999999982</v>
      </c>
      <c r="AG610" s="6">
        <f>R610*(1+Scenario!$B$4)</f>
        <v>6</v>
      </c>
      <c r="AH610" s="33">
        <f t="shared" si="177"/>
        <v>596.38391999999999</v>
      </c>
      <c r="AI610" s="33">
        <f t="shared" si="178"/>
        <v>562.28099999999995</v>
      </c>
      <c r="AJ610" s="33">
        <f t="shared" si="179"/>
        <v>34.10292000000004</v>
      </c>
    </row>
    <row r="611" spans="1:36" hidden="1" x14ac:dyDescent="0.25">
      <c r="A611" s="12" t="s">
        <v>181</v>
      </c>
      <c r="B611" s="27">
        <v>45034</v>
      </c>
      <c r="C611" s="4">
        <v>45064</v>
      </c>
      <c r="D611" s="12" t="s">
        <v>647</v>
      </c>
      <c r="E611" s="12" t="s">
        <v>659</v>
      </c>
      <c r="F611" s="12" t="s">
        <v>676</v>
      </c>
      <c r="G611" s="12" t="s">
        <v>703</v>
      </c>
      <c r="H611" s="12" t="s">
        <v>707</v>
      </c>
      <c r="I611" s="12" t="s">
        <v>722</v>
      </c>
      <c r="J611" s="12" t="s">
        <v>731</v>
      </c>
      <c r="K611" s="12" t="s">
        <v>900</v>
      </c>
      <c r="L611" s="6">
        <v>329.03</v>
      </c>
      <c r="M611" s="6">
        <v>391.15</v>
      </c>
      <c r="N611" s="6">
        <f t="shared" si="162"/>
        <v>391.15</v>
      </c>
      <c r="O611" s="6" t="str">
        <f t="shared" si="176"/>
        <v>Low</v>
      </c>
      <c r="P611" s="6">
        <v>0.19700000000000001</v>
      </c>
      <c r="Q611" s="6">
        <f t="shared" si="163"/>
        <v>0.19700000000000001</v>
      </c>
      <c r="R611" s="6">
        <v>46</v>
      </c>
      <c r="S611" s="6" t="str">
        <f t="shared" si="164"/>
        <v>OK</v>
      </c>
      <c r="T611" s="4">
        <f t="shared" si="165"/>
        <v>45064</v>
      </c>
      <c r="U611" s="11">
        <f t="shared" si="166"/>
        <v>30</v>
      </c>
      <c r="V611" s="6">
        <f t="shared" si="167"/>
        <v>14448.298699999998</v>
      </c>
      <c r="W611" s="6">
        <f t="shared" si="168"/>
        <v>15135.38</v>
      </c>
      <c r="X611" s="6">
        <f t="shared" si="169"/>
        <v>-687.08130000000165</v>
      </c>
      <c r="Y611" s="6">
        <f t="shared" si="170"/>
        <v>-4.7554477815440081E-2</v>
      </c>
      <c r="Z611" s="4" t="str">
        <f t="shared" si="171"/>
        <v>Q2-2023</v>
      </c>
      <c r="AA611" t="str">
        <f t="shared" si="172"/>
        <v>Laptops</v>
      </c>
      <c r="AB611" t="str">
        <f t="shared" si="173"/>
        <v>Laptops</v>
      </c>
      <c r="AC611" t="str">
        <f t="shared" si="174"/>
        <v>Compliant</v>
      </c>
      <c r="AD611" t="str">
        <f t="shared" si="175"/>
        <v>Late</v>
      </c>
      <c r="AE611" s="8">
        <f>MIN(Q611,Scenario!$B$2)</f>
        <v>0.19700000000000001</v>
      </c>
      <c r="AF611" s="33">
        <f>L611*(1+Scenario!$B$3)</f>
        <v>378.38449999999995</v>
      </c>
      <c r="AG611" s="6">
        <f>R611*(1+Scenario!$B$4)</f>
        <v>55.199999999999996</v>
      </c>
      <c r="AH611" s="33">
        <f t="shared" si="177"/>
        <v>17337.958439999995</v>
      </c>
      <c r="AI611" s="33">
        <f t="shared" si="178"/>
        <v>20886.824399999994</v>
      </c>
      <c r="AJ611" s="33">
        <f t="shared" si="179"/>
        <v>-3548.8659599999992</v>
      </c>
    </row>
    <row r="612" spans="1:36" x14ac:dyDescent="0.25">
      <c r="A612" s="12" t="s">
        <v>522</v>
      </c>
      <c r="B612" s="27">
        <v>45029</v>
      </c>
      <c r="C612" s="4">
        <v>45036</v>
      </c>
      <c r="D612" s="12" t="s">
        <v>649</v>
      </c>
      <c r="E612" s="12" t="s">
        <v>657</v>
      </c>
      <c r="F612" s="12" t="s">
        <v>679</v>
      </c>
      <c r="G612" s="12" t="s">
        <v>705</v>
      </c>
      <c r="H612" s="12" t="s">
        <v>708</v>
      </c>
      <c r="I612" s="12" t="s">
        <v>720</v>
      </c>
      <c r="J612" s="12" t="s">
        <v>731</v>
      </c>
      <c r="K612" s="12" t="s">
        <v>1241</v>
      </c>
      <c r="L612" s="6">
        <v>227.02</v>
      </c>
      <c r="M612" s="6">
        <v>434.72</v>
      </c>
      <c r="N612" s="6">
        <f t="shared" si="162"/>
        <v>434.72</v>
      </c>
      <c r="O612" s="6" t="str">
        <f t="shared" si="176"/>
        <v>Low</v>
      </c>
      <c r="P612" s="6">
        <v>9.8000000000000004E-2</v>
      </c>
      <c r="Q612" s="6">
        <f t="shared" si="163"/>
        <v>9.8000000000000004E-2</v>
      </c>
      <c r="R612" s="6">
        <v>10</v>
      </c>
      <c r="S612" s="6" t="str">
        <f t="shared" si="164"/>
        <v>OK</v>
      </c>
      <c r="T612" s="4">
        <f t="shared" si="165"/>
        <v>45036</v>
      </c>
      <c r="U612" s="11">
        <f t="shared" si="166"/>
        <v>7</v>
      </c>
      <c r="V612" s="6">
        <f t="shared" si="167"/>
        <v>3921.1744000000008</v>
      </c>
      <c r="W612" s="6">
        <f t="shared" si="168"/>
        <v>2270.2000000000003</v>
      </c>
      <c r="X612" s="6">
        <f t="shared" si="169"/>
        <v>1650.9744000000005</v>
      </c>
      <c r="Y612" s="6">
        <f t="shared" si="170"/>
        <v>0.42104079838938052</v>
      </c>
      <c r="Z612" s="4" t="str">
        <f t="shared" si="171"/>
        <v>Q2-2023</v>
      </c>
      <c r="AA612" t="str">
        <f t="shared" si="172"/>
        <v>Laptops</v>
      </c>
      <c r="AB612" t="str">
        <f t="shared" si="173"/>
        <v>Laptops</v>
      </c>
      <c r="AC612" t="str">
        <f t="shared" si="174"/>
        <v>Compliant</v>
      </c>
      <c r="AD612" t="str">
        <f t="shared" si="175"/>
        <v>On-time</v>
      </c>
      <c r="AE612" s="8">
        <f>MIN(Q612,Scenario!$B$2)</f>
        <v>9.8000000000000004E-2</v>
      </c>
      <c r="AF612" s="33">
        <f>L612*(1+Scenario!$B$3)</f>
        <v>261.07299999999998</v>
      </c>
      <c r="AG612" s="6">
        <f>R612*(1+Scenario!$B$4)</f>
        <v>12</v>
      </c>
      <c r="AH612" s="33">
        <f t="shared" si="177"/>
        <v>4705.4092800000008</v>
      </c>
      <c r="AI612" s="33">
        <f t="shared" si="178"/>
        <v>3132.8759999999997</v>
      </c>
      <c r="AJ612" s="33">
        <f t="shared" si="179"/>
        <v>1572.533280000001</v>
      </c>
    </row>
    <row r="613" spans="1:36" hidden="1" x14ac:dyDescent="0.25">
      <c r="A613" s="12" t="s">
        <v>43</v>
      </c>
      <c r="B613" s="27">
        <v>45030</v>
      </c>
      <c r="C613" s="4">
        <v>45060</v>
      </c>
      <c r="D613" s="12" t="s">
        <v>646</v>
      </c>
      <c r="E613" s="12" t="s">
        <v>650</v>
      </c>
      <c r="F613" s="12" t="s">
        <v>678</v>
      </c>
      <c r="G613" s="12" t="s">
        <v>704</v>
      </c>
      <c r="H613" s="12" t="s">
        <v>709</v>
      </c>
      <c r="I613" s="12" t="s">
        <v>724</v>
      </c>
      <c r="J613" s="12" t="s">
        <v>730</v>
      </c>
      <c r="K613" s="12" t="s">
        <v>762</v>
      </c>
      <c r="L613" s="6">
        <v>209.25</v>
      </c>
      <c r="M613" s="6">
        <v>434.8</v>
      </c>
      <c r="N613" s="6">
        <f t="shared" si="162"/>
        <v>434.8</v>
      </c>
      <c r="O613" s="6" t="str">
        <f t="shared" si="176"/>
        <v>Low</v>
      </c>
      <c r="P613" s="6">
        <v>0</v>
      </c>
      <c r="Q613" s="6">
        <f t="shared" si="163"/>
        <v>0</v>
      </c>
      <c r="R613" s="6">
        <v>9</v>
      </c>
      <c r="S613" s="6" t="str">
        <f t="shared" si="164"/>
        <v>OK</v>
      </c>
      <c r="T613" s="4">
        <f t="shared" si="165"/>
        <v>45060</v>
      </c>
      <c r="U613" s="11">
        <f t="shared" si="166"/>
        <v>30</v>
      </c>
      <c r="V613" s="6">
        <f t="shared" si="167"/>
        <v>3913.2000000000003</v>
      </c>
      <c r="W613" s="6">
        <f t="shared" si="168"/>
        <v>1883.25</v>
      </c>
      <c r="X613" s="6">
        <f t="shared" si="169"/>
        <v>2029.9500000000003</v>
      </c>
      <c r="Y613" s="6">
        <f t="shared" si="170"/>
        <v>0.51874425022999082</v>
      </c>
      <c r="Z613" s="4" t="str">
        <f t="shared" si="171"/>
        <v>Q2-2023</v>
      </c>
      <c r="AA613" t="str">
        <f t="shared" si="172"/>
        <v>Phones</v>
      </c>
      <c r="AB613" t="str">
        <f t="shared" si="173"/>
        <v>Phones</v>
      </c>
      <c r="AC613" t="str">
        <f t="shared" si="174"/>
        <v>Compliant</v>
      </c>
      <c r="AD613" t="str">
        <f t="shared" si="175"/>
        <v>Late</v>
      </c>
      <c r="AE613" s="8">
        <f>MIN(Q613,Scenario!$B$2)</f>
        <v>0</v>
      </c>
      <c r="AF613" s="33">
        <f>L613*(1+Scenario!$B$3)</f>
        <v>240.63749999999999</v>
      </c>
      <c r="AG613" s="6">
        <f>R613*(1+Scenario!$B$4)</f>
        <v>10.799999999999999</v>
      </c>
      <c r="AH613" s="33">
        <f t="shared" si="177"/>
        <v>4695.8399999999992</v>
      </c>
      <c r="AI613" s="33">
        <f t="shared" si="178"/>
        <v>2598.8849999999998</v>
      </c>
      <c r="AJ613" s="33">
        <f t="shared" si="179"/>
        <v>2096.9549999999995</v>
      </c>
    </row>
    <row r="614" spans="1:36" hidden="1" x14ac:dyDescent="0.25">
      <c r="A614" s="12" t="s">
        <v>193</v>
      </c>
      <c r="B614" s="27">
        <v>45021</v>
      </c>
      <c r="C614" s="4">
        <v>45032</v>
      </c>
      <c r="D614" s="12" t="s">
        <v>648</v>
      </c>
      <c r="E614" s="12" t="s">
        <v>653</v>
      </c>
      <c r="F614" s="12" t="s">
        <v>688</v>
      </c>
      <c r="G614" s="12" t="s">
        <v>703</v>
      </c>
      <c r="H614" s="12" t="s">
        <v>708</v>
      </c>
      <c r="I614" s="12" t="s">
        <v>719</v>
      </c>
      <c r="J614" s="12" t="s">
        <v>732</v>
      </c>
      <c r="K614" s="12" t="s">
        <v>912</v>
      </c>
      <c r="L614" s="6">
        <v>213.1</v>
      </c>
      <c r="M614" s="6">
        <v>501.31</v>
      </c>
      <c r="N614" s="6">
        <f t="shared" si="162"/>
        <v>501.31</v>
      </c>
      <c r="O614" s="6" t="str">
        <f t="shared" si="176"/>
        <v>Low</v>
      </c>
      <c r="P614" s="6">
        <v>5.6000000000000001E-2</v>
      </c>
      <c r="Q614" s="6">
        <f t="shared" si="163"/>
        <v>5.6000000000000001E-2</v>
      </c>
      <c r="R614" s="6">
        <v>15</v>
      </c>
      <c r="S614" s="6" t="str">
        <f t="shared" si="164"/>
        <v>OK</v>
      </c>
      <c r="T614" s="4">
        <f t="shared" si="165"/>
        <v>45032</v>
      </c>
      <c r="U614" s="11">
        <f t="shared" si="166"/>
        <v>11</v>
      </c>
      <c r="V614" s="6">
        <f t="shared" si="167"/>
        <v>7098.5495999999994</v>
      </c>
      <c r="W614" s="6">
        <f t="shared" si="168"/>
        <v>3196.5</v>
      </c>
      <c r="X614" s="6">
        <f t="shared" si="169"/>
        <v>3902.0495999999994</v>
      </c>
      <c r="Y614" s="6">
        <f t="shared" si="170"/>
        <v>0.54969674368409005</v>
      </c>
      <c r="Z614" s="4" t="str">
        <f t="shared" si="171"/>
        <v>Q2-2023</v>
      </c>
      <c r="AA614" t="str">
        <f t="shared" si="172"/>
        <v>Monitors</v>
      </c>
      <c r="AB614" t="str">
        <f t="shared" si="173"/>
        <v>Monitors</v>
      </c>
      <c r="AC614" t="str">
        <f t="shared" si="174"/>
        <v>Compliant</v>
      </c>
      <c r="AD614" t="str">
        <f t="shared" si="175"/>
        <v>Late</v>
      </c>
      <c r="AE614" s="8">
        <f>MIN(Q614,Scenario!$B$2)</f>
        <v>5.6000000000000001E-2</v>
      </c>
      <c r="AF614" s="33">
        <f>L614*(1+Scenario!$B$3)</f>
        <v>245.06499999999997</v>
      </c>
      <c r="AG614" s="6">
        <f>R614*(1+Scenario!$B$4)</f>
        <v>18</v>
      </c>
      <c r="AH614" s="33">
        <f t="shared" si="177"/>
        <v>8518.2595199999996</v>
      </c>
      <c r="AI614" s="33">
        <f t="shared" si="178"/>
        <v>4411.1699999999992</v>
      </c>
      <c r="AJ614" s="33">
        <f t="shared" si="179"/>
        <v>4107.0895200000004</v>
      </c>
    </row>
    <row r="615" spans="1:36" x14ac:dyDescent="0.25">
      <c r="A615" s="12" t="s">
        <v>604</v>
      </c>
      <c r="B615" s="27">
        <v>45019</v>
      </c>
      <c r="C615" s="4">
        <v>45032</v>
      </c>
      <c r="D615" s="12" t="s">
        <v>649</v>
      </c>
      <c r="E615" s="12" t="s">
        <v>657</v>
      </c>
      <c r="F615" s="12" t="s">
        <v>673</v>
      </c>
      <c r="G615" s="12" t="s">
        <v>703</v>
      </c>
      <c r="H615" s="12" t="s">
        <v>709</v>
      </c>
      <c r="I615" s="12" t="s">
        <v>724</v>
      </c>
      <c r="J615" s="12" t="s">
        <v>733</v>
      </c>
      <c r="K615" s="12" t="s">
        <v>1322</v>
      </c>
      <c r="L615" s="6">
        <v>790.54</v>
      </c>
      <c r="M615" s="6">
        <v>601.49</v>
      </c>
      <c r="N615" s="6">
        <f t="shared" si="162"/>
        <v>601.49</v>
      </c>
      <c r="O615" s="6" t="str">
        <f t="shared" si="176"/>
        <v>Low</v>
      </c>
      <c r="P615" s="6">
        <v>0</v>
      </c>
      <c r="Q615" s="6">
        <f t="shared" si="163"/>
        <v>0</v>
      </c>
      <c r="R615" s="6">
        <v>15</v>
      </c>
      <c r="S615" s="6" t="str">
        <f t="shared" si="164"/>
        <v>OK</v>
      </c>
      <c r="T615" s="4">
        <f t="shared" si="165"/>
        <v>45032</v>
      </c>
      <c r="U615" s="11">
        <f t="shared" si="166"/>
        <v>13</v>
      </c>
      <c r="V615" s="6">
        <f t="shared" si="167"/>
        <v>9022.35</v>
      </c>
      <c r="W615" s="6">
        <f t="shared" si="168"/>
        <v>11858.099999999999</v>
      </c>
      <c r="X615" s="6">
        <f t="shared" si="169"/>
        <v>-2835.7499999999982</v>
      </c>
      <c r="Y615" s="6">
        <f t="shared" si="170"/>
        <v>-0.31430281467688553</v>
      </c>
      <c r="Z615" s="4" t="str">
        <f t="shared" si="171"/>
        <v>Q2-2023</v>
      </c>
      <c r="AA615" t="str">
        <f t="shared" si="172"/>
        <v>Accessories</v>
      </c>
      <c r="AB615" t="str">
        <f t="shared" si="173"/>
        <v>Accessories</v>
      </c>
      <c r="AC615" t="str">
        <f t="shared" si="174"/>
        <v>Compliant</v>
      </c>
      <c r="AD615" t="str">
        <f t="shared" si="175"/>
        <v>Late</v>
      </c>
      <c r="AE615" s="8">
        <f>MIN(Q615,Scenario!$B$2)</f>
        <v>0</v>
      </c>
      <c r="AF615" s="33">
        <f>L615*(1+Scenario!$B$3)</f>
        <v>909.12099999999987</v>
      </c>
      <c r="AG615" s="6">
        <f>R615*(1+Scenario!$B$4)</f>
        <v>18</v>
      </c>
      <c r="AH615" s="33">
        <f t="shared" si="177"/>
        <v>10826.82</v>
      </c>
      <c r="AI615" s="33">
        <f t="shared" si="178"/>
        <v>16364.177999999998</v>
      </c>
      <c r="AJ615" s="33">
        <f t="shared" si="179"/>
        <v>-5537.3579999999984</v>
      </c>
    </row>
    <row r="616" spans="1:36" x14ac:dyDescent="0.25">
      <c r="A616" s="12" t="s">
        <v>493</v>
      </c>
      <c r="B616" s="27">
        <v>45032</v>
      </c>
      <c r="C616" s="4">
        <v>45035</v>
      </c>
      <c r="D616" s="12" t="s">
        <v>649</v>
      </c>
      <c r="E616" s="12" t="s">
        <v>656</v>
      </c>
      <c r="F616" s="12" t="s">
        <v>684</v>
      </c>
      <c r="G616" s="12" t="s">
        <v>701</v>
      </c>
      <c r="H616" s="12" t="s">
        <v>711</v>
      </c>
      <c r="I616" s="12" t="s">
        <v>717</v>
      </c>
      <c r="J616" s="12" t="s">
        <v>733</v>
      </c>
      <c r="K616" s="12" t="s">
        <v>1212</v>
      </c>
      <c r="L616" s="6">
        <v>553.61</v>
      </c>
      <c r="M616" s="6">
        <v>699.47</v>
      </c>
      <c r="N616" s="6">
        <f t="shared" si="162"/>
        <v>699.47</v>
      </c>
      <c r="O616" s="6" t="str">
        <f t="shared" si="176"/>
        <v>Low</v>
      </c>
      <c r="P616" s="6">
        <v>0.02</v>
      </c>
      <c r="Q616" s="6">
        <f t="shared" si="163"/>
        <v>0.02</v>
      </c>
      <c r="R616" s="6">
        <v>33</v>
      </c>
      <c r="S616" s="6" t="str">
        <f t="shared" si="164"/>
        <v>OK</v>
      </c>
      <c r="T616" s="4">
        <f t="shared" si="165"/>
        <v>45035</v>
      </c>
      <c r="U616" s="11">
        <f t="shared" si="166"/>
        <v>3</v>
      </c>
      <c r="V616" s="6">
        <f t="shared" si="167"/>
        <v>22620.859800000002</v>
      </c>
      <c r="W616" s="6">
        <f t="shared" si="168"/>
        <v>18269.13</v>
      </c>
      <c r="X616" s="6">
        <f t="shared" si="169"/>
        <v>4351.729800000001</v>
      </c>
      <c r="Y616" s="6">
        <f t="shared" si="170"/>
        <v>0.19237685209472014</v>
      </c>
      <c r="Z616" s="4" t="str">
        <f t="shared" si="171"/>
        <v>Q2-2023</v>
      </c>
      <c r="AA616" t="str">
        <f t="shared" si="172"/>
        <v>Accessories</v>
      </c>
      <c r="AB616" t="str">
        <f t="shared" si="173"/>
        <v>Accessories</v>
      </c>
      <c r="AC616" t="str">
        <f t="shared" si="174"/>
        <v>Compliant</v>
      </c>
      <c r="AD616" t="str">
        <f t="shared" si="175"/>
        <v>On-time</v>
      </c>
      <c r="AE616" s="8">
        <f>MIN(Q616,Scenario!$B$2)</f>
        <v>0.02</v>
      </c>
      <c r="AF616" s="33">
        <f>L616*(1+Scenario!$B$3)</f>
        <v>636.65149999999994</v>
      </c>
      <c r="AG616" s="6">
        <f>R616*(1+Scenario!$B$4)</f>
        <v>39.6</v>
      </c>
      <c r="AH616" s="33">
        <f t="shared" si="177"/>
        <v>27145.031760000002</v>
      </c>
      <c r="AI616" s="33">
        <f t="shared" si="178"/>
        <v>25211.399399999998</v>
      </c>
      <c r="AJ616" s="33">
        <f t="shared" si="179"/>
        <v>1933.6323600000032</v>
      </c>
    </row>
    <row r="617" spans="1:36" x14ac:dyDescent="0.25">
      <c r="A617" s="12" t="s">
        <v>271</v>
      </c>
      <c r="B617" s="27">
        <v>45035</v>
      </c>
      <c r="C617" s="4">
        <v>45053</v>
      </c>
      <c r="D617" s="12" t="s">
        <v>649</v>
      </c>
      <c r="E617" s="12" t="s">
        <v>658</v>
      </c>
      <c r="F617" s="12" t="s">
        <v>683</v>
      </c>
      <c r="G617" s="12" t="s">
        <v>703</v>
      </c>
      <c r="H617" s="12" t="s">
        <v>711</v>
      </c>
      <c r="I617" s="12" t="s">
        <v>722</v>
      </c>
      <c r="J617" s="12" t="s">
        <v>729</v>
      </c>
      <c r="K617" s="12" t="s">
        <v>991</v>
      </c>
      <c r="L617" s="6">
        <v>516.96</v>
      </c>
      <c r="M617" s="6">
        <v>745.38</v>
      </c>
      <c r="N617" s="6">
        <f t="shared" si="162"/>
        <v>745.38</v>
      </c>
      <c r="O617" s="6" t="str">
        <f t="shared" si="176"/>
        <v>Low</v>
      </c>
      <c r="P617" s="6">
        <v>0.19700000000000001</v>
      </c>
      <c r="Q617" s="6">
        <f t="shared" si="163"/>
        <v>0.19700000000000001</v>
      </c>
      <c r="R617" s="6">
        <v>4</v>
      </c>
      <c r="S617" s="6" t="str">
        <f t="shared" si="164"/>
        <v>OK</v>
      </c>
      <c r="T617" s="4">
        <f t="shared" si="165"/>
        <v>45053</v>
      </c>
      <c r="U617" s="11">
        <f t="shared" si="166"/>
        <v>18</v>
      </c>
      <c r="V617" s="6">
        <f t="shared" si="167"/>
        <v>2394.1605599999998</v>
      </c>
      <c r="W617" s="6">
        <f t="shared" si="168"/>
        <v>2067.84</v>
      </c>
      <c r="X617" s="6">
        <f t="shared" si="169"/>
        <v>326.32055999999966</v>
      </c>
      <c r="Y617" s="6">
        <f t="shared" si="170"/>
        <v>0.13629852794835101</v>
      </c>
      <c r="Z617" s="4" t="str">
        <f t="shared" si="171"/>
        <v>Q2-2023</v>
      </c>
      <c r="AA617" t="str">
        <f t="shared" si="172"/>
        <v>Networking</v>
      </c>
      <c r="AB617" t="str">
        <f t="shared" si="173"/>
        <v>Networking</v>
      </c>
      <c r="AC617" t="str">
        <f t="shared" si="174"/>
        <v>Compliant</v>
      </c>
      <c r="AD617" t="str">
        <f t="shared" si="175"/>
        <v>Late</v>
      </c>
      <c r="AE617" s="8">
        <f>MIN(Q617,Scenario!$B$2)</f>
        <v>0.19700000000000001</v>
      </c>
      <c r="AF617" s="33">
        <f>L617*(1+Scenario!$B$3)</f>
        <v>594.50400000000002</v>
      </c>
      <c r="AG617" s="6">
        <f>R617*(1+Scenario!$B$4)</f>
        <v>4.8</v>
      </c>
      <c r="AH617" s="33">
        <f t="shared" si="177"/>
        <v>2872.9926719999999</v>
      </c>
      <c r="AI617" s="33">
        <f t="shared" si="178"/>
        <v>2853.6192000000001</v>
      </c>
      <c r="AJ617" s="33">
        <f t="shared" si="179"/>
        <v>19.373471999999765</v>
      </c>
    </row>
    <row r="618" spans="1:36" hidden="1" x14ac:dyDescent="0.25">
      <c r="A618" s="12" t="s">
        <v>30</v>
      </c>
      <c r="B618" s="27">
        <v>45039</v>
      </c>
      <c r="C618" s="4">
        <v>45038</v>
      </c>
      <c r="D618" s="12" t="s">
        <v>646</v>
      </c>
      <c r="E618" s="12" t="s">
        <v>650</v>
      </c>
      <c r="F618" s="12" t="s">
        <v>664</v>
      </c>
      <c r="G618" s="12" t="s">
        <v>705</v>
      </c>
      <c r="H618" s="12" t="s">
        <v>711</v>
      </c>
      <c r="I618" s="12" t="s">
        <v>718</v>
      </c>
      <c r="J618" s="12" t="s">
        <v>731</v>
      </c>
      <c r="K618" s="12" t="s">
        <v>749</v>
      </c>
      <c r="L618" s="6">
        <v>756.51</v>
      </c>
      <c r="M618" s="6">
        <v>850.8</v>
      </c>
      <c r="N618" s="6">
        <f t="shared" si="162"/>
        <v>850.8</v>
      </c>
      <c r="O618" s="6" t="str">
        <f t="shared" si="176"/>
        <v>Low</v>
      </c>
      <c r="P618" s="6">
        <v>7.3999999999999996E-2</v>
      </c>
      <c r="Q618" s="6">
        <f t="shared" si="163"/>
        <v>7.3999999999999996E-2</v>
      </c>
      <c r="R618" s="6">
        <v>9</v>
      </c>
      <c r="S618" s="6" t="str">
        <f t="shared" si="164"/>
        <v>Correct</v>
      </c>
      <c r="T618" s="4">
        <f t="shared" si="165"/>
        <v>45046</v>
      </c>
      <c r="U618" s="11">
        <f t="shared" si="166"/>
        <v>7</v>
      </c>
      <c r="V618" s="6">
        <f t="shared" si="167"/>
        <v>7090.5672000000004</v>
      </c>
      <c r="W618" s="6">
        <f t="shared" si="168"/>
        <v>6808.59</v>
      </c>
      <c r="X618" s="6">
        <f t="shared" si="169"/>
        <v>281.97720000000027</v>
      </c>
      <c r="Y618" s="6">
        <f t="shared" si="170"/>
        <v>3.9767932810791252E-2</v>
      </c>
      <c r="Z618" s="4" t="str">
        <f t="shared" si="171"/>
        <v>Q2-2023</v>
      </c>
      <c r="AA618" t="str">
        <f t="shared" si="172"/>
        <v>Laptops</v>
      </c>
      <c r="AB618" t="str">
        <f t="shared" si="173"/>
        <v>Laptops</v>
      </c>
      <c r="AC618" t="str">
        <f t="shared" si="174"/>
        <v>Compliant</v>
      </c>
      <c r="AD618" t="str">
        <f t="shared" si="175"/>
        <v>On-time</v>
      </c>
      <c r="AE618" s="8">
        <f>MIN(Q618,Scenario!$B$2)</f>
        <v>7.3999999999999996E-2</v>
      </c>
      <c r="AF618" s="33">
        <f>L618*(1+Scenario!$B$3)</f>
        <v>869.98649999999998</v>
      </c>
      <c r="AG618" s="6">
        <f>R618*(1+Scenario!$B$4)</f>
        <v>10.799999999999999</v>
      </c>
      <c r="AH618" s="33">
        <f t="shared" si="177"/>
        <v>8508.6806400000005</v>
      </c>
      <c r="AI618" s="33">
        <f t="shared" si="178"/>
        <v>9395.8541999999979</v>
      </c>
      <c r="AJ618" s="33">
        <f t="shared" si="179"/>
        <v>-887.17355999999745</v>
      </c>
    </row>
    <row r="619" spans="1:36" hidden="1" x14ac:dyDescent="0.25">
      <c r="A619" s="12" t="s">
        <v>258</v>
      </c>
      <c r="B619" s="27">
        <v>45035</v>
      </c>
      <c r="C619" s="4">
        <v>45044</v>
      </c>
      <c r="D619" s="12" t="s">
        <v>648</v>
      </c>
      <c r="E619" s="12" t="s">
        <v>655</v>
      </c>
      <c r="F619" s="12" t="s">
        <v>692</v>
      </c>
      <c r="G619" s="12" t="s">
        <v>701</v>
      </c>
      <c r="H619" s="12" t="s">
        <v>710</v>
      </c>
      <c r="I619" s="12" t="s">
        <v>724</v>
      </c>
      <c r="J619" s="12" t="s">
        <v>730</v>
      </c>
      <c r="K619" s="12" t="s">
        <v>978</v>
      </c>
      <c r="L619" s="6">
        <v>1013.54</v>
      </c>
      <c r="M619" s="6">
        <v>927.93</v>
      </c>
      <c r="N619" s="6">
        <f t="shared" si="162"/>
        <v>927.93</v>
      </c>
      <c r="O619" s="6" t="str">
        <f t="shared" si="176"/>
        <v>Low</v>
      </c>
      <c r="P619" s="6">
        <v>0.17499999999999999</v>
      </c>
      <c r="Q619" s="6">
        <f t="shared" si="163"/>
        <v>0.17499999999999999</v>
      </c>
      <c r="R619" s="6">
        <v>16</v>
      </c>
      <c r="S619" s="6" t="str">
        <f t="shared" si="164"/>
        <v>OK</v>
      </c>
      <c r="T619" s="4">
        <f t="shared" si="165"/>
        <v>45044</v>
      </c>
      <c r="U619" s="11">
        <f t="shared" si="166"/>
        <v>9</v>
      </c>
      <c r="V619" s="6">
        <f t="shared" si="167"/>
        <v>12248.675999999999</v>
      </c>
      <c r="W619" s="6">
        <f t="shared" si="168"/>
        <v>16216.64</v>
      </c>
      <c r="X619" s="6">
        <f t="shared" si="169"/>
        <v>-3967.9639999999999</v>
      </c>
      <c r="Y619" s="6">
        <f t="shared" si="170"/>
        <v>-0.32395044166406234</v>
      </c>
      <c r="Z619" s="4" t="str">
        <f t="shared" si="171"/>
        <v>Q2-2023</v>
      </c>
      <c r="AA619" t="str">
        <f t="shared" si="172"/>
        <v>Phones</v>
      </c>
      <c r="AB619" t="str">
        <f t="shared" si="173"/>
        <v>Phones</v>
      </c>
      <c r="AC619" t="str">
        <f t="shared" si="174"/>
        <v>Compliant</v>
      </c>
      <c r="AD619" t="str">
        <f t="shared" si="175"/>
        <v>Late</v>
      </c>
      <c r="AE619" s="8">
        <f>MIN(Q619,Scenario!$B$2)</f>
        <v>0.17499999999999999</v>
      </c>
      <c r="AF619" s="33">
        <f>L619*(1+Scenario!$B$3)</f>
        <v>1165.5709999999999</v>
      </c>
      <c r="AG619" s="6">
        <f>R619*(1+Scenario!$B$4)</f>
        <v>19.2</v>
      </c>
      <c r="AH619" s="33">
        <f t="shared" si="177"/>
        <v>14698.411199999997</v>
      </c>
      <c r="AI619" s="33">
        <f t="shared" si="178"/>
        <v>22378.963199999998</v>
      </c>
      <c r="AJ619" s="33">
        <f t="shared" si="179"/>
        <v>-7680.5520000000015</v>
      </c>
    </row>
    <row r="620" spans="1:36" x14ac:dyDescent="0.25">
      <c r="A620" s="12" t="s">
        <v>618</v>
      </c>
      <c r="B620" s="27">
        <v>45026</v>
      </c>
      <c r="C620" s="4">
        <v>45041</v>
      </c>
      <c r="D620" s="12" t="s">
        <v>649</v>
      </c>
      <c r="E620" s="12" t="s">
        <v>658</v>
      </c>
      <c r="F620" s="12" t="s">
        <v>683</v>
      </c>
      <c r="G620" s="12" t="s">
        <v>705</v>
      </c>
      <c r="H620" s="12" t="s">
        <v>707</v>
      </c>
      <c r="I620" s="12" t="s">
        <v>726</v>
      </c>
      <c r="J620" s="12" t="s">
        <v>728</v>
      </c>
      <c r="K620" s="12" t="s">
        <v>1336</v>
      </c>
      <c r="L620" s="6">
        <v>405.66</v>
      </c>
      <c r="M620" s="6">
        <v>962.51</v>
      </c>
      <c r="N620" s="6">
        <f t="shared" si="162"/>
        <v>962.51</v>
      </c>
      <c r="O620" s="6" t="str">
        <f t="shared" si="176"/>
        <v>Low</v>
      </c>
      <c r="P620" s="6">
        <v>0.19</v>
      </c>
      <c r="Q620" s="6">
        <f t="shared" si="163"/>
        <v>0.19</v>
      </c>
      <c r="R620" s="6">
        <v>7</v>
      </c>
      <c r="S620" s="6" t="str">
        <f t="shared" si="164"/>
        <v>OK</v>
      </c>
      <c r="T620" s="4">
        <f t="shared" si="165"/>
        <v>45041</v>
      </c>
      <c r="U620" s="11">
        <f t="shared" si="166"/>
        <v>15</v>
      </c>
      <c r="V620" s="6">
        <f t="shared" si="167"/>
        <v>5457.4317000000001</v>
      </c>
      <c r="W620" s="6">
        <f t="shared" si="168"/>
        <v>2839.6200000000003</v>
      </c>
      <c r="X620" s="6">
        <f t="shared" si="169"/>
        <v>2617.8116999999997</v>
      </c>
      <c r="Y620" s="6">
        <f t="shared" si="170"/>
        <v>0.47967832561239376</v>
      </c>
      <c r="Z620" s="4" t="str">
        <f t="shared" si="171"/>
        <v>Q2-2023</v>
      </c>
      <c r="AA620" t="str">
        <f t="shared" si="172"/>
        <v>Printers</v>
      </c>
      <c r="AB620" t="str">
        <f t="shared" si="173"/>
        <v>Printers</v>
      </c>
      <c r="AC620" t="str">
        <f t="shared" si="174"/>
        <v>Compliant</v>
      </c>
      <c r="AD620" t="str">
        <f t="shared" si="175"/>
        <v>Late</v>
      </c>
      <c r="AE620" s="8">
        <f>MIN(Q620,Scenario!$B$2)</f>
        <v>0.19</v>
      </c>
      <c r="AF620" s="33">
        <f>L620*(1+Scenario!$B$3)</f>
        <v>466.50900000000001</v>
      </c>
      <c r="AG620" s="6">
        <f>R620*(1+Scenario!$B$4)</f>
        <v>8.4</v>
      </c>
      <c r="AH620" s="33">
        <f t="shared" si="177"/>
        <v>6548.9180400000005</v>
      </c>
      <c r="AI620" s="33">
        <f t="shared" si="178"/>
        <v>3918.6756000000005</v>
      </c>
      <c r="AJ620" s="33">
        <f t="shared" si="179"/>
        <v>2630.24244</v>
      </c>
    </row>
    <row r="621" spans="1:36" x14ac:dyDescent="0.25">
      <c r="A621" s="12" t="s">
        <v>238</v>
      </c>
      <c r="B621" s="27">
        <v>45035</v>
      </c>
      <c r="C621" s="4">
        <v>45053</v>
      </c>
      <c r="D621" s="12" t="s">
        <v>649</v>
      </c>
      <c r="E621" s="12" t="s">
        <v>658</v>
      </c>
      <c r="F621" s="12" t="s">
        <v>674</v>
      </c>
      <c r="G621" s="12" t="s">
        <v>706</v>
      </c>
      <c r="H621" s="12" t="s">
        <v>707</v>
      </c>
      <c r="I621" s="12" t="s">
        <v>725</v>
      </c>
      <c r="J621" s="12" t="s">
        <v>731</v>
      </c>
      <c r="K621" s="12" t="s">
        <v>958</v>
      </c>
      <c r="L621" s="6">
        <v>1089.1500000000001</v>
      </c>
      <c r="M621" s="6">
        <v>1088.2</v>
      </c>
      <c r="N621" s="6">
        <f t="shared" si="162"/>
        <v>1088.2</v>
      </c>
      <c r="O621" s="6" t="str">
        <f t="shared" si="176"/>
        <v>Low</v>
      </c>
      <c r="P621" s="6">
        <v>5.0999999999999997E-2</v>
      </c>
      <c r="Q621" s="6">
        <f t="shared" si="163"/>
        <v>5.0999999999999997E-2</v>
      </c>
      <c r="R621" s="6">
        <v>15</v>
      </c>
      <c r="S621" s="6" t="str">
        <f t="shared" si="164"/>
        <v>OK</v>
      </c>
      <c r="T621" s="4">
        <f t="shared" si="165"/>
        <v>45053</v>
      </c>
      <c r="U621" s="11">
        <f t="shared" si="166"/>
        <v>18</v>
      </c>
      <c r="V621" s="6">
        <f t="shared" si="167"/>
        <v>15490.527</v>
      </c>
      <c r="W621" s="6">
        <f t="shared" si="168"/>
        <v>16337.250000000002</v>
      </c>
      <c r="X621" s="6">
        <f t="shared" si="169"/>
        <v>-846.72300000000178</v>
      </c>
      <c r="Y621" s="6">
        <f t="shared" si="170"/>
        <v>-5.4660696824582002E-2</v>
      </c>
      <c r="Z621" s="4" t="str">
        <f t="shared" si="171"/>
        <v>Q2-2023</v>
      </c>
      <c r="AA621" t="str">
        <f t="shared" si="172"/>
        <v>Laptops</v>
      </c>
      <c r="AB621" t="str">
        <f t="shared" si="173"/>
        <v>Laptops</v>
      </c>
      <c r="AC621" t="str">
        <f t="shared" si="174"/>
        <v>Compliant</v>
      </c>
      <c r="AD621" t="str">
        <f t="shared" si="175"/>
        <v>Late</v>
      </c>
      <c r="AE621" s="8">
        <f>MIN(Q621,Scenario!$B$2)</f>
        <v>5.0999999999999997E-2</v>
      </c>
      <c r="AF621" s="33">
        <f>L621*(1+Scenario!$B$3)</f>
        <v>1252.5225</v>
      </c>
      <c r="AG621" s="6">
        <f>R621*(1+Scenario!$B$4)</f>
        <v>18</v>
      </c>
      <c r="AH621" s="33">
        <f t="shared" si="177"/>
        <v>18588.632400000002</v>
      </c>
      <c r="AI621" s="33">
        <f t="shared" si="178"/>
        <v>22545.404999999999</v>
      </c>
      <c r="AJ621" s="33">
        <f t="shared" si="179"/>
        <v>-3956.7725999999966</v>
      </c>
    </row>
    <row r="622" spans="1:36" hidden="1" x14ac:dyDescent="0.25">
      <c r="A622" s="12" t="s">
        <v>451</v>
      </c>
      <c r="B622" s="27">
        <v>45037</v>
      </c>
      <c r="C622" s="4">
        <v>45035</v>
      </c>
      <c r="D622" s="12" t="s">
        <v>647</v>
      </c>
      <c r="E622" s="12" t="s">
        <v>652</v>
      </c>
      <c r="F622" s="12" t="s">
        <v>694</v>
      </c>
      <c r="G622" s="12" t="s">
        <v>705</v>
      </c>
      <c r="H622" s="12" t="s">
        <v>711</v>
      </c>
      <c r="I622" s="12" t="s">
        <v>724</v>
      </c>
      <c r="J622" s="12" t="s">
        <v>727</v>
      </c>
      <c r="K622" s="12" t="s">
        <v>1170</v>
      </c>
      <c r="L622" s="6">
        <v>607.04</v>
      </c>
      <c r="M622" s="6">
        <v>1229.3399999999999</v>
      </c>
      <c r="N622" s="6">
        <f t="shared" si="162"/>
        <v>1229.3399999999999</v>
      </c>
      <c r="O622" s="6" t="str">
        <f t="shared" si="176"/>
        <v>Low</v>
      </c>
      <c r="P622" s="6">
        <v>0.14699999999999999</v>
      </c>
      <c r="Q622" s="6">
        <f t="shared" si="163"/>
        <v>0.14699999999999999</v>
      </c>
      <c r="R622" s="6">
        <v>7</v>
      </c>
      <c r="S622" s="6" t="str">
        <f t="shared" si="164"/>
        <v>Correct</v>
      </c>
      <c r="T622" s="4">
        <f t="shared" si="165"/>
        <v>45044</v>
      </c>
      <c r="U622" s="11">
        <f t="shared" si="166"/>
        <v>7</v>
      </c>
      <c r="V622" s="6">
        <f t="shared" si="167"/>
        <v>7340.3891399999993</v>
      </c>
      <c r="W622" s="6">
        <f t="shared" si="168"/>
        <v>4249.28</v>
      </c>
      <c r="X622" s="6">
        <f t="shared" si="169"/>
        <v>3091.1091399999996</v>
      </c>
      <c r="Y622" s="6">
        <f t="shared" si="170"/>
        <v>0.42110970972310058</v>
      </c>
      <c r="Z622" s="4" t="str">
        <f t="shared" si="171"/>
        <v>Q2-2023</v>
      </c>
      <c r="AA622" t="str">
        <f t="shared" si="172"/>
        <v>Components</v>
      </c>
      <c r="AB622" t="str">
        <f t="shared" si="173"/>
        <v>Components</v>
      </c>
      <c r="AC622" t="str">
        <f t="shared" si="174"/>
        <v>Compliant</v>
      </c>
      <c r="AD622" t="str">
        <f t="shared" si="175"/>
        <v>On-time</v>
      </c>
      <c r="AE622" s="8">
        <f>MIN(Q622,Scenario!$B$2)</f>
        <v>0.14699999999999999</v>
      </c>
      <c r="AF622" s="33">
        <f>L622*(1+Scenario!$B$3)</f>
        <v>698.09599999999989</v>
      </c>
      <c r="AG622" s="6">
        <f>R622*(1+Scenario!$B$4)</f>
        <v>8.4</v>
      </c>
      <c r="AH622" s="33">
        <f t="shared" si="177"/>
        <v>8808.4669680000006</v>
      </c>
      <c r="AI622" s="33">
        <f t="shared" si="178"/>
        <v>5864.0063999999993</v>
      </c>
      <c r="AJ622" s="33">
        <f t="shared" si="179"/>
        <v>2944.4605680000013</v>
      </c>
    </row>
    <row r="623" spans="1:36" hidden="1" x14ac:dyDescent="0.25">
      <c r="A623" s="12" t="s">
        <v>60</v>
      </c>
      <c r="B623" s="27">
        <v>45035</v>
      </c>
      <c r="C623" s="4">
        <v>45046</v>
      </c>
      <c r="D623" s="12" t="s">
        <v>647</v>
      </c>
      <c r="E623" s="12" t="s">
        <v>654</v>
      </c>
      <c r="F623" s="12" t="s">
        <v>680</v>
      </c>
      <c r="G623" s="12" t="s">
        <v>705</v>
      </c>
      <c r="H623" s="12" t="s">
        <v>707</v>
      </c>
      <c r="I623" s="12" t="s">
        <v>720</v>
      </c>
      <c r="J623" s="12" t="s">
        <v>729</v>
      </c>
      <c r="K623" s="12" t="s">
        <v>779</v>
      </c>
      <c r="L623" s="6">
        <v>826.55</v>
      </c>
      <c r="M623" s="6">
        <v>1397.05</v>
      </c>
      <c r="N623" s="6">
        <f t="shared" si="162"/>
        <v>1397.05</v>
      </c>
      <c r="O623" s="6" t="str">
        <f t="shared" si="176"/>
        <v>Low</v>
      </c>
      <c r="P623" s="6">
        <v>0.16900000000000001</v>
      </c>
      <c r="Q623" s="6">
        <f t="shared" si="163"/>
        <v>0.16900000000000001</v>
      </c>
      <c r="R623" s="6">
        <v>28</v>
      </c>
      <c r="S623" s="6" t="str">
        <f t="shared" si="164"/>
        <v>OK</v>
      </c>
      <c r="T623" s="4">
        <f t="shared" si="165"/>
        <v>45046</v>
      </c>
      <c r="U623" s="11">
        <f t="shared" si="166"/>
        <v>11</v>
      </c>
      <c r="V623" s="6">
        <f t="shared" si="167"/>
        <v>32506.559399999998</v>
      </c>
      <c r="W623" s="6">
        <f t="shared" si="168"/>
        <v>23143.399999999998</v>
      </c>
      <c r="X623" s="6">
        <f t="shared" si="169"/>
        <v>9363.1594000000005</v>
      </c>
      <c r="Y623" s="6">
        <f t="shared" si="170"/>
        <v>0.28803907804527601</v>
      </c>
      <c r="Z623" s="4" t="str">
        <f t="shared" si="171"/>
        <v>Q2-2023</v>
      </c>
      <c r="AA623" t="str">
        <f t="shared" si="172"/>
        <v>Networking</v>
      </c>
      <c r="AB623" t="str">
        <f t="shared" si="173"/>
        <v>Networking</v>
      </c>
      <c r="AC623" t="str">
        <f t="shared" si="174"/>
        <v>Compliant</v>
      </c>
      <c r="AD623" t="str">
        <f t="shared" si="175"/>
        <v>Late</v>
      </c>
      <c r="AE623" s="8">
        <f>MIN(Q623,Scenario!$B$2)</f>
        <v>0.16900000000000001</v>
      </c>
      <c r="AF623" s="33">
        <f>L623*(1+Scenario!$B$3)</f>
        <v>950.53249999999991</v>
      </c>
      <c r="AG623" s="6">
        <f>R623*(1+Scenario!$B$4)</f>
        <v>33.6</v>
      </c>
      <c r="AH623" s="33">
        <f t="shared" si="177"/>
        <v>39007.871279999999</v>
      </c>
      <c r="AI623" s="33">
        <f t="shared" si="178"/>
        <v>31937.892</v>
      </c>
      <c r="AJ623" s="33">
        <f t="shared" si="179"/>
        <v>7069.9792799999996</v>
      </c>
    </row>
    <row r="624" spans="1:36" hidden="1" x14ac:dyDescent="0.25">
      <c r="A624" s="12" t="s">
        <v>620</v>
      </c>
      <c r="B624" s="27">
        <v>45038</v>
      </c>
      <c r="C624" s="4">
        <v>45060</v>
      </c>
      <c r="D624" s="12" t="s">
        <v>647</v>
      </c>
      <c r="E624" s="12" t="s">
        <v>652</v>
      </c>
      <c r="F624" s="12" t="s">
        <v>694</v>
      </c>
      <c r="G624" s="12" t="s">
        <v>706</v>
      </c>
      <c r="H624" s="12" t="s">
        <v>707</v>
      </c>
      <c r="I624" s="12" t="s">
        <v>720</v>
      </c>
      <c r="J624" s="12" t="s">
        <v>733</v>
      </c>
      <c r="K624" s="12" t="s">
        <v>1338</v>
      </c>
      <c r="L624" s="6">
        <v>1209.22</v>
      </c>
      <c r="M624" s="6">
        <v>1404.33</v>
      </c>
      <c r="N624" s="6">
        <f t="shared" si="162"/>
        <v>1404.33</v>
      </c>
      <c r="O624" s="6" t="str">
        <f t="shared" si="176"/>
        <v>Low</v>
      </c>
      <c r="P624" s="6">
        <v>0.10299999999999999</v>
      </c>
      <c r="Q624" s="6">
        <f t="shared" si="163"/>
        <v>0.10299999999999999</v>
      </c>
      <c r="R624" s="6">
        <v>11</v>
      </c>
      <c r="S624" s="6" t="str">
        <f t="shared" si="164"/>
        <v>OK</v>
      </c>
      <c r="T624" s="4">
        <f t="shared" si="165"/>
        <v>45060</v>
      </c>
      <c r="U624" s="11">
        <f t="shared" si="166"/>
        <v>22</v>
      </c>
      <c r="V624" s="6">
        <f t="shared" si="167"/>
        <v>13856.52411</v>
      </c>
      <c r="W624" s="6">
        <f t="shared" si="168"/>
        <v>13301.42</v>
      </c>
      <c r="X624" s="6">
        <f t="shared" si="169"/>
        <v>555.10411000000022</v>
      </c>
      <c r="Y624" s="6">
        <f t="shared" si="170"/>
        <v>4.0060848275751328E-2</v>
      </c>
      <c r="Z624" s="4" t="str">
        <f t="shared" si="171"/>
        <v>Q2-2023</v>
      </c>
      <c r="AA624" t="str">
        <f t="shared" si="172"/>
        <v>Accessories</v>
      </c>
      <c r="AB624" t="str">
        <f t="shared" si="173"/>
        <v>Accessories</v>
      </c>
      <c r="AC624" t="str">
        <f t="shared" si="174"/>
        <v>Compliant</v>
      </c>
      <c r="AD624" t="str">
        <f t="shared" si="175"/>
        <v>Late</v>
      </c>
      <c r="AE624" s="8">
        <f>MIN(Q624,Scenario!$B$2)</f>
        <v>0.10299999999999999</v>
      </c>
      <c r="AF624" s="33">
        <f>L624*(1+Scenario!$B$3)</f>
        <v>1390.6029999999998</v>
      </c>
      <c r="AG624" s="6">
        <f>R624*(1+Scenario!$B$4)</f>
        <v>13.2</v>
      </c>
      <c r="AH624" s="33">
        <f t="shared" si="177"/>
        <v>16627.828932</v>
      </c>
      <c r="AI624" s="33">
        <f t="shared" si="178"/>
        <v>18355.959599999998</v>
      </c>
      <c r="AJ624" s="33">
        <f t="shared" si="179"/>
        <v>-1728.130667999998</v>
      </c>
    </row>
    <row r="625" spans="1:36" hidden="1" x14ac:dyDescent="0.25">
      <c r="A625" s="12" t="s">
        <v>624</v>
      </c>
      <c r="B625" s="27">
        <v>45032</v>
      </c>
      <c r="C625" s="4">
        <v>45039</v>
      </c>
      <c r="D625" s="12" t="s">
        <v>648</v>
      </c>
      <c r="E625" s="12" t="s">
        <v>660</v>
      </c>
      <c r="F625" s="12" t="s">
        <v>697</v>
      </c>
      <c r="G625" s="12" t="s">
        <v>701</v>
      </c>
      <c r="H625" s="12" t="s">
        <v>710</v>
      </c>
      <c r="I625" s="12" t="s">
        <v>719</v>
      </c>
      <c r="J625" s="12" t="s">
        <v>728</v>
      </c>
      <c r="K625" s="12" t="s">
        <v>1342</v>
      </c>
      <c r="L625" s="6">
        <v>1099.1500000000001</v>
      </c>
      <c r="M625" s="6">
        <v>1431.37</v>
      </c>
      <c r="N625" s="6">
        <f t="shared" si="162"/>
        <v>1431.37</v>
      </c>
      <c r="O625" s="6" t="str">
        <f t="shared" si="176"/>
        <v>Low</v>
      </c>
      <c r="P625" s="6">
        <v>0.104</v>
      </c>
      <c r="Q625" s="6">
        <f t="shared" si="163"/>
        <v>0.104</v>
      </c>
      <c r="R625" s="6">
        <v>8</v>
      </c>
      <c r="S625" s="6" t="str">
        <f t="shared" si="164"/>
        <v>OK</v>
      </c>
      <c r="T625" s="4">
        <f t="shared" si="165"/>
        <v>45039</v>
      </c>
      <c r="U625" s="11">
        <f t="shared" si="166"/>
        <v>7</v>
      </c>
      <c r="V625" s="6">
        <f t="shared" si="167"/>
        <v>10260.060159999999</v>
      </c>
      <c r="W625" s="6">
        <f t="shared" si="168"/>
        <v>8793.2000000000007</v>
      </c>
      <c r="X625" s="6">
        <f t="shared" si="169"/>
        <v>1466.8601599999984</v>
      </c>
      <c r="Y625" s="6">
        <f t="shared" si="170"/>
        <v>0.14296798821109433</v>
      </c>
      <c r="Z625" s="4" t="str">
        <f t="shared" si="171"/>
        <v>Q2-2023</v>
      </c>
      <c r="AA625" t="str">
        <f t="shared" si="172"/>
        <v>Printers</v>
      </c>
      <c r="AB625" t="str">
        <f t="shared" si="173"/>
        <v>Printers</v>
      </c>
      <c r="AC625" t="str">
        <f t="shared" si="174"/>
        <v>Compliant</v>
      </c>
      <c r="AD625" t="str">
        <f t="shared" si="175"/>
        <v>On-time</v>
      </c>
      <c r="AE625" s="8">
        <f>MIN(Q625,Scenario!$B$2)</f>
        <v>0.104</v>
      </c>
      <c r="AF625" s="33">
        <f>L625*(1+Scenario!$B$3)</f>
        <v>1264.0225</v>
      </c>
      <c r="AG625" s="6">
        <f>R625*(1+Scenario!$B$4)</f>
        <v>9.6</v>
      </c>
      <c r="AH625" s="33">
        <f t="shared" si="177"/>
        <v>12312.072191999998</v>
      </c>
      <c r="AI625" s="33">
        <f t="shared" si="178"/>
        <v>12134.616</v>
      </c>
      <c r="AJ625" s="33">
        <f t="shared" si="179"/>
        <v>177.45619199999783</v>
      </c>
    </row>
    <row r="626" spans="1:36" hidden="1" x14ac:dyDescent="0.25">
      <c r="A626" s="12" t="s">
        <v>386</v>
      </c>
      <c r="B626" s="27">
        <v>45022</v>
      </c>
      <c r="C626" s="4">
        <v>45024</v>
      </c>
      <c r="D626" s="12" t="s">
        <v>646</v>
      </c>
      <c r="E626" s="12" t="s">
        <v>651</v>
      </c>
      <c r="F626" s="12" t="s">
        <v>669</v>
      </c>
      <c r="G626" s="12" t="s">
        <v>705</v>
      </c>
      <c r="H626" s="12" t="s">
        <v>709</v>
      </c>
      <c r="I626" s="12" t="s">
        <v>723</v>
      </c>
      <c r="J626" s="12" t="s">
        <v>732</v>
      </c>
      <c r="K626" s="12" t="s">
        <v>1106</v>
      </c>
      <c r="L626" s="6">
        <v>720.35</v>
      </c>
      <c r="M626" s="6">
        <v>1571.66</v>
      </c>
      <c r="N626" s="6">
        <f t="shared" si="162"/>
        <v>1571.66</v>
      </c>
      <c r="O626" s="6" t="str">
        <f t="shared" si="176"/>
        <v>Low</v>
      </c>
      <c r="P626" s="6">
        <v>0.107</v>
      </c>
      <c r="Q626" s="6">
        <f t="shared" si="163"/>
        <v>0.107</v>
      </c>
      <c r="R626" s="6">
        <v>23</v>
      </c>
      <c r="S626" s="6" t="str">
        <f t="shared" si="164"/>
        <v>OK</v>
      </c>
      <c r="T626" s="4">
        <f t="shared" si="165"/>
        <v>45024</v>
      </c>
      <c r="U626" s="11">
        <f t="shared" si="166"/>
        <v>2</v>
      </c>
      <c r="V626" s="6">
        <f t="shared" si="167"/>
        <v>32280.32474</v>
      </c>
      <c r="W626" s="6">
        <f t="shared" si="168"/>
        <v>16568.05</v>
      </c>
      <c r="X626" s="6">
        <f t="shared" si="169"/>
        <v>15712.274740000001</v>
      </c>
      <c r="Y626" s="6">
        <f t="shared" si="170"/>
        <v>0.4867446305622265</v>
      </c>
      <c r="Z626" s="4" t="str">
        <f t="shared" si="171"/>
        <v>Q2-2023</v>
      </c>
      <c r="AA626" t="str">
        <f t="shared" si="172"/>
        <v>Monitors</v>
      </c>
      <c r="AB626" t="str">
        <f t="shared" si="173"/>
        <v>Monitors</v>
      </c>
      <c r="AC626" t="str">
        <f t="shared" si="174"/>
        <v>Compliant</v>
      </c>
      <c r="AD626" t="str">
        <f t="shared" si="175"/>
        <v>On-time</v>
      </c>
      <c r="AE626" s="8">
        <f>MIN(Q626,Scenario!$B$2)</f>
        <v>0.107</v>
      </c>
      <c r="AF626" s="33">
        <f>L626*(1+Scenario!$B$3)</f>
        <v>828.40249999999992</v>
      </c>
      <c r="AG626" s="6">
        <f>R626*(1+Scenario!$B$4)</f>
        <v>27.599999999999998</v>
      </c>
      <c r="AH626" s="33">
        <f t="shared" si="177"/>
        <v>38736.389688000003</v>
      </c>
      <c r="AI626" s="33">
        <f t="shared" si="178"/>
        <v>22863.908999999996</v>
      </c>
      <c r="AJ626" s="33">
        <f t="shared" si="179"/>
        <v>15872.480688000007</v>
      </c>
    </row>
    <row r="627" spans="1:36" hidden="1" x14ac:dyDescent="0.25">
      <c r="A627" s="12" t="s">
        <v>577</v>
      </c>
      <c r="B627" s="27">
        <v>45029</v>
      </c>
      <c r="C627" s="4">
        <v>45048</v>
      </c>
      <c r="D627" s="12" t="s">
        <v>648</v>
      </c>
      <c r="E627" s="12" t="s">
        <v>653</v>
      </c>
      <c r="F627" s="12" t="s">
        <v>681</v>
      </c>
      <c r="G627" s="12" t="s">
        <v>704</v>
      </c>
      <c r="H627" s="12" t="s">
        <v>710</v>
      </c>
      <c r="I627" s="12" t="s">
        <v>718</v>
      </c>
      <c r="J627" s="12" t="s">
        <v>732</v>
      </c>
      <c r="K627" s="12" t="s">
        <v>1295</v>
      </c>
      <c r="L627" s="6">
        <v>671.05</v>
      </c>
      <c r="M627" s="6">
        <v>1645.48</v>
      </c>
      <c r="N627" s="6">
        <f t="shared" si="162"/>
        <v>1645.48</v>
      </c>
      <c r="O627" s="6" t="str">
        <f t="shared" si="176"/>
        <v>Low</v>
      </c>
      <c r="P627" s="6">
        <v>0.13700000000000001</v>
      </c>
      <c r="Q627" s="6">
        <f t="shared" si="163"/>
        <v>0.13700000000000001</v>
      </c>
      <c r="R627" s="6">
        <v>6</v>
      </c>
      <c r="S627" s="6" t="str">
        <f t="shared" si="164"/>
        <v>OK</v>
      </c>
      <c r="T627" s="4">
        <f t="shared" si="165"/>
        <v>45048</v>
      </c>
      <c r="U627" s="11">
        <f t="shared" si="166"/>
        <v>19</v>
      </c>
      <c r="V627" s="6">
        <f t="shared" si="167"/>
        <v>8520.2954399999999</v>
      </c>
      <c r="W627" s="6">
        <f t="shared" si="168"/>
        <v>4026.2999999999997</v>
      </c>
      <c r="X627" s="6">
        <f t="shared" si="169"/>
        <v>4493.9954400000006</v>
      </c>
      <c r="Y627" s="6">
        <f t="shared" si="170"/>
        <v>0.52744596377517172</v>
      </c>
      <c r="Z627" s="4" t="str">
        <f t="shared" si="171"/>
        <v>Q2-2023</v>
      </c>
      <c r="AA627" t="str">
        <f t="shared" si="172"/>
        <v>Monitors</v>
      </c>
      <c r="AB627" t="str">
        <f t="shared" si="173"/>
        <v>Monitors</v>
      </c>
      <c r="AC627" t="str">
        <f t="shared" si="174"/>
        <v>Compliant</v>
      </c>
      <c r="AD627" t="str">
        <f t="shared" si="175"/>
        <v>Late</v>
      </c>
      <c r="AE627" s="8">
        <f>MIN(Q627,Scenario!$B$2)</f>
        <v>0.13700000000000001</v>
      </c>
      <c r="AF627" s="33">
        <f>L627*(1+Scenario!$B$3)</f>
        <v>771.70749999999987</v>
      </c>
      <c r="AG627" s="6">
        <f>R627*(1+Scenario!$B$4)</f>
        <v>7.1999999999999993</v>
      </c>
      <c r="AH627" s="33">
        <f t="shared" si="177"/>
        <v>10224.354527999998</v>
      </c>
      <c r="AI627" s="33">
        <f t="shared" si="178"/>
        <v>5556.2939999999981</v>
      </c>
      <c r="AJ627" s="33">
        <f t="shared" si="179"/>
        <v>4668.060528</v>
      </c>
    </row>
    <row r="628" spans="1:36" hidden="1" x14ac:dyDescent="0.25">
      <c r="A628" s="12" t="s">
        <v>84</v>
      </c>
      <c r="B628" s="27">
        <v>45037</v>
      </c>
      <c r="C628" s="4">
        <v>45056</v>
      </c>
      <c r="D628" s="12" t="s">
        <v>647</v>
      </c>
      <c r="E628" s="12" t="s">
        <v>659</v>
      </c>
      <c r="F628" s="12" t="s">
        <v>685</v>
      </c>
      <c r="G628" s="12" t="s">
        <v>701</v>
      </c>
      <c r="H628" s="12" t="s">
        <v>707</v>
      </c>
      <c r="I628" s="12" t="s">
        <v>720</v>
      </c>
      <c r="J628" s="12" t="s">
        <v>727</v>
      </c>
      <c r="K628" s="12" t="s">
        <v>803</v>
      </c>
      <c r="L628" s="6">
        <v>882.33</v>
      </c>
      <c r="M628" s="6">
        <v>1880.15</v>
      </c>
      <c r="N628" s="6">
        <f t="shared" si="162"/>
        <v>1880.15</v>
      </c>
      <c r="O628" s="6" t="str">
        <f t="shared" si="176"/>
        <v>Low</v>
      </c>
      <c r="P628" s="6">
        <v>0.05</v>
      </c>
      <c r="Q628" s="6">
        <f t="shared" si="163"/>
        <v>0.05</v>
      </c>
      <c r="R628" s="6">
        <v>5</v>
      </c>
      <c r="S628" s="6" t="str">
        <f t="shared" si="164"/>
        <v>OK</v>
      </c>
      <c r="T628" s="4">
        <f t="shared" si="165"/>
        <v>45056</v>
      </c>
      <c r="U628" s="11">
        <f t="shared" si="166"/>
        <v>19</v>
      </c>
      <c r="V628" s="6">
        <f t="shared" si="167"/>
        <v>8930.7124999999996</v>
      </c>
      <c r="W628" s="6">
        <f t="shared" si="168"/>
        <v>4411.6500000000005</v>
      </c>
      <c r="X628" s="6">
        <f t="shared" si="169"/>
        <v>4519.0624999999991</v>
      </c>
      <c r="Y628" s="6">
        <f t="shared" si="170"/>
        <v>0.50601365792482955</v>
      </c>
      <c r="Z628" s="4" t="str">
        <f t="shared" si="171"/>
        <v>Q2-2023</v>
      </c>
      <c r="AA628" t="str">
        <f t="shared" si="172"/>
        <v>Components</v>
      </c>
      <c r="AB628" t="str">
        <f t="shared" si="173"/>
        <v>Components</v>
      </c>
      <c r="AC628" t="str">
        <f t="shared" si="174"/>
        <v>Compliant</v>
      </c>
      <c r="AD628" t="str">
        <f t="shared" si="175"/>
        <v>Late</v>
      </c>
      <c r="AE628" s="8">
        <f>MIN(Q628,Scenario!$B$2)</f>
        <v>0.05</v>
      </c>
      <c r="AF628" s="33">
        <f>L628*(1+Scenario!$B$3)</f>
        <v>1014.6795</v>
      </c>
      <c r="AG628" s="6">
        <f>R628*(1+Scenario!$B$4)</f>
        <v>6</v>
      </c>
      <c r="AH628" s="33">
        <f t="shared" si="177"/>
        <v>10716.855000000001</v>
      </c>
      <c r="AI628" s="33">
        <f t="shared" si="178"/>
        <v>6088.0769999999993</v>
      </c>
      <c r="AJ628" s="33">
        <f t="shared" si="179"/>
        <v>4628.7780000000021</v>
      </c>
    </row>
    <row r="629" spans="1:36" x14ac:dyDescent="0.25">
      <c r="A629" s="12" t="s">
        <v>150</v>
      </c>
      <c r="B629" s="27">
        <v>45028</v>
      </c>
      <c r="C629" s="4">
        <v>45033</v>
      </c>
      <c r="D629" s="12" t="s">
        <v>649</v>
      </c>
      <c r="E629" s="12" t="s">
        <v>657</v>
      </c>
      <c r="F629" s="12" t="s">
        <v>679</v>
      </c>
      <c r="G629" s="12" t="s">
        <v>706</v>
      </c>
      <c r="H629" s="12" t="s">
        <v>711</v>
      </c>
      <c r="I629" s="12" t="s">
        <v>718</v>
      </c>
      <c r="J629" s="12" t="s">
        <v>732</v>
      </c>
      <c r="K629" s="12" t="s">
        <v>869</v>
      </c>
      <c r="L629" s="6">
        <v>1087.81</v>
      </c>
      <c r="M629" s="6">
        <v>2323.87</v>
      </c>
      <c r="N629" s="6">
        <f t="shared" si="162"/>
        <v>2323.87</v>
      </c>
      <c r="O629" s="6" t="str">
        <f t="shared" si="176"/>
        <v>Low</v>
      </c>
      <c r="P629" s="6">
        <v>9.4E-2</v>
      </c>
      <c r="Q629" s="6">
        <f t="shared" si="163"/>
        <v>9.4E-2</v>
      </c>
      <c r="R629" s="6">
        <v>13</v>
      </c>
      <c r="S629" s="6" t="str">
        <f t="shared" si="164"/>
        <v>OK</v>
      </c>
      <c r="T629" s="4">
        <f t="shared" si="165"/>
        <v>45033</v>
      </c>
      <c r="U629" s="11">
        <f t="shared" si="166"/>
        <v>5</v>
      </c>
      <c r="V629" s="6">
        <f t="shared" si="167"/>
        <v>27370.540859999997</v>
      </c>
      <c r="W629" s="6">
        <f t="shared" si="168"/>
        <v>14141.529999999999</v>
      </c>
      <c r="X629" s="6">
        <f t="shared" si="169"/>
        <v>13229.010859999999</v>
      </c>
      <c r="Y629" s="6">
        <f t="shared" si="170"/>
        <v>0.48333026839572651</v>
      </c>
      <c r="Z629" s="4" t="str">
        <f t="shared" si="171"/>
        <v>Q2-2023</v>
      </c>
      <c r="AA629" t="str">
        <f t="shared" si="172"/>
        <v>Monitors</v>
      </c>
      <c r="AB629" t="str">
        <f t="shared" si="173"/>
        <v>Monitors</v>
      </c>
      <c r="AC629" t="str">
        <f t="shared" si="174"/>
        <v>Compliant</v>
      </c>
      <c r="AD629" t="str">
        <f t="shared" si="175"/>
        <v>On-time</v>
      </c>
      <c r="AE629" s="8">
        <f>MIN(Q629,Scenario!$B$2)</f>
        <v>9.4E-2</v>
      </c>
      <c r="AF629" s="33">
        <f>L629*(1+Scenario!$B$3)</f>
        <v>1250.9814999999999</v>
      </c>
      <c r="AG629" s="6">
        <f>R629*(1+Scenario!$B$4)</f>
        <v>15.6</v>
      </c>
      <c r="AH629" s="33">
        <f t="shared" si="177"/>
        <v>32844.649031999994</v>
      </c>
      <c r="AI629" s="33">
        <f t="shared" si="178"/>
        <v>19515.311399999999</v>
      </c>
      <c r="AJ629" s="33">
        <f t="shared" si="179"/>
        <v>13329.337631999995</v>
      </c>
    </row>
    <row r="630" spans="1:36" x14ac:dyDescent="0.25">
      <c r="A630" s="12" t="s">
        <v>219</v>
      </c>
      <c r="B630" s="27">
        <v>45035</v>
      </c>
      <c r="C630" s="4">
        <v>45044</v>
      </c>
      <c r="D630" s="12" t="s">
        <v>649</v>
      </c>
      <c r="E630" s="12" t="s">
        <v>656</v>
      </c>
      <c r="F630" s="12" t="s">
        <v>671</v>
      </c>
      <c r="G630" s="12" t="s">
        <v>702</v>
      </c>
      <c r="H630" s="12" t="s">
        <v>708</v>
      </c>
      <c r="I630" s="12" t="s">
        <v>718</v>
      </c>
      <c r="J630" s="12" t="s">
        <v>732</v>
      </c>
      <c r="K630" s="12" t="s">
        <v>939</v>
      </c>
      <c r="L630" s="6">
        <v>1178.42</v>
      </c>
      <c r="M630" s="6">
        <v>2446.56</v>
      </c>
      <c r="N630" s="6">
        <f t="shared" si="162"/>
        <v>2446.56</v>
      </c>
      <c r="O630" s="6" t="str">
        <f t="shared" si="176"/>
        <v>Low</v>
      </c>
      <c r="P630" s="6">
        <v>2.9000000000000001E-2</v>
      </c>
      <c r="Q630" s="6">
        <f t="shared" si="163"/>
        <v>2.9000000000000001E-2</v>
      </c>
      <c r="R630" s="6">
        <v>11</v>
      </c>
      <c r="S630" s="6" t="str">
        <f t="shared" si="164"/>
        <v>OK</v>
      </c>
      <c r="T630" s="4">
        <f t="shared" si="165"/>
        <v>45044</v>
      </c>
      <c r="U630" s="11">
        <f t="shared" si="166"/>
        <v>9</v>
      </c>
      <c r="V630" s="6">
        <f t="shared" si="167"/>
        <v>26131.70736</v>
      </c>
      <c r="W630" s="6">
        <f t="shared" si="168"/>
        <v>12962.62</v>
      </c>
      <c r="X630" s="6">
        <f t="shared" si="169"/>
        <v>13169.08736</v>
      </c>
      <c r="Y630" s="6">
        <f t="shared" si="170"/>
        <v>0.5039505141618883</v>
      </c>
      <c r="Z630" s="4" t="str">
        <f t="shared" si="171"/>
        <v>Q2-2023</v>
      </c>
      <c r="AA630" t="str">
        <f t="shared" si="172"/>
        <v>Monitors</v>
      </c>
      <c r="AB630" t="str">
        <f t="shared" si="173"/>
        <v>Monitors</v>
      </c>
      <c r="AC630" t="str">
        <f t="shared" si="174"/>
        <v>Compliant</v>
      </c>
      <c r="AD630" t="str">
        <f t="shared" si="175"/>
        <v>Late</v>
      </c>
      <c r="AE630" s="8">
        <f>MIN(Q630,Scenario!$B$2)</f>
        <v>2.9000000000000001E-2</v>
      </c>
      <c r="AF630" s="33">
        <f>L630*(1+Scenario!$B$3)</f>
        <v>1355.183</v>
      </c>
      <c r="AG630" s="6">
        <f>R630*(1+Scenario!$B$4)</f>
        <v>13.2</v>
      </c>
      <c r="AH630" s="33">
        <f t="shared" si="177"/>
        <v>31358.048831999997</v>
      </c>
      <c r="AI630" s="33">
        <f t="shared" si="178"/>
        <v>17888.4156</v>
      </c>
      <c r="AJ630" s="33">
        <f t="shared" si="179"/>
        <v>13469.633231999996</v>
      </c>
    </row>
    <row r="631" spans="1:36" x14ac:dyDescent="0.25">
      <c r="A631" s="12" t="s">
        <v>110</v>
      </c>
      <c r="B631" s="27">
        <v>45022</v>
      </c>
      <c r="C631" s="4">
        <v>45043</v>
      </c>
      <c r="D631" s="12" t="s">
        <v>649</v>
      </c>
      <c r="E631" s="12" t="s">
        <v>658</v>
      </c>
      <c r="F631" s="12" t="s">
        <v>693</v>
      </c>
      <c r="G631" s="12" t="s">
        <v>706</v>
      </c>
      <c r="H631" s="12" t="s">
        <v>710</v>
      </c>
      <c r="I631" s="12" t="s">
        <v>714</v>
      </c>
      <c r="J631" s="12" t="s">
        <v>728</v>
      </c>
      <c r="K631" s="12" t="s">
        <v>829</v>
      </c>
      <c r="L631" s="6">
        <v>1084.79</v>
      </c>
      <c r="M631" s="6">
        <v>2484.9899999999998</v>
      </c>
      <c r="N631" s="6">
        <f t="shared" si="162"/>
        <v>2484.9899999999998</v>
      </c>
      <c r="O631" s="6" t="str">
        <f t="shared" si="176"/>
        <v>Low</v>
      </c>
      <c r="P631" s="6">
        <v>3.4000000000000002E-2</v>
      </c>
      <c r="Q631" s="6">
        <f t="shared" si="163"/>
        <v>3.4000000000000002E-2</v>
      </c>
      <c r="R631" s="6">
        <v>18</v>
      </c>
      <c r="S631" s="6" t="str">
        <f t="shared" si="164"/>
        <v>OK</v>
      </c>
      <c r="T631" s="4">
        <f t="shared" si="165"/>
        <v>45043</v>
      </c>
      <c r="U631" s="11">
        <f t="shared" si="166"/>
        <v>21</v>
      </c>
      <c r="V631" s="6">
        <f t="shared" si="167"/>
        <v>43209.006119999991</v>
      </c>
      <c r="W631" s="6">
        <f t="shared" si="168"/>
        <v>19526.22</v>
      </c>
      <c r="X631" s="6">
        <f t="shared" si="169"/>
        <v>23682.78611999999</v>
      </c>
      <c r="Y631" s="6">
        <f t="shared" si="170"/>
        <v>0.54809837685755114</v>
      </c>
      <c r="Z631" s="4" t="str">
        <f t="shared" si="171"/>
        <v>Q2-2023</v>
      </c>
      <c r="AA631" t="str">
        <f t="shared" si="172"/>
        <v>Printers</v>
      </c>
      <c r="AB631" t="str">
        <f t="shared" si="173"/>
        <v>Printers</v>
      </c>
      <c r="AC631" t="str">
        <f t="shared" si="174"/>
        <v>Compliant</v>
      </c>
      <c r="AD631" t="str">
        <f t="shared" si="175"/>
        <v>Late</v>
      </c>
      <c r="AE631" s="8">
        <f>MIN(Q631,Scenario!$B$2)</f>
        <v>3.4000000000000002E-2</v>
      </c>
      <c r="AF631" s="33">
        <f>L631*(1+Scenario!$B$3)</f>
        <v>1247.5084999999999</v>
      </c>
      <c r="AG631" s="6">
        <f>R631*(1+Scenario!$B$4)</f>
        <v>21.599999999999998</v>
      </c>
      <c r="AH631" s="33">
        <f t="shared" si="177"/>
        <v>51850.807343999993</v>
      </c>
      <c r="AI631" s="33">
        <f t="shared" si="178"/>
        <v>26946.183599999997</v>
      </c>
      <c r="AJ631" s="33">
        <f t="shared" si="179"/>
        <v>24904.623743999997</v>
      </c>
    </row>
    <row r="632" spans="1:36" x14ac:dyDescent="0.25">
      <c r="A632" s="12" t="s">
        <v>213</v>
      </c>
      <c r="B632" s="27">
        <v>45030</v>
      </c>
      <c r="C632" s="4">
        <v>45059</v>
      </c>
      <c r="D632" s="12" t="s">
        <v>649</v>
      </c>
      <c r="E632" s="12" t="s">
        <v>656</v>
      </c>
      <c r="F632" s="12" t="s">
        <v>698</v>
      </c>
      <c r="G632" s="12" t="s">
        <v>704</v>
      </c>
      <c r="H632" s="12" t="s">
        <v>711</v>
      </c>
      <c r="I632" s="12" t="s">
        <v>713</v>
      </c>
      <c r="J632" s="12" t="s">
        <v>728</v>
      </c>
      <c r="K632" s="12" t="s">
        <v>933</v>
      </c>
      <c r="L632" s="6">
        <v>1320.33</v>
      </c>
      <c r="M632" s="6">
        <v>2645.23</v>
      </c>
      <c r="N632" s="6">
        <f t="shared" si="162"/>
        <v>2645.23</v>
      </c>
      <c r="O632" s="6" t="str">
        <f t="shared" si="176"/>
        <v>Low</v>
      </c>
      <c r="P632" s="6">
        <v>0.155</v>
      </c>
      <c r="Q632" s="6">
        <f t="shared" si="163"/>
        <v>0.155</v>
      </c>
      <c r="R632" s="6">
        <v>25</v>
      </c>
      <c r="S632" s="6" t="str">
        <f t="shared" si="164"/>
        <v>OK</v>
      </c>
      <c r="T632" s="4">
        <f t="shared" si="165"/>
        <v>45059</v>
      </c>
      <c r="U632" s="11">
        <f t="shared" si="166"/>
        <v>29</v>
      </c>
      <c r="V632" s="6">
        <f t="shared" si="167"/>
        <v>55880.483749999999</v>
      </c>
      <c r="W632" s="6">
        <f t="shared" si="168"/>
        <v>33008.25</v>
      </c>
      <c r="X632" s="6">
        <f t="shared" si="169"/>
        <v>22872.233749999999</v>
      </c>
      <c r="Y632" s="6">
        <f t="shared" si="170"/>
        <v>0.40930629470436536</v>
      </c>
      <c r="Z632" s="4" t="str">
        <f t="shared" si="171"/>
        <v>Q2-2023</v>
      </c>
      <c r="AA632" t="str">
        <f t="shared" si="172"/>
        <v>Printers</v>
      </c>
      <c r="AB632" t="str">
        <f t="shared" si="173"/>
        <v>Printers</v>
      </c>
      <c r="AC632" t="str">
        <f t="shared" si="174"/>
        <v>Compliant</v>
      </c>
      <c r="AD632" t="str">
        <f t="shared" si="175"/>
        <v>Late</v>
      </c>
      <c r="AE632" s="8">
        <f>MIN(Q632,Scenario!$B$2)</f>
        <v>0.155</v>
      </c>
      <c r="AF632" s="33">
        <f>L632*(1+Scenario!$B$3)</f>
        <v>1518.3794999999998</v>
      </c>
      <c r="AG632" s="6">
        <f>R632*(1+Scenario!$B$4)</f>
        <v>30</v>
      </c>
      <c r="AH632" s="33">
        <f t="shared" si="177"/>
        <v>67056.580499999996</v>
      </c>
      <c r="AI632" s="33">
        <f t="shared" si="178"/>
        <v>45551.384999999995</v>
      </c>
      <c r="AJ632" s="33">
        <f t="shared" si="179"/>
        <v>21505.195500000002</v>
      </c>
    </row>
    <row r="633" spans="1:36" x14ac:dyDescent="0.25">
      <c r="A633"/>
      <c r="C633"/>
      <c r="D633"/>
      <c r="E633"/>
      <c r="F633"/>
      <c r="G633"/>
      <c r="H633"/>
      <c r="I633"/>
      <c r="J633"/>
      <c r="K633"/>
      <c r="L633"/>
      <c r="M633"/>
      <c r="N633"/>
      <c r="O633"/>
      <c r="P633"/>
      <c r="Q633"/>
      <c r="R633"/>
      <c r="S633"/>
    </row>
  </sheetData>
  <autoFilter ref="A1:AD632" xr:uid="{00000000-0009-0000-0000-000008000000}">
    <filterColumn colId="3">
      <filters>
        <filter val="Europe"/>
      </filters>
    </filterColumn>
  </autoFilter>
  <conditionalFormatting sqref="M1:O1048576">
    <cfRule type="cellIs" dxfId="80" priority="6" operator="lessThan">
      <formula>0</formula>
    </cfRule>
  </conditionalFormatting>
  <conditionalFormatting sqref="P2:Q1048576">
    <cfRule type="cellIs" dxfId="79" priority="5" operator="greaterThan">
      <formula>0.3</formula>
    </cfRule>
  </conditionalFormatting>
  <conditionalFormatting sqref="S1:S1048576">
    <cfRule type="containsText" dxfId="78" priority="4" operator="containsText" text="Correct">
      <formula>NOT(ISERROR(SEARCH("Correct",S1)))</formula>
    </cfRule>
  </conditionalFormatting>
  <conditionalFormatting sqref="U1:U1048576">
    <cfRule type="cellIs" dxfId="77" priority="3" operator="lessThan">
      <formula>0</formula>
    </cfRule>
  </conditionalFormatting>
  <conditionalFormatting sqref="P1">
    <cfRule type="cellIs" dxfId="76" priority="2" operator="lessThan">
      <formula>0</formula>
    </cfRule>
  </conditionalFormatting>
  <conditionalFormatting sqref="Q1">
    <cfRule type="cellIs" dxfId="75" priority="1" operator="lessThan">
      <formula>0</formula>
    </cfRule>
  </conditionalFormatting>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O633"/>
  <sheetViews>
    <sheetView workbookViewId="0">
      <selection activeCell="T594" sqref="T594"/>
    </sheetView>
  </sheetViews>
  <sheetFormatPr defaultRowHeight="15" x14ac:dyDescent="0.25"/>
  <cols>
    <col min="1" max="1" width="16.42578125" style="12" bestFit="1" customWidth="1"/>
    <col min="2" max="2" width="10.7109375" style="4" bestFit="1" customWidth="1"/>
    <col min="3" max="3" width="13.5703125" style="4" bestFit="1" customWidth="1"/>
    <col min="4" max="4" width="9.140625" style="12"/>
    <col min="5" max="5" width="15.42578125" style="12" bestFit="1" customWidth="1"/>
    <col min="6" max="6" width="13.5703125" style="12" bestFit="1" customWidth="1"/>
    <col min="7" max="7" width="17.7109375" style="12" bestFit="1" customWidth="1"/>
    <col min="8" max="8" width="12" style="12" bestFit="1" customWidth="1"/>
    <col min="9" max="9" width="11.7109375" style="12" bestFit="1" customWidth="1"/>
    <col min="10" max="10" width="15.85546875" style="12" bestFit="1" customWidth="1"/>
    <col min="11" max="11" width="10.28515625" style="12" bestFit="1" customWidth="1"/>
    <col min="12" max="12" width="8.7109375" style="6" bestFit="1" customWidth="1"/>
    <col min="13" max="13" width="9.28515625" style="6" bestFit="1" customWidth="1"/>
    <col min="14" max="14" width="11.42578125" style="6" bestFit="1" customWidth="1"/>
    <col min="15" max="15" width="8.7109375" style="6" bestFit="1" customWidth="1"/>
  </cols>
  <sheetData>
    <row r="1" spans="1:15" x14ac:dyDescent="0.25">
      <c r="A1" s="13" t="s">
        <v>0</v>
      </c>
      <c r="B1" s="3" t="s">
        <v>1</v>
      </c>
      <c r="C1" s="3" t="s">
        <v>2</v>
      </c>
      <c r="D1" s="13" t="s">
        <v>3</v>
      </c>
      <c r="E1" s="13" t="s">
        <v>4</v>
      </c>
      <c r="F1" s="13" t="s">
        <v>5</v>
      </c>
      <c r="G1" s="13" t="s">
        <v>6</v>
      </c>
      <c r="H1" s="13" t="s">
        <v>7</v>
      </c>
      <c r="I1" s="13" t="s">
        <v>8</v>
      </c>
      <c r="J1" s="13" t="s">
        <v>9</v>
      </c>
      <c r="K1" s="13" t="s">
        <v>10</v>
      </c>
      <c r="L1" s="5" t="s">
        <v>11</v>
      </c>
      <c r="M1" s="5" t="s">
        <v>12</v>
      </c>
      <c r="N1" s="5" t="s">
        <v>13</v>
      </c>
      <c r="O1" s="5" t="s">
        <v>14</v>
      </c>
    </row>
    <row r="2" spans="1:15" x14ac:dyDescent="0.25">
      <c r="A2" s="12" t="s">
        <v>20</v>
      </c>
      <c r="B2" s="4">
        <v>44928</v>
      </c>
      <c r="C2" s="4">
        <v>44931</v>
      </c>
      <c r="D2" s="12" t="s">
        <v>648</v>
      </c>
      <c r="E2" s="12" t="s">
        <v>653</v>
      </c>
      <c r="F2" s="12" t="s">
        <v>667</v>
      </c>
      <c r="G2" s="12" t="s">
        <v>701</v>
      </c>
      <c r="H2" s="12" t="s">
        <v>710</v>
      </c>
      <c r="I2" s="12" t="s">
        <v>717</v>
      </c>
      <c r="J2" s="12" t="s">
        <v>731</v>
      </c>
      <c r="K2" s="12" t="s">
        <v>739</v>
      </c>
      <c r="L2" s="6">
        <v>315.87</v>
      </c>
      <c r="M2" s="6">
        <v>591.67999999999995</v>
      </c>
      <c r="N2" s="6">
        <v>0</v>
      </c>
      <c r="O2" s="6">
        <v>7</v>
      </c>
    </row>
    <row r="3" spans="1:15" x14ac:dyDescent="0.25">
      <c r="A3" s="12" t="s">
        <v>611</v>
      </c>
      <c r="B3" s="4">
        <v>44933</v>
      </c>
      <c r="C3" s="4">
        <v>44956</v>
      </c>
      <c r="D3" s="12" t="s">
        <v>646</v>
      </c>
      <c r="E3" s="12" t="s">
        <v>661</v>
      </c>
      <c r="F3" s="12" t="s">
        <v>695</v>
      </c>
      <c r="G3" s="12" t="s">
        <v>704</v>
      </c>
      <c r="H3" s="12" t="s">
        <v>708</v>
      </c>
      <c r="I3" s="12" t="s">
        <v>720</v>
      </c>
      <c r="J3" s="12" t="s">
        <v>728</v>
      </c>
      <c r="K3" s="12" t="s">
        <v>1329</v>
      </c>
      <c r="L3" s="6">
        <v>299.02</v>
      </c>
      <c r="M3" s="6">
        <v>724.7</v>
      </c>
      <c r="N3" s="6">
        <v>0.14000000000000001</v>
      </c>
      <c r="O3" s="6">
        <v>5</v>
      </c>
    </row>
    <row r="4" spans="1:15" x14ac:dyDescent="0.25">
      <c r="A4" s="12" t="s">
        <v>323</v>
      </c>
      <c r="B4" s="4">
        <v>44936</v>
      </c>
      <c r="C4" s="4">
        <v>44955</v>
      </c>
      <c r="D4" s="12" t="s">
        <v>649</v>
      </c>
      <c r="E4" s="12" t="s">
        <v>657</v>
      </c>
      <c r="F4" s="12" t="s">
        <v>679</v>
      </c>
      <c r="G4" s="12" t="s">
        <v>703</v>
      </c>
      <c r="H4" s="12" t="s">
        <v>711</v>
      </c>
      <c r="I4" s="12" t="s">
        <v>726</v>
      </c>
      <c r="J4" s="12" t="s">
        <v>731</v>
      </c>
      <c r="K4" s="12" t="s">
        <v>1043</v>
      </c>
      <c r="L4" s="6">
        <v>401.66</v>
      </c>
      <c r="M4" s="6">
        <v>772.09</v>
      </c>
      <c r="N4" s="6">
        <v>8.8999999999999996E-2</v>
      </c>
      <c r="O4" s="6">
        <v>14</v>
      </c>
    </row>
    <row r="5" spans="1:15" x14ac:dyDescent="0.25">
      <c r="A5" s="12" t="s">
        <v>541</v>
      </c>
      <c r="B5" s="4">
        <v>44938</v>
      </c>
      <c r="C5" s="4">
        <v>44952</v>
      </c>
      <c r="D5" s="12" t="s">
        <v>647</v>
      </c>
      <c r="E5" s="12" t="s">
        <v>659</v>
      </c>
      <c r="F5" s="12" t="s">
        <v>676</v>
      </c>
      <c r="G5" s="12" t="s">
        <v>703</v>
      </c>
      <c r="H5" s="12" t="s">
        <v>707</v>
      </c>
      <c r="I5" s="12" t="s">
        <v>724</v>
      </c>
      <c r="J5" s="12" t="s">
        <v>728</v>
      </c>
      <c r="K5" s="12" t="s">
        <v>1260</v>
      </c>
      <c r="L5" s="6">
        <v>1083.0899999999999</v>
      </c>
      <c r="M5" s="6">
        <v>1425.87</v>
      </c>
      <c r="N5" s="6">
        <v>0</v>
      </c>
      <c r="O5" s="6">
        <v>8</v>
      </c>
    </row>
    <row r="6" spans="1:15" x14ac:dyDescent="0.25">
      <c r="A6" s="12" t="s">
        <v>214</v>
      </c>
      <c r="B6" s="4">
        <v>44939</v>
      </c>
      <c r="C6" s="4">
        <v>44945</v>
      </c>
      <c r="D6" s="12" t="s">
        <v>648</v>
      </c>
      <c r="E6" s="12" t="s">
        <v>660</v>
      </c>
      <c r="F6" s="12" t="s">
        <v>677</v>
      </c>
      <c r="G6" s="12" t="s">
        <v>701</v>
      </c>
      <c r="H6" s="12" t="s">
        <v>711</v>
      </c>
      <c r="I6" s="12" t="s">
        <v>722</v>
      </c>
      <c r="J6" s="12" t="s">
        <v>730</v>
      </c>
      <c r="K6" s="12" t="s">
        <v>934</v>
      </c>
      <c r="L6" s="6">
        <v>833.57</v>
      </c>
      <c r="M6" s="6">
        <v>881.57</v>
      </c>
      <c r="N6" s="6">
        <v>5.7000000000000002E-2</v>
      </c>
      <c r="O6" s="6">
        <v>18</v>
      </c>
    </row>
    <row r="7" spans="1:15" x14ac:dyDescent="0.25">
      <c r="A7" s="12" t="s">
        <v>22</v>
      </c>
      <c r="B7" s="4">
        <v>44941</v>
      </c>
      <c r="C7" s="4">
        <v>44939</v>
      </c>
      <c r="D7" s="12" t="s">
        <v>646</v>
      </c>
      <c r="E7" s="12" t="s">
        <v>651</v>
      </c>
      <c r="F7" s="12" t="s">
        <v>669</v>
      </c>
      <c r="G7" s="12" t="s">
        <v>702</v>
      </c>
      <c r="H7" s="12" t="s">
        <v>708</v>
      </c>
      <c r="I7" s="12" t="s">
        <v>719</v>
      </c>
      <c r="J7" s="12" t="s">
        <v>728</v>
      </c>
      <c r="K7" s="12" t="s">
        <v>741</v>
      </c>
      <c r="L7" s="6">
        <v>28.38</v>
      </c>
      <c r="M7" s="6">
        <v>47.22</v>
      </c>
      <c r="N7" s="6">
        <v>0.19400000000000001</v>
      </c>
      <c r="O7" s="6">
        <v>18</v>
      </c>
    </row>
    <row r="8" spans="1:15" x14ac:dyDescent="0.25">
      <c r="A8" s="12" t="s">
        <v>465</v>
      </c>
      <c r="B8" s="4">
        <v>44945</v>
      </c>
      <c r="C8" s="4">
        <v>44960</v>
      </c>
      <c r="D8" s="12" t="s">
        <v>649</v>
      </c>
      <c r="E8" s="12" t="s">
        <v>658</v>
      </c>
      <c r="F8" s="12" t="s">
        <v>683</v>
      </c>
      <c r="G8" s="12" t="s">
        <v>706</v>
      </c>
      <c r="H8" s="12" t="s">
        <v>710</v>
      </c>
      <c r="I8" s="12" t="s">
        <v>715</v>
      </c>
      <c r="J8" s="12" t="s">
        <v>733</v>
      </c>
      <c r="K8" s="12" t="s">
        <v>1184</v>
      </c>
      <c r="L8" s="6">
        <v>873.06</v>
      </c>
      <c r="M8" s="6">
        <v>2101.5500000000002</v>
      </c>
      <c r="N8" s="6">
        <v>6.6000000000000003E-2</v>
      </c>
      <c r="O8" s="6">
        <v>10</v>
      </c>
    </row>
    <row r="9" spans="1:15" x14ac:dyDescent="0.25">
      <c r="A9" s="12" t="s">
        <v>217</v>
      </c>
      <c r="B9" s="4">
        <v>44946</v>
      </c>
      <c r="C9" s="4">
        <v>44960</v>
      </c>
      <c r="D9" s="12" t="s">
        <v>646</v>
      </c>
      <c r="E9" s="12" t="s">
        <v>650</v>
      </c>
      <c r="F9" s="12" t="s">
        <v>662</v>
      </c>
      <c r="G9" s="12" t="s">
        <v>701</v>
      </c>
      <c r="H9" s="12" t="s">
        <v>707</v>
      </c>
      <c r="I9" s="12" t="s">
        <v>724</v>
      </c>
      <c r="J9" s="12" t="s">
        <v>729</v>
      </c>
      <c r="K9" s="12" t="s">
        <v>937</v>
      </c>
      <c r="L9" s="6">
        <v>884.36</v>
      </c>
      <c r="M9" s="6">
        <v>1545.34</v>
      </c>
      <c r="N9" s="6">
        <v>0.24299999999999999</v>
      </c>
      <c r="O9" s="6">
        <v>41</v>
      </c>
    </row>
    <row r="10" spans="1:15" x14ac:dyDescent="0.25">
      <c r="A10" s="16" t="s">
        <v>1386</v>
      </c>
      <c r="B10" s="4">
        <v>44948</v>
      </c>
      <c r="C10" s="4">
        <v>44956</v>
      </c>
      <c r="D10" s="12" t="s">
        <v>648</v>
      </c>
      <c r="E10" s="12" t="s">
        <v>660</v>
      </c>
      <c r="F10" s="12" t="s">
        <v>686</v>
      </c>
      <c r="G10" s="12" t="s">
        <v>705</v>
      </c>
      <c r="H10" s="12" t="s">
        <v>708</v>
      </c>
      <c r="I10" s="12" t="s">
        <v>720</v>
      </c>
      <c r="J10" s="12" t="s">
        <v>729</v>
      </c>
      <c r="K10" s="12" t="s">
        <v>863</v>
      </c>
      <c r="L10" s="6">
        <v>413.52</v>
      </c>
      <c r="M10" s="6">
        <v>1004.34</v>
      </c>
      <c r="N10" s="6">
        <v>0.111</v>
      </c>
      <c r="O10" s="6">
        <v>18</v>
      </c>
    </row>
    <row r="11" spans="1:15" x14ac:dyDescent="0.25">
      <c r="A11" s="12" t="s">
        <v>231</v>
      </c>
      <c r="B11" s="4">
        <v>44948</v>
      </c>
      <c r="C11" s="4">
        <v>44947</v>
      </c>
      <c r="D11" s="12" t="s">
        <v>649</v>
      </c>
      <c r="E11" s="12" t="s">
        <v>656</v>
      </c>
      <c r="F11" s="12" t="s">
        <v>684</v>
      </c>
      <c r="G11" s="12" t="s">
        <v>701</v>
      </c>
      <c r="H11" s="12" t="s">
        <v>711</v>
      </c>
      <c r="I11" s="12" t="s">
        <v>721</v>
      </c>
      <c r="J11" s="12" t="s">
        <v>732</v>
      </c>
      <c r="K11" s="12" t="s">
        <v>951</v>
      </c>
      <c r="L11" s="6">
        <v>150.86000000000001</v>
      </c>
      <c r="M11" s="6">
        <v>346.96</v>
      </c>
      <c r="N11" s="6">
        <v>0.19600000000000001</v>
      </c>
      <c r="O11" s="6">
        <v>8</v>
      </c>
    </row>
    <row r="12" spans="1:15" x14ac:dyDescent="0.25">
      <c r="A12" s="12" t="s">
        <v>554</v>
      </c>
      <c r="B12" s="4">
        <v>44952</v>
      </c>
      <c r="C12" s="4">
        <v>44972</v>
      </c>
      <c r="D12" s="12" t="s">
        <v>649</v>
      </c>
      <c r="E12" s="12" t="s">
        <v>656</v>
      </c>
      <c r="F12" s="12" t="s">
        <v>671</v>
      </c>
      <c r="G12" s="12" t="s">
        <v>705</v>
      </c>
      <c r="H12" s="12" t="s">
        <v>708</v>
      </c>
      <c r="I12" s="12" t="s">
        <v>719</v>
      </c>
      <c r="J12" s="12" t="s">
        <v>729</v>
      </c>
      <c r="K12" s="12" t="s">
        <v>1272</v>
      </c>
      <c r="L12" s="6">
        <v>492.62</v>
      </c>
      <c r="M12" s="6">
        <v>366.7</v>
      </c>
      <c r="N12" s="6">
        <v>8.8999999999999996E-2</v>
      </c>
      <c r="O12" s="6">
        <v>10</v>
      </c>
    </row>
    <row r="13" spans="1:15" x14ac:dyDescent="0.25">
      <c r="A13" s="12" t="s">
        <v>147</v>
      </c>
      <c r="B13" s="4">
        <v>44953</v>
      </c>
      <c r="C13" s="4">
        <v>44957</v>
      </c>
      <c r="D13" s="12" t="s">
        <v>649</v>
      </c>
      <c r="E13" s="12" t="s">
        <v>658</v>
      </c>
      <c r="F13" s="12" t="s">
        <v>693</v>
      </c>
      <c r="G13" s="12" t="s">
        <v>706</v>
      </c>
      <c r="H13" s="12" t="s">
        <v>708</v>
      </c>
      <c r="I13" s="12" t="s">
        <v>725</v>
      </c>
      <c r="J13" s="12" t="s">
        <v>731</v>
      </c>
      <c r="K13" s="12" t="s">
        <v>866</v>
      </c>
      <c r="L13" s="6">
        <v>941.2</v>
      </c>
      <c r="M13" s="6">
        <v>668.02</v>
      </c>
      <c r="N13" s="6">
        <v>0.22</v>
      </c>
      <c r="O13" s="6">
        <v>16</v>
      </c>
    </row>
    <row r="14" spans="1:15" x14ac:dyDescent="0.25">
      <c r="A14" s="12" t="s">
        <v>144</v>
      </c>
      <c r="B14" s="4">
        <v>44955</v>
      </c>
      <c r="C14" s="4">
        <v>44985</v>
      </c>
      <c r="D14" s="12" t="s">
        <v>647</v>
      </c>
      <c r="E14" s="12" t="s">
        <v>654</v>
      </c>
      <c r="F14" s="12" t="s">
        <v>668</v>
      </c>
      <c r="G14" s="12" t="s">
        <v>703</v>
      </c>
      <c r="H14" s="12" t="s">
        <v>707</v>
      </c>
      <c r="I14" s="12" t="s">
        <v>717</v>
      </c>
      <c r="J14" s="12" t="s">
        <v>733</v>
      </c>
      <c r="K14" s="12" t="s">
        <v>921</v>
      </c>
      <c r="L14" s="6">
        <v>1262.0999999999999</v>
      </c>
      <c r="M14" s="6">
        <v>1395.53</v>
      </c>
      <c r="N14" s="6">
        <v>0.23300000000000001</v>
      </c>
      <c r="O14" s="6">
        <v>25</v>
      </c>
    </row>
    <row r="15" spans="1:15" x14ac:dyDescent="0.25">
      <c r="A15" s="12" t="s">
        <v>596</v>
      </c>
      <c r="B15" s="4">
        <v>44955</v>
      </c>
      <c r="C15" s="4">
        <v>44963</v>
      </c>
      <c r="D15" s="12" t="s">
        <v>648</v>
      </c>
      <c r="E15" s="12" t="s">
        <v>655</v>
      </c>
      <c r="F15" s="12" t="s">
        <v>672</v>
      </c>
      <c r="G15" s="12" t="s">
        <v>701</v>
      </c>
      <c r="H15" s="12" t="s">
        <v>709</v>
      </c>
      <c r="I15" s="12" t="s">
        <v>726</v>
      </c>
      <c r="J15" s="12" t="s">
        <v>732</v>
      </c>
      <c r="K15" s="12" t="s">
        <v>1314</v>
      </c>
      <c r="L15" s="6">
        <v>41.84</v>
      </c>
      <c r="M15" s="6">
        <v>86.2</v>
      </c>
      <c r="N15" s="6">
        <v>0.22600000000000001</v>
      </c>
      <c r="O15" s="6">
        <v>27</v>
      </c>
    </row>
    <row r="16" spans="1:15" x14ac:dyDescent="0.25">
      <c r="A16" s="12" t="s">
        <v>212</v>
      </c>
      <c r="B16" s="4">
        <v>44956</v>
      </c>
      <c r="C16" s="4">
        <v>44978</v>
      </c>
      <c r="D16" s="12" t="s">
        <v>649</v>
      </c>
      <c r="E16" s="12" t="s">
        <v>656</v>
      </c>
      <c r="F16" s="12" t="s">
        <v>684</v>
      </c>
      <c r="G16" s="12" t="s">
        <v>705</v>
      </c>
      <c r="H16" s="12" t="s">
        <v>709</v>
      </c>
      <c r="I16" s="12" t="s">
        <v>715</v>
      </c>
      <c r="J16" s="12" t="s">
        <v>729</v>
      </c>
      <c r="K16" s="12" t="s">
        <v>932</v>
      </c>
      <c r="L16" s="6">
        <v>1142.8800000000001</v>
      </c>
      <c r="M16" s="6">
        <v>1465.29</v>
      </c>
      <c r="N16" s="6">
        <v>0.186</v>
      </c>
      <c r="O16" s="6">
        <v>7</v>
      </c>
    </row>
    <row r="17" spans="1:15" x14ac:dyDescent="0.25">
      <c r="A17" s="12" t="s">
        <v>385</v>
      </c>
      <c r="B17" s="4">
        <v>44962</v>
      </c>
      <c r="C17" s="4">
        <v>44985</v>
      </c>
      <c r="D17" s="12" t="s">
        <v>648</v>
      </c>
      <c r="E17" s="12" t="s">
        <v>660</v>
      </c>
      <c r="F17" s="12" t="s">
        <v>697</v>
      </c>
      <c r="G17" s="12" t="s">
        <v>703</v>
      </c>
      <c r="H17" s="12" t="s">
        <v>710</v>
      </c>
      <c r="I17" s="12" t="s">
        <v>716</v>
      </c>
      <c r="J17" s="12" t="s">
        <v>730</v>
      </c>
      <c r="K17" s="12" t="s">
        <v>1105</v>
      </c>
      <c r="L17" s="6">
        <v>1214.49</v>
      </c>
      <c r="M17" s="6">
        <v>1533.95</v>
      </c>
      <c r="N17" s="6">
        <v>0</v>
      </c>
      <c r="O17" s="6">
        <v>11</v>
      </c>
    </row>
    <row r="18" spans="1:15" x14ac:dyDescent="0.25">
      <c r="A18" s="12" t="s">
        <v>39</v>
      </c>
      <c r="B18" s="4">
        <v>44964</v>
      </c>
      <c r="C18" s="4">
        <v>44969</v>
      </c>
      <c r="D18" s="12" t="s">
        <v>648</v>
      </c>
      <c r="E18" s="12" t="s">
        <v>655</v>
      </c>
      <c r="F18" s="12" t="s">
        <v>670</v>
      </c>
      <c r="G18" s="12" t="s">
        <v>702</v>
      </c>
      <c r="H18" s="12" t="s">
        <v>708</v>
      </c>
      <c r="I18" s="12" t="s">
        <v>725</v>
      </c>
      <c r="J18" s="12" t="s">
        <v>727</v>
      </c>
      <c r="K18" s="12" t="s">
        <v>758</v>
      </c>
      <c r="L18" s="6">
        <v>948.55</v>
      </c>
      <c r="M18" s="6">
        <v>2089.16</v>
      </c>
      <c r="N18" s="6">
        <v>7.0000000000000001E-3</v>
      </c>
      <c r="O18" s="6">
        <v>12</v>
      </c>
    </row>
    <row r="19" spans="1:15" x14ac:dyDescent="0.25">
      <c r="A19" s="12" t="s">
        <v>95</v>
      </c>
      <c r="B19" s="4">
        <v>44965</v>
      </c>
      <c r="C19" s="4">
        <v>44968</v>
      </c>
      <c r="D19" s="12" t="s">
        <v>646</v>
      </c>
      <c r="E19" s="12" t="s">
        <v>661</v>
      </c>
      <c r="F19" s="12" t="s">
        <v>695</v>
      </c>
      <c r="G19" s="12" t="s">
        <v>701</v>
      </c>
      <c r="H19" s="12" t="s">
        <v>711</v>
      </c>
      <c r="I19" s="12" t="s">
        <v>724</v>
      </c>
      <c r="J19" s="12" t="s">
        <v>729</v>
      </c>
      <c r="K19" s="12" t="s">
        <v>814</v>
      </c>
      <c r="L19" s="6">
        <v>1410.05</v>
      </c>
      <c r="M19" s="6">
        <v>2763.95</v>
      </c>
      <c r="N19" s="6">
        <v>0.161</v>
      </c>
      <c r="O19" s="6">
        <v>26</v>
      </c>
    </row>
    <row r="20" spans="1:15" x14ac:dyDescent="0.25">
      <c r="A20" s="12" t="s">
        <v>557</v>
      </c>
      <c r="B20" s="4">
        <v>44968</v>
      </c>
      <c r="C20" s="4">
        <v>44969</v>
      </c>
      <c r="D20" s="12" t="s">
        <v>646</v>
      </c>
      <c r="E20" s="12" t="s">
        <v>651</v>
      </c>
      <c r="F20" s="12" t="s">
        <v>663</v>
      </c>
      <c r="G20" s="12" t="s">
        <v>703</v>
      </c>
      <c r="H20" s="12" t="s">
        <v>711</v>
      </c>
      <c r="I20" s="12" t="s">
        <v>726</v>
      </c>
      <c r="J20" s="12" t="s">
        <v>733</v>
      </c>
      <c r="K20" s="12" t="s">
        <v>1275</v>
      </c>
      <c r="L20" s="6">
        <v>944.61</v>
      </c>
      <c r="M20" s="6">
        <v>839.04</v>
      </c>
      <c r="N20" s="6">
        <v>5.8999999999999997E-2</v>
      </c>
      <c r="O20" s="6">
        <v>6</v>
      </c>
    </row>
    <row r="21" spans="1:15" x14ac:dyDescent="0.25">
      <c r="A21" s="12" t="s">
        <v>79</v>
      </c>
      <c r="B21" s="4">
        <v>44972</v>
      </c>
      <c r="C21" s="4">
        <v>44983</v>
      </c>
      <c r="D21" s="12" t="s">
        <v>646</v>
      </c>
      <c r="E21" s="12" t="s">
        <v>661</v>
      </c>
      <c r="F21" s="12" t="s">
        <v>682</v>
      </c>
      <c r="G21" s="12" t="s">
        <v>703</v>
      </c>
      <c r="H21" s="12" t="s">
        <v>707</v>
      </c>
      <c r="I21" s="12" t="s">
        <v>723</v>
      </c>
      <c r="J21" s="12" t="s">
        <v>731</v>
      </c>
      <c r="K21" s="12" t="s">
        <v>798</v>
      </c>
      <c r="L21" s="6">
        <v>498.5</v>
      </c>
      <c r="M21" s="6">
        <v>755.87</v>
      </c>
      <c r="N21" s="6">
        <v>0.13</v>
      </c>
      <c r="O21" s="6">
        <v>40</v>
      </c>
    </row>
    <row r="22" spans="1:15" x14ac:dyDescent="0.25">
      <c r="A22" s="12" t="s">
        <v>180</v>
      </c>
      <c r="B22" s="4">
        <v>44976</v>
      </c>
      <c r="C22" s="4">
        <v>44997</v>
      </c>
      <c r="D22" s="12" t="s">
        <v>649</v>
      </c>
      <c r="E22" s="12" t="s">
        <v>656</v>
      </c>
      <c r="F22" s="12" t="s">
        <v>671</v>
      </c>
      <c r="G22" s="12" t="s">
        <v>705</v>
      </c>
      <c r="H22" s="12" t="s">
        <v>711</v>
      </c>
      <c r="I22" s="12" t="s">
        <v>716</v>
      </c>
      <c r="J22" s="12" t="s">
        <v>732</v>
      </c>
      <c r="K22" s="12" t="s">
        <v>899</v>
      </c>
      <c r="L22" s="6">
        <v>1234.81</v>
      </c>
      <c r="M22" s="6">
        <v>2055.2399999999998</v>
      </c>
      <c r="N22" s="6">
        <v>5.2999999999999999E-2</v>
      </c>
      <c r="O22" s="6">
        <v>44</v>
      </c>
    </row>
    <row r="23" spans="1:15" x14ac:dyDescent="0.25">
      <c r="A23" s="12" t="s">
        <v>175</v>
      </c>
      <c r="B23" s="4">
        <v>44977</v>
      </c>
      <c r="C23" s="4">
        <v>44989</v>
      </c>
      <c r="D23" s="12" t="s">
        <v>647</v>
      </c>
      <c r="E23" s="12" t="s">
        <v>654</v>
      </c>
      <c r="F23" s="12" t="s">
        <v>680</v>
      </c>
      <c r="G23" s="12" t="s">
        <v>704</v>
      </c>
      <c r="H23" s="12" t="s">
        <v>710</v>
      </c>
      <c r="I23" s="12" t="s">
        <v>724</v>
      </c>
      <c r="J23" s="12" t="s">
        <v>732</v>
      </c>
      <c r="K23" s="12" t="s">
        <v>894</v>
      </c>
      <c r="L23" s="6">
        <v>299.75</v>
      </c>
      <c r="M23" s="6">
        <v>523.01</v>
      </c>
      <c r="N23" s="6">
        <v>0.157</v>
      </c>
      <c r="O23" s="6">
        <v>50</v>
      </c>
    </row>
    <row r="24" spans="1:15" x14ac:dyDescent="0.25">
      <c r="A24" s="12" t="s">
        <v>453</v>
      </c>
      <c r="B24" s="4">
        <v>44978</v>
      </c>
      <c r="C24" s="4">
        <v>44997</v>
      </c>
      <c r="D24" s="12" t="s">
        <v>646</v>
      </c>
      <c r="E24" s="12" t="s">
        <v>650</v>
      </c>
      <c r="F24" s="12" t="s">
        <v>678</v>
      </c>
      <c r="G24" s="12" t="s">
        <v>701</v>
      </c>
      <c r="H24" s="12" t="s">
        <v>708</v>
      </c>
      <c r="I24" s="12" t="s">
        <v>721</v>
      </c>
      <c r="J24" s="12" t="s">
        <v>729</v>
      </c>
      <c r="K24" s="12" t="s">
        <v>1172</v>
      </c>
      <c r="L24" s="6">
        <v>352.65</v>
      </c>
      <c r="M24" s="6">
        <v>485.86</v>
      </c>
      <c r="N24" s="6">
        <v>4.1000000000000002E-2</v>
      </c>
      <c r="O24" s="6">
        <v>6</v>
      </c>
    </row>
    <row r="25" spans="1:15" x14ac:dyDescent="0.25">
      <c r="A25" s="12" t="s">
        <v>46</v>
      </c>
      <c r="B25" s="4">
        <v>44980</v>
      </c>
      <c r="C25" s="4">
        <v>45010</v>
      </c>
      <c r="D25" s="12" t="s">
        <v>648</v>
      </c>
      <c r="E25" s="12" t="s">
        <v>653</v>
      </c>
      <c r="F25" s="12" t="s">
        <v>681</v>
      </c>
      <c r="G25" s="12" t="s">
        <v>706</v>
      </c>
      <c r="H25" s="12" t="s">
        <v>708</v>
      </c>
      <c r="I25" s="12" t="s">
        <v>726</v>
      </c>
      <c r="J25" s="12" t="s">
        <v>730</v>
      </c>
      <c r="K25" s="12" t="s">
        <v>765</v>
      </c>
      <c r="L25" s="6">
        <v>1242.6600000000001</v>
      </c>
      <c r="M25" s="6">
        <v>1794.07</v>
      </c>
      <c r="N25" s="6">
        <v>8.8999999999999996E-2</v>
      </c>
      <c r="O25" s="6">
        <v>16</v>
      </c>
    </row>
    <row r="26" spans="1:15" x14ac:dyDescent="0.25">
      <c r="A26" s="12" t="s">
        <v>364</v>
      </c>
      <c r="B26" s="4">
        <v>44980</v>
      </c>
      <c r="C26" s="4">
        <v>44993</v>
      </c>
      <c r="D26" s="12" t="s">
        <v>649</v>
      </c>
      <c r="E26" s="12" t="s">
        <v>658</v>
      </c>
      <c r="F26" s="12" t="s">
        <v>693</v>
      </c>
      <c r="G26" s="12" t="s">
        <v>705</v>
      </c>
      <c r="H26" s="12" t="s">
        <v>711</v>
      </c>
      <c r="I26" s="12" t="s">
        <v>712</v>
      </c>
      <c r="J26" s="12" t="s">
        <v>728</v>
      </c>
      <c r="K26" s="12" t="s">
        <v>1084</v>
      </c>
      <c r="L26" s="6">
        <v>307.37</v>
      </c>
      <c r="M26" s="6">
        <v>462.61</v>
      </c>
      <c r="N26" s="6">
        <v>0.188</v>
      </c>
      <c r="O26" s="6">
        <v>11</v>
      </c>
    </row>
    <row r="27" spans="1:15" x14ac:dyDescent="0.25">
      <c r="A27" s="12" t="s">
        <v>516</v>
      </c>
      <c r="B27" s="4">
        <v>44980</v>
      </c>
      <c r="C27" s="4">
        <v>45003</v>
      </c>
      <c r="D27" s="12" t="s">
        <v>647</v>
      </c>
      <c r="E27" s="12" t="s">
        <v>659</v>
      </c>
      <c r="F27" s="12" t="s">
        <v>699</v>
      </c>
      <c r="G27" s="12" t="s">
        <v>702</v>
      </c>
      <c r="H27" s="12" t="s">
        <v>710</v>
      </c>
      <c r="I27" s="12" t="s">
        <v>723</v>
      </c>
      <c r="J27" s="12" t="s">
        <v>728</v>
      </c>
      <c r="K27" s="12" t="s">
        <v>1235</v>
      </c>
      <c r="L27" s="6">
        <v>770.11</v>
      </c>
      <c r="M27" s="6">
        <v>1667.82</v>
      </c>
      <c r="N27" s="6">
        <v>6.9000000000000006E-2</v>
      </c>
      <c r="O27" s="6">
        <v>7</v>
      </c>
    </row>
    <row r="28" spans="1:15" x14ac:dyDescent="0.25">
      <c r="A28" s="12" t="s">
        <v>187</v>
      </c>
      <c r="B28" s="4">
        <v>44981</v>
      </c>
      <c r="C28" s="4">
        <v>44994</v>
      </c>
      <c r="D28" s="12" t="s">
        <v>648</v>
      </c>
      <c r="E28" s="12" t="s">
        <v>660</v>
      </c>
      <c r="F28" s="12" t="s">
        <v>700</v>
      </c>
      <c r="G28" s="12" t="s">
        <v>706</v>
      </c>
      <c r="H28" s="12" t="s">
        <v>708</v>
      </c>
      <c r="I28" s="12" t="s">
        <v>724</v>
      </c>
      <c r="J28" s="12" t="s">
        <v>727</v>
      </c>
      <c r="K28" s="12" t="s">
        <v>906</v>
      </c>
      <c r="L28" s="6">
        <v>6.85</v>
      </c>
      <c r="M28" s="6">
        <v>10.18</v>
      </c>
      <c r="N28" s="6">
        <v>4.7E-2</v>
      </c>
      <c r="O28" s="6">
        <v>10</v>
      </c>
    </row>
    <row r="29" spans="1:15" x14ac:dyDescent="0.25">
      <c r="A29" s="12" t="s">
        <v>606</v>
      </c>
      <c r="B29" s="4">
        <v>44984</v>
      </c>
      <c r="C29" s="4">
        <v>44983</v>
      </c>
      <c r="D29" s="12" t="s">
        <v>648</v>
      </c>
      <c r="E29" s="12" t="s">
        <v>660</v>
      </c>
      <c r="F29" s="12" t="s">
        <v>686</v>
      </c>
      <c r="G29" s="12" t="s">
        <v>703</v>
      </c>
      <c r="H29" s="12" t="s">
        <v>708</v>
      </c>
      <c r="I29" s="12" t="s">
        <v>716</v>
      </c>
      <c r="J29" s="12" t="s">
        <v>729</v>
      </c>
      <c r="K29" s="12" t="s">
        <v>1324</v>
      </c>
      <c r="L29" s="6">
        <v>1015.91</v>
      </c>
      <c r="M29" s="6">
        <v>2331.48</v>
      </c>
      <c r="N29" s="6">
        <v>0.14599999999999999</v>
      </c>
      <c r="O29" s="6">
        <v>26</v>
      </c>
    </row>
    <row r="30" spans="1:15" x14ac:dyDescent="0.25">
      <c r="A30" s="12" t="s">
        <v>17</v>
      </c>
      <c r="B30" s="4">
        <v>44985</v>
      </c>
      <c r="C30" s="4">
        <v>45010</v>
      </c>
      <c r="D30" s="12" t="s">
        <v>646</v>
      </c>
      <c r="E30" s="12" t="s">
        <v>650</v>
      </c>
      <c r="F30" s="12" t="s">
        <v>664</v>
      </c>
      <c r="G30" s="12" t="s">
        <v>701</v>
      </c>
      <c r="H30" s="12" t="s">
        <v>707</v>
      </c>
      <c r="I30" s="12" t="s">
        <v>714</v>
      </c>
      <c r="J30" s="12" t="s">
        <v>729</v>
      </c>
      <c r="K30" s="12" t="s">
        <v>736</v>
      </c>
      <c r="L30" s="6">
        <v>1460.76</v>
      </c>
      <c r="M30" s="6">
        <v>-30.66</v>
      </c>
      <c r="N30" s="6">
        <v>0.13100000000000001</v>
      </c>
      <c r="O30" s="6">
        <v>12</v>
      </c>
    </row>
    <row r="31" spans="1:15" x14ac:dyDescent="0.25">
      <c r="A31" s="12" t="s">
        <v>114</v>
      </c>
      <c r="B31" s="4">
        <v>44985</v>
      </c>
      <c r="C31" s="4">
        <v>45005</v>
      </c>
      <c r="D31" s="12" t="s">
        <v>649</v>
      </c>
      <c r="E31" s="12" t="s">
        <v>656</v>
      </c>
      <c r="F31" s="12" t="s">
        <v>671</v>
      </c>
      <c r="G31" s="12" t="s">
        <v>705</v>
      </c>
      <c r="H31" s="12" t="s">
        <v>711</v>
      </c>
      <c r="I31" s="12" t="s">
        <v>722</v>
      </c>
      <c r="J31" s="12" t="s">
        <v>731</v>
      </c>
      <c r="K31" s="12" t="s">
        <v>833</v>
      </c>
      <c r="L31" s="6">
        <v>1200.78</v>
      </c>
      <c r="M31" s="6">
        <v>2001.17</v>
      </c>
      <c r="N31" s="6">
        <v>0.29199999999999998</v>
      </c>
      <c r="O31" s="6">
        <v>18</v>
      </c>
    </row>
    <row r="32" spans="1:15" x14ac:dyDescent="0.25">
      <c r="A32" s="12" t="s">
        <v>336</v>
      </c>
      <c r="B32" s="4">
        <v>44985</v>
      </c>
      <c r="C32" s="4">
        <v>44984</v>
      </c>
      <c r="D32" s="12" t="s">
        <v>649</v>
      </c>
      <c r="E32" s="12" t="s">
        <v>657</v>
      </c>
      <c r="F32" s="12" t="s">
        <v>673</v>
      </c>
      <c r="G32" s="12" t="s">
        <v>701</v>
      </c>
      <c r="H32" s="12" t="s">
        <v>707</v>
      </c>
      <c r="I32" s="12" t="s">
        <v>723</v>
      </c>
      <c r="J32" s="12" t="s">
        <v>729</v>
      </c>
      <c r="K32" s="12" t="s">
        <v>1056</v>
      </c>
      <c r="L32" s="6">
        <v>1299.81</v>
      </c>
      <c r="M32" s="6">
        <v>3149.13</v>
      </c>
      <c r="N32" s="6">
        <v>0.10299999999999999</v>
      </c>
      <c r="O32" s="6">
        <v>14</v>
      </c>
    </row>
    <row r="33" spans="1:15" x14ac:dyDescent="0.25">
      <c r="A33" s="12" t="s">
        <v>562</v>
      </c>
      <c r="B33" s="4">
        <v>44985</v>
      </c>
      <c r="C33" s="4">
        <v>44991</v>
      </c>
      <c r="D33" s="12" t="s">
        <v>649</v>
      </c>
      <c r="E33" s="12" t="s">
        <v>656</v>
      </c>
      <c r="F33" s="12" t="s">
        <v>698</v>
      </c>
      <c r="G33" s="12" t="s">
        <v>705</v>
      </c>
      <c r="H33" s="12" t="s">
        <v>709</v>
      </c>
      <c r="I33" s="12" t="s">
        <v>726</v>
      </c>
      <c r="J33" s="12" t="s">
        <v>728</v>
      </c>
      <c r="K33" s="12" t="s">
        <v>1280</v>
      </c>
      <c r="L33" s="6">
        <v>880.02</v>
      </c>
      <c r="M33" s="6">
        <v>1251.21</v>
      </c>
      <c r="N33" s="6">
        <v>0.123</v>
      </c>
      <c r="O33" s="6">
        <v>29</v>
      </c>
    </row>
    <row r="34" spans="1:15" x14ac:dyDescent="0.25">
      <c r="A34" s="12" t="s">
        <v>130</v>
      </c>
      <c r="B34" s="4">
        <v>44987</v>
      </c>
      <c r="C34" s="4">
        <v>44990</v>
      </c>
      <c r="D34" s="12" t="s">
        <v>648</v>
      </c>
      <c r="E34" s="12" t="s">
        <v>655</v>
      </c>
      <c r="F34" s="12" t="s">
        <v>672</v>
      </c>
      <c r="G34" s="12" t="s">
        <v>706</v>
      </c>
      <c r="H34" s="12" t="s">
        <v>711</v>
      </c>
      <c r="I34" s="12" t="s">
        <v>715</v>
      </c>
      <c r="J34" s="12" t="s">
        <v>732</v>
      </c>
      <c r="K34" s="12" t="s">
        <v>849</v>
      </c>
      <c r="L34" s="6">
        <v>1473.58</v>
      </c>
      <c r="M34" s="6">
        <v>3436.52</v>
      </c>
      <c r="N34" s="6">
        <v>0.108</v>
      </c>
      <c r="O34" s="6">
        <v>8</v>
      </c>
    </row>
    <row r="35" spans="1:15" x14ac:dyDescent="0.25">
      <c r="A35" s="12" t="s">
        <v>566</v>
      </c>
      <c r="B35" s="4">
        <v>44988</v>
      </c>
      <c r="C35" s="4">
        <v>45005</v>
      </c>
      <c r="D35" s="12" t="s">
        <v>647</v>
      </c>
      <c r="E35" s="12" t="s">
        <v>652</v>
      </c>
      <c r="F35" s="12" t="s">
        <v>694</v>
      </c>
      <c r="G35" s="12" t="s">
        <v>705</v>
      </c>
      <c r="H35" s="12" t="s">
        <v>708</v>
      </c>
      <c r="I35" s="12" t="s">
        <v>726</v>
      </c>
      <c r="J35" s="12" t="s">
        <v>729</v>
      </c>
      <c r="K35" s="12" t="s">
        <v>1284</v>
      </c>
      <c r="L35" s="6">
        <v>1171.17</v>
      </c>
      <c r="M35" s="6">
        <v>2030.64</v>
      </c>
      <c r="N35" s="6">
        <v>0.157</v>
      </c>
      <c r="O35" s="6">
        <v>11</v>
      </c>
    </row>
    <row r="36" spans="1:15" x14ac:dyDescent="0.25">
      <c r="A36" s="12" t="s">
        <v>265</v>
      </c>
      <c r="B36" s="4">
        <v>44989</v>
      </c>
      <c r="C36" s="4">
        <v>45009</v>
      </c>
      <c r="D36" s="12" t="s">
        <v>648</v>
      </c>
      <c r="E36" s="12" t="s">
        <v>653</v>
      </c>
      <c r="F36" s="12" t="s">
        <v>681</v>
      </c>
      <c r="G36" s="12" t="s">
        <v>704</v>
      </c>
      <c r="H36" s="12" t="s">
        <v>710</v>
      </c>
      <c r="I36" s="12" t="s">
        <v>714</v>
      </c>
      <c r="J36" s="12" t="s">
        <v>731</v>
      </c>
      <c r="K36" s="12" t="s">
        <v>985</v>
      </c>
      <c r="L36" s="6">
        <v>481.71</v>
      </c>
      <c r="M36" s="6">
        <v>912.45</v>
      </c>
      <c r="N36" s="6">
        <v>0.20300000000000001</v>
      </c>
      <c r="O36" s="6">
        <v>24</v>
      </c>
    </row>
    <row r="37" spans="1:15" x14ac:dyDescent="0.25">
      <c r="A37" s="12" t="s">
        <v>419</v>
      </c>
      <c r="B37" s="4">
        <v>44991</v>
      </c>
      <c r="C37" s="4">
        <v>45020</v>
      </c>
      <c r="D37" s="12" t="s">
        <v>647</v>
      </c>
      <c r="E37" s="12" t="s">
        <v>659</v>
      </c>
      <c r="F37" s="12" t="s">
        <v>699</v>
      </c>
      <c r="G37" s="12" t="s">
        <v>705</v>
      </c>
      <c r="H37" s="12" t="s">
        <v>711</v>
      </c>
      <c r="I37" s="12" t="s">
        <v>712</v>
      </c>
      <c r="J37" s="12" t="s">
        <v>732</v>
      </c>
      <c r="K37" s="12" t="s">
        <v>1138</v>
      </c>
      <c r="L37" s="6">
        <v>1126.29</v>
      </c>
      <c r="M37" s="6">
        <v>2050.87</v>
      </c>
      <c r="N37" s="6">
        <v>6.4000000000000001E-2</v>
      </c>
      <c r="O37" s="6">
        <v>7</v>
      </c>
    </row>
    <row r="38" spans="1:15" x14ac:dyDescent="0.25">
      <c r="A38" s="12" t="s">
        <v>243</v>
      </c>
      <c r="B38" s="4">
        <v>44992</v>
      </c>
      <c r="C38" s="4">
        <v>45017</v>
      </c>
      <c r="D38" s="12" t="s">
        <v>646</v>
      </c>
      <c r="E38" s="12" t="s">
        <v>650</v>
      </c>
      <c r="F38" s="12" t="s">
        <v>664</v>
      </c>
      <c r="G38" s="12" t="s">
        <v>704</v>
      </c>
      <c r="H38" s="12" t="s">
        <v>709</v>
      </c>
      <c r="I38" s="12" t="s">
        <v>726</v>
      </c>
      <c r="J38" s="12" t="s">
        <v>728</v>
      </c>
      <c r="K38" s="12" t="s">
        <v>963</v>
      </c>
      <c r="L38" s="6">
        <v>1024.0999999999999</v>
      </c>
      <c r="M38" s="6">
        <v>918.19</v>
      </c>
      <c r="N38" s="6">
        <v>0.189</v>
      </c>
      <c r="O38" s="6">
        <v>10</v>
      </c>
    </row>
    <row r="39" spans="1:15" x14ac:dyDescent="0.25">
      <c r="A39" s="12" t="s">
        <v>391</v>
      </c>
      <c r="B39" s="4">
        <v>44998</v>
      </c>
      <c r="C39" s="4">
        <v>45020</v>
      </c>
      <c r="D39" s="12" t="s">
        <v>646</v>
      </c>
      <c r="E39" s="12" t="s">
        <v>661</v>
      </c>
      <c r="F39" s="12" t="s">
        <v>687</v>
      </c>
      <c r="G39" s="12" t="s">
        <v>705</v>
      </c>
      <c r="H39" s="12" t="s">
        <v>707</v>
      </c>
      <c r="I39" s="12" t="s">
        <v>720</v>
      </c>
      <c r="J39" s="12" t="s">
        <v>727</v>
      </c>
      <c r="K39" s="12" t="s">
        <v>1111</v>
      </c>
      <c r="L39" s="6">
        <v>1113.7</v>
      </c>
      <c r="M39" s="6">
        <v>1620.6</v>
      </c>
      <c r="N39" s="6">
        <v>0.13900000000000001</v>
      </c>
      <c r="O39" s="6">
        <v>11</v>
      </c>
    </row>
    <row r="40" spans="1:15" x14ac:dyDescent="0.25">
      <c r="A40" s="12" t="s">
        <v>248</v>
      </c>
      <c r="B40" s="4">
        <v>44999</v>
      </c>
      <c r="C40" s="4">
        <v>45015</v>
      </c>
      <c r="D40" s="12" t="s">
        <v>646</v>
      </c>
      <c r="E40" s="12" t="s">
        <v>661</v>
      </c>
      <c r="F40" s="12" t="s">
        <v>695</v>
      </c>
      <c r="G40" s="12" t="s">
        <v>704</v>
      </c>
      <c r="H40" s="12" t="s">
        <v>710</v>
      </c>
      <c r="I40" s="12" t="s">
        <v>723</v>
      </c>
      <c r="J40" s="12" t="s">
        <v>727</v>
      </c>
      <c r="K40" s="12" t="s">
        <v>968</v>
      </c>
      <c r="L40" s="6">
        <v>1309.77</v>
      </c>
      <c r="M40" s="6">
        <v>1589.07</v>
      </c>
      <c r="N40" s="6">
        <v>0.10199999999999999</v>
      </c>
      <c r="O40" s="6">
        <v>10</v>
      </c>
    </row>
    <row r="41" spans="1:15" x14ac:dyDescent="0.25">
      <c r="A41" s="12" t="s">
        <v>491</v>
      </c>
      <c r="B41" s="4">
        <v>44999</v>
      </c>
      <c r="C41" s="4">
        <v>45003</v>
      </c>
      <c r="D41" s="12" t="s">
        <v>649</v>
      </c>
      <c r="E41" s="12" t="s">
        <v>656</v>
      </c>
      <c r="F41" s="12" t="s">
        <v>698</v>
      </c>
      <c r="G41" s="12" t="s">
        <v>706</v>
      </c>
      <c r="H41" s="12" t="s">
        <v>711</v>
      </c>
      <c r="I41" s="12" t="s">
        <v>720</v>
      </c>
      <c r="J41" s="12" t="s">
        <v>727</v>
      </c>
      <c r="K41" s="12" t="s">
        <v>1210</v>
      </c>
      <c r="L41" s="6">
        <v>472.33</v>
      </c>
      <c r="M41" s="6">
        <v>360.34</v>
      </c>
      <c r="N41" s="6">
        <v>0.16500000000000001</v>
      </c>
      <c r="O41" s="6">
        <v>14</v>
      </c>
    </row>
    <row r="42" spans="1:15" x14ac:dyDescent="0.25">
      <c r="A42" s="12" t="s">
        <v>426</v>
      </c>
      <c r="B42" s="4">
        <v>45002</v>
      </c>
      <c r="C42" s="4">
        <v>45022</v>
      </c>
      <c r="D42" s="12" t="s">
        <v>649</v>
      </c>
      <c r="E42" s="12" t="s">
        <v>656</v>
      </c>
      <c r="F42" s="12" t="s">
        <v>684</v>
      </c>
      <c r="G42" s="12" t="s">
        <v>704</v>
      </c>
      <c r="H42" s="12" t="s">
        <v>707</v>
      </c>
      <c r="I42" s="12" t="s">
        <v>719</v>
      </c>
      <c r="J42" s="12" t="s">
        <v>730</v>
      </c>
      <c r="K42" s="12" t="s">
        <v>1145</v>
      </c>
      <c r="L42" s="6">
        <v>692.18</v>
      </c>
      <c r="M42" s="6">
        <v>1159.3499999999999</v>
      </c>
      <c r="N42" s="6">
        <v>0.112</v>
      </c>
      <c r="O42" s="6">
        <v>2</v>
      </c>
    </row>
    <row r="43" spans="1:15" x14ac:dyDescent="0.25">
      <c r="A43" s="12" t="s">
        <v>81</v>
      </c>
      <c r="B43" s="4">
        <v>45004</v>
      </c>
      <c r="C43" s="4">
        <v>45025</v>
      </c>
      <c r="D43" s="12" t="s">
        <v>649</v>
      </c>
      <c r="E43" s="12" t="s">
        <v>658</v>
      </c>
      <c r="F43" s="12" t="s">
        <v>693</v>
      </c>
      <c r="G43" s="12" t="s">
        <v>704</v>
      </c>
      <c r="H43" s="12" t="s">
        <v>707</v>
      </c>
      <c r="I43" s="12" t="s">
        <v>716</v>
      </c>
      <c r="J43" s="12" t="s">
        <v>733</v>
      </c>
      <c r="K43" s="12" t="s">
        <v>800</v>
      </c>
      <c r="L43" s="6">
        <v>1082.17</v>
      </c>
      <c r="M43" s="6">
        <v>1234.0999999999999</v>
      </c>
      <c r="N43" s="6">
        <v>0.189</v>
      </c>
      <c r="O43" s="6">
        <v>16</v>
      </c>
    </row>
    <row r="44" spans="1:15" x14ac:dyDescent="0.25">
      <c r="A44" s="12" t="s">
        <v>333</v>
      </c>
      <c r="B44" s="4">
        <v>45008</v>
      </c>
      <c r="C44" s="4">
        <v>45031</v>
      </c>
      <c r="D44" s="12" t="s">
        <v>646</v>
      </c>
      <c r="E44" s="12" t="s">
        <v>650</v>
      </c>
      <c r="F44" s="12" t="s">
        <v>675</v>
      </c>
      <c r="G44" s="12" t="s">
        <v>705</v>
      </c>
      <c r="H44" s="12" t="s">
        <v>707</v>
      </c>
      <c r="I44" s="12" t="s">
        <v>712</v>
      </c>
      <c r="J44" s="12" t="s">
        <v>733</v>
      </c>
      <c r="K44" s="12" t="s">
        <v>1053</v>
      </c>
      <c r="L44" s="6">
        <v>875.36</v>
      </c>
      <c r="M44" s="6">
        <v>1178.6199999999999</v>
      </c>
      <c r="N44" s="6">
        <v>0.151</v>
      </c>
      <c r="O44" s="6">
        <v>53</v>
      </c>
    </row>
    <row r="45" spans="1:15" x14ac:dyDescent="0.25">
      <c r="A45" s="12" t="s">
        <v>178</v>
      </c>
      <c r="B45" s="4">
        <v>45010</v>
      </c>
      <c r="C45" s="4">
        <v>45011</v>
      </c>
      <c r="D45" s="12" t="s">
        <v>647</v>
      </c>
      <c r="E45" s="12" t="s">
        <v>652</v>
      </c>
      <c r="F45" s="12" t="s">
        <v>666</v>
      </c>
      <c r="G45" s="12" t="s">
        <v>705</v>
      </c>
      <c r="H45" s="12" t="s">
        <v>710</v>
      </c>
      <c r="I45" s="12" t="s">
        <v>714</v>
      </c>
      <c r="J45" s="12" t="s">
        <v>732</v>
      </c>
      <c r="K45" s="12" t="s">
        <v>897</v>
      </c>
      <c r="L45" s="6">
        <v>135.12</v>
      </c>
      <c r="M45" s="6">
        <v>301.7</v>
      </c>
      <c r="N45" s="6">
        <v>0.14000000000000001</v>
      </c>
      <c r="O45" s="6">
        <v>47</v>
      </c>
    </row>
    <row r="46" spans="1:15" x14ac:dyDescent="0.25">
      <c r="A46" s="12" t="s">
        <v>50</v>
      </c>
      <c r="B46" s="4">
        <v>45012</v>
      </c>
      <c r="C46" s="4">
        <v>45038</v>
      </c>
      <c r="D46" s="12" t="s">
        <v>647</v>
      </c>
      <c r="E46" s="12" t="s">
        <v>654</v>
      </c>
      <c r="F46" s="12" t="s">
        <v>680</v>
      </c>
      <c r="G46" s="12" t="s">
        <v>703</v>
      </c>
      <c r="H46" s="12" t="s">
        <v>709</v>
      </c>
      <c r="I46" s="12" t="s">
        <v>713</v>
      </c>
      <c r="J46" s="12" t="s">
        <v>728</v>
      </c>
      <c r="K46" s="12" t="s">
        <v>769</v>
      </c>
      <c r="L46" s="6">
        <v>178.53</v>
      </c>
      <c r="M46" s="6">
        <v>199.37</v>
      </c>
      <c r="N46" s="6">
        <v>0.10100000000000001</v>
      </c>
      <c r="O46" s="6">
        <v>37</v>
      </c>
    </row>
    <row r="47" spans="1:15" x14ac:dyDescent="0.25">
      <c r="A47" s="12" t="s">
        <v>67</v>
      </c>
      <c r="B47" s="4">
        <v>45016</v>
      </c>
      <c r="C47" s="4">
        <v>45021</v>
      </c>
      <c r="D47" s="12" t="s">
        <v>646</v>
      </c>
      <c r="E47" s="12" t="s">
        <v>650</v>
      </c>
      <c r="F47" s="12" t="s">
        <v>678</v>
      </c>
      <c r="G47" s="12" t="s">
        <v>702</v>
      </c>
      <c r="H47" s="12" t="s">
        <v>709</v>
      </c>
      <c r="I47" s="12" t="s">
        <v>717</v>
      </c>
      <c r="J47" s="12" t="s">
        <v>731</v>
      </c>
      <c r="K47" s="12" t="s">
        <v>786</v>
      </c>
      <c r="L47" s="6">
        <v>533.26</v>
      </c>
      <c r="M47" s="6">
        <v>385.72</v>
      </c>
      <c r="N47" s="6">
        <v>0</v>
      </c>
      <c r="O47" s="6">
        <v>15</v>
      </c>
    </row>
    <row r="48" spans="1:15" x14ac:dyDescent="0.25">
      <c r="A48" s="12" t="s">
        <v>152</v>
      </c>
      <c r="B48" s="4">
        <v>45016</v>
      </c>
      <c r="C48" s="4">
        <v>45028</v>
      </c>
      <c r="D48" s="12" t="s">
        <v>646</v>
      </c>
      <c r="E48" s="12" t="s">
        <v>650</v>
      </c>
      <c r="F48" s="12" t="s">
        <v>675</v>
      </c>
      <c r="G48" s="12" t="s">
        <v>705</v>
      </c>
      <c r="H48" s="12" t="s">
        <v>708</v>
      </c>
      <c r="I48" s="12" t="s">
        <v>712</v>
      </c>
      <c r="J48" s="12" t="s">
        <v>730</v>
      </c>
      <c r="K48" s="12" t="s">
        <v>871</v>
      </c>
      <c r="L48" s="6">
        <v>304.22000000000003</v>
      </c>
      <c r="M48" s="6">
        <v>393.31</v>
      </c>
      <c r="N48" s="6">
        <v>0.26500000000000001</v>
      </c>
      <c r="O48" s="6">
        <v>15</v>
      </c>
    </row>
    <row r="49" spans="1:15" x14ac:dyDescent="0.25">
      <c r="A49" s="12" t="s">
        <v>604</v>
      </c>
      <c r="B49" s="4">
        <v>45019</v>
      </c>
      <c r="C49" s="4">
        <v>45032</v>
      </c>
      <c r="D49" s="12" t="s">
        <v>649</v>
      </c>
      <c r="E49" s="12" t="s">
        <v>657</v>
      </c>
      <c r="F49" s="12" t="s">
        <v>673</v>
      </c>
      <c r="G49" s="12" t="s">
        <v>703</v>
      </c>
      <c r="H49" s="12" t="s">
        <v>709</v>
      </c>
      <c r="I49" s="12" t="s">
        <v>724</v>
      </c>
      <c r="J49" s="12" t="s">
        <v>733</v>
      </c>
      <c r="K49" s="12" t="s">
        <v>1322</v>
      </c>
      <c r="L49" s="6">
        <v>790.54</v>
      </c>
      <c r="M49" s="6">
        <v>601.49</v>
      </c>
      <c r="N49" s="6">
        <v>0</v>
      </c>
      <c r="O49" s="6">
        <v>15</v>
      </c>
    </row>
    <row r="50" spans="1:15" x14ac:dyDescent="0.25">
      <c r="A50" s="12" t="s">
        <v>193</v>
      </c>
      <c r="B50" s="4">
        <v>45021</v>
      </c>
      <c r="C50" s="4">
        <v>45032</v>
      </c>
      <c r="D50" s="12" t="s">
        <v>648</v>
      </c>
      <c r="E50" s="12" t="s">
        <v>653</v>
      </c>
      <c r="F50" s="12" t="s">
        <v>688</v>
      </c>
      <c r="G50" s="12" t="s">
        <v>703</v>
      </c>
      <c r="H50" s="12" t="s">
        <v>708</v>
      </c>
      <c r="I50" s="12" t="s">
        <v>719</v>
      </c>
      <c r="J50" s="12" t="s">
        <v>732</v>
      </c>
      <c r="K50" s="12" t="s">
        <v>912</v>
      </c>
      <c r="L50" s="6">
        <v>213.1</v>
      </c>
      <c r="M50" s="6">
        <v>501.31</v>
      </c>
      <c r="N50" s="6">
        <v>5.6000000000000001E-2</v>
      </c>
      <c r="O50" s="6">
        <v>15</v>
      </c>
    </row>
    <row r="51" spans="1:15" x14ac:dyDescent="0.25">
      <c r="A51" s="12" t="s">
        <v>110</v>
      </c>
      <c r="B51" s="4">
        <v>45022</v>
      </c>
      <c r="C51" s="4">
        <v>45043</v>
      </c>
      <c r="D51" s="12" t="s">
        <v>649</v>
      </c>
      <c r="E51" s="12" t="s">
        <v>658</v>
      </c>
      <c r="F51" s="12" t="s">
        <v>693</v>
      </c>
      <c r="G51" s="12" t="s">
        <v>706</v>
      </c>
      <c r="H51" s="12" t="s">
        <v>710</v>
      </c>
      <c r="I51" s="12" t="s">
        <v>714</v>
      </c>
      <c r="J51" s="12" t="s">
        <v>728</v>
      </c>
      <c r="K51" s="12" t="s">
        <v>829</v>
      </c>
      <c r="L51" s="6">
        <v>1084.79</v>
      </c>
      <c r="M51" s="6">
        <v>2484.9899999999998</v>
      </c>
      <c r="N51" s="6">
        <v>3.4000000000000002E-2</v>
      </c>
      <c r="O51" s="6">
        <v>18</v>
      </c>
    </row>
    <row r="52" spans="1:15" x14ac:dyDescent="0.25">
      <c r="A52" s="12" t="s">
        <v>386</v>
      </c>
      <c r="B52" s="4">
        <v>45022</v>
      </c>
      <c r="C52" s="4">
        <v>45024</v>
      </c>
      <c r="D52" s="12" t="s">
        <v>646</v>
      </c>
      <c r="E52" s="12" t="s">
        <v>651</v>
      </c>
      <c r="F52" s="12" t="s">
        <v>669</v>
      </c>
      <c r="G52" s="12" t="s">
        <v>705</v>
      </c>
      <c r="H52" s="12" t="s">
        <v>709</v>
      </c>
      <c r="I52" s="12" t="s">
        <v>723</v>
      </c>
      <c r="J52" s="12" t="s">
        <v>732</v>
      </c>
      <c r="K52" s="12" t="s">
        <v>1106</v>
      </c>
      <c r="L52" s="6">
        <v>720.35</v>
      </c>
      <c r="M52" s="6">
        <v>1571.66</v>
      </c>
      <c r="N52" s="6">
        <v>0.107</v>
      </c>
      <c r="O52" s="6">
        <v>23</v>
      </c>
    </row>
    <row r="53" spans="1:15" x14ac:dyDescent="0.25">
      <c r="A53" s="12" t="s">
        <v>618</v>
      </c>
      <c r="B53" s="4">
        <v>45026</v>
      </c>
      <c r="C53" s="4">
        <v>45041</v>
      </c>
      <c r="D53" s="12" t="s">
        <v>649</v>
      </c>
      <c r="E53" s="12" t="s">
        <v>658</v>
      </c>
      <c r="F53" s="12" t="s">
        <v>683</v>
      </c>
      <c r="G53" s="12" t="s">
        <v>705</v>
      </c>
      <c r="H53" s="12" t="s">
        <v>707</v>
      </c>
      <c r="I53" s="12" t="s">
        <v>726</v>
      </c>
      <c r="J53" s="12" t="s">
        <v>728</v>
      </c>
      <c r="K53" s="12" t="s">
        <v>1336</v>
      </c>
      <c r="L53" s="6">
        <v>405.66</v>
      </c>
      <c r="M53" s="6">
        <v>962.51</v>
      </c>
      <c r="N53" s="6">
        <v>0.19</v>
      </c>
      <c r="O53" s="6">
        <v>7</v>
      </c>
    </row>
    <row r="54" spans="1:15" x14ac:dyDescent="0.25">
      <c r="A54" s="12" t="s">
        <v>150</v>
      </c>
      <c r="B54" s="4">
        <v>45028</v>
      </c>
      <c r="C54" s="4">
        <v>45033</v>
      </c>
      <c r="D54" s="12" t="s">
        <v>649</v>
      </c>
      <c r="E54" s="12" t="s">
        <v>657</v>
      </c>
      <c r="F54" s="12" t="s">
        <v>679</v>
      </c>
      <c r="G54" s="12" t="s">
        <v>706</v>
      </c>
      <c r="H54" s="12" t="s">
        <v>711</v>
      </c>
      <c r="I54" s="12" t="s">
        <v>718</v>
      </c>
      <c r="J54" s="12" t="s">
        <v>732</v>
      </c>
      <c r="K54" s="12" t="s">
        <v>869</v>
      </c>
      <c r="L54" s="6">
        <v>1087.81</v>
      </c>
      <c r="M54" s="6">
        <v>2323.87</v>
      </c>
      <c r="N54" s="6">
        <v>9.4E-2</v>
      </c>
      <c r="O54" s="6">
        <v>13</v>
      </c>
    </row>
    <row r="55" spans="1:15" x14ac:dyDescent="0.25">
      <c r="A55" s="12" t="s">
        <v>355</v>
      </c>
      <c r="B55" s="4">
        <v>45029</v>
      </c>
      <c r="C55" s="4">
        <v>45027</v>
      </c>
      <c r="D55" s="12" t="s">
        <v>648</v>
      </c>
      <c r="E55" s="12" t="s">
        <v>660</v>
      </c>
      <c r="F55" s="12" t="s">
        <v>686</v>
      </c>
      <c r="G55" s="12" t="s">
        <v>702</v>
      </c>
      <c r="H55" s="12" t="s">
        <v>709</v>
      </c>
      <c r="I55" s="12" t="s">
        <v>715</v>
      </c>
      <c r="J55" s="12" t="s">
        <v>729</v>
      </c>
      <c r="K55" s="12" t="s">
        <v>1075</v>
      </c>
      <c r="L55" s="6">
        <v>32.1</v>
      </c>
      <c r="M55" s="6">
        <v>70.599999999999994</v>
      </c>
      <c r="N55" s="6">
        <v>0.28199999999999997</v>
      </c>
      <c r="O55" s="6">
        <v>22</v>
      </c>
    </row>
    <row r="56" spans="1:15" x14ac:dyDescent="0.25">
      <c r="A56" s="12" t="s">
        <v>522</v>
      </c>
      <c r="B56" s="4">
        <v>45029</v>
      </c>
      <c r="C56" s="4">
        <v>45036</v>
      </c>
      <c r="D56" s="12" t="s">
        <v>649</v>
      </c>
      <c r="E56" s="12" t="s">
        <v>657</v>
      </c>
      <c r="F56" s="12" t="s">
        <v>679</v>
      </c>
      <c r="G56" s="12" t="s">
        <v>705</v>
      </c>
      <c r="H56" s="12" t="s">
        <v>708</v>
      </c>
      <c r="I56" s="12" t="s">
        <v>720</v>
      </c>
      <c r="J56" s="12" t="s">
        <v>731</v>
      </c>
      <c r="K56" s="12" t="s">
        <v>1241</v>
      </c>
      <c r="L56" s="6">
        <v>227.02</v>
      </c>
      <c r="M56" s="6">
        <v>434.72</v>
      </c>
      <c r="N56" s="6">
        <v>9.8000000000000004E-2</v>
      </c>
      <c r="O56" s="6">
        <v>10</v>
      </c>
    </row>
    <row r="57" spans="1:15" x14ac:dyDescent="0.25">
      <c r="A57" s="12" t="s">
        <v>577</v>
      </c>
      <c r="B57" s="4">
        <v>45029</v>
      </c>
      <c r="C57" s="4">
        <v>45048</v>
      </c>
      <c r="D57" s="12" t="s">
        <v>648</v>
      </c>
      <c r="E57" s="12" t="s">
        <v>653</v>
      </c>
      <c r="F57" s="12" t="s">
        <v>681</v>
      </c>
      <c r="G57" s="12" t="s">
        <v>704</v>
      </c>
      <c r="H57" s="12" t="s">
        <v>710</v>
      </c>
      <c r="I57" s="12" t="s">
        <v>718</v>
      </c>
      <c r="J57" s="12" t="s">
        <v>732</v>
      </c>
      <c r="K57" s="12" t="s">
        <v>1295</v>
      </c>
      <c r="L57" s="6">
        <v>671.05</v>
      </c>
      <c r="M57" s="6">
        <v>1645.48</v>
      </c>
      <c r="N57" s="6">
        <v>0.13700000000000001</v>
      </c>
      <c r="O57" s="6">
        <v>6</v>
      </c>
    </row>
    <row r="58" spans="1:15" x14ac:dyDescent="0.25">
      <c r="A58" s="12" t="s">
        <v>43</v>
      </c>
      <c r="B58" s="4">
        <v>45030</v>
      </c>
      <c r="C58" s="4">
        <v>45060</v>
      </c>
      <c r="D58" s="12" t="s">
        <v>646</v>
      </c>
      <c r="E58" s="12" t="s">
        <v>650</v>
      </c>
      <c r="F58" s="12" t="s">
        <v>678</v>
      </c>
      <c r="G58" s="12" t="s">
        <v>704</v>
      </c>
      <c r="H58" s="12" t="s">
        <v>709</v>
      </c>
      <c r="I58" s="12" t="s">
        <v>724</v>
      </c>
      <c r="J58" s="12" t="s">
        <v>730</v>
      </c>
      <c r="K58" s="12" t="s">
        <v>762</v>
      </c>
      <c r="L58" s="6">
        <v>209.25</v>
      </c>
      <c r="M58" s="6">
        <v>434.8</v>
      </c>
      <c r="N58" s="6">
        <v>0</v>
      </c>
      <c r="O58" s="6">
        <v>9</v>
      </c>
    </row>
    <row r="59" spans="1:15" x14ac:dyDescent="0.25">
      <c r="A59" s="12" t="s">
        <v>213</v>
      </c>
      <c r="B59" s="4">
        <v>45030</v>
      </c>
      <c r="C59" s="4">
        <v>45059</v>
      </c>
      <c r="D59" s="12" t="s">
        <v>649</v>
      </c>
      <c r="E59" s="12" t="s">
        <v>656</v>
      </c>
      <c r="F59" s="12" t="s">
        <v>698</v>
      </c>
      <c r="G59" s="12" t="s">
        <v>704</v>
      </c>
      <c r="H59" s="12" t="s">
        <v>711</v>
      </c>
      <c r="I59" s="12" t="s">
        <v>713</v>
      </c>
      <c r="J59" s="12" t="s">
        <v>728</v>
      </c>
      <c r="K59" s="12" t="s">
        <v>933</v>
      </c>
      <c r="L59" s="6">
        <v>1320.33</v>
      </c>
      <c r="M59" s="6">
        <v>2645.23</v>
      </c>
      <c r="N59" s="6">
        <v>0.155</v>
      </c>
      <c r="O59" s="6">
        <v>25</v>
      </c>
    </row>
    <row r="60" spans="1:15" x14ac:dyDescent="0.25">
      <c r="A60" s="12" t="s">
        <v>493</v>
      </c>
      <c r="B60" s="4">
        <v>45032</v>
      </c>
      <c r="C60" s="4">
        <v>45035</v>
      </c>
      <c r="D60" s="12" t="s">
        <v>649</v>
      </c>
      <c r="E60" s="12" t="s">
        <v>656</v>
      </c>
      <c r="F60" s="12" t="s">
        <v>684</v>
      </c>
      <c r="G60" s="12" t="s">
        <v>701</v>
      </c>
      <c r="H60" s="12" t="s">
        <v>711</v>
      </c>
      <c r="I60" s="12" t="s">
        <v>717</v>
      </c>
      <c r="J60" s="12" t="s">
        <v>733</v>
      </c>
      <c r="K60" s="12" t="s">
        <v>1212</v>
      </c>
      <c r="L60" s="6">
        <v>553.61</v>
      </c>
      <c r="M60" s="6">
        <v>699.47</v>
      </c>
      <c r="N60" s="6">
        <v>0.02</v>
      </c>
      <c r="O60" s="6">
        <v>33</v>
      </c>
    </row>
    <row r="61" spans="1:15" x14ac:dyDescent="0.25">
      <c r="A61" s="12" t="s">
        <v>624</v>
      </c>
      <c r="B61" s="4">
        <v>45032</v>
      </c>
      <c r="C61" s="4">
        <v>45039</v>
      </c>
      <c r="D61" s="12" t="s">
        <v>648</v>
      </c>
      <c r="E61" s="12" t="s">
        <v>660</v>
      </c>
      <c r="F61" s="12" t="s">
        <v>697</v>
      </c>
      <c r="G61" s="12" t="s">
        <v>701</v>
      </c>
      <c r="H61" s="12" t="s">
        <v>710</v>
      </c>
      <c r="I61" s="12" t="s">
        <v>719</v>
      </c>
      <c r="J61" s="12" t="s">
        <v>728</v>
      </c>
      <c r="K61" s="12" t="s">
        <v>1342</v>
      </c>
      <c r="L61" s="6">
        <v>1099.1500000000001</v>
      </c>
      <c r="M61" s="6">
        <v>1431.37</v>
      </c>
      <c r="N61" s="6">
        <v>0.104</v>
      </c>
      <c r="O61" s="6">
        <v>8</v>
      </c>
    </row>
    <row r="62" spans="1:15" x14ac:dyDescent="0.25">
      <c r="A62" s="12" t="s">
        <v>181</v>
      </c>
      <c r="B62" s="4">
        <v>45034</v>
      </c>
      <c r="C62" s="4">
        <v>45064</v>
      </c>
      <c r="D62" s="12" t="s">
        <v>647</v>
      </c>
      <c r="E62" s="12" t="s">
        <v>659</v>
      </c>
      <c r="F62" s="12" t="s">
        <v>676</v>
      </c>
      <c r="G62" s="12" t="s">
        <v>703</v>
      </c>
      <c r="H62" s="12" t="s">
        <v>707</v>
      </c>
      <c r="I62" s="12" t="s">
        <v>722</v>
      </c>
      <c r="J62" s="12" t="s">
        <v>731</v>
      </c>
      <c r="K62" s="12" t="s">
        <v>900</v>
      </c>
      <c r="L62" s="6">
        <v>329.03</v>
      </c>
      <c r="M62" s="6">
        <v>391.15</v>
      </c>
      <c r="N62" s="6">
        <v>0.19700000000000001</v>
      </c>
      <c r="O62" s="6">
        <v>46</v>
      </c>
    </row>
    <row r="63" spans="1:15" x14ac:dyDescent="0.25">
      <c r="A63" s="12" t="s">
        <v>60</v>
      </c>
      <c r="B63" s="4">
        <v>45035</v>
      </c>
      <c r="C63" s="4">
        <v>45046</v>
      </c>
      <c r="D63" s="12" t="s">
        <v>647</v>
      </c>
      <c r="E63" s="12" t="s">
        <v>654</v>
      </c>
      <c r="F63" s="12" t="s">
        <v>680</v>
      </c>
      <c r="G63" s="12" t="s">
        <v>705</v>
      </c>
      <c r="H63" s="12" t="s">
        <v>707</v>
      </c>
      <c r="I63" s="12" t="s">
        <v>720</v>
      </c>
      <c r="J63" s="12" t="s">
        <v>729</v>
      </c>
      <c r="K63" s="12" t="s">
        <v>779</v>
      </c>
      <c r="L63" s="6">
        <v>826.55</v>
      </c>
      <c r="M63" s="6">
        <v>1397.05</v>
      </c>
      <c r="N63" s="6">
        <v>0.16900000000000001</v>
      </c>
      <c r="O63" s="6">
        <v>28</v>
      </c>
    </row>
    <row r="64" spans="1:15" x14ac:dyDescent="0.25">
      <c r="A64" s="12" t="s">
        <v>219</v>
      </c>
      <c r="B64" s="4">
        <v>45035</v>
      </c>
      <c r="C64" s="4">
        <v>45044</v>
      </c>
      <c r="D64" s="12" t="s">
        <v>649</v>
      </c>
      <c r="E64" s="12" t="s">
        <v>656</v>
      </c>
      <c r="F64" s="12" t="s">
        <v>671</v>
      </c>
      <c r="G64" s="12" t="s">
        <v>702</v>
      </c>
      <c r="H64" s="12" t="s">
        <v>708</v>
      </c>
      <c r="I64" s="12" t="s">
        <v>718</v>
      </c>
      <c r="J64" s="12" t="s">
        <v>732</v>
      </c>
      <c r="K64" s="12" t="s">
        <v>939</v>
      </c>
      <c r="L64" s="6">
        <v>1178.42</v>
      </c>
      <c r="M64" s="6">
        <v>2446.56</v>
      </c>
      <c r="N64" s="6">
        <v>2.9000000000000001E-2</v>
      </c>
      <c r="O64" s="6">
        <v>11</v>
      </c>
    </row>
    <row r="65" spans="1:15" x14ac:dyDescent="0.25">
      <c r="A65" s="12" t="s">
        <v>238</v>
      </c>
      <c r="B65" s="4">
        <v>45035</v>
      </c>
      <c r="C65" s="4">
        <v>45053</v>
      </c>
      <c r="D65" s="12" t="s">
        <v>649</v>
      </c>
      <c r="E65" s="12" t="s">
        <v>658</v>
      </c>
      <c r="F65" s="12" t="s">
        <v>674</v>
      </c>
      <c r="G65" s="12" t="s">
        <v>706</v>
      </c>
      <c r="H65" s="12" t="s">
        <v>707</v>
      </c>
      <c r="I65" s="12" t="s">
        <v>725</v>
      </c>
      <c r="J65" s="12" t="s">
        <v>731</v>
      </c>
      <c r="K65" s="12" t="s">
        <v>958</v>
      </c>
      <c r="L65" s="6">
        <v>1089.1500000000001</v>
      </c>
      <c r="M65" s="6">
        <v>1088.2</v>
      </c>
      <c r="N65" s="6">
        <v>5.0999999999999997E-2</v>
      </c>
      <c r="O65" s="6">
        <v>15</v>
      </c>
    </row>
    <row r="66" spans="1:15" x14ac:dyDescent="0.25">
      <c r="A66" s="12" t="s">
        <v>258</v>
      </c>
      <c r="B66" s="4">
        <v>45035</v>
      </c>
      <c r="C66" s="4">
        <v>45044</v>
      </c>
      <c r="D66" s="12" t="s">
        <v>648</v>
      </c>
      <c r="E66" s="12" t="s">
        <v>655</v>
      </c>
      <c r="F66" s="12" t="s">
        <v>692</v>
      </c>
      <c r="G66" s="12" t="s">
        <v>701</v>
      </c>
      <c r="H66" s="12" t="s">
        <v>710</v>
      </c>
      <c r="I66" s="12" t="s">
        <v>724</v>
      </c>
      <c r="J66" s="12" t="s">
        <v>730</v>
      </c>
      <c r="K66" s="12" t="s">
        <v>978</v>
      </c>
      <c r="L66" s="6">
        <v>1013.54</v>
      </c>
      <c r="M66" s="6">
        <v>927.93</v>
      </c>
      <c r="N66" s="6">
        <v>0.17499999999999999</v>
      </c>
      <c r="O66" s="6">
        <v>16</v>
      </c>
    </row>
    <row r="67" spans="1:15" x14ac:dyDescent="0.25">
      <c r="A67" s="12" t="s">
        <v>271</v>
      </c>
      <c r="B67" s="4">
        <v>45035</v>
      </c>
      <c r="C67" s="4">
        <v>45053</v>
      </c>
      <c r="D67" s="12" t="s">
        <v>649</v>
      </c>
      <c r="E67" s="12" t="s">
        <v>658</v>
      </c>
      <c r="F67" s="12" t="s">
        <v>683</v>
      </c>
      <c r="G67" s="12" t="s">
        <v>703</v>
      </c>
      <c r="H67" s="12" t="s">
        <v>711</v>
      </c>
      <c r="I67" s="12" t="s">
        <v>722</v>
      </c>
      <c r="J67" s="12" t="s">
        <v>729</v>
      </c>
      <c r="K67" s="12" t="s">
        <v>991</v>
      </c>
      <c r="L67" s="6">
        <v>516.96</v>
      </c>
      <c r="M67" s="6">
        <v>745.38</v>
      </c>
      <c r="N67" s="6">
        <v>0.19700000000000001</v>
      </c>
      <c r="O67" s="6">
        <v>4</v>
      </c>
    </row>
    <row r="68" spans="1:15" x14ac:dyDescent="0.25">
      <c r="A68" s="12" t="s">
        <v>84</v>
      </c>
      <c r="B68" s="4">
        <v>45037</v>
      </c>
      <c r="C68" s="4">
        <v>45056</v>
      </c>
      <c r="D68" s="12" t="s">
        <v>647</v>
      </c>
      <c r="E68" s="12" t="s">
        <v>659</v>
      </c>
      <c r="F68" s="12" t="s">
        <v>685</v>
      </c>
      <c r="G68" s="12" t="s">
        <v>701</v>
      </c>
      <c r="H68" s="12" t="s">
        <v>707</v>
      </c>
      <c r="I68" s="12" t="s">
        <v>720</v>
      </c>
      <c r="J68" s="12" t="s">
        <v>727</v>
      </c>
      <c r="K68" s="12" t="s">
        <v>803</v>
      </c>
      <c r="L68" s="6">
        <v>882.33</v>
      </c>
      <c r="M68" s="6">
        <v>1880.15</v>
      </c>
      <c r="N68" s="6">
        <v>0.05</v>
      </c>
      <c r="O68" s="6">
        <v>5</v>
      </c>
    </row>
    <row r="69" spans="1:15" x14ac:dyDescent="0.25">
      <c r="A69" s="12" t="s">
        <v>451</v>
      </c>
      <c r="B69" s="4">
        <v>45037</v>
      </c>
      <c r="C69" s="4">
        <v>45035</v>
      </c>
      <c r="D69" s="12" t="s">
        <v>647</v>
      </c>
      <c r="E69" s="12" t="s">
        <v>652</v>
      </c>
      <c r="F69" s="12" t="s">
        <v>694</v>
      </c>
      <c r="G69" s="12" t="s">
        <v>705</v>
      </c>
      <c r="H69" s="12" t="s">
        <v>711</v>
      </c>
      <c r="I69" s="12" t="s">
        <v>724</v>
      </c>
      <c r="J69" s="12" t="s">
        <v>727</v>
      </c>
      <c r="K69" s="12" t="s">
        <v>1170</v>
      </c>
      <c r="L69" s="6">
        <v>607.04</v>
      </c>
      <c r="M69" s="6">
        <v>1229.3399999999999</v>
      </c>
      <c r="N69" s="6">
        <v>0.14699999999999999</v>
      </c>
      <c r="O69" s="6">
        <v>7</v>
      </c>
    </row>
    <row r="70" spans="1:15" x14ac:dyDescent="0.25">
      <c r="A70" s="12" t="s">
        <v>620</v>
      </c>
      <c r="B70" s="4">
        <v>45038</v>
      </c>
      <c r="C70" s="4">
        <v>45060</v>
      </c>
      <c r="D70" s="12" t="s">
        <v>647</v>
      </c>
      <c r="E70" s="12" t="s">
        <v>652</v>
      </c>
      <c r="F70" s="12" t="s">
        <v>694</v>
      </c>
      <c r="G70" s="12" t="s">
        <v>706</v>
      </c>
      <c r="H70" s="12" t="s">
        <v>707</v>
      </c>
      <c r="I70" s="12" t="s">
        <v>720</v>
      </c>
      <c r="J70" s="12" t="s">
        <v>733</v>
      </c>
      <c r="K70" s="12" t="s">
        <v>1338</v>
      </c>
      <c r="L70" s="6">
        <v>1209.22</v>
      </c>
      <c r="M70" s="6">
        <v>1404.33</v>
      </c>
      <c r="N70" s="6">
        <v>0.10299999999999999</v>
      </c>
      <c r="O70" s="6">
        <v>11</v>
      </c>
    </row>
    <row r="71" spans="1:15" x14ac:dyDescent="0.25">
      <c r="A71" s="12" t="s">
        <v>30</v>
      </c>
      <c r="B71" s="4">
        <v>45039</v>
      </c>
      <c r="C71" s="4">
        <v>45038</v>
      </c>
      <c r="D71" s="12" t="s">
        <v>646</v>
      </c>
      <c r="E71" s="12" t="s">
        <v>650</v>
      </c>
      <c r="F71" s="12" t="s">
        <v>664</v>
      </c>
      <c r="G71" s="12" t="s">
        <v>705</v>
      </c>
      <c r="H71" s="12" t="s">
        <v>711</v>
      </c>
      <c r="I71" s="12" t="s">
        <v>718</v>
      </c>
      <c r="J71" s="12" t="s">
        <v>731</v>
      </c>
      <c r="K71" s="12" t="s">
        <v>749</v>
      </c>
      <c r="L71" s="6">
        <v>756.51</v>
      </c>
      <c r="M71" s="6">
        <v>850.8</v>
      </c>
      <c r="N71" s="6">
        <v>7.3999999999999996E-2</v>
      </c>
      <c r="O71" s="6">
        <v>9</v>
      </c>
    </row>
    <row r="72" spans="1:15" x14ac:dyDescent="0.25">
      <c r="A72" s="12" t="s">
        <v>589</v>
      </c>
      <c r="B72" s="4">
        <v>45042</v>
      </c>
      <c r="C72" s="4">
        <v>45042</v>
      </c>
      <c r="D72" s="12" t="s">
        <v>649</v>
      </c>
      <c r="E72" s="12" t="s">
        <v>657</v>
      </c>
      <c r="F72" s="12" t="s">
        <v>673</v>
      </c>
      <c r="G72" s="12" t="s">
        <v>704</v>
      </c>
      <c r="H72" s="12" t="s">
        <v>711</v>
      </c>
      <c r="I72" s="12" t="s">
        <v>724</v>
      </c>
      <c r="J72" s="12" t="s">
        <v>727</v>
      </c>
      <c r="K72" s="12" t="s">
        <v>1307</v>
      </c>
      <c r="L72" s="6">
        <v>81.489999999999995</v>
      </c>
      <c r="M72" s="6">
        <v>113.08</v>
      </c>
      <c r="N72" s="6">
        <v>0.121</v>
      </c>
      <c r="O72" s="6">
        <v>5</v>
      </c>
    </row>
    <row r="73" spans="1:15" x14ac:dyDescent="0.25">
      <c r="A73" s="12" t="s">
        <v>533</v>
      </c>
      <c r="B73" s="4">
        <v>45047</v>
      </c>
      <c r="C73" s="4">
        <v>45064</v>
      </c>
      <c r="D73" s="12" t="s">
        <v>646</v>
      </c>
      <c r="E73" s="12" t="s">
        <v>651</v>
      </c>
      <c r="F73" s="12" t="s">
        <v>663</v>
      </c>
      <c r="G73" s="12" t="s">
        <v>701</v>
      </c>
      <c r="H73" s="12" t="s">
        <v>711</v>
      </c>
      <c r="I73" s="12" t="s">
        <v>721</v>
      </c>
      <c r="J73" s="12" t="s">
        <v>727</v>
      </c>
      <c r="K73" s="12" t="s">
        <v>1252</v>
      </c>
      <c r="L73" s="6">
        <v>327.97</v>
      </c>
      <c r="M73" s="6">
        <v>299.94</v>
      </c>
      <c r="N73" s="6">
        <v>4.9000000000000002E-2</v>
      </c>
      <c r="O73" s="6">
        <v>3</v>
      </c>
    </row>
    <row r="74" spans="1:15" x14ac:dyDescent="0.25">
      <c r="A74" s="12" t="s">
        <v>155</v>
      </c>
      <c r="B74" s="4">
        <v>45048</v>
      </c>
      <c r="C74" s="4">
        <v>45064</v>
      </c>
      <c r="D74" s="12" t="s">
        <v>647</v>
      </c>
      <c r="E74" s="12" t="s">
        <v>654</v>
      </c>
      <c r="F74" s="12" t="s">
        <v>680</v>
      </c>
      <c r="G74" s="12" t="s">
        <v>705</v>
      </c>
      <c r="H74" s="12" t="s">
        <v>709</v>
      </c>
      <c r="I74" s="12" t="s">
        <v>723</v>
      </c>
      <c r="J74" s="12" t="s">
        <v>732</v>
      </c>
      <c r="K74" s="12" t="s">
        <v>874</v>
      </c>
      <c r="L74" s="6">
        <v>1463.92</v>
      </c>
      <c r="M74" s="6">
        <v>2252.2399999999998</v>
      </c>
      <c r="N74" s="6">
        <v>0.11799999999999999</v>
      </c>
      <c r="O74" s="6">
        <v>44</v>
      </c>
    </row>
    <row r="75" spans="1:15" x14ac:dyDescent="0.25">
      <c r="A75" s="12" t="s">
        <v>471</v>
      </c>
      <c r="B75" s="4">
        <v>45048</v>
      </c>
      <c r="C75" s="4">
        <v>45065</v>
      </c>
      <c r="D75" s="12" t="s">
        <v>647</v>
      </c>
      <c r="E75" s="12" t="s">
        <v>659</v>
      </c>
      <c r="F75" s="12" t="s">
        <v>685</v>
      </c>
      <c r="G75" s="12" t="s">
        <v>703</v>
      </c>
      <c r="H75" s="12" t="s">
        <v>711</v>
      </c>
      <c r="I75" s="12" t="s">
        <v>713</v>
      </c>
      <c r="J75" s="12" t="s">
        <v>732</v>
      </c>
      <c r="K75" s="12" t="s">
        <v>1190</v>
      </c>
      <c r="L75" s="6">
        <v>714.28</v>
      </c>
      <c r="M75" s="6">
        <v>757.59</v>
      </c>
      <c r="N75" s="6">
        <v>0.13600000000000001</v>
      </c>
      <c r="O75" s="6">
        <v>12</v>
      </c>
    </row>
    <row r="76" spans="1:15" x14ac:dyDescent="0.25">
      <c r="A76" s="12" t="s">
        <v>514</v>
      </c>
      <c r="B76" s="4">
        <v>45048</v>
      </c>
      <c r="C76" s="4">
        <v>45062</v>
      </c>
      <c r="D76" s="12" t="s">
        <v>647</v>
      </c>
      <c r="E76" s="12" t="s">
        <v>654</v>
      </c>
      <c r="F76" s="12" t="s">
        <v>668</v>
      </c>
      <c r="G76" s="12" t="s">
        <v>703</v>
      </c>
      <c r="H76" s="12" t="s">
        <v>707</v>
      </c>
      <c r="I76" s="12" t="s">
        <v>716</v>
      </c>
      <c r="J76" s="12" t="s">
        <v>732</v>
      </c>
      <c r="K76" s="12" t="s">
        <v>1233</v>
      </c>
      <c r="L76" s="6">
        <v>475.37</v>
      </c>
      <c r="M76" s="6">
        <v>963.73</v>
      </c>
      <c r="N76" s="6">
        <v>4.1000000000000002E-2</v>
      </c>
      <c r="O76" s="6">
        <v>22</v>
      </c>
    </row>
    <row r="77" spans="1:15" x14ac:dyDescent="0.25">
      <c r="A77" s="12" t="s">
        <v>600</v>
      </c>
      <c r="B77" s="4">
        <v>45049</v>
      </c>
      <c r="C77" s="4">
        <v>45062</v>
      </c>
      <c r="D77" s="12" t="s">
        <v>648</v>
      </c>
      <c r="E77" s="12" t="s">
        <v>660</v>
      </c>
      <c r="F77" s="12" t="s">
        <v>700</v>
      </c>
      <c r="G77" s="12" t="s">
        <v>701</v>
      </c>
      <c r="H77" s="12" t="s">
        <v>709</v>
      </c>
      <c r="I77" s="12" t="s">
        <v>716</v>
      </c>
      <c r="J77" s="12" t="s">
        <v>730</v>
      </c>
      <c r="K77" s="12" t="s">
        <v>1318</v>
      </c>
      <c r="L77" s="6">
        <v>64.5</v>
      </c>
      <c r="M77" s="6">
        <v>123.62</v>
      </c>
      <c r="N77" s="6">
        <v>0</v>
      </c>
      <c r="O77" s="6">
        <v>3</v>
      </c>
    </row>
    <row r="78" spans="1:15" x14ac:dyDescent="0.25">
      <c r="A78" s="12" t="s">
        <v>208</v>
      </c>
      <c r="B78" s="4">
        <v>45050</v>
      </c>
      <c r="C78" s="4">
        <v>45072</v>
      </c>
      <c r="D78" s="12" t="s">
        <v>648</v>
      </c>
      <c r="E78" s="12" t="s">
        <v>660</v>
      </c>
      <c r="F78" s="12" t="s">
        <v>686</v>
      </c>
      <c r="G78" s="12" t="s">
        <v>706</v>
      </c>
      <c r="H78" s="12" t="s">
        <v>708</v>
      </c>
      <c r="I78" s="12" t="s">
        <v>713</v>
      </c>
      <c r="J78" s="12" t="s">
        <v>729</v>
      </c>
      <c r="K78" s="12" t="s">
        <v>928</v>
      </c>
      <c r="L78" s="6">
        <v>249.71</v>
      </c>
      <c r="M78" s="6">
        <v>361.33</v>
      </c>
      <c r="N78" s="6">
        <v>9.4E-2</v>
      </c>
      <c r="O78" s="6">
        <v>12</v>
      </c>
    </row>
    <row r="79" spans="1:15" x14ac:dyDescent="0.25">
      <c r="A79" s="12" t="s">
        <v>361</v>
      </c>
      <c r="B79" s="4">
        <v>45050</v>
      </c>
      <c r="C79" s="4">
        <v>45062</v>
      </c>
      <c r="D79" s="12" t="s">
        <v>646</v>
      </c>
      <c r="E79" s="12" t="s">
        <v>651</v>
      </c>
      <c r="F79" s="12" t="s">
        <v>669</v>
      </c>
      <c r="G79" s="12" t="s">
        <v>705</v>
      </c>
      <c r="H79" s="12" t="s">
        <v>709</v>
      </c>
      <c r="I79" s="12" t="s">
        <v>713</v>
      </c>
      <c r="J79" s="12" t="s">
        <v>730</v>
      </c>
      <c r="K79" s="12" t="s">
        <v>1081</v>
      </c>
      <c r="L79" s="6">
        <v>77.739999999999995</v>
      </c>
      <c r="M79" s="6">
        <v>147.12</v>
      </c>
      <c r="N79" s="6">
        <v>0</v>
      </c>
      <c r="O79" s="6">
        <v>15</v>
      </c>
    </row>
    <row r="80" spans="1:15" x14ac:dyDescent="0.25">
      <c r="A80" s="12" t="s">
        <v>330</v>
      </c>
      <c r="B80" s="4">
        <v>45052</v>
      </c>
      <c r="C80" s="4">
        <v>45060</v>
      </c>
      <c r="D80" s="12" t="s">
        <v>647</v>
      </c>
      <c r="E80" s="12" t="s">
        <v>652</v>
      </c>
      <c r="F80" s="12" t="s">
        <v>666</v>
      </c>
      <c r="G80" s="12" t="s">
        <v>706</v>
      </c>
      <c r="H80" s="12" t="s">
        <v>709</v>
      </c>
      <c r="I80" s="12" t="s">
        <v>717</v>
      </c>
      <c r="J80" s="12" t="s">
        <v>730</v>
      </c>
      <c r="K80" s="12" t="s">
        <v>1050</v>
      </c>
      <c r="L80" s="6">
        <v>291.18</v>
      </c>
      <c r="M80" s="6">
        <v>479.54</v>
      </c>
      <c r="N80" s="6">
        <v>0.14099999999999999</v>
      </c>
      <c r="O80" s="6">
        <v>22</v>
      </c>
    </row>
    <row r="81" spans="1:15" x14ac:dyDescent="0.25">
      <c r="A81" s="12" t="s">
        <v>281</v>
      </c>
      <c r="B81" s="4">
        <v>45053</v>
      </c>
      <c r="C81" s="4">
        <v>45051</v>
      </c>
      <c r="D81" s="12" t="s">
        <v>646</v>
      </c>
      <c r="E81" s="12" t="s">
        <v>651</v>
      </c>
      <c r="F81" s="12" t="s">
        <v>663</v>
      </c>
      <c r="G81" s="12" t="s">
        <v>703</v>
      </c>
      <c r="H81" s="12" t="s">
        <v>709</v>
      </c>
      <c r="I81" s="12" t="s">
        <v>720</v>
      </c>
      <c r="J81" s="12" t="s">
        <v>727</v>
      </c>
      <c r="K81" s="12" t="s">
        <v>1001</v>
      </c>
      <c r="L81" s="6">
        <v>1269.6500000000001</v>
      </c>
      <c r="M81" s="6">
        <v>2462.77</v>
      </c>
      <c r="N81" s="6">
        <v>0.107</v>
      </c>
      <c r="O81" s="6">
        <v>8</v>
      </c>
    </row>
    <row r="82" spans="1:15" x14ac:dyDescent="0.25">
      <c r="A82" s="12" t="s">
        <v>339</v>
      </c>
      <c r="B82" s="4">
        <v>45053</v>
      </c>
      <c r="C82" s="4">
        <v>45075</v>
      </c>
      <c r="D82" s="12" t="s">
        <v>646</v>
      </c>
      <c r="E82" s="12" t="s">
        <v>661</v>
      </c>
      <c r="F82" s="12" t="s">
        <v>687</v>
      </c>
      <c r="G82" s="12" t="s">
        <v>702</v>
      </c>
      <c r="H82" s="12" t="s">
        <v>710</v>
      </c>
      <c r="I82" s="12" t="s">
        <v>723</v>
      </c>
      <c r="J82" s="12" t="s">
        <v>733</v>
      </c>
      <c r="K82" s="12" t="s">
        <v>1059</v>
      </c>
      <c r="L82" s="6">
        <v>653.86</v>
      </c>
      <c r="M82" s="6">
        <v>931.84</v>
      </c>
      <c r="N82" s="6">
        <v>0.121</v>
      </c>
      <c r="O82" s="6">
        <v>12</v>
      </c>
    </row>
    <row r="83" spans="1:15" x14ac:dyDescent="0.25">
      <c r="A83" s="12" t="s">
        <v>570</v>
      </c>
      <c r="B83" s="4">
        <v>45053</v>
      </c>
      <c r="C83" s="4">
        <v>45066</v>
      </c>
      <c r="D83" s="12" t="s">
        <v>647</v>
      </c>
      <c r="E83" s="12" t="s">
        <v>654</v>
      </c>
      <c r="F83" s="12" t="s">
        <v>691</v>
      </c>
      <c r="G83" s="12" t="s">
        <v>706</v>
      </c>
      <c r="H83" s="12" t="s">
        <v>707</v>
      </c>
      <c r="I83" s="12" t="s">
        <v>726</v>
      </c>
      <c r="J83" s="12" t="s">
        <v>733</v>
      </c>
      <c r="K83" s="12" t="s">
        <v>1288</v>
      </c>
      <c r="L83" s="6">
        <v>1443.28</v>
      </c>
      <c r="M83" s="6">
        <v>2580.5700000000002</v>
      </c>
      <c r="N83" s="6">
        <v>0</v>
      </c>
      <c r="O83" s="6">
        <v>18</v>
      </c>
    </row>
    <row r="84" spans="1:15" x14ac:dyDescent="0.25">
      <c r="A84" s="12" t="s">
        <v>524</v>
      </c>
      <c r="B84" s="4">
        <v>45056</v>
      </c>
      <c r="C84" s="4">
        <v>45060</v>
      </c>
      <c r="D84" s="12" t="s">
        <v>647</v>
      </c>
      <c r="E84" s="12" t="s">
        <v>654</v>
      </c>
      <c r="F84" s="12" t="s">
        <v>680</v>
      </c>
      <c r="G84" s="12" t="s">
        <v>703</v>
      </c>
      <c r="H84" s="12" t="s">
        <v>710</v>
      </c>
      <c r="I84" s="12" t="s">
        <v>712</v>
      </c>
      <c r="J84" s="12" t="s">
        <v>732</v>
      </c>
      <c r="K84" s="12" t="s">
        <v>1243</v>
      </c>
      <c r="L84" s="6">
        <v>622.6</v>
      </c>
      <c r="M84" s="6">
        <v>833.69</v>
      </c>
      <c r="N84" s="6">
        <v>0.20899999999999999</v>
      </c>
      <c r="O84" s="6">
        <v>14</v>
      </c>
    </row>
    <row r="85" spans="1:15" x14ac:dyDescent="0.25">
      <c r="A85" s="12" t="s">
        <v>535</v>
      </c>
      <c r="B85" s="4">
        <v>45056</v>
      </c>
      <c r="C85" s="4">
        <v>45073</v>
      </c>
      <c r="D85" s="12" t="s">
        <v>647</v>
      </c>
      <c r="E85" s="12" t="s">
        <v>654</v>
      </c>
      <c r="F85" s="12" t="s">
        <v>691</v>
      </c>
      <c r="G85" s="12" t="s">
        <v>704</v>
      </c>
      <c r="H85" s="12" t="s">
        <v>707</v>
      </c>
      <c r="I85" s="12" t="s">
        <v>724</v>
      </c>
      <c r="J85" s="12" t="s">
        <v>731</v>
      </c>
      <c r="K85" s="12" t="s">
        <v>1254</v>
      </c>
      <c r="L85" s="6">
        <v>1286.1600000000001</v>
      </c>
      <c r="M85" s="6">
        <v>3101.11</v>
      </c>
      <c r="N85" s="6">
        <v>0.1</v>
      </c>
      <c r="O85" s="6">
        <v>23</v>
      </c>
    </row>
    <row r="86" spans="1:15" x14ac:dyDescent="0.25">
      <c r="A86" s="12" t="s">
        <v>36</v>
      </c>
      <c r="B86" s="4">
        <v>45057</v>
      </c>
      <c r="C86" s="4">
        <v>45074</v>
      </c>
      <c r="D86" s="12" t="s">
        <v>647</v>
      </c>
      <c r="E86" s="12" t="s">
        <v>659</v>
      </c>
      <c r="F86" s="12" t="s">
        <v>676</v>
      </c>
      <c r="G86" s="12" t="s">
        <v>706</v>
      </c>
      <c r="H86" s="12" t="s">
        <v>709</v>
      </c>
      <c r="I86" s="12" t="s">
        <v>718</v>
      </c>
      <c r="J86" s="12" t="s">
        <v>729</v>
      </c>
      <c r="K86" s="12" t="s">
        <v>755</v>
      </c>
      <c r="L86" s="6">
        <v>1331.19</v>
      </c>
      <c r="M86" s="6">
        <v>2903.09</v>
      </c>
      <c r="N86" s="6">
        <v>0.14299999999999999</v>
      </c>
      <c r="O86" s="6">
        <v>8</v>
      </c>
    </row>
    <row r="87" spans="1:15" x14ac:dyDescent="0.25">
      <c r="A87" s="12" t="s">
        <v>121</v>
      </c>
      <c r="B87" s="4">
        <v>45057</v>
      </c>
      <c r="C87" s="4">
        <v>45084</v>
      </c>
      <c r="D87" s="12" t="s">
        <v>646</v>
      </c>
      <c r="E87" s="12" t="s">
        <v>650</v>
      </c>
      <c r="F87" s="12" t="s">
        <v>675</v>
      </c>
      <c r="G87" s="12" t="s">
        <v>701</v>
      </c>
      <c r="H87" s="12" t="s">
        <v>708</v>
      </c>
      <c r="I87" s="12" t="s">
        <v>713</v>
      </c>
      <c r="J87" s="12" t="s">
        <v>730</v>
      </c>
      <c r="K87" s="12" t="s">
        <v>840</v>
      </c>
      <c r="L87" s="6">
        <v>12.85</v>
      </c>
      <c r="M87" s="6">
        <v>15.41</v>
      </c>
      <c r="N87" s="6">
        <v>0.13700000000000001</v>
      </c>
      <c r="O87" s="6">
        <v>39</v>
      </c>
    </row>
    <row r="88" spans="1:15" x14ac:dyDescent="0.25">
      <c r="A88" s="12" t="s">
        <v>484</v>
      </c>
      <c r="B88" s="4">
        <v>45060</v>
      </c>
      <c r="C88" s="4">
        <v>45068</v>
      </c>
      <c r="D88" s="12" t="s">
        <v>646</v>
      </c>
      <c r="E88" s="12" t="s">
        <v>650</v>
      </c>
      <c r="F88" s="12" t="s">
        <v>675</v>
      </c>
      <c r="G88" s="12" t="s">
        <v>705</v>
      </c>
      <c r="H88" s="12" t="s">
        <v>710</v>
      </c>
      <c r="I88" s="12" t="s">
        <v>721</v>
      </c>
      <c r="J88" s="12" t="s">
        <v>728</v>
      </c>
      <c r="K88" s="12" t="s">
        <v>1203</v>
      </c>
      <c r="L88" s="6">
        <v>432.01</v>
      </c>
      <c r="M88" s="6">
        <v>913.78</v>
      </c>
      <c r="N88" s="6">
        <v>4.9000000000000002E-2</v>
      </c>
      <c r="O88" s="6">
        <v>12</v>
      </c>
    </row>
    <row r="89" spans="1:15" x14ac:dyDescent="0.25">
      <c r="A89" s="12" t="s">
        <v>454</v>
      </c>
      <c r="B89" s="4">
        <v>45063</v>
      </c>
      <c r="C89" s="4">
        <v>45080</v>
      </c>
      <c r="D89" s="12" t="s">
        <v>647</v>
      </c>
      <c r="E89" s="12" t="s">
        <v>659</v>
      </c>
      <c r="F89" s="12" t="s">
        <v>699</v>
      </c>
      <c r="G89" s="12" t="s">
        <v>703</v>
      </c>
      <c r="H89" s="12" t="s">
        <v>710</v>
      </c>
      <c r="I89" s="12" t="s">
        <v>724</v>
      </c>
      <c r="J89" s="12" t="s">
        <v>728</v>
      </c>
      <c r="K89" s="12" t="s">
        <v>1173</v>
      </c>
      <c r="L89" s="6">
        <v>979.59</v>
      </c>
      <c r="M89" s="6">
        <v>2210.94</v>
      </c>
      <c r="N89" s="6">
        <v>0.15</v>
      </c>
      <c r="O89" s="6">
        <v>11</v>
      </c>
    </row>
    <row r="90" spans="1:15" x14ac:dyDescent="0.25">
      <c r="A90" s="12" t="s">
        <v>475</v>
      </c>
      <c r="B90" s="4">
        <v>45063</v>
      </c>
      <c r="C90" s="4">
        <v>45092</v>
      </c>
      <c r="D90" s="12" t="s">
        <v>646</v>
      </c>
      <c r="E90" s="12" t="s">
        <v>661</v>
      </c>
      <c r="F90" s="12" t="s">
        <v>687</v>
      </c>
      <c r="G90" s="12" t="s">
        <v>706</v>
      </c>
      <c r="H90" s="12" t="s">
        <v>707</v>
      </c>
      <c r="I90" s="12" t="s">
        <v>723</v>
      </c>
      <c r="J90" s="12" t="s">
        <v>733</v>
      </c>
      <c r="K90" s="12" t="s">
        <v>1194</v>
      </c>
      <c r="L90" s="6">
        <v>40.89</v>
      </c>
      <c r="M90" s="6">
        <v>62.82</v>
      </c>
      <c r="N90" s="6">
        <v>0.129</v>
      </c>
      <c r="O90" s="6">
        <v>17</v>
      </c>
    </row>
    <row r="91" spans="1:15" x14ac:dyDescent="0.25">
      <c r="A91" s="12" t="s">
        <v>89</v>
      </c>
      <c r="B91" s="4">
        <v>45066</v>
      </c>
      <c r="C91" s="4">
        <v>45064</v>
      </c>
      <c r="D91" s="12" t="s">
        <v>646</v>
      </c>
      <c r="E91" s="12" t="s">
        <v>661</v>
      </c>
      <c r="F91" s="12" t="s">
        <v>687</v>
      </c>
      <c r="G91" s="12" t="s">
        <v>701</v>
      </c>
      <c r="H91" s="12" t="s">
        <v>710</v>
      </c>
      <c r="I91" s="12" t="s">
        <v>720</v>
      </c>
      <c r="J91" s="12" t="s">
        <v>727</v>
      </c>
      <c r="K91" s="12" t="s">
        <v>808</v>
      </c>
      <c r="L91" s="6">
        <v>917.88</v>
      </c>
      <c r="M91" s="6">
        <v>1347.92</v>
      </c>
      <c r="N91" s="6">
        <v>0.34300000000000003</v>
      </c>
      <c r="O91" s="6">
        <v>5</v>
      </c>
    </row>
    <row r="92" spans="1:15" x14ac:dyDescent="0.25">
      <c r="A92" s="12" t="s">
        <v>274</v>
      </c>
      <c r="B92" s="4">
        <v>45066</v>
      </c>
      <c r="C92" s="4">
        <v>45084</v>
      </c>
      <c r="D92" s="12" t="s">
        <v>646</v>
      </c>
      <c r="E92" s="12" t="s">
        <v>651</v>
      </c>
      <c r="F92" s="12" t="s">
        <v>663</v>
      </c>
      <c r="G92" s="12" t="s">
        <v>706</v>
      </c>
      <c r="H92" s="12" t="s">
        <v>710</v>
      </c>
      <c r="I92" s="12" t="s">
        <v>718</v>
      </c>
      <c r="J92" s="12" t="s">
        <v>727</v>
      </c>
      <c r="K92" s="12" t="s">
        <v>994</v>
      </c>
      <c r="L92" s="6">
        <v>1120.06</v>
      </c>
      <c r="M92" s="6">
        <v>2068.21</v>
      </c>
      <c r="N92" s="6">
        <v>7.8E-2</v>
      </c>
      <c r="O92" s="6">
        <v>12</v>
      </c>
    </row>
    <row r="93" spans="1:15" x14ac:dyDescent="0.25">
      <c r="A93" s="12" t="s">
        <v>399</v>
      </c>
      <c r="B93" s="4">
        <v>45066</v>
      </c>
      <c r="C93" s="4">
        <v>45096</v>
      </c>
      <c r="D93" s="12" t="s">
        <v>647</v>
      </c>
      <c r="E93" s="12" t="s">
        <v>654</v>
      </c>
      <c r="F93" s="12" t="s">
        <v>680</v>
      </c>
      <c r="G93" s="12" t="s">
        <v>703</v>
      </c>
      <c r="H93" s="12" t="s">
        <v>709</v>
      </c>
      <c r="I93" s="12" t="s">
        <v>722</v>
      </c>
      <c r="J93" s="12" t="s">
        <v>731</v>
      </c>
      <c r="K93" s="12" t="s">
        <v>1118</v>
      </c>
      <c r="L93" s="6">
        <v>1161.2</v>
      </c>
      <c r="M93" s="6">
        <v>878.73</v>
      </c>
      <c r="N93" s="6">
        <v>0.19</v>
      </c>
      <c r="O93" s="6">
        <v>31</v>
      </c>
    </row>
    <row r="94" spans="1:15" x14ac:dyDescent="0.25">
      <c r="A94" s="12" t="s">
        <v>244</v>
      </c>
      <c r="B94" s="4">
        <v>45069</v>
      </c>
      <c r="C94" s="4">
        <v>45087</v>
      </c>
      <c r="D94" s="12" t="s">
        <v>647</v>
      </c>
      <c r="E94" s="12" t="s">
        <v>659</v>
      </c>
      <c r="F94" s="12" t="s">
        <v>685</v>
      </c>
      <c r="G94" s="12" t="s">
        <v>701</v>
      </c>
      <c r="H94" s="12" t="s">
        <v>710</v>
      </c>
      <c r="I94" s="12" t="s">
        <v>718</v>
      </c>
      <c r="J94" s="12" t="s">
        <v>727</v>
      </c>
      <c r="K94" s="12" t="s">
        <v>964</v>
      </c>
      <c r="L94" s="6">
        <v>54.62</v>
      </c>
      <c r="M94" s="6">
        <v>48.94</v>
      </c>
      <c r="N94" s="6">
        <v>0.14799999999999999</v>
      </c>
      <c r="O94" s="6">
        <v>16</v>
      </c>
    </row>
    <row r="95" spans="1:15" x14ac:dyDescent="0.25">
      <c r="A95" s="12" t="s">
        <v>489</v>
      </c>
      <c r="B95" s="4">
        <v>45069</v>
      </c>
      <c r="C95" s="4">
        <v>45071</v>
      </c>
      <c r="D95" s="12" t="s">
        <v>648</v>
      </c>
      <c r="E95" s="12" t="s">
        <v>655</v>
      </c>
      <c r="F95" s="12" t="s">
        <v>692</v>
      </c>
      <c r="G95" s="12" t="s">
        <v>706</v>
      </c>
      <c r="H95" s="12" t="s">
        <v>707</v>
      </c>
      <c r="I95" s="12" t="s">
        <v>724</v>
      </c>
      <c r="J95" s="12" t="s">
        <v>728</v>
      </c>
      <c r="K95" s="12" t="s">
        <v>1208</v>
      </c>
      <c r="L95" s="6">
        <v>690.49</v>
      </c>
      <c r="M95" s="6">
        <v>1290.29</v>
      </c>
      <c r="N95" s="6">
        <v>4.2000000000000003E-2</v>
      </c>
      <c r="O95" s="6">
        <v>22</v>
      </c>
    </row>
    <row r="96" spans="1:15" x14ac:dyDescent="0.25">
      <c r="A96" s="12" t="s">
        <v>468</v>
      </c>
      <c r="B96" s="4">
        <v>45070</v>
      </c>
      <c r="C96" s="4">
        <v>45098</v>
      </c>
      <c r="D96" s="12" t="s">
        <v>648</v>
      </c>
      <c r="E96" s="12" t="s">
        <v>660</v>
      </c>
      <c r="F96" s="12" t="s">
        <v>697</v>
      </c>
      <c r="G96" s="12" t="s">
        <v>705</v>
      </c>
      <c r="H96" s="12" t="s">
        <v>709</v>
      </c>
      <c r="I96" s="12" t="s">
        <v>715</v>
      </c>
      <c r="J96" s="12" t="s">
        <v>732</v>
      </c>
      <c r="K96" s="12" t="s">
        <v>1187</v>
      </c>
      <c r="L96" s="6">
        <v>813.97</v>
      </c>
      <c r="M96" s="6">
        <v>1568.83</v>
      </c>
      <c r="N96" s="6">
        <v>1.7000000000000001E-2</v>
      </c>
      <c r="O96" s="6">
        <v>15</v>
      </c>
    </row>
    <row r="97" spans="1:15" x14ac:dyDescent="0.25">
      <c r="A97" s="12" t="s">
        <v>275</v>
      </c>
      <c r="B97" s="4">
        <v>45073</v>
      </c>
      <c r="C97" s="4">
        <v>45096</v>
      </c>
      <c r="D97" s="12" t="s">
        <v>649</v>
      </c>
      <c r="E97" s="12" t="s">
        <v>656</v>
      </c>
      <c r="F97" s="12" t="s">
        <v>671</v>
      </c>
      <c r="G97" s="12" t="s">
        <v>702</v>
      </c>
      <c r="H97" s="12" t="s">
        <v>707</v>
      </c>
      <c r="I97" s="12" t="s">
        <v>719</v>
      </c>
      <c r="J97" s="12" t="s">
        <v>733</v>
      </c>
      <c r="K97" s="12" t="s">
        <v>995</v>
      </c>
      <c r="L97" s="6">
        <v>1471.58</v>
      </c>
      <c r="M97" s="6">
        <v>2576.65</v>
      </c>
      <c r="N97" s="6">
        <v>4.0000000000000001E-3</v>
      </c>
      <c r="O97" s="6">
        <v>7</v>
      </c>
    </row>
    <row r="98" spans="1:15" x14ac:dyDescent="0.25">
      <c r="A98" s="12" t="s">
        <v>408</v>
      </c>
      <c r="B98" s="4">
        <v>45075</v>
      </c>
      <c r="C98" s="4">
        <v>45097</v>
      </c>
      <c r="D98" s="12" t="s">
        <v>649</v>
      </c>
      <c r="E98" s="12" t="s">
        <v>658</v>
      </c>
      <c r="F98" s="12" t="s">
        <v>683</v>
      </c>
      <c r="G98" s="12" t="s">
        <v>705</v>
      </c>
      <c r="H98" s="12" t="s">
        <v>711</v>
      </c>
      <c r="I98" s="12" t="s">
        <v>723</v>
      </c>
      <c r="J98" s="12" t="s">
        <v>727</v>
      </c>
      <c r="K98" s="12" t="s">
        <v>1127</v>
      </c>
      <c r="L98" s="6">
        <v>1295.3900000000001</v>
      </c>
      <c r="M98" s="6">
        <v>2905.06</v>
      </c>
      <c r="N98" s="6">
        <v>0.14799999999999999</v>
      </c>
      <c r="O98" s="6">
        <v>8</v>
      </c>
    </row>
    <row r="99" spans="1:15" x14ac:dyDescent="0.25">
      <c r="A99" s="12" t="s">
        <v>527</v>
      </c>
      <c r="B99" s="4">
        <v>45078</v>
      </c>
      <c r="C99" s="4">
        <v>45085</v>
      </c>
      <c r="D99" s="12" t="s">
        <v>649</v>
      </c>
      <c r="E99" s="12" t="s">
        <v>656</v>
      </c>
      <c r="F99" s="12" t="s">
        <v>698</v>
      </c>
      <c r="G99" s="12" t="s">
        <v>704</v>
      </c>
      <c r="H99" s="12" t="s">
        <v>708</v>
      </c>
      <c r="I99" s="12" t="s">
        <v>720</v>
      </c>
      <c r="J99" s="12" t="s">
        <v>730</v>
      </c>
      <c r="K99" s="12" t="s">
        <v>1246</v>
      </c>
      <c r="L99" s="6">
        <v>804.17</v>
      </c>
      <c r="M99" s="6">
        <v>1072.29</v>
      </c>
      <c r="N99" s="6">
        <v>3.2000000000000001E-2</v>
      </c>
      <c r="O99" s="6">
        <v>5</v>
      </c>
    </row>
    <row r="100" spans="1:15" x14ac:dyDescent="0.25">
      <c r="A100" s="12" t="s">
        <v>585</v>
      </c>
      <c r="B100" s="4">
        <v>45078</v>
      </c>
      <c r="C100" s="4">
        <v>45078</v>
      </c>
      <c r="D100" s="12" t="s">
        <v>647</v>
      </c>
      <c r="E100" s="12" t="s">
        <v>654</v>
      </c>
      <c r="F100" s="12" t="s">
        <v>668</v>
      </c>
      <c r="G100" s="12" t="s">
        <v>701</v>
      </c>
      <c r="H100" s="12" t="s">
        <v>707</v>
      </c>
      <c r="I100" s="12" t="s">
        <v>718</v>
      </c>
      <c r="J100" s="12" t="s">
        <v>733</v>
      </c>
      <c r="K100" s="12" t="s">
        <v>1303</v>
      </c>
      <c r="L100" s="6">
        <v>669.37</v>
      </c>
      <c r="M100" s="6">
        <v>997.2</v>
      </c>
      <c r="N100" s="6">
        <v>8.2000000000000003E-2</v>
      </c>
      <c r="O100" s="6">
        <v>5</v>
      </c>
    </row>
    <row r="101" spans="1:15" x14ac:dyDescent="0.25">
      <c r="A101" s="12" t="s">
        <v>595</v>
      </c>
      <c r="B101" s="4">
        <v>45080</v>
      </c>
      <c r="C101" s="4">
        <v>45108</v>
      </c>
      <c r="D101" s="12" t="s">
        <v>648</v>
      </c>
      <c r="E101" s="12" t="s">
        <v>655</v>
      </c>
      <c r="F101" s="12" t="s">
        <v>672</v>
      </c>
      <c r="G101" s="12" t="s">
        <v>705</v>
      </c>
      <c r="H101" s="12" t="s">
        <v>709</v>
      </c>
      <c r="I101" s="12" t="s">
        <v>720</v>
      </c>
      <c r="J101" s="12" t="s">
        <v>727</v>
      </c>
      <c r="K101" s="12" t="s">
        <v>1313</v>
      </c>
      <c r="L101" s="6">
        <v>860.4</v>
      </c>
      <c r="M101" s="6">
        <v>2066.6</v>
      </c>
      <c r="N101" s="6">
        <v>0.01</v>
      </c>
      <c r="O101" s="6">
        <v>3</v>
      </c>
    </row>
    <row r="102" spans="1:15" x14ac:dyDescent="0.25">
      <c r="A102" s="12" t="s">
        <v>378</v>
      </c>
      <c r="B102" s="4">
        <v>45082</v>
      </c>
      <c r="C102" s="4">
        <v>45105</v>
      </c>
      <c r="D102" s="12" t="s">
        <v>649</v>
      </c>
      <c r="E102" s="12" t="s">
        <v>658</v>
      </c>
      <c r="F102" s="12" t="s">
        <v>674</v>
      </c>
      <c r="G102" s="12" t="s">
        <v>701</v>
      </c>
      <c r="H102" s="12" t="s">
        <v>711</v>
      </c>
      <c r="I102" s="12" t="s">
        <v>723</v>
      </c>
      <c r="J102" s="12" t="s">
        <v>728</v>
      </c>
      <c r="K102" s="12" t="s">
        <v>1098</v>
      </c>
      <c r="L102" s="6">
        <v>605.82000000000005</v>
      </c>
      <c r="M102" s="6">
        <v>771.12</v>
      </c>
      <c r="N102" s="6">
        <v>0.13200000000000001</v>
      </c>
      <c r="O102" s="6">
        <v>19</v>
      </c>
    </row>
    <row r="103" spans="1:15" x14ac:dyDescent="0.25">
      <c r="A103" s="12" t="s">
        <v>133</v>
      </c>
      <c r="B103" s="4">
        <v>45086</v>
      </c>
      <c r="C103" s="4">
        <v>45096</v>
      </c>
      <c r="D103" s="12" t="s">
        <v>647</v>
      </c>
      <c r="E103" s="12" t="s">
        <v>659</v>
      </c>
      <c r="F103" s="12" t="s">
        <v>699</v>
      </c>
      <c r="G103" s="12" t="s">
        <v>706</v>
      </c>
      <c r="H103" s="12" t="s">
        <v>707</v>
      </c>
      <c r="I103" s="12" t="s">
        <v>721</v>
      </c>
      <c r="J103" s="12" t="s">
        <v>732</v>
      </c>
      <c r="K103" s="12" t="s">
        <v>852</v>
      </c>
      <c r="L103" s="6">
        <v>339.61</v>
      </c>
      <c r="M103" s="6">
        <v>621.02</v>
      </c>
      <c r="N103" s="6">
        <v>7.0999999999999994E-2</v>
      </c>
      <c r="O103" s="6">
        <v>10</v>
      </c>
    </row>
    <row r="104" spans="1:15" x14ac:dyDescent="0.25">
      <c r="A104" s="12" t="s">
        <v>341</v>
      </c>
      <c r="B104" s="4">
        <v>45087</v>
      </c>
      <c r="C104" s="4">
        <v>45095</v>
      </c>
      <c r="D104" s="12" t="s">
        <v>646</v>
      </c>
      <c r="E104" s="12" t="s">
        <v>650</v>
      </c>
      <c r="F104" s="12" t="s">
        <v>678</v>
      </c>
      <c r="G104" s="12" t="s">
        <v>706</v>
      </c>
      <c r="H104" s="12" t="s">
        <v>711</v>
      </c>
      <c r="I104" s="12" t="s">
        <v>722</v>
      </c>
      <c r="J104" s="12" t="s">
        <v>730</v>
      </c>
      <c r="K104" s="12" t="s">
        <v>1061</v>
      </c>
      <c r="L104" s="6">
        <v>894.23</v>
      </c>
      <c r="M104" s="6">
        <v>1421.55</v>
      </c>
      <c r="N104" s="6">
        <v>0.109</v>
      </c>
      <c r="O104" s="6">
        <v>3</v>
      </c>
    </row>
    <row r="105" spans="1:15" x14ac:dyDescent="0.25">
      <c r="A105" s="12" t="s">
        <v>459</v>
      </c>
      <c r="B105" s="4">
        <v>45090</v>
      </c>
      <c r="C105" s="4">
        <v>45101</v>
      </c>
      <c r="D105" s="12" t="s">
        <v>648</v>
      </c>
      <c r="E105" s="12" t="s">
        <v>653</v>
      </c>
      <c r="F105" s="12" t="s">
        <v>667</v>
      </c>
      <c r="G105" s="12" t="s">
        <v>701</v>
      </c>
      <c r="H105" s="12" t="s">
        <v>708</v>
      </c>
      <c r="I105" s="12" t="s">
        <v>712</v>
      </c>
      <c r="J105" s="12" t="s">
        <v>728</v>
      </c>
      <c r="K105" s="12" t="s">
        <v>1178</v>
      </c>
      <c r="L105" s="6">
        <v>247.07</v>
      </c>
      <c r="M105" s="6">
        <v>495.19</v>
      </c>
      <c r="N105" s="6">
        <v>2.8000000000000001E-2</v>
      </c>
      <c r="O105" s="6">
        <v>4</v>
      </c>
    </row>
    <row r="106" spans="1:15" x14ac:dyDescent="0.25">
      <c r="A106" s="12" t="s">
        <v>93</v>
      </c>
      <c r="B106" s="4">
        <v>45091</v>
      </c>
      <c r="C106" s="4">
        <v>45093</v>
      </c>
      <c r="D106" s="12" t="s">
        <v>649</v>
      </c>
      <c r="E106" s="12" t="s">
        <v>658</v>
      </c>
      <c r="F106" s="12" t="s">
        <v>693</v>
      </c>
      <c r="G106" s="12" t="s">
        <v>703</v>
      </c>
      <c r="H106" s="12" t="s">
        <v>711</v>
      </c>
      <c r="I106" s="12" t="s">
        <v>723</v>
      </c>
      <c r="J106" s="12" t="s">
        <v>727</v>
      </c>
      <c r="K106" s="12" t="s">
        <v>812</v>
      </c>
      <c r="L106" s="6">
        <v>357.36</v>
      </c>
      <c r="M106" s="6">
        <v>703.62</v>
      </c>
      <c r="N106" s="6">
        <v>0.25700000000000001</v>
      </c>
      <c r="O106" s="6">
        <v>20</v>
      </c>
    </row>
    <row r="107" spans="1:15" x14ac:dyDescent="0.25">
      <c r="A107" s="12" t="s">
        <v>294</v>
      </c>
      <c r="B107" s="4">
        <v>45092</v>
      </c>
      <c r="C107" s="4">
        <v>45100</v>
      </c>
      <c r="D107" s="12" t="s">
        <v>648</v>
      </c>
      <c r="E107" s="12" t="s">
        <v>660</v>
      </c>
      <c r="F107" s="12" t="s">
        <v>686</v>
      </c>
      <c r="G107" s="12" t="s">
        <v>704</v>
      </c>
      <c r="H107" s="12" t="s">
        <v>710</v>
      </c>
      <c r="I107" s="12" t="s">
        <v>719</v>
      </c>
      <c r="J107" s="12" t="s">
        <v>732</v>
      </c>
      <c r="K107" s="12" t="s">
        <v>1014</v>
      </c>
      <c r="L107" s="6">
        <v>1097.0899999999999</v>
      </c>
      <c r="M107" s="6">
        <v>2182.31</v>
      </c>
      <c r="N107" s="6">
        <v>0.112</v>
      </c>
      <c r="O107" s="6">
        <v>9</v>
      </c>
    </row>
    <row r="108" spans="1:15" x14ac:dyDescent="0.25">
      <c r="A108" s="12" t="s">
        <v>592</v>
      </c>
      <c r="B108" s="4">
        <v>45092</v>
      </c>
      <c r="C108" s="4">
        <v>45119</v>
      </c>
      <c r="D108" s="12" t="s">
        <v>649</v>
      </c>
      <c r="E108" s="12" t="s">
        <v>658</v>
      </c>
      <c r="F108" s="12" t="s">
        <v>693</v>
      </c>
      <c r="G108" s="12" t="s">
        <v>704</v>
      </c>
      <c r="H108" s="12" t="s">
        <v>711</v>
      </c>
      <c r="I108" s="12" t="s">
        <v>714</v>
      </c>
      <c r="J108" s="12" t="s">
        <v>733</v>
      </c>
      <c r="K108" s="12" t="s">
        <v>1310</v>
      </c>
      <c r="L108" s="6">
        <v>751.28</v>
      </c>
      <c r="M108" s="6">
        <v>1111.8800000000001</v>
      </c>
      <c r="N108" s="6">
        <v>0.13500000000000001</v>
      </c>
      <c r="O108" s="6">
        <v>7</v>
      </c>
    </row>
    <row r="109" spans="1:15" x14ac:dyDescent="0.25">
      <c r="A109" s="12" t="s">
        <v>54</v>
      </c>
      <c r="B109" s="4">
        <v>45094</v>
      </c>
      <c r="C109" s="4">
        <v>45101</v>
      </c>
      <c r="D109" s="12" t="s">
        <v>648</v>
      </c>
      <c r="E109" s="12" t="s">
        <v>660</v>
      </c>
      <c r="F109" s="12" t="s">
        <v>686</v>
      </c>
      <c r="G109" s="12" t="s">
        <v>701</v>
      </c>
      <c r="H109" s="12" t="s">
        <v>707</v>
      </c>
      <c r="I109" s="12" t="s">
        <v>714</v>
      </c>
      <c r="J109" s="12" t="s">
        <v>728</v>
      </c>
      <c r="K109" s="12" t="s">
        <v>773</v>
      </c>
      <c r="L109" s="6">
        <v>313.99</v>
      </c>
      <c r="M109" s="6">
        <v>454.42</v>
      </c>
      <c r="N109" s="6">
        <v>0.129</v>
      </c>
      <c r="O109" s="6">
        <v>9</v>
      </c>
    </row>
    <row r="110" spans="1:15" x14ac:dyDescent="0.25">
      <c r="A110" s="12" t="s">
        <v>311</v>
      </c>
      <c r="B110" s="4">
        <v>45097</v>
      </c>
      <c r="C110" s="4">
        <v>45115</v>
      </c>
      <c r="D110" s="12" t="s">
        <v>648</v>
      </c>
      <c r="E110" s="12" t="s">
        <v>660</v>
      </c>
      <c r="F110" s="12" t="s">
        <v>697</v>
      </c>
      <c r="G110" s="12" t="s">
        <v>703</v>
      </c>
      <c r="H110" s="12" t="s">
        <v>711</v>
      </c>
      <c r="I110" s="12" t="s">
        <v>721</v>
      </c>
      <c r="J110" s="12" t="s">
        <v>732</v>
      </c>
      <c r="K110" s="12" t="s">
        <v>1031</v>
      </c>
      <c r="L110" s="6">
        <v>337</v>
      </c>
      <c r="M110" s="6">
        <v>511.03</v>
      </c>
      <c r="N110" s="6">
        <v>0.108</v>
      </c>
      <c r="O110" s="6">
        <v>7</v>
      </c>
    </row>
    <row r="111" spans="1:15" x14ac:dyDescent="0.25">
      <c r="A111" s="12" t="s">
        <v>397</v>
      </c>
      <c r="B111" s="4">
        <v>45097</v>
      </c>
      <c r="C111" s="4">
        <v>45115</v>
      </c>
      <c r="D111" s="12" t="s">
        <v>648</v>
      </c>
      <c r="E111" s="12" t="s">
        <v>660</v>
      </c>
      <c r="F111" s="12" t="s">
        <v>700</v>
      </c>
      <c r="G111" s="12" t="s">
        <v>704</v>
      </c>
      <c r="H111" s="12" t="s">
        <v>709</v>
      </c>
      <c r="I111" s="12" t="s">
        <v>719</v>
      </c>
      <c r="J111" s="12" t="s">
        <v>729</v>
      </c>
      <c r="K111" s="12" t="s">
        <v>1116</v>
      </c>
      <c r="L111" s="6">
        <v>1145.53</v>
      </c>
      <c r="M111" s="6">
        <v>1278.3</v>
      </c>
      <c r="N111" s="6">
        <v>0.09</v>
      </c>
      <c r="O111" s="6">
        <v>41</v>
      </c>
    </row>
    <row r="112" spans="1:15" x14ac:dyDescent="0.25">
      <c r="A112" s="12" t="s">
        <v>510</v>
      </c>
      <c r="B112" s="4">
        <v>45097</v>
      </c>
      <c r="C112" s="4">
        <v>45111</v>
      </c>
      <c r="D112" s="12" t="s">
        <v>648</v>
      </c>
      <c r="E112" s="12" t="s">
        <v>655</v>
      </c>
      <c r="F112" s="12" t="s">
        <v>672</v>
      </c>
      <c r="G112" s="12" t="s">
        <v>703</v>
      </c>
      <c r="H112" s="12" t="s">
        <v>711</v>
      </c>
      <c r="I112" s="12" t="s">
        <v>712</v>
      </c>
      <c r="J112" s="12" t="s">
        <v>729</v>
      </c>
      <c r="K112" s="12" t="s">
        <v>1229</v>
      </c>
      <c r="L112" s="6">
        <v>1292.8599999999999</v>
      </c>
      <c r="M112" s="6">
        <v>2981.01</v>
      </c>
      <c r="N112" s="6">
        <v>0.14199999999999999</v>
      </c>
      <c r="O112" s="6">
        <v>12</v>
      </c>
    </row>
    <row r="113" spans="1:15" x14ac:dyDescent="0.25">
      <c r="A113" s="12" t="s">
        <v>200</v>
      </c>
      <c r="B113" s="4">
        <v>45099</v>
      </c>
      <c r="C113" s="4">
        <v>45128</v>
      </c>
      <c r="D113" s="12" t="s">
        <v>649</v>
      </c>
      <c r="E113" s="12" t="s">
        <v>657</v>
      </c>
      <c r="F113" s="12" t="s">
        <v>679</v>
      </c>
      <c r="G113" s="12" t="s">
        <v>701</v>
      </c>
      <c r="H113" s="12" t="s">
        <v>707</v>
      </c>
      <c r="I113" s="12" t="s">
        <v>713</v>
      </c>
      <c r="J113" s="12" t="s">
        <v>733</v>
      </c>
      <c r="K113" s="12" t="s">
        <v>919</v>
      </c>
      <c r="L113" s="6">
        <v>734.34</v>
      </c>
      <c r="M113" s="6">
        <v>887.9</v>
      </c>
      <c r="N113" s="6">
        <v>2.5000000000000001E-2</v>
      </c>
      <c r="O113" s="6">
        <v>12</v>
      </c>
    </row>
    <row r="114" spans="1:15" x14ac:dyDescent="0.25">
      <c r="A114" s="12" t="s">
        <v>61</v>
      </c>
      <c r="B114" s="4">
        <v>45100</v>
      </c>
      <c r="C114" s="4">
        <v>45110</v>
      </c>
      <c r="D114" s="12" t="s">
        <v>646</v>
      </c>
      <c r="E114" s="12" t="s">
        <v>651</v>
      </c>
      <c r="F114" s="12" t="s">
        <v>669</v>
      </c>
      <c r="G114" s="12" t="s">
        <v>704</v>
      </c>
      <c r="H114" s="12" t="s">
        <v>708</v>
      </c>
      <c r="I114" s="12" t="s">
        <v>713</v>
      </c>
      <c r="J114" s="12" t="s">
        <v>728</v>
      </c>
      <c r="K114" s="12" t="s">
        <v>780</v>
      </c>
      <c r="L114" s="6">
        <v>337.75</v>
      </c>
      <c r="M114" s="6">
        <v>548.89</v>
      </c>
      <c r="N114" s="6">
        <v>0</v>
      </c>
      <c r="O114" s="6">
        <v>13</v>
      </c>
    </row>
    <row r="115" spans="1:15" x14ac:dyDescent="0.25">
      <c r="A115" s="12" t="s">
        <v>642</v>
      </c>
      <c r="B115" s="4">
        <v>45100</v>
      </c>
      <c r="C115" s="4">
        <v>45125</v>
      </c>
      <c r="D115" s="12" t="s">
        <v>648</v>
      </c>
      <c r="E115" s="12" t="s">
        <v>653</v>
      </c>
      <c r="F115" s="12" t="s">
        <v>688</v>
      </c>
      <c r="G115" s="12" t="s">
        <v>706</v>
      </c>
      <c r="H115" s="12" t="s">
        <v>708</v>
      </c>
      <c r="I115" s="12" t="s">
        <v>725</v>
      </c>
      <c r="J115" s="12" t="s">
        <v>730</v>
      </c>
      <c r="K115" s="12" t="s">
        <v>1360</v>
      </c>
      <c r="L115" s="6">
        <v>807.02</v>
      </c>
      <c r="M115" s="6">
        <v>1435.54</v>
      </c>
      <c r="N115" s="6">
        <v>0</v>
      </c>
      <c r="O115" s="6">
        <v>23</v>
      </c>
    </row>
    <row r="116" spans="1:15" x14ac:dyDescent="0.25">
      <c r="A116" s="12" t="s">
        <v>107</v>
      </c>
      <c r="B116" s="4">
        <v>45101</v>
      </c>
      <c r="C116" s="4">
        <v>45100</v>
      </c>
      <c r="D116" s="12" t="s">
        <v>648</v>
      </c>
      <c r="E116" s="12" t="s">
        <v>655</v>
      </c>
      <c r="F116" s="12" t="s">
        <v>692</v>
      </c>
      <c r="G116" s="12" t="s">
        <v>703</v>
      </c>
      <c r="H116" s="12" t="s">
        <v>707</v>
      </c>
      <c r="I116" s="12" t="s">
        <v>718</v>
      </c>
      <c r="J116" s="12" t="s">
        <v>728</v>
      </c>
      <c r="K116" s="12" t="s">
        <v>826</v>
      </c>
      <c r="L116" s="6">
        <v>804.01</v>
      </c>
      <c r="M116" s="6">
        <v>1405.07</v>
      </c>
      <c r="N116" s="6">
        <v>9.6000000000000002E-2</v>
      </c>
      <c r="O116" s="6">
        <v>8</v>
      </c>
    </row>
    <row r="117" spans="1:15" x14ac:dyDescent="0.25">
      <c r="A117" s="12" t="s">
        <v>299</v>
      </c>
      <c r="B117" s="4">
        <v>45101</v>
      </c>
      <c r="C117" s="4">
        <v>45128</v>
      </c>
      <c r="D117" s="12" t="s">
        <v>647</v>
      </c>
      <c r="E117" s="12" t="s">
        <v>652</v>
      </c>
      <c r="F117" s="12" t="s">
        <v>694</v>
      </c>
      <c r="G117" s="12" t="s">
        <v>704</v>
      </c>
      <c r="H117" s="12" t="s">
        <v>709</v>
      </c>
      <c r="I117" s="12" t="s">
        <v>713</v>
      </c>
      <c r="J117" s="12" t="s">
        <v>730</v>
      </c>
      <c r="K117" s="12" t="s">
        <v>1019</v>
      </c>
      <c r="L117" s="6">
        <v>554.76</v>
      </c>
      <c r="M117" s="6">
        <v>728.69</v>
      </c>
      <c r="N117" s="6">
        <v>0.22</v>
      </c>
      <c r="O117" s="6">
        <v>7</v>
      </c>
    </row>
    <row r="118" spans="1:15" x14ac:dyDescent="0.25">
      <c r="A118" s="12" t="s">
        <v>326</v>
      </c>
      <c r="B118" s="4">
        <v>45101</v>
      </c>
      <c r="C118" s="4">
        <v>45099</v>
      </c>
      <c r="D118" s="12" t="s">
        <v>648</v>
      </c>
      <c r="E118" s="12" t="s">
        <v>653</v>
      </c>
      <c r="F118" s="12" t="s">
        <v>667</v>
      </c>
      <c r="G118" s="12" t="s">
        <v>703</v>
      </c>
      <c r="H118" s="12" t="s">
        <v>707</v>
      </c>
      <c r="I118" s="12" t="s">
        <v>724</v>
      </c>
      <c r="J118" s="12" t="s">
        <v>733</v>
      </c>
      <c r="K118" s="12" t="s">
        <v>1046</v>
      </c>
      <c r="L118" s="6">
        <v>471.42</v>
      </c>
      <c r="M118" s="6">
        <v>824.81</v>
      </c>
      <c r="N118" s="6">
        <v>8.7999999999999995E-2</v>
      </c>
      <c r="O118" s="6">
        <v>15</v>
      </c>
    </row>
    <row r="119" spans="1:15" x14ac:dyDescent="0.25">
      <c r="A119" s="12" t="s">
        <v>104</v>
      </c>
      <c r="B119" s="4">
        <v>45106</v>
      </c>
      <c r="C119" s="4">
        <v>45109</v>
      </c>
      <c r="D119" s="12" t="s">
        <v>647</v>
      </c>
      <c r="E119" s="12" t="s">
        <v>652</v>
      </c>
      <c r="F119" s="12" t="s">
        <v>694</v>
      </c>
      <c r="G119" s="12" t="s">
        <v>702</v>
      </c>
      <c r="H119" s="12" t="s">
        <v>709</v>
      </c>
      <c r="I119" s="12" t="s">
        <v>721</v>
      </c>
      <c r="J119" s="12" t="s">
        <v>732</v>
      </c>
      <c r="K119" s="12" t="s">
        <v>823</v>
      </c>
      <c r="L119" s="6">
        <v>55.65</v>
      </c>
      <c r="M119" s="6">
        <v>83.57</v>
      </c>
      <c r="N119" s="6">
        <v>6.6000000000000003E-2</v>
      </c>
      <c r="O119" s="6">
        <v>8</v>
      </c>
    </row>
    <row r="120" spans="1:15" x14ac:dyDescent="0.25">
      <c r="A120" s="12" t="s">
        <v>376</v>
      </c>
      <c r="B120" s="4">
        <v>45108</v>
      </c>
      <c r="C120" s="4">
        <v>45115</v>
      </c>
      <c r="D120" s="12" t="s">
        <v>646</v>
      </c>
      <c r="E120" s="12" t="s">
        <v>651</v>
      </c>
      <c r="F120" s="12" t="s">
        <v>663</v>
      </c>
      <c r="G120" s="12" t="s">
        <v>701</v>
      </c>
      <c r="H120" s="12" t="s">
        <v>707</v>
      </c>
      <c r="I120" s="12" t="s">
        <v>720</v>
      </c>
      <c r="J120" s="12" t="s">
        <v>731</v>
      </c>
      <c r="K120" s="12" t="s">
        <v>1096</v>
      </c>
      <c r="L120" s="6">
        <v>834.26</v>
      </c>
      <c r="M120" s="6">
        <v>1780.56</v>
      </c>
      <c r="N120" s="6">
        <v>1.4E-2</v>
      </c>
      <c r="O120" s="6">
        <v>47</v>
      </c>
    </row>
    <row r="121" spans="1:15" x14ac:dyDescent="0.25">
      <c r="A121" s="12" t="s">
        <v>550</v>
      </c>
      <c r="B121" s="4">
        <v>45108</v>
      </c>
      <c r="C121" s="4">
        <v>45118</v>
      </c>
      <c r="D121" s="12" t="s">
        <v>649</v>
      </c>
      <c r="E121" s="12" t="s">
        <v>657</v>
      </c>
      <c r="F121" s="12" t="s">
        <v>690</v>
      </c>
      <c r="G121" s="12" t="s">
        <v>701</v>
      </c>
      <c r="H121" s="12" t="s">
        <v>711</v>
      </c>
      <c r="I121" s="12" t="s">
        <v>721</v>
      </c>
      <c r="J121" s="12" t="s">
        <v>729</v>
      </c>
      <c r="K121" s="12" t="s">
        <v>1269</v>
      </c>
      <c r="L121" s="6">
        <v>479.5</v>
      </c>
      <c r="M121" s="6">
        <v>656.66</v>
      </c>
      <c r="N121" s="6">
        <v>0.14899999999999999</v>
      </c>
      <c r="O121" s="6">
        <v>14</v>
      </c>
    </row>
    <row r="122" spans="1:15" x14ac:dyDescent="0.25">
      <c r="A122" s="12" t="s">
        <v>558</v>
      </c>
      <c r="B122" s="4">
        <v>45108</v>
      </c>
      <c r="C122" s="4">
        <v>45115</v>
      </c>
      <c r="D122" s="12" t="s">
        <v>649</v>
      </c>
      <c r="E122" s="12" t="s">
        <v>656</v>
      </c>
      <c r="F122" s="12" t="s">
        <v>698</v>
      </c>
      <c r="G122" s="12" t="s">
        <v>705</v>
      </c>
      <c r="H122" s="12" t="s">
        <v>710</v>
      </c>
      <c r="I122" s="12" t="s">
        <v>725</v>
      </c>
      <c r="J122" s="12" t="s">
        <v>731</v>
      </c>
      <c r="K122" s="12" t="s">
        <v>1276</v>
      </c>
      <c r="L122" s="6">
        <v>460.21</v>
      </c>
      <c r="M122" s="6">
        <v>1139.1500000000001</v>
      </c>
      <c r="N122" s="6">
        <v>0.115</v>
      </c>
      <c r="O122" s="6">
        <v>14</v>
      </c>
    </row>
    <row r="123" spans="1:15" x14ac:dyDescent="0.25">
      <c r="A123" s="12" t="s">
        <v>220</v>
      </c>
      <c r="B123" s="4">
        <v>45109</v>
      </c>
      <c r="C123" s="4">
        <v>45139</v>
      </c>
      <c r="D123" s="12" t="s">
        <v>649</v>
      </c>
      <c r="E123" s="12" t="s">
        <v>658</v>
      </c>
      <c r="F123" s="12" t="s">
        <v>674</v>
      </c>
      <c r="G123" s="12" t="s">
        <v>705</v>
      </c>
      <c r="H123" s="12" t="s">
        <v>707</v>
      </c>
      <c r="I123" s="12" t="s">
        <v>717</v>
      </c>
      <c r="J123" s="12" t="s">
        <v>727</v>
      </c>
      <c r="K123" s="12" t="s">
        <v>940</v>
      </c>
      <c r="L123" s="6">
        <v>137.46</v>
      </c>
      <c r="M123" s="6">
        <v>188.3</v>
      </c>
      <c r="N123" s="6">
        <v>3.7999999999999999E-2</v>
      </c>
      <c r="O123" s="6">
        <v>37</v>
      </c>
    </row>
    <row r="124" spans="1:15" x14ac:dyDescent="0.25">
      <c r="A124" s="12" t="s">
        <v>166</v>
      </c>
      <c r="B124" s="4">
        <v>45110</v>
      </c>
      <c r="C124" s="4">
        <v>45130</v>
      </c>
      <c r="D124" s="12" t="s">
        <v>646</v>
      </c>
      <c r="E124" s="12" t="s">
        <v>661</v>
      </c>
      <c r="F124" s="12" t="s">
        <v>682</v>
      </c>
      <c r="G124" s="12" t="s">
        <v>705</v>
      </c>
      <c r="H124" s="12" t="s">
        <v>710</v>
      </c>
      <c r="I124" s="12" t="s">
        <v>721</v>
      </c>
      <c r="J124" s="12" t="s">
        <v>731</v>
      </c>
      <c r="K124" s="12" t="s">
        <v>885</v>
      </c>
      <c r="L124" s="6">
        <v>1001.96</v>
      </c>
      <c r="M124" s="6">
        <v>1254.95</v>
      </c>
      <c r="N124" s="6">
        <v>4.4999999999999998E-2</v>
      </c>
      <c r="O124" s="6">
        <v>18</v>
      </c>
    </row>
    <row r="125" spans="1:15" x14ac:dyDescent="0.25">
      <c r="A125" s="12" t="s">
        <v>159</v>
      </c>
      <c r="B125" s="4">
        <v>45112</v>
      </c>
      <c r="C125" s="4">
        <v>45121</v>
      </c>
      <c r="D125" s="12" t="s">
        <v>648</v>
      </c>
      <c r="E125" s="12" t="s">
        <v>655</v>
      </c>
      <c r="F125" s="12" t="s">
        <v>672</v>
      </c>
      <c r="G125" s="12" t="s">
        <v>706</v>
      </c>
      <c r="H125" s="12" t="s">
        <v>711</v>
      </c>
      <c r="I125" s="12" t="s">
        <v>717</v>
      </c>
      <c r="J125" s="12" t="s">
        <v>729</v>
      </c>
      <c r="K125" s="12" t="s">
        <v>878</v>
      </c>
      <c r="L125" s="6">
        <v>578.85</v>
      </c>
      <c r="M125" s="6">
        <v>998.76</v>
      </c>
      <c r="N125" s="6">
        <v>8.2000000000000003E-2</v>
      </c>
      <c r="O125" s="6">
        <v>28</v>
      </c>
    </row>
    <row r="126" spans="1:15" x14ac:dyDescent="0.25">
      <c r="A126" s="12" t="s">
        <v>552</v>
      </c>
      <c r="B126" s="4">
        <v>45114</v>
      </c>
      <c r="C126" s="4">
        <v>45120</v>
      </c>
      <c r="D126" s="12" t="s">
        <v>646</v>
      </c>
      <c r="E126" s="12" t="s">
        <v>661</v>
      </c>
      <c r="F126" s="12" t="s">
        <v>695</v>
      </c>
      <c r="G126" s="12" t="s">
        <v>705</v>
      </c>
      <c r="H126" s="12" t="s">
        <v>709</v>
      </c>
      <c r="I126" s="12" t="s">
        <v>717</v>
      </c>
      <c r="J126" s="12" t="s">
        <v>733</v>
      </c>
      <c r="K126" s="12" t="s">
        <v>1270</v>
      </c>
      <c r="L126" s="6">
        <v>612.59</v>
      </c>
      <c r="M126" s="6">
        <v>1424.74</v>
      </c>
      <c r="N126" s="6">
        <v>4.3999999999999997E-2</v>
      </c>
      <c r="O126" s="6">
        <v>15</v>
      </c>
    </row>
    <row r="127" spans="1:15" x14ac:dyDescent="0.25">
      <c r="A127" s="12" t="s">
        <v>555</v>
      </c>
      <c r="B127" s="4">
        <v>45115</v>
      </c>
      <c r="C127" s="4">
        <v>45116</v>
      </c>
      <c r="D127" s="12" t="s">
        <v>646</v>
      </c>
      <c r="E127" s="12" t="s">
        <v>650</v>
      </c>
      <c r="F127" s="12" t="s">
        <v>664</v>
      </c>
      <c r="G127" s="12" t="s">
        <v>704</v>
      </c>
      <c r="H127" s="12" t="s">
        <v>708</v>
      </c>
      <c r="I127" s="12" t="s">
        <v>726</v>
      </c>
      <c r="J127" s="12" t="s">
        <v>731</v>
      </c>
      <c r="K127" s="12" t="s">
        <v>1273</v>
      </c>
      <c r="L127" s="6">
        <v>1258.72</v>
      </c>
      <c r="M127" s="6">
        <v>2797.41</v>
      </c>
      <c r="N127" s="6">
        <v>0</v>
      </c>
      <c r="O127" s="6">
        <v>7</v>
      </c>
    </row>
    <row r="128" spans="1:15" x14ac:dyDescent="0.25">
      <c r="A128" s="12" t="s">
        <v>474</v>
      </c>
      <c r="B128" s="4">
        <v>45116</v>
      </c>
      <c r="C128" s="4">
        <v>45126</v>
      </c>
      <c r="D128" s="12" t="s">
        <v>647</v>
      </c>
      <c r="E128" s="12" t="s">
        <v>652</v>
      </c>
      <c r="F128" s="12" t="s">
        <v>689</v>
      </c>
      <c r="G128" s="12" t="s">
        <v>706</v>
      </c>
      <c r="H128" s="12" t="s">
        <v>710</v>
      </c>
      <c r="I128" s="12" t="s">
        <v>725</v>
      </c>
      <c r="J128" s="12" t="s">
        <v>727</v>
      </c>
      <c r="K128" s="12" t="s">
        <v>1193</v>
      </c>
      <c r="L128" s="6">
        <v>141.26</v>
      </c>
      <c r="M128" s="6">
        <v>206.88</v>
      </c>
      <c r="N128" s="6">
        <v>0.107</v>
      </c>
      <c r="O128" s="6">
        <v>9</v>
      </c>
    </row>
    <row r="129" spans="1:15" x14ac:dyDescent="0.25">
      <c r="A129" s="12" t="s">
        <v>64</v>
      </c>
      <c r="B129" s="4">
        <v>45117</v>
      </c>
      <c r="C129" s="4">
        <v>45139</v>
      </c>
      <c r="D129" s="12" t="s">
        <v>649</v>
      </c>
      <c r="E129" s="12" t="s">
        <v>657</v>
      </c>
      <c r="F129" s="12" t="s">
        <v>673</v>
      </c>
      <c r="G129" s="12" t="s">
        <v>704</v>
      </c>
      <c r="H129" s="12" t="s">
        <v>709</v>
      </c>
      <c r="I129" s="12" t="s">
        <v>717</v>
      </c>
      <c r="J129" s="12" t="s">
        <v>728</v>
      </c>
      <c r="K129" s="12" t="s">
        <v>783</v>
      </c>
      <c r="L129" s="6">
        <v>1303.56</v>
      </c>
      <c r="M129" s="6">
        <v>1791.37</v>
      </c>
      <c r="N129" s="6">
        <v>0.126</v>
      </c>
      <c r="O129" s="6">
        <v>22</v>
      </c>
    </row>
    <row r="130" spans="1:15" x14ac:dyDescent="0.25">
      <c r="A130" s="12" t="s">
        <v>353</v>
      </c>
      <c r="B130" s="4">
        <v>45121</v>
      </c>
      <c r="C130" s="4">
        <v>45128</v>
      </c>
      <c r="D130" s="12" t="s">
        <v>646</v>
      </c>
      <c r="E130" s="12" t="s">
        <v>661</v>
      </c>
      <c r="F130" s="12" t="s">
        <v>687</v>
      </c>
      <c r="G130" s="12" t="s">
        <v>706</v>
      </c>
      <c r="H130" s="12" t="s">
        <v>709</v>
      </c>
      <c r="I130" s="14" t="s">
        <v>1368</v>
      </c>
      <c r="J130" s="12" t="s">
        <v>732</v>
      </c>
      <c r="K130" s="12" t="s">
        <v>1073</v>
      </c>
      <c r="L130" s="6">
        <v>620.74</v>
      </c>
      <c r="M130" s="6">
        <v>1330.07</v>
      </c>
      <c r="N130" s="6">
        <v>0.29899999999999999</v>
      </c>
      <c r="O130" s="6">
        <v>28</v>
      </c>
    </row>
    <row r="131" spans="1:15" x14ac:dyDescent="0.25">
      <c r="A131" s="12" t="s">
        <v>366</v>
      </c>
      <c r="B131" s="4">
        <v>45121</v>
      </c>
      <c r="C131" s="4">
        <v>45121</v>
      </c>
      <c r="D131" s="12" t="s">
        <v>646</v>
      </c>
      <c r="E131" s="12" t="s">
        <v>651</v>
      </c>
      <c r="F131" s="12" t="s">
        <v>665</v>
      </c>
      <c r="G131" s="12" t="s">
        <v>702</v>
      </c>
      <c r="H131" s="12" t="s">
        <v>707</v>
      </c>
      <c r="I131" s="12" t="s">
        <v>714</v>
      </c>
      <c r="J131" s="12" t="s">
        <v>733</v>
      </c>
      <c r="K131" s="12" t="s">
        <v>1086</v>
      </c>
      <c r="L131" s="6">
        <v>956.38</v>
      </c>
      <c r="M131" s="6">
        <v>1454.22</v>
      </c>
      <c r="N131" s="6">
        <v>3.9E-2</v>
      </c>
      <c r="O131" s="6">
        <v>19</v>
      </c>
    </row>
    <row r="132" spans="1:15" x14ac:dyDescent="0.25">
      <c r="A132" s="12" t="s">
        <v>492</v>
      </c>
      <c r="B132" s="4">
        <v>45123</v>
      </c>
      <c r="C132" s="4">
        <v>45151</v>
      </c>
      <c r="D132" s="12" t="s">
        <v>649</v>
      </c>
      <c r="E132" s="12" t="s">
        <v>658</v>
      </c>
      <c r="F132" s="12" t="s">
        <v>693</v>
      </c>
      <c r="G132" s="12" t="s">
        <v>703</v>
      </c>
      <c r="H132" s="12" t="s">
        <v>708</v>
      </c>
      <c r="I132" s="12" t="s">
        <v>713</v>
      </c>
      <c r="J132" s="12" t="s">
        <v>731</v>
      </c>
      <c r="K132" s="12" t="s">
        <v>1211</v>
      </c>
      <c r="L132" s="6">
        <v>1039.03</v>
      </c>
      <c r="M132" s="6">
        <v>2545.81</v>
      </c>
      <c r="N132" s="6">
        <v>0.216</v>
      </c>
      <c r="O132" s="6">
        <v>21</v>
      </c>
    </row>
    <row r="133" spans="1:15" x14ac:dyDescent="0.25">
      <c r="A133" s="12" t="s">
        <v>303</v>
      </c>
      <c r="B133" s="4">
        <v>45125</v>
      </c>
      <c r="C133" s="4">
        <v>45148</v>
      </c>
      <c r="D133" s="12" t="s">
        <v>646</v>
      </c>
      <c r="E133" s="12" t="s">
        <v>661</v>
      </c>
      <c r="F133" s="12" t="s">
        <v>682</v>
      </c>
      <c r="G133" s="12" t="s">
        <v>705</v>
      </c>
      <c r="H133" s="12" t="s">
        <v>707</v>
      </c>
      <c r="I133" s="12" t="s">
        <v>716</v>
      </c>
      <c r="J133" s="12" t="s">
        <v>727</v>
      </c>
      <c r="K133" s="12" t="s">
        <v>1023</v>
      </c>
      <c r="L133" s="6">
        <v>1271.56</v>
      </c>
      <c r="M133" s="6">
        <v>995.47</v>
      </c>
      <c r="N133" s="6">
        <v>0.192</v>
      </c>
      <c r="O133" s="6">
        <v>13</v>
      </c>
    </row>
    <row r="134" spans="1:15" x14ac:dyDescent="0.25">
      <c r="A134" s="12" t="s">
        <v>316</v>
      </c>
      <c r="B134" s="4">
        <v>45125</v>
      </c>
      <c r="C134" s="4">
        <v>45129</v>
      </c>
      <c r="D134" s="12" t="s">
        <v>648</v>
      </c>
      <c r="E134" s="12" t="s">
        <v>655</v>
      </c>
      <c r="F134" s="12" t="s">
        <v>670</v>
      </c>
      <c r="G134" s="12" t="s">
        <v>704</v>
      </c>
      <c r="H134" s="12" t="s">
        <v>711</v>
      </c>
      <c r="I134" s="12" t="s">
        <v>721</v>
      </c>
      <c r="J134" s="12" t="s">
        <v>729</v>
      </c>
      <c r="K134" s="12" t="s">
        <v>1036</v>
      </c>
      <c r="L134" s="6">
        <v>1269.55</v>
      </c>
      <c r="M134" s="6">
        <v>2071.1</v>
      </c>
      <c r="N134" s="6">
        <v>0.129</v>
      </c>
      <c r="O134" s="6">
        <v>22</v>
      </c>
    </row>
    <row r="135" spans="1:15" x14ac:dyDescent="0.25">
      <c r="A135" s="12" t="s">
        <v>202</v>
      </c>
      <c r="B135" s="4">
        <v>45126</v>
      </c>
      <c r="C135" s="4">
        <v>45138</v>
      </c>
      <c r="D135" s="12" t="s">
        <v>648</v>
      </c>
      <c r="E135" s="12" t="s">
        <v>655</v>
      </c>
      <c r="F135" s="12" t="s">
        <v>692</v>
      </c>
      <c r="G135" s="12" t="s">
        <v>701</v>
      </c>
      <c r="H135" s="12" t="s">
        <v>707</v>
      </c>
      <c r="I135" s="12" t="s">
        <v>712</v>
      </c>
      <c r="J135" s="12" t="s">
        <v>732</v>
      </c>
      <c r="K135" s="12" t="s">
        <v>922</v>
      </c>
      <c r="L135" s="6">
        <v>1334.64</v>
      </c>
      <c r="M135" s="6">
        <v>2273.42</v>
      </c>
      <c r="N135" s="6">
        <v>0.11799999999999999</v>
      </c>
      <c r="O135" s="6">
        <v>14</v>
      </c>
    </row>
    <row r="136" spans="1:15" x14ac:dyDescent="0.25">
      <c r="A136" s="12" t="s">
        <v>464</v>
      </c>
      <c r="B136" s="4">
        <v>45129</v>
      </c>
      <c r="C136" s="4">
        <v>45128</v>
      </c>
      <c r="D136" s="12" t="s">
        <v>647</v>
      </c>
      <c r="E136" s="12" t="s">
        <v>654</v>
      </c>
      <c r="F136" s="12" t="s">
        <v>680</v>
      </c>
      <c r="G136" s="12" t="s">
        <v>705</v>
      </c>
      <c r="H136" s="12" t="s">
        <v>710</v>
      </c>
      <c r="I136" s="12" t="s">
        <v>718</v>
      </c>
      <c r="J136" s="12" t="s">
        <v>728</v>
      </c>
      <c r="K136" s="12" t="s">
        <v>1183</v>
      </c>
      <c r="L136" s="6">
        <v>946.99</v>
      </c>
      <c r="M136" s="6">
        <v>2132.19</v>
      </c>
      <c r="N136" s="6">
        <v>0.16500000000000001</v>
      </c>
      <c r="O136" s="6">
        <v>7</v>
      </c>
    </row>
    <row r="137" spans="1:15" x14ac:dyDescent="0.25">
      <c r="A137" s="12" t="s">
        <v>287</v>
      </c>
      <c r="B137" s="4">
        <v>45131</v>
      </c>
      <c r="C137" s="4">
        <v>45151</v>
      </c>
      <c r="D137" s="12" t="s">
        <v>648</v>
      </c>
      <c r="E137" s="12" t="s">
        <v>653</v>
      </c>
      <c r="F137" s="12" t="s">
        <v>681</v>
      </c>
      <c r="G137" s="12" t="s">
        <v>702</v>
      </c>
      <c r="H137" s="12" t="s">
        <v>711</v>
      </c>
      <c r="I137" s="12" t="s">
        <v>712</v>
      </c>
      <c r="J137" s="12" t="s">
        <v>732</v>
      </c>
      <c r="K137" s="12" t="s">
        <v>1007</v>
      </c>
      <c r="L137" s="6">
        <v>1082.3800000000001</v>
      </c>
      <c r="M137" s="6">
        <v>1766.55</v>
      </c>
      <c r="N137" s="6">
        <v>0.16400000000000001</v>
      </c>
      <c r="O137" s="6">
        <v>20</v>
      </c>
    </row>
    <row r="138" spans="1:15" x14ac:dyDescent="0.25">
      <c r="A138" s="12" t="s">
        <v>354</v>
      </c>
      <c r="B138" s="4">
        <v>45131</v>
      </c>
      <c r="C138" s="4">
        <v>45157</v>
      </c>
      <c r="D138" s="12" t="s">
        <v>646</v>
      </c>
      <c r="E138" s="12" t="s">
        <v>650</v>
      </c>
      <c r="F138" s="12" t="s">
        <v>664</v>
      </c>
      <c r="G138" s="12" t="s">
        <v>706</v>
      </c>
      <c r="H138" s="12" t="s">
        <v>710</v>
      </c>
      <c r="I138" s="12" t="s">
        <v>724</v>
      </c>
      <c r="J138" s="12" t="s">
        <v>733</v>
      </c>
      <c r="K138" s="12" t="s">
        <v>1074</v>
      </c>
      <c r="L138" s="6">
        <v>661.45</v>
      </c>
      <c r="M138" s="6">
        <v>1634.86</v>
      </c>
      <c r="N138" s="6">
        <v>0.56499999999999995</v>
      </c>
      <c r="O138" s="6">
        <v>24</v>
      </c>
    </row>
    <row r="139" spans="1:15" x14ac:dyDescent="0.25">
      <c r="A139" s="12" t="s">
        <v>352</v>
      </c>
      <c r="B139" s="4">
        <v>45132</v>
      </c>
      <c r="C139" s="4">
        <v>45148</v>
      </c>
      <c r="D139" s="12" t="s">
        <v>646</v>
      </c>
      <c r="E139" s="12" t="s">
        <v>651</v>
      </c>
      <c r="F139" s="12" t="s">
        <v>663</v>
      </c>
      <c r="G139" s="12" t="s">
        <v>701</v>
      </c>
      <c r="H139" s="12" t="s">
        <v>710</v>
      </c>
      <c r="I139" s="12" t="s">
        <v>714</v>
      </c>
      <c r="J139" s="12" t="s">
        <v>733</v>
      </c>
      <c r="K139" s="12" t="s">
        <v>1072</v>
      </c>
      <c r="L139" s="6">
        <v>506.83</v>
      </c>
      <c r="M139" s="6">
        <v>441.74</v>
      </c>
      <c r="N139" s="6">
        <v>0.24</v>
      </c>
      <c r="O139" s="6">
        <v>9</v>
      </c>
    </row>
    <row r="140" spans="1:15" x14ac:dyDescent="0.25">
      <c r="A140" s="12" t="s">
        <v>157</v>
      </c>
      <c r="B140" s="4">
        <v>45133</v>
      </c>
      <c r="C140" s="4">
        <v>45163</v>
      </c>
      <c r="D140" s="12" t="s">
        <v>648</v>
      </c>
      <c r="E140" s="12" t="s">
        <v>660</v>
      </c>
      <c r="F140" s="12" t="s">
        <v>700</v>
      </c>
      <c r="G140" s="12" t="s">
        <v>704</v>
      </c>
      <c r="H140" s="12" t="s">
        <v>707</v>
      </c>
      <c r="I140" s="12" t="s">
        <v>724</v>
      </c>
      <c r="J140" s="12" t="s">
        <v>733</v>
      </c>
      <c r="K140" s="12" t="s">
        <v>876</v>
      </c>
      <c r="L140" s="6">
        <v>1261.48</v>
      </c>
      <c r="M140" s="6">
        <v>1643.18</v>
      </c>
      <c r="N140" s="6">
        <v>0.151</v>
      </c>
      <c r="O140" s="6">
        <v>23</v>
      </c>
    </row>
    <row r="141" spans="1:15" x14ac:dyDescent="0.25">
      <c r="A141" s="12" t="s">
        <v>240</v>
      </c>
      <c r="B141" s="4">
        <v>45137</v>
      </c>
      <c r="C141" s="4">
        <v>45145</v>
      </c>
      <c r="D141" s="12" t="s">
        <v>647</v>
      </c>
      <c r="E141" s="12" t="s">
        <v>652</v>
      </c>
      <c r="F141" s="12" t="s">
        <v>694</v>
      </c>
      <c r="G141" s="12" t="s">
        <v>702</v>
      </c>
      <c r="H141" s="12" t="s">
        <v>709</v>
      </c>
      <c r="I141" s="12" t="s">
        <v>720</v>
      </c>
      <c r="J141" s="12" t="s">
        <v>729</v>
      </c>
      <c r="K141" s="12" t="s">
        <v>960</v>
      </c>
      <c r="L141" s="6">
        <v>1352.44</v>
      </c>
      <c r="M141" s="6">
        <v>2698.01</v>
      </c>
      <c r="N141" s="6">
        <v>0.13100000000000001</v>
      </c>
      <c r="O141" s="6">
        <v>13</v>
      </c>
    </row>
    <row r="142" spans="1:15" x14ac:dyDescent="0.25">
      <c r="A142" s="12" t="s">
        <v>628</v>
      </c>
      <c r="B142" s="4">
        <v>45137</v>
      </c>
      <c r="C142" s="4">
        <v>45157</v>
      </c>
      <c r="D142" s="12" t="s">
        <v>649</v>
      </c>
      <c r="E142" s="12" t="s">
        <v>657</v>
      </c>
      <c r="F142" s="12" t="s">
        <v>690</v>
      </c>
      <c r="G142" s="12" t="s">
        <v>706</v>
      </c>
      <c r="H142" s="12" t="s">
        <v>709</v>
      </c>
      <c r="I142" s="12" t="s">
        <v>715</v>
      </c>
      <c r="J142" s="12" t="s">
        <v>729</v>
      </c>
      <c r="K142" s="12" t="s">
        <v>1346</v>
      </c>
      <c r="L142" s="6">
        <v>1418.51</v>
      </c>
      <c r="M142" s="6">
        <v>2789.61</v>
      </c>
      <c r="N142" s="6">
        <v>0.17100000000000001</v>
      </c>
      <c r="O142" s="6">
        <v>8</v>
      </c>
    </row>
    <row r="143" spans="1:15" x14ac:dyDescent="0.25">
      <c r="A143" s="12" t="s">
        <v>591</v>
      </c>
      <c r="B143" s="4">
        <v>45140</v>
      </c>
      <c r="C143" s="4">
        <v>45157</v>
      </c>
      <c r="D143" s="12" t="s">
        <v>648</v>
      </c>
      <c r="E143" s="12" t="s">
        <v>653</v>
      </c>
      <c r="F143" s="12" t="s">
        <v>688</v>
      </c>
      <c r="G143" s="12" t="s">
        <v>701</v>
      </c>
      <c r="H143" s="12" t="s">
        <v>708</v>
      </c>
      <c r="I143" s="12" t="s">
        <v>721</v>
      </c>
      <c r="J143" s="12" t="s">
        <v>729</v>
      </c>
      <c r="K143" s="12" t="s">
        <v>1309</v>
      </c>
      <c r="L143" s="6">
        <v>175.38</v>
      </c>
      <c r="M143" s="6">
        <v>347.9</v>
      </c>
      <c r="N143" s="6">
        <v>7.1999999999999995E-2</v>
      </c>
      <c r="O143" s="6">
        <v>43</v>
      </c>
    </row>
    <row r="144" spans="1:15" x14ac:dyDescent="0.25">
      <c r="A144" s="12" t="s">
        <v>284</v>
      </c>
      <c r="B144" s="4">
        <v>45141</v>
      </c>
      <c r="C144" s="4">
        <v>45152</v>
      </c>
      <c r="D144" s="12" t="s">
        <v>648</v>
      </c>
      <c r="E144" s="12" t="s">
        <v>655</v>
      </c>
      <c r="F144" s="12" t="s">
        <v>672</v>
      </c>
      <c r="G144" s="12" t="s">
        <v>701</v>
      </c>
      <c r="H144" s="12" t="s">
        <v>711</v>
      </c>
      <c r="I144" s="12" t="s">
        <v>713</v>
      </c>
      <c r="J144" s="12" t="s">
        <v>733</v>
      </c>
      <c r="K144" s="12" t="s">
        <v>1004</v>
      </c>
      <c r="L144" s="6">
        <v>232.73</v>
      </c>
      <c r="M144" s="6">
        <v>334.19</v>
      </c>
      <c r="N144" s="6">
        <v>0.13400000000000001</v>
      </c>
      <c r="O144" s="6">
        <v>25</v>
      </c>
    </row>
    <row r="145" spans="1:15" x14ac:dyDescent="0.25">
      <c r="A145" s="12" t="s">
        <v>638</v>
      </c>
      <c r="B145" s="4">
        <v>45141</v>
      </c>
      <c r="C145" s="4">
        <v>45140</v>
      </c>
      <c r="D145" s="12" t="s">
        <v>647</v>
      </c>
      <c r="E145" s="12" t="s">
        <v>659</v>
      </c>
      <c r="F145" s="12" t="s">
        <v>685</v>
      </c>
      <c r="G145" s="12" t="s">
        <v>703</v>
      </c>
      <c r="H145" s="12" t="s">
        <v>711</v>
      </c>
      <c r="I145" s="12" t="s">
        <v>713</v>
      </c>
      <c r="J145" s="12" t="s">
        <v>729</v>
      </c>
      <c r="K145" s="12" t="s">
        <v>1356</v>
      </c>
      <c r="L145" s="6">
        <v>1021.97</v>
      </c>
      <c r="M145" s="6">
        <v>2296.25</v>
      </c>
      <c r="N145" s="6">
        <v>0.161</v>
      </c>
      <c r="O145" s="6">
        <v>26</v>
      </c>
    </row>
    <row r="146" spans="1:15" x14ac:dyDescent="0.25">
      <c r="A146" s="12" t="s">
        <v>641</v>
      </c>
      <c r="B146" s="4">
        <v>45141</v>
      </c>
      <c r="C146" s="4">
        <v>45168</v>
      </c>
      <c r="D146" s="12" t="s">
        <v>647</v>
      </c>
      <c r="E146" s="12" t="s">
        <v>659</v>
      </c>
      <c r="F146" s="12" t="s">
        <v>685</v>
      </c>
      <c r="G146" s="12" t="s">
        <v>704</v>
      </c>
      <c r="H146" s="12" t="s">
        <v>710</v>
      </c>
      <c r="I146" s="12" t="s">
        <v>725</v>
      </c>
      <c r="J146" s="12" t="s">
        <v>732</v>
      </c>
      <c r="K146" s="12" t="s">
        <v>1359</v>
      </c>
      <c r="L146" s="6">
        <v>226.04</v>
      </c>
      <c r="M146" s="6">
        <v>545.72</v>
      </c>
      <c r="N146" s="6">
        <v>0.151</v>
      </c>
      <c r="O146" s="6">
        <v>11</v>
      </c>
    </row>
    <row r="147" spans="1:15" x14ac:dyDescent="0.25">
      <c r="A147" s="12" t="s">
        <v>276</v>
      </c>
      <c r="B147" s="4">
        <v>45142</v>
      </c>
      <c r="C147" s="4">
        <v>45162</v>
      </c>
      <c r="D147" s="12" t="s">
        <v>648</v>
      </c>
      <c r="E147" s="12" t="s">
        <v>655</v>
      </c>
      <c r="F147" s="12" t="s">
        <v>672</v>
      </c>
      <c r="G147" s="12" t="s">
        <v>703</v>
      </c>
      <c r="H147" s="12" t="s">
        <v>711</v>
      </c>
      <c r="I147" s="14" t="s">
        <v>1368</v>
      </c>
      <c r="J147" s="12" t="s">
        <v>729</v>
      </c>
      <c r="K147" s="12" t="s">
        <v>996</v>
      </c>
      <c r="L147" s="6">
        <v>582.88</v>
      </c>
      <c r="M147" s="6">
        <v>1044.1400000000001</v>
      </c>
      <c r="N147" s="6">
        <v>0.216</v>
      </c>
      <c r="O147" s="6">
        <v>10</v>
      </c>
    </row>
    <row r="148" spans="1:15" x14ac:dyDescent="0.25">
      <c r="A148" s="12" t="s">
        <v>205</v>
      </c>
      <c r="B148" s="4">
        <v>45146</v>
      </c>
      <c r="C148" s="4">
        <v>45160</v>
      </c>
      <c r="D148" s="12" t="s">
        <v>649</v>
      </c>
      <c r="E148" s="12" t="s">
        <v>658</v>
      </c>
      <c r="F148" s="12" t="s">
        <v>674</v>
      </c>
      <c r="G148" s="12" t="s">
        <v>703</v>
      </c>
      <c r="H148" s="12" t="s">
        <v>711</v>
      </c>
      <c r="I148" s="12" t="s">
        <v>725</v>
      </c>
      <c r="J148" s="12" t="s">
        <v>732</v>
      </c>
      <c r="K148" s="12" t="s">
        <v>925</v>
      </c>
      <c r="L148" s="6">
        <v>446.69</v>
      </c>
      <c r="M148" s="6">
        <v>967.25</v>
      </c>
      <c r="N148" s="6">
        <v>9.4E-2</v>
      </c>
      <c r="O148" s="6">
        <v>10</v>
      </c>
    </row>
    <row r="149" spans="1:15" x14ac:dyDescent="0.25">
      <c r="A149" s="12" t="s">
        <v>498</v>
      </c>
      <c r="B149" s="4">
        <v>45148</v>
      </c>
      <c r="C149" s="4">
        <v>45153</v>
      </c>
      <c r="D149" s="12" t="s">
        <v>648</v>
      </c>
      <c r="E149" s="12" t="s">
        <v>655</v>
      </c>
      <c r="F149" s="12" t="s">
        <v>670</v>
      </c>
      <c r="G149" s="12" t="s">
        <v>702</v>
      </c>
      <c r="H149" s="12" t="s">
        <v>711</v>
      </c>
      <c r="I149" s="12" t="s">
        <v>715</v>
      </c>
      <c r="J149" s="12" t="s">
        <v>729</v>
      </c>
      <c r="K149" s="12" t="s">
        <v>1217</v>
      </c>
      <c r="L149" s="6">
        <v>1307.52</v>
      </c>
      <c r="M149" s="6">
        <v>1921.65</v>
      </c>
      <c r="N149" s="6">
        <v>0.123</v>
      </c>
      <c r="O149" s="6">
        <v>13</v>
      </c>
    </row>
    <row r="150" spans="1:15" x14ac:dyDescent="0.25">
      <c r="A150" s="12" t="s">
        <v>140</v>
      </c>
      <c r="B150" s="4">
        <v>45150</v>
      </c>
      <c r="C150" s="4">
        <v>45175</v>
      </c>
      <c r="D150" s="12" t="s">
        <v>647</v>
      </c>
      <c r="E150" s="12" t="s">
        <v>659</v>
      </c>
      <c r="F150" s="12" t="s">
        <v>685</v>
      </c>
      <c r="G150" s="12" t="s">
        <v>705</v>
      </c>
      <c r="H150" s="12" t="s">
        <v>707</v>
      </c>
      <c r="I150" s="12" t="s">
        <v>717</v>
      </c>
      <c r="J150" s="12" t="s">
        <v>727</v>
      </c>
      <c r="K150" s="12" t="s">
        <v>859</v>
      </c>
      <c r="L150" s="6">
        <v>950.77</v>
      </c>
      <c r="M150" s="6">
        <v>694.78</v>
      </c>
      <c r="N150" s="6">
        <v>8.4000000000000005E-2</v>
      </c>
      <c r="O150" s="6">
        <v>14</v>
      </c>
    </row>
    <row r="151" spans="1:15" x14ac:dyDescent="0.25">
      <c r="A151" s="12" t="s">
        <v>216</v>
      </c>
      <c r="B151" s="4">
        <v>45153</v>
      </c>
      <c r="C151" s="4">
        <v>45176</v>
      </c>
      <c r="D151" s="12" t="s">
        <v>648</v>
      </c>
      <c r="E151" s="12" t="s">
        <v>660</v>
      </c>
      <c r="F151" s="12" t="s">
        <v>700</v>
      </c>
      <c r="G151" s="12" t="s">
        <v>706</v>
      </c>
      <c r="H151" s="12" t="s">
        <v>708</v>
      </c>
      <c r="I151" s="12" t="s">
        <v>723</v>
      </c>
      <c r="J151" s="12" t="s">
        <v>730</v>
      </c>
      <c r="K151" s="12" t="s">
        <v>936</v>
      </c>
      <c r="L151" s="6">
        <v>590.33000000000004</v>
      </c>
      <c r="M151" s="6">
        <v>973.04</v>
      </c>
      <c r="N151" s="6">
        <v>0</v>
      </c>
      <c r="O151" s="6">
        <v>26</v>
      </c>
    </row>
    <row r="152" spans="1:15" x14ac:dyDescent="0.25">
      <c r="A152" s="12" t="s">
        <v>296</v>
      </c>
      <c r="B152" s="4">
        <v>45153</v>
      </c>
      <c r="C152" s="4">
        <v>45163</v>
      </c>
      <c r="D152" s="12" t="s">
        <v>646</v>
      </c>
      <c r="E152" s="12" t="s">
        <v>650</v>
      </c>
      <c r="F152" s="12" t="s">
        <v>664</v>
      </c>
      <c r="G152" s="12" t="s">
        <v>705</v>
      </c>
      <c r="H152" s="12" t="s">
        <v>707</v>
      </c>
      <c r="I152" s="12" t="s">
        <v>725</v>
      </c>
      <c r="J152" s="12" t="s">
        <v>730</v>
      </c>
      <c r="K152" s="12" t="s">
        <v>1016</v>
      </c>
      <c r="L152" s="6">
        <v>91.85</v>
      </c>
      <c r="M152" s="6">
        <v>111.29</v>
      </c>
      <c r="N152" s="6">
        <v>0</v>
      </c>
      <c r="O152" s="6">
        <v>6</v>
      </c>
    </row>
    <row r="153" spans="1:15" x14ac:dyDescent="0.25">
      <c r="A153" s="12" t="s">
        <v>547</v>
      </c>
      <c r="B153" s="4">
        <v>45155</v>
      </c>
      <c r="C153" s="4">
        <v>45172</v>
      </c>
      <c r="D153" s="12" t="s">
        <v>646</v>
      </c>
      <c r="E153" s="12" t="s">
        <v>661</v>
      </c>
      <c r="F153" s="12" t="s">
        <v>687</v>
      </c>
      <c r="G153" s="12" t="s">
        <v>706</v>
      </c>
      <c r="H153" s="12" t="s">
        <v>707</v>
      </c>
      <c r="I153" s="12" t="s">
        <v>720</v>
      </c>
      <c r="J153" s="12" t="s">
        <v>730</v>
      </c>
      <c r="K153" s="12" t="s">
        <v>1266</v>
      </c>
      <c r="L153" s="6">
        <v>676.37</v>
      </c>
      <c r="M153" s="6">
        <v>1276.67</v>
      </c>
      <c r="N153" s="6">
        <v>6.6000000000000003E-2</v>
      </c>
      <c r="O153" s="6">
        <v>10</v>
      </c>
    </row>
    <row r="154" spans="1:15" x14ac:dyDescent="0.25">
      <c r="A154" s="12" t="s">
        <v>83</v>
      </c>
      <c r="B154" s="4">
        <v>45157</v>
      </c>
      <c r="C154" s="4">
        <v>45176</v>
      </c>
      <c r="D154" s="12" t="s">
        <v>646</v>
      </c>
      <c r="E154" s="12" t="s">
        <v>661</v>
      </c>
      <c r="F154" s="12" t="s">
        <v>682</v>
      </c>
      <c r="G154" s="12" t="s">
        <v>706</v>
      </c>
      <c r="H154" s="12" t="s">
        <v>707</v>
      </c>
      <c r="I154" s="12" t="s">
        <v>726</v>
      </c>
      <c r="J154" s="12" t="s">
        <v>732</v>
      </c>
      <c r="K154" s="12" t="s">
        <v>802</v>
      </c>
      <c r="L154" s="6">
        <v>494.61</v>
      </c>
      <c r="M154" s="6">
        <v>605.23</v>
      </c>
      <c r="N154" s="6">
        <v>0.20399999999999999</v>
      </c>
      <c r="O154" s="6">
        <v>18</v>
      </c>
    </row>
    <row r="155" spans="1:15" x14ac:dyDescent="0.25">
      <c r="A155" s="12" t="s">
        <v>96</v>
      </c>
      <c r="B155" s="4">
        <v>45157</v>
      </c>
      <c r="C155" s="4">
        <v>45181</v>
      </c>
      <c r="D155" s="12" t="s">
        <v>648</v>
      </c>
      <c r="E155" s="12" t="s">
        <v>653</v>
      </c>
      <c r="F155" s="12" t="s">
        <v>688</v>
      </c>
      <c r="G155" s="12" t="s">
        <v>706</v>
      </c>
      <c r="H155" s="12" t="s">
        <v>707</v>
      </c>
      <c r="I155" s="12" t="s">
        <v>714</v>
      </c>
      <c r="J155" s="12" t="s">
        <v>728</v>
      </c>
      <c r="K155" s="12" t="s">
        <v>815</v>
      </c>
      <c r="L155" s="6">
        <v>1183.95</v>
      </c>
      <c r="M155" s="6">
        <v>1503.53</v>
      </c>
      <c r="N155" s="6">
        <v>0.24099999999999999</v>
      </c>
      <c r="O155" s="6">
        <v>16</v>
      </c>
    </row>
    <row r="156" spans="1:15" x14ac:dyDescent="0.25">
      <c r="A156" s="12" t="s">
        <v>198</v>
      </c>
      <c r="B156" s="4">
        <v>45157</v>
      </c>
      <c r="C156" s="4">
        <v>45161</v>
      </c>
      <c r="D156" s="12" t="s">
        <v>646</v>
      </c>
      <c r="E156" s="12" t="s">
        <v>651</v>
      </c>
      <c r="F156" s="12" t="s">
        <v>669</v>
      </c>
      <c r="G156" s="12" t="s">
        <v>705</v>
      </c>
      <c r="H156" s="12" t="s">
        <v>708</v>
      </c>
      <c r="I156" s="12" t="s">
        <v>713</v>
      </c>
      <c r="J156" s="12" t="s">
        <v>732</v>
      </c>
      <c r="K156" s="12" t="s">
        <v>917</v>
      </c>
      <c r="L156" s="6">
        <v>790.63</v>
      </c>
      <c r="M156" s="6">
        <v>1382.31</v>
      </c>
      <c r="N156" s="6">
        <v>0.10100000000000001</v>
      </c>
      <c r="O156" s="6">
        <v>7</v>
      </c>
    </row>
    <row r="157" spans="1:15" x14ac:dyDescent="0.25">
      <c r="A157" s="12" t="s">
        <v>139</v>
      </c>
      <c r="B157" s="4">
        <v>45159</v>
      </c>
      <c r="C157" s="4">
        <v>45173</v>
      </c>
      <c r="D157" s="12" t="s">
        <v>648</v>
      </c>
      <c r="E157" s="12" t="s">
        <v>653</v>
      </c>
      <c r="F157" s="12" t="s">
        <v>681</v>
      </c>
      <c r="G157" s="12" t="s">
        <v>702</v>
      </c>
      <c r="H157" s="12" t="s">
        <v>710</v>
      </c>
      <c r="I157" s="12" t="s">
        <v>721</v>
      </c>
      <c r="J157" s="12" t="s">
        <v>727</v>
      </c>
      <c r="K157" s="12" t="s">
        <v>858</v>
      </c>
      <c r="L157" s="6">
        <v>178.19</v>
      </c>
      <c r="M157" s="6">
        <v>284.43</v>
      </c>
      <c r="N157" s="6">
        <v>8.8999999999999996E-2</v>
      </c>
      <c r="O157" s="6">
        <v>8</v>
      </c>
    </row>
    <row r="158" spans="1:15" x14ac:dyDescent="0.25">
      <c r="A158" s="12" t="s">
        <v>307</v>
      </c>
      <c r="B158" s="4">
        <v>45161</v>
      </c>
      <c r="C158" s="4">
        <v>45191</v>
      </c>
      <c r="D158" s="12" t="s">
        <v>649</v>
      </c>
      <c r="E158" s="12" t="s">
        <v>658</v>
      </c>
      <c r="F158" s="12" t="s">
        <v>683</v>
      </c>
      <c r="G158" s="12" t="s">
        <v>704</v>
      </c>
      <c r="H158" s="12" t="s">
        <v>710</v>
      </c>
      <c r="I158" s="12" t="s">
        <v>719</v>
      </c>
      <c r="J158" s="12" t="s">
        <v>733</v>
      </c>
      <c r="K158" s="12" t="s">
        <v>1027</v>
      </c>
      <c r="L158" s="6">
        <v>209.81</v>
      </c>
      <c r="M158" s="6">
        <v>523</v>
      </c>
      <c r="N158" s="6">
        <v>5.8999999999999997E-2</v>
      </c>
      <c r="O158" s="6">
        <v>15</v>
      </c>
    </row>
    <row r="159" spans="1:15" x14ac:dyDescent="0.25">
      <c r="A159" s="12" t="s">
        <v>543</v>
      </c>
      <c r="B159" s="4">
        <v>45162</v>
      </c>
      <c r="C159" s="4">
        <v>45189</v>
      </c>
      <c r="D159" s="12" t="s">
        <v>646</v>
      </c>
      <c r="E159" s="12" t="s">
        <v>661</v>
      </c>
      <c r="F159" s="12" t="s">
        <v>687</v>
      </c>
      <c r="G159" s="12" t="s">
        <v>705</v>
      </c>
      <c r="H159" s="12" t="s">
        <v>709</v>
      </c>
      <c r="I159" s="12" t="s">
        <v>724</v>
      </c>
      <c r="J159" s="12" t="s">
        <v>728</v>
      </c>
      <c r="K159" s="12" t="s">
        <v>1262</v>
      </c>
      <c r="L159" s="6">
        <v>1399.64</v>
      </c>
      <c r="M159" s="6">
        <v>3342.11</v>
      </c>
      <c r="N159" s="6">
        <v>0</v>
      </c>
      <c r="O159" s="6">
        <v>10</v>
      </c>
    </row>
    <row r="160" spans="1:15" x14ac:dyDescent="0.25">
      <c r="A160" s="12" t="s">
        <v>427</v>
      </c>
      <c r="B160" s="4">
        <v>45163</v>
      </c>
      <c r="C160" s="4">
        <v>45185</v>
      </c>
      <c r="D160" s="12" t="s">
        <v>646</v>
      </c>
      <c r="E160" s="12" t="s">
        <v>651</v>
      </c>
      <c r="F160" s="12" t="s">
        <v>669</v>
      </c>
      <c r="G160" s="12" t="s">
        <v>701</v>
      </c>
      <c r="H160" s="12" t="s">
        <v>709</v>
      </c>
      <c r="I160" s="12" t="s">
        <v>716</v>
      </c>
      <c r="J160" s="12" t="s">
        <v>730</v>
      </c>
      <c r="K160" s="12" t="s">
        <v>1146</v>
      </c>
      <c r="L160" s="6">
        <v>1196.83</v>
      </c>
      <c r="M160" s="6">
        <v>2513.5100000000002</v>
      </c>
      <c r="N160" s="6">
        <v>8.3000000000000004E-2</v>
      </c>
      <c r="O160" s="6">
        <v>7</v>
      </c>
    </row>
    <row r="161" spans="1:15" x14ac:dyDescent="0.25">
      <c r="A161" s="12" t="s">
        <v>236</v>
      </c>
      <c r="B161" s="4">
        <v>45164</v>
      </c>
      <c r="C161" s="4">
        <v>45179</v>
      </c>
      <c r="D161" s="12" t="s">
        <v>646</v>
      </c>
      <c r="E161" s="12" t="s">
        <v>661</v>
      </c>
      <c r="F161" s="12" t="s">
        <v>695</v>
      </c>
      <c r="G161" s="12" t="s">
        <v>703</v>
      </c>
      <c r="H161" s="12" t="s">
        <v>711</v>
      </c>
      <c r="I161" s="12" t="s">
        <v>725</v>
      </c>
      <c r="J161" s="12" t="s">
        <v>727</v>
      </c>
      <c r="K161" s="12" t="s">
        <v>956</v>
      </c>
      <c r="L161" s="6">
        <v>241.14</v>
      </c>
      <c r="M161" s="6">
        <v>496.52</v>
      </c>
      <c r="N161" s="6">
        <v>9.2999999999999999E-2</v>
      </c>
      <c r="O161" s="6">
        <v>10</v>
      </c>
    </row>
    <row r="162" spans="1:15" x14ac:dyDescent="0.25">
      <c r="A162" s="12" t="s">
        <v>191</v>
      </c>
      <c r="B162" s="4">
        <v>45165</v>
      </c>
      <c r="C162" s="4">
        <v>45180</v>
      </c>
      <c r="D162" s="12" t="s">
        <v>649</v>
      </c>
      <c r="E162" s="12" t="s">
        <v>658</v>
      </c>
      <c r="F162" s="12" t="s">
        <v>683</v>
      </c>
      <c r="G162" s="12" t="s">
        <v>704</v>
      </c>
      <c r="H162" s="12" t="s">
        <v>709</v>
      </c>
      <c r="I162" s="12" t="s">
        <v>725</v>
      </c>
      <c r="J162" s="12" t="s">
        <v>728</v>
      </c>
      <c r="K162" s="12" t="s">
        <v>910</v>
      </c>
      <c r="L162" s="6">
        <v>943.79</v>
      </c>
      <c r="M162" s="6">
        <v>1913.76</v>
      </c>
      <c r="N162" s="6">
        <v>9.0999999999999998E-2</v>
      </c>
      <c r="O162" s="6">
        <v>9</v>
      </c>
    </row>
    <row r="163" spans="1:15" x14ac:dyDescent="0.25">
      <c r="A163" s="12" t="s">
        <v>429</v>
      </c>
      <c r="B163" s="4">
        <v>45167</v>
      </c>
      <c r="C163" s="4">
        <v>45182</v>
      </c>
      <c r="D163" s="12" t="s">
        <v>648</v>
      </c>
      <c r="E163" s="12" t="s">
        <v>653</v>
      </c>
      <c r="F163" s="12" t="s">
        <v>688</v>
      </c>
      <c r="G163" s="12" t="s">
        <v>705</v>
      </c>
      <c r="H163" s="12" t="s">
        <v>709</v>
      </c>
      <c r="I163" s="12" t="s">
        <v>719</v>
      </c>
      <c r="J163" s="12" t="s">
        <v>728</v>
      </c>
      <c r="K163" s="12" t="s">
        <v>1148</v>
      </c>
      <c r="L163" s="6">
        <v>1287.6400000000001</v>
      </c>
      <c r="M163" s="6">
        <v>2717.15</v>
      </c>
      <c r="N163" s="6">
        <v>3.2000000000000001E-2</v>
      </c>
      <c r="O163" s="6">
        <v>7</v>
      </c>
    </row>
    <row r="164" spans="1:15" x14ac:dyDescent="0.25">
      <c r="A164" s="12" t="s">
        <v>485</v>
      </c>
      <c r="B164" s="4">
        <v>45167</v>
      </c>
      <c r="C164" s="4">
        <v>45188</v>
      </c>
      <c r="D164" s="12" t="s">
        <v>649</v>
      </c>
      <c r="E164" s="12" t="s">
        <v>657</v>
      </c>
      <c r="F164" s="12" t="s">
        <v>679</v>
      </c>
      <c r="G164" s="12" t="s">
        <v>705</v>
      </c>
      <c r="H164" s="12" t="s">
        <v>711</v>
      </c>
      <c r="I164" s="12" t="s">
        <v>717</v>
      </c>
      <c r="J164" s="12" t="s">
        <v>728</v>
      </c>
      <c r="K164" s="12" t="s">
        <v>1204</v>
      </c>
      <c r="L164" s="6">
        <v>784.46</v>
      </c>
      <c r="M164" s="6">
        <v>1843.51</v>
      </c>
      <c r="N164" s="6">
        <v>0.13800000000000001</v>
      </c>
      <c r="O164" s="6">
        <v>23</v>
      </c>
    </row>
    <row r="165" spans="1:15" x14ac:dyDescent="0.25">
      <c r="A165" s="12" t="s">
        <v>69</v>
      </c>
      <c r="B165" s="4">
        <v>45168</v>
      </c>
      <c r="C165" s="4">
        <v>45170</v>
      </c>
      <c r="D165" s="12" t="s">
        <v>649</v>
      </c>
      <c r="E165" s="12" t="s">
        <v>656</v>
      </c>
      <c r="F165" s="12" t="s">
        <v>684</v>
      </c>
      <c r="G165" s="12" t="s">
        <v>701</v>
      </c>
      <c r="H165" s="12" t="s">
        <v>711</v>
      </c>
      <c r="I165" s="12" t="s">
        <v>725</v>
      </c>
      <c r="J165" s="12" t="s">
        <v>729</v>
      </c>
      <c r="K165" s="12" t="s">
        <v>788</v>
      </c>
      <c r="L165" s="6">
        <v>44.42</v>
      </c>
      <c r="M165" s="6">
        <v>41.9</v>
      </c>
      <c r="N165" s="6">
        <v>0.14399999999999999</v>
      </c>
      <c r="O165" s="6">
        <v>6</v>
      </c>
    </row>
    <row r="166" spans="1:15" x14ac:dyDescent="0.25">
      <c r="A166" s="12" t="s">
        <v>346</v>
      </c>
      <c r="B166" s="4">
        <v>45168</v>
      </c>
      <c r="C166" s="4">
        <v>45172</v>
      </c>
      <c r="D166" s="12" t="s">
        <v>647</v>
      </c>
      <c r="E166" s="12" t="s">
        <v>654</v>
      </c>
      <c r="F166" s="12" t="s">
        <v>680</v>
      </c>
      <c r="G166" s="12" t="s">
        <v>705</v>
      </c>
      <c r="H166" s="12" t="s">
        <v>709</v>
      </c>
      <c r="I166" s="12" t="s">
        <v>716</v>
      </c>
      <c r="J166" s="12" t="s">
        <v>733</v>
      </c>
      <c r="K166" s="12" t="s">
        <v>1066</v>
      </c>
      <c r="L166" s="6">
        <v>1082.25</v>
      </c>
      <c r="M166" s="6">
        <v>2433.34</v>
      </c>
      <c r="N166" s="6">
        <v>0.27</v>
      </c>
      <c r="O166" s="6">
        <v>4</v>
      </c>
    </row>
    <row r="167" spans="1:15" x14ac:dyDescent="0.25">
      <c r="A167" s="12" t="s">
        <v>561</v>
      </c>
      <c r="B167" s="4">
        <v>45177</v>
      </c>
      <c r="C167" s="4">
        <v>45201</v>
      </c>
      <c r="D167" s="12" t="s">
        <v>648</v>
      </c>
      <c r="E167" s="12" t="s">
        <v>653</v>
      </c>
      <c r="F167" s="12" t="s">
        <v>667</v>
      </c>
      <c r="G167" s="12" t="s">
        <v>702</v>
      </c>
      <c r="H167" s="12" t="s">
        <v>711</v>
      </c>
      <c r="I167" s="12" t="s">
        <v>720</v>
      </c>
      <c r="J167" s="12" t="s">
        <v>733</v>
      </c>
      <c r="K167" s="12" t="s">
        <v>1279</v>
      </c>
      <c r="L167" s="6">
        <v>1299.03</v>
      </c>
      <c r="M167" s="6">
        <v>2451.2199999999998</v>
      </c>
      <c r="N167" s="6">
        <v>0.20799999999999999</v>
      </c>
      <c r="O167" s="6">
        <v>8</v>
      </c>
    </row>
    <row r="168" spans="1:15" x14ac:dyDescent="0.25">
      <c r="A168" s="12" t="s">
        <v>634</v>
      </c>
      <c r="B168" s="4">
        <v>45177</v>
      </c>
      <c r="C168" s="4">
        <v>45183</v>
      </c>
      <c r="D168" s="12" t="s">
        <v>646</v>
      </c>
      <c r="E168" s="12" t="s">
        <v>650</v>
      </c>
      <c r="F168" s="12" t="s">
        <v>678</v>
      </c>
      <c r="G168" s="12" t="s">
        <v>702</v>
      </c>
      <c r="H168" s="12" t="s">
        <v>711</v>
      </c>
      <c r="I168" s="12" t="s">
        <v>714</v>
      </c>
      <c r="J168" s="12" t="s">
        <v>733</v>
      </c>
      <c r="K168" s="12" t="s">
        <v>1352</v>
      </c>
      <c r="L168" s="6">
        <v>251.03</v>
      </c>
      <c r="M168" s="6">
        <v>411.48</v>
      </c>
      <c r="N168" s="6">
        <v>0.16500000000000001</v>
      </c>
      <c r="O168" s="6">
        <v>3</v>
      </c>
    </row>
    <row r="169" spans="1:15" x14ac:dyDescent="0.25">
      <c r="A169" s="12" t="s">
        <v>163</v>
      </c>
      <c r="B169" s="4">
        <v>45183</v>
      </c>
      <c r="C169" s="4">
        <v>45185</v>
      </c>
      <c r="D169" s="12" t="s">
        <v>649</v>
      </c>
      <c r="E169" s="12" t="s">
        <v>657</v>
      </c>
      <c r="F169" s="12" t="s">
        <v>679</v>
      </c>
      <c r="G169" s="12" t="s">
        <v>703</v>
      </c>
      <c r="H169" s="12" t="s">
        <v>711</v>
      </c>
      <c r="I169" s="12" t="s">
        <v>717</v>
      </c>
      <c r="J169" s="12" t="s">
        <v>728</v>
      </c>
      <c r="K169" s="12" t="s">
        <v>882</v>
      </c>
      <c r="L169" s="6">
        <v>376.83</v>
      </c>
      <c r="M169" s="6">
        <v>732.88</v>
      </c>
      <c r="N169" s="6">
        <v>0.188</v>
      </c>
      <c r="O169" s="6">
        <v>25</v>
      </c>
    </row>
    <row r="170" spans="1:15" x14ac:dyDescent="0.25">
      <c r="A170" s="12" t="s">
        <v>619</v>
      </c>
      <c r="B170" s="4">
        <v>45186</v>
      </c>
      <c r="C170" s="4">
        <v>45201</v>
      </c>
      <c r="D170" s="12" t="s">
        <v>648</v>
      </c>
      <c r="E170" s="12" t="s">
        <v>655</v>
      </c>
      <c r="F170" s="12" t="s">
        <v>692</v>
      </c>
      <c r="G170" s="12" t="s">
        <v>705</v>
      </c>
      <c r="H170" s="12" t="s">
        <v>707</v>
      </c>
      <c r="I170" s="12" t="s">
        <v>717</v>
      </c>
      <c r="J170" s="12" t="s">
        <v>731</v>
      </c>
      <c r="K170" s="12" t="s">
        <v>1337</v>
      </c>
      <c r="L170" s="6">
        <v>689.33</v>
      </c>
      <c r="M170" s="6">
        <v>668.27</v>
      </c>
      <c r="N170" s="6">
        <v>0.186</v>
      </c>
      <c r="O170" s="6">
        <v>13</v>
      </c>
    </row>
    <row r="171" spans="1:15" x14ac:dyDescent="0.25">
      <c r="A171" s="12" t="s">
        <v>90</v>
      </c>
      <c r="B171" s="4">
        <v>45187</v>
      </c>
      <c r="C171" s="4">
        <v>45207</v>
      </c>
      <c r="D171" s="12" t="s">
        <v>647</v>
      </c>
      <c r="E171" s="12" t="s">
        <v>654</v>
      </c>
      <c r="F171" s="12" t="s">
        <v>680</v>
      </c>
      <c r="G171" s="12" t="s">
        <v>705</v>
      </c>
      <c r="H171" s="12" t="s">
        <v>711</v>
      </c>
      <c r="I171" s="12" t="s">
        <v>717</v>
      </c>
      <c r="J171" s="12" t="s">
        <v>727</v>
      </c>
      <c r="K171" s="12" t="s">
        <v>809</v>
      </c>
      <c r="L171" s="6">
        <v>825.64</v>
      </c>
      <c r="M171" s="6">
        <v>1108.43</v>
      </c>
      <c r="N171" s="6">
        <v>0.114</v>
      </c>
      <c r="O171" s="6">
        <v>7</v>
      </c>
    </row>
    <row r="172" spans="1:15" x14ac:dyDescent="0.25">
      <c r="A172" s="12" t="s">
        <v>254</v>
      </c>
      <c r="B172" s="4">
        <v>45188</v>
      </c>
      <c r="C172" s="4">
        <v>45207</v>
      </c>
      <c r="D172" s="12" t="s">
        <v>647</v>
      </c>
      <c r="E172" s="12" t="s">
        <v>654</v>
      </c>
      <c r="F172" s="12" t="s">
        <v>668</v>
      </c>
      <c r="G172" s="12" t="s">
        <v>702</v>
      </c>
      <c r="H172" s="12" t="s">
        <v>711</v>
      </c>
      <c r="I172" s="12" t="s">
        <v>713</v>
      </c>
      <c r="J172" s="12" t="s">
        <v>728</v>
      </c>
      <c r="K172" s="12" t="s">
        <v>974</v>
      </c>
      <c r="L172" s="6">
        <v>385.32</v>
      </c>
      <c r="M172" s="6">
        <v>606.76</v>
      </c>
      <c r="N172" s="6">
        <v>8.5999999999999993E-2</v>
      </c>
      <c r="O172" s="6">
        <v>8</v>
      </c>
    </row>
    <row r="173" spans="1:15" x14ac:dyDescent="0.25">
      <c r="A173" s="12" t="s">
        <v>456</v>
      </c>
      <c r="B173" s="4">
        <v>45189</v>
      </c>
      <c r="C173" s="4">
        <v>45197</v>
      </c>
      <c r="D173" s="12" t="s">
        <v>647</v>
      </c>
      <c r="E173" s="12" t="s">
        <v>654</v>
      </c>
      <c r="F173" s="14" t="s">
        <v>1367</v>
      </c>
      <c r="G173" s="12" t="s">
        <v>701</v>
      </c>
      <c r="H173" s="14" t="s">
        <v>1379</v>
      </c>
      <c r="I173" s="12" t="s">
        <v>717</v>
      </c>
      <c r="J173" s="12" t="s">
        <v>733</v>
      </c>
      <c r="K173" s="12" t="s">
        <v>1175</v>
      </c>
      <c r="L173" s="6">
        <v>1362.06</v>
      </c>
      <c r="M173" s="6">
        <v>3398.37</v>
      </c>
      <c r="N173" s="6">
        <v>0.157</v>
      </c>
      <c r="O173" s="6">
        <v>11</v>
      </c>
    </row>
    <row r="174" spans="1:15" x14ac:dyDescent="0.25">
      <c r="A174" s="12" t="s">
        <v>186</v>
      </c>
      <c r="B174" s="4">
        <v>45190</v>
      </c>
      <c r="C174" s="4">
        <v>45209</v>
      </c>
      <c r="D174" s="12" t="s">
        <v>647</v>
      </c>
      <c r="E174" s="12" t="s">
        <v>652</v>
      </c>
      <c r="F174" s="12" t="s">
        <v>689</v>
      </c>
      <c r="G174" s="12" t="s">
        <v>702</v>
      </c>
      <c r="H174" s="12" t="s">
        <v>708</v>
      </c>
      <c r="I174" s="12" t="s">
        <v>726</v>
      </c>
      <c r="J174" s="12" t="s">
        <v>727</v>
      </c>
      <c r="K174" s="12" t="s">
        <v>905</v>
      </c>
      <c r="L174" s="6">
        <v>845.63</v>
      </c>
      <c r="M174" s="6">
        <v>2062.12</v>
      </c>
      <c r="N174" s="6">
        <v>0.13400000000000001</v>
      </c>
      <c r="O174" s="6">
        <v>5</v>
      </c>
    </row>
    <row r="175" spans="1:15" x14ac:dyDescent="0.25">
      <c r="A175" s="12" t="s">
        <v>235</v>
      </c>
      <c r="B175" s="4">
        <v>45194</v>
      </c>
      <c r="C175" s="4">
        <v>45201</v>
      </c>
      <c r="D175" s="12" t="s">
        <v>648</v>
      </c>
      <c r="E175" s="12" t="s">
        <v>660</v>
      </c>
      <c r="F175" s="12" t="s">
        <v>700</v>
      </c>
      <c r="G175" s="12" t="s">
        <v>702</v>
      </c>
      <c r="H175" s="12" t="s">
        <v>709</v>
      </c>
      <c r="I175" s="12" t="s">
        <v>714</v>
      </c>
      <c r="J175" s="12" t="s">
        <v>733</v>
      </c>
      <c r="K175" s="12" t="s">
        <v>955</v>
      </c>
      <c r="L175" s="6">
        <v>145.58000000000001</v>
      </c>
      <c r="M175" s="6">
        <v>228.15</v>
      </c>
      <c r="N175" s="6">
        <v>0.20399999999999999</v>
      </c>
      <c r="O175" s="6">
        <v>5</v>
      </c>
    </row>
    <row r="176" spans="1:15" x14ac:dyDescent="0.25">
      <c r="A176" s="12" t="s">
        <v>382</v>
      </c>
      <c r="B176" s="4">
        <v>45194</v>
      </c>
      <c r="C176" s="4">
        <v>45208</v>
      </c>
      <c r="D176" s="12" t="s">
        <v>648</v>
      </c>
      <c r="E176" s="12" t="s">
        <v>660</v>
      </c>
      <c r="F176" s="12" t="s">
        <v>700</v>
      </c>
      <c r="G176" s="12" t="s">
        <v>705</v>
      </c>
      <c r="H176" s="12" t="s">
        <v>709</v>
      </c>
      <c r="I176" s="12" t="s">
        <v>713</v>
      </c>
      <c r="J176" s="12" t="s">
        <v>731</v>
      </c>
      <c r="K176" s="12" t="s">
        <v>1102</v>
      </c>
      <c r="L176" s="6">
        <v>1279.56</v>
      </c>
      <c r="M176" s="6">
        <v>3083.8</v>
      </c>
      <c r="N176" s="6">
        <v>0.106</v>
      </c>
      <c r="O176" s="6">
        <v>5</v>
      </c>
    </row>
    <row r="177" spans="1:15" x14ac:dyDescent="0.25">
      <c r="A177" s="12" t="s">
        <v>402</v>
      </c>
      <c r="B177" s="4">
        <v>45199</v>
      </c>
      <c r="C177" s="4">
        <v>45202</v>
      </c>
      <c r="D177" s="12" t="s">
        <v>647</v>
      </c>
      <c r="E177" s="12" t="s">
        <v>659</v>
      </c>
      <c r="F177" s="12" t="s">
        <v>699</v>
      </c>
      <c r="G177" s="12" t="s">
        <v>703</v>
      </c>
      <c r="H177" s="12" t="s">
        <v>707</v>
      </c>
      <c r="I177" s="12" t="s">
        <v>713</v>
      </c>
      <c r="J177" s="12" t="s">
        <v>731</v>
      </c>
      <c r="K177" s="12" t="s">
        <v>1121</v>
      </c>
      <c r="L177" s="6">
        <v>1019.36</v>
      </c>
      <c r="M177" s="6">
        <v>972.91</v>
      </c>
      <c r="N177" s="6">
        <v>0.14699999999999999</v>
      </c>
      <c r="O177" s="6">
        <v>17</v>
      </c>
    </row>
    <row r="178" spans="1:15" x14ac:dyDescent="0.25">
      <c r="A178" s="12" t="s">
        <v>530</v>
      </c>
      <c r="B178" s="4">
        <v>45199</v>
      </c>
      <c r="C178" s="4">
        <v>45229</v>
      </c>
      <c r="D178" s="12" t="s">
        <v>647</v>
      </c>
      <c r="E178" s="12" t="s">
        <v>652</v>
      </c>
      <c r="F178" s="12" t="s">
        <v>689</v>
      </c>
      <c r="G178" s="12" t="s">
        <v>706</v>
      </c>
      <c r="H178" s="12" t="s">
        <v>708</v>
      </c>
      <c r="I178" s="12" t="s">
        <v>726</v>
      </c>
      <c r="J178" s="12" t="s">
        <v>728</v>
      </c>
      <c r="K178" s="12" t="s">
        <v>1249</v>
      </c>
      <c r="L178" s="6">
        <v>649.13</v>
      </c>
      <c r="M178" s="6">
        <v>975.43</v>
      </c>
      <c r="N178" s="6">
        <v>0.157</v>
      </c>
      <c r="O178" s="6">
        <v>27</v>
      </c>
    </row>
    <row r="179" spans="1:15" x14ac:dyDescent="0.25">
      <c r="A179" s="12" t="s">
        <v>241</v>
      </c>
      <c r="B179" s="4">
        <v>45203</v>
      </c>
      <c r="C179" s="4">
        <v>45228</v>
      </c>
      <c r="D179" s="12" t="s">
        <v>648</v>
      </c>
      <c r="E179" s="12" t="s">
        <v>660</v>
      </c>
      <c r="F179" s="12" t="s">
        <v>686</v>
      </c>
      <c r="G179" s="12" t="s">
        <v>705</v>
      </c>
      <c r="H179" s="12" t="s">
        <v>710</v>
      </c>
      <c r="I179" s="12" t="s">
        <v>719</v>
      </c>
      <c r="J179" s="12" t="s">
        <v>733</v>
      </c>
      <c r="K179" s="12" t="s">
        <v>961</v>
      </c>
      <c r="L179" s="6">
        <v>1239.8399999999999</v>
      </c>
      <c r="M179" s="6">
        <v>1482.75</v>
      </c>
      <c r="N179" s="6">
        <v>6.7000000000000004E-2</v>
      </c>
      <c r="O179" s="6">
        <v>4</v>
      </c>
    </row>
    <row r="180" spans="1:15" x14ac:dyDescent="0.25">
      <c r="A180" s="12" t="s">
        <v>270</v>
      </c>
      <c r="B180" s="4">
        <v>45204</v>
      </c>
      <c r="C180" s="4">
        <v>45205</v>
      </c>
      <c r="D180" s="12" t="s">
        <v>647</v>
      </c>
      <c r="E180" s="12" t="s">
        <v>654</v>
      </c>
      <c r="F180" s="12" t="s">
        <v>668</v>
      </c>
      <c r="G180" s="12" t="s">
        <v>703</v>
      </c>
      <c r="H180" s="12" t="s">
        <v>708</v>
      </c>
      <c r="I180" s="12" t="s">
        <v>714</v>
      </c>
      <c r="J180" s="12" t="s">
        <v>727</v>
      </c>
      <c r="K180" s="12" t="s">
        <v>990</v>
      </c>
      <c r="L180" s="6">
        <v>1470.26</v>
      </c>
      <c r="M180" s="6">
        <v>2562.5500000000002</v>
      </c>
      <c r="N180" s="6">
        <v>0.17299999999999999</v>
      </c>
      <c r="O180" s="6">
        <v>9</v>
      </c>
    </row>
    <row r="181" spans="1:15" x14ac:dyDescent="0.25">
      <c r="A181" s="12" t="s">
        <v>315</v>
      </c>
      <c r="B181" s="4">
        <v>45204</v>
      </c>
      <c r="C181" s="4">
        <v>45230</v>
      </c>
      <c r="D181" s="12" t="s">
        <v>647</v>
      </c>
      <c r="E181" s="12" t="s">
        <v>659</v>
      </c>
      <c r="F181" s="12" t="s">
        <v>685</v>
      </c>
      <c r="G181" s="12" t="s">
        <v>704</v>
      </c>
      <c r="H181" s="14" t="s">
        <v>1379</v>
      </c>
      <c r="I181" s="12" t="s">
        <v>713</v>
      </c>
      <c r="J181" s="12" t="s">
        <v>728</v>
      </c>
      <c r="K181" s="12" t="s">
        <v>1035</v>
      </c>
      <c r="L181" s="6">
        <v>649.91</v>
      </c>
      <c r="M181" s="6">
        <v>1360.12</v>
      </c>
      <c r="N181" s="6">
        <v>0.19400000000000001</v>
      </c>
      <c r="O181" s="6">
        <v>9</v>
      </c>
    </row>
    <row r="182" spans="1:15" x14ac:dyDescent="0.25">
      <c r="A182" s="12" t="s">
        <v>183</v>
      </c>
      <c r="B182" s="4">
        <v>45206</v>
      </c>
      <c r="C182" s="4">
        <v>45222</v>
      </c>
      <c r="D182" s="12" t="s">
        <v>647</v>
      </c>
      <c r="E182" s="12" t="s">
        <v>654</v>
      </c>
      <c r="F182" s="12" t="s">
        <v>696</v>
      </c>
      <c r="G182" s="12" t="s">
        <v>704</v>
      </c>
      <c r="H182" s="12" t="s">
        <v>707</v>
      </c>
      <c r="I182" s="12" t="s">
        <v>715</v>
      </c>
      <c r="J182" s="12" t="s">
        <v>732</v>
      </c>
      <c r="K182" s="12" t="s">
        <v>902</v>
      </c>
      <c r="L182" s="6">
        <v>906.81</v>
      </c>
      <c r="M182" s="6">
        <v>1395.56</v>
      </c>
      <c r="N182" s="6">
        <v>0.185</v>
      </c>
      <c r="O182" s="6">
        <v>6</v>
      </c>
    </row>
    <row r="183" spans="1:15" x14ac:dyDescent="0.25">
      <c r="A183" s="12" t="s">
        <v>406</v>
      </c>
      <c r="B183" s="4">
        <v>45208</v>
      </c>
      <c r="C183" s="4">
        <v>45225</v>
      </c>
      <c r="D183" s="12" t="s">
        <v>647</v>
      </c>
      <c r="E183" s="12" t="s">
        <v>659</v>
      </c>
      <c r="F183" s="12" t="s">
        <v>685</v>
      </c>
      <c r="G183" s="12" t="s">
        <v>704</v>
      </c>
      <c r="H183" s="12" t="s">
        <v>709</v>
      </c>
      <c r="I183" s="12" t="s">
        <v>712</v>
      </c>
      <c r="J183" s="12" t="s">
        <v>727</v>
      </c>
      <c r="K183" s="12" t="s">
        <v>1125</v>
      </c>
      <c r="L183" s="6">
        <v>1132.03</v>
      </c>
      <c r="M183" s="6">
        <v>2137.21</v>
      </c>
      <c r="N183" s="6">
        <v>0.35699999999999998</v>
      </c>
      <c r="O183" s="6">
        <v>35</v>
      </c>
    </row>
    <row r="184" spans="1:15" x14ac:dyDescent="0.25">
      <c r="A184" s="12" t="s">
        <v>630</v>
      </c>
      <c r="B184" s="4">
        <v>45208</v>
      </c>
      <c r="C184" s="4">
        <v>45210</v>
      </c>
      <c r="D184" s="12" t="s">
        <v>646</v>
      </c>
      <c r="E184" s="12" t="s">
        <v>651</v>
      </c>
      <c r="F184" s="12" t="s">
        <v>663</v>
      </c>
      <c r="G184" s="12" t="s">
        <v>702</v>
      </c>
      <c r="H184" s="12" t="s">
        <v>709</v>
      </c>
      <c r="I184" s="12" t="s">
        <v>723</v>
      </c>
      <c r="J184" s="12" t="s">
        <v>729</v>
      </c>
      <c r="K184" s="12" t="s">
        <v>1348</v>
      </c>
      <c r="L184" s="6">
        <v>391.16</v>
      </c>
      <c r="M184" s="6">
        <v>902.47</v>
      </c>
      <c r="N184" s="6">
        <v>4.0000000000000001E-3</v>
      </c>
      <c r="O184" s="6">
        <v>12</v>
      </c>
    </row>
    <row r="185" spans="1:15" x14ac:dyDescent="0.25">
      <c r="A185" s="12" t="s">
        <v>273</v>
      </c>
      <c r="B185" s="4">
        <v>45210</v>
      </c>
      <c r="C185" s="4">
        <v>45212</v>
      </c>
      <c r="D185" s="12" t="s">
        <v>648</v>
      </c>
      <c r="E185" s="12" t="s">
        <v>655</v>
      </c>
      <c r="F185" s="12" t="s">
        <v>672</v>
      </c>
      <c r="G185" s="12" t="s">
        <v>704</v>
      </c>
      <c r="H185" s="12" t="s">
        <v>710</v>
      </c>
      <c r="I185" s="14" t="s">
        <v>1368</v>
      </c>
      <c r="J185" s="12" t="s">
        <v>733</v>
      </c>
      <c r="K185" s="12" t="s">
        <v>993</v>
      </c>
      <c r="L185" s="6">
        <v>715.94</v>
      </c>
      <c r="M185" s="6">
        <v>550.07000000000005</v>
      </c>
      <c r="N185" s="6">
        <v>0.14000000000000001</v>
      </c>
      <c r="O185" s="6">
        <v>16</v>
      </c>
    </row>
    <row r="186" spans="1:15" x14ac:dyDescent="0.25">
      <c r="A186" s="12" t="s">
        <v>434</v>
      </c>
      <c r="B186" s="4">
        <v>45211</v>
      </c>
      <c r="C186" s="4">
        <v>45228</v>
      </c>
      <c r="D186" s="12" t="s">
        <v>647</v>
      </c>
      <c r="E186" s="12" t="s">
        <v>652</v>
      </c>
      <c r="F186" s="12" t="s">
        <v>694</v>
      </c>
      <c r="G186" s="12" t="s">
        <v>703</v>
      </c>
      <c r="H186" s="12" t="s">
        <v>711</v>
      </c>
      <c r="I186" s="12" t="s">
        <v>722</v>
      </c>
      <c r="J186" s="12" t="s">
        <v>730</v>
      </c>
      <c r="K186" s="12" t="s">
        <v>1153</v>
      </c>
      <c r="L186" s="6">
        <v>1102.19</v>
      </c>
      <c r="M186" s="6">
        <v>1711.16</v>
      </c>
      <c r="N186" s="6">
        <v>0.151</v>
      </c>
      <c r="O186" s="6">
        <v>10</v>
      </c>
    </row>
    <row r="187" spans="1:15" x14ac:dyDescent="0.25">
      <c r="A187" s="12" t="s">
        <v>207</v>
      </c>
      <c r="B187" s="4">
        <v>45214</v>
      </c>
      <c r="C187" s="4">
        <v>45243</v>
      </c>
      <c r="D187" s="12" t="s">
        <v>647</v>
      </c>
      <c r="E187" s="12" t="s">
        <v>659</v>
      </c>
      <c r="F187" s="12" t="s">
        <v>676</v>
      </c>
      <c r="G187" s="12" t="s">
        <v>703</v>
      </c>
      <c r="H187" s="12" t="s">
        <v>710</v>
      </c>
      <c r="I187" s="12" t="s">
        <v>713</v>
      </c>
      <c r="J187" s="12" t="s">
        <v>728</v>
      </c>
      <c r="K187" s="12" t="s">
        <v>927</v>
      </c>
      <c r="L187" s="6">
        <v>986.44</v>
      </c>
      <c r="M187" s="6">
        <v>790.61</v>
      </c>
      <c r="N187" s="6">
        <v>7.1999999999999995E-2</v>
      </c>
      <c r="O187" s="6">
        <v>6</v>
      </c>
    </row>
    <row r="188" spans="1:15" x14ac:dyDescent="0.25">
      <c r="A188" s="12" t="s">
        <v>449</v>
      </c>
      <c r="B188" s="4">
        <v>45217</v>
      </c>
      <c r="C188" s="4">
        <v>45219</v>
      </c>
      <c r="D188" s="12" t="s">
        <v>646</v>
      </c>
      <c r="E188" s="12" t="s">
        <v>650</v>
      </c>
      <c r="F188" s="12" t="s">
        <v>662</v>
      </c>
      <c r="G188" s="12" t="s">
        <v>704</v>
      </c>
      <c r="H188" s="12" t="s">
        <v>707</v>
      </c>
      <c r="I188" s="12" t="s">
        <v>713</v>
      </c>
      <c r="J188" s="12" t="s">
        <v>730</v>
      </c>
      <c r="K188" s="12" t="s">
        <v>1168</v>
      </c>
      <c r="L188" s="6">
        <v>774.12</v>
      </c>
      <c r="M188" s="6">
        <v>908.3</v>
      </c>
      <c r="N188" s="6">
        <v>0</v>
      </c>
      <c r="O188" s="6">
        <v>30</v>
      </c>
    </row>
    <row r="189" spans="1:15" x14ac:dyDescent="0.25">
      <c r="A189" s="12" t="s">
        <v>306</v>
      </c>
      <c r="B189" s="4">
        <v>45220</v>
      </c>
      <c r="C189" s="4">
        <v>45239</v>
      </c>
      <c r="D189" s="12" t="s">
        <v>649</v>
      </c>
      <c r="E189" s="12" t="s">
        <v>658</v>
      </c>
      <c r="F189" s="12" t="s">
        <v>683</v>
      </c>
      <c r="G189" s="12" t="s">
        <v>703</v>
      </c>
      <c r="H189" s="12" t="s">
        <v>711</v>
      </c>
      <c r="I189" s="12" t="s">
        <v>720</v>
      </c>
      <c r="J189" s="12" t="s">
        <v>733</v>
      </c>
      <c r="K189" s="12" t="s">
        <v>1026</v>
      </c>
      <c r="L189" s="6">
        <v>1142.48</v>
      </c>
      <c r="M189" s="6">
        <v>2105.5300000000002</v>
      </c>
      <c r="N189" s="6">
        <v>0.20699999999999999</v>
      </c>
      <c r="O189" s="6">
        <v>14</v>
      </c>
    </row>
    <row r="190" spans="1:15" x14ac:dyDescent="0.25">
      <c r="A190" s="12" t="s">
        <v>446</v>
      </c>
      <c r="B190" s="4">
        <v>45220</v>
      </c>
      <c r="C190" s="4">
        <v>45220</v>
      </c>
      <c r="D190" s="12" t="s">
        <v>649</v>
      </c>
      <c r="E190" s="12" t="s">
        <v>658</v>
      </c>
      <c r="F190" s="12" t="s">
        <v>693</v>
      </c>
      <c r="G190" s="12" t="s">
        <v>706</v>
      </c>
      <c r="H190" s="12" t="s">
        <v>710</v>
      </c>
      <c r="I190" s="12" t="s">
        <v>713</v>
      </c>
      <c r="J190" s="12" t="s">
        <v>732</v>
      </c>
      <c r="K190" s="12" t="s">
        <v>1165</v>
      </c>
      <c r="L190" s="6">
        <v>384.19</v>
      </c>
      <c r="M190" s="6">
        <v>278.35000000000002</v>
      </c>
      <c r="N190" s="6">
        <v>5.6000000000000001E-2</v>
      </c>
      <c r="O190" s="6">
        <v>10</v>
      </c>
    </row>
    <row r="191" spans="1:15" x14ac:dyDescent="0.25">
      <c r="A191" s="12" t="s">
        <v>343</v>
      </c>
      <c r="B191" s="4">
        <v>45221</v>
      </c>
      <c r="C191" s="4">
        <v>45246</v>
      </c>
      <c r="D191" s="12" t="s">
        <v>648</v>
      </c>
      <c r="E191" s="12" t="s">
        <v>653</v>
      </c>
      <c r="F191" s="12" t="s">
        <v>667</v>
      </c>
      <c r="G191" s="12" t="s">
        <v>705</v>
      </c>
      <c r="H191" s="12" t="s">
        <v>709</v>
      </c>
      <c r="I191" s="12" t="s">
        <v>714</v>
      </c>
      <c r="J191" s="12" t="s">
        <v>731</v>
      </c>
      <c r="K191" s="12" t="s">
        <v>1063</v>
      </c>
      <c r="L191" s="6">
        <v>1373.31</v>
      </c>
      <c r="M191" s="6">
        <v>3154.14</v>
      </c>
      <c r="N191" s="6">
        <v>0.2</v>
      </c>
      <c r="O191" s="6">
        <v>11</v>
      </c>
    </row>
    <row r="192" spans="1:15" x14ac:dyDescent="0.25">
      <c r="A192" s="12" t="s">
        <v>500</v>
      </c>
      <c r="B192" s="4">
        <v>45224</v>
      </c>
      <c r="C192" s="4">
        <v>45254</v>
      </c>
      <c r="D192" s="12" t="s">
        <v>649</v>
      </c>
      <c r="E192" s="12" t="s">
        <v>657</v>
      </c>
      <c r="F192" s="12" t="s">
        <v>690</v>
      </c>
      <c r="G192" s="12" t="s">
        <v>706</v>
      </c>
      <c r="H192" s="12" t="s">
        <v>710</v>
      </c>
      <c r="I192" s="12" t="s">
        <v>712</v>
      </c>
      <c r="J192" s="12" t="s">
        <v>730</v>
      </c>
      <c r="K192" s="12" t="s">
        <v>1219</v>
      </c>
      <c r="L192" s="6">
        <v>287.85000000000002</v>
      </c>
      <c r="M192" s="6">
        <v>602.91999999999996</v>
      </c>
      <c r="N192" s="6">
        <v>0.222</v>
      </c>
      <c r="O192" s="6">
        <v>11</v>
      </c>
    </row>
    <row r="193" spans="1:15" x14ac:dyDescent="0.25">
      <c r="A193" s="12" t="s">
        <v>512</v>
      </c>
      <c r="B193" s="4">
        <v>45224</v>
      </c>
      <c r="C193" s="4">
        <v>45227</v>
      </c>
      <c r="D193" s="12" t="s">
        <v>648</v>
      </c>
      <c r="E193" s="12" t="s">
        <v>655</v>
      </c>
      <c r="F193" s="12" t="s">
        <v>672</v>
      </c>
      <c r="G193" s="12" t="s">
        <v>701</v>
      </c>
      <c r="H193" s="12" t="s">
        <v>710</v>
      </c>
      <c r="I193" s="12" t="s">
        <v>716</v>
      </c>
      <c r="J193" s="12" t="s">
        <v>733</v>
      </c>
      <c r="K193" s="12" t="s">
        <v>1231</v>
      </c>
      <c r="L193" s="6">
        <v>509.31</v>
      </c>
      <c r="M193" s="6">
        <v>1145.9000000000001</v>
      </c>
      <c r="N193" s="6">
        <v>5.7000000000000002E-2</v>
      </c>
      <c r="O193" s="6">
        <v>8</v>
      </c>
    </row>
    <row r="194" spans="1:15" x14ac:dyDescent="0.25">
      <c r="A194" s="12" t="s">
        <v>403</v>
      </c>
      <c r="B194" s="4">
        <v>45225</v>
      </c>
      <c r="C194" s="4">
        <v>45235</v>
      </c>
      <c r="D194" s="12" t="s">
        <v>646</v>
      </c>
      <c r="E194" s="12" t="s">
        <v>661</v>
      </c>
      <c r="F194" s="12" t="s">
        <v>695</v>
      </c>
      <c r="G194" s="12" t="s">
        <v>703</v>
      </c>
      <c r="H194" s="12" t="s">
        <v>708</v>
      </c>
      <c r="I194" s="12" t="s">
        <v>714</v>
      </c>
      <c r="J194" s="12" t="s">
        <v>731</v>
      </c>
      <c r="K194" s="12" t="s">
        <v>1122</v>
      </c>
      <c r="L194" s="6">
        <v>20.38</v>
      </c>
      <c r="M194" s="6">
        <v>42.56</v>
      </c>
      <c r="N194" s="6">
        <v>7.1999999999999995E-2</v>
      </c>
      <c r="O194" s="6">
        <v>11</v>
      </c>
    </row>
    <row r="195" spans="1:15" x14ac:dyDescent="0.25">
      <c r="A195" s="12" t="s">
        <v>293</v>
      </c>
      <c r="B195" s="4">
        <v>45229</v>
      </c>
      <c r="C195" s="4">
        <v>45244</v>
      </c>
      <c r="D195" s="12" t="s">
        <v>647</v>
      </c>
      <c r="E195" s="12" t="s">
        <v>654</v>
      </c>
      <c r="F195" s="12" t="s">
        <v>668</v>
      </c>
      <c r="G195" s="12" t="s">
        <v>701</v>
      </c>
      <c r="H195" s="12" t="s">
        <v>708</v>
      </c>
      <c r="I195" s="12" t="s">
        <v>721</v>
      </c>
      <c r="J195" s="12" t="s">
        <v>731</v>
      </c>
      <c r="K195" s="12" t="s">
        <v>1013</v>
      </c>
      <c r="L195" s="6">
        <v>953.46</v>
      </c>
      <c r="M195" s="6">
        <v>2066.75</v>
      </c>
      <c r="N195" s="6">
        <v>0.13800000000000001</v>
      </c>
      <c r="O195" s="6">
        <v>5</v>
      </c>
    </row>
    <row r="196" spans="1:15" x14ac:dyDescent="0.25">
      <c r="A196" s="12" t="s">
        <v>169</v>
      </c>
      <c r="B196" s="4">
        <v>45230</v>
      </c>
      <c r="C196" s="4">
        <v>45232</v>
      </c>
      <c r="D196" s="12" t="s">
        <v>646</v>
      </c>
      <c r="E196" s="12" t="s">
        <v>650</v>
      </c>
      <c r="F196" s="12" t="s">
        <v>662</v>
      </c>
      <c r="G196" s="12" t="s">
        <v>702</v>
      </c>
      <c r="H196" s="12" t="s">
        <v>707</v>
      </c>
      <c r="I196" s="12" t="s">
        <v>719</v>
      </c>
      <c r="J196" s="12" t="s">
        <v>733</v>
      </c>
      <c r="K196" s="12" t="s">
        <v>888</v>
      </c>
      <c r="L196" s="6">
        <v>867.89</v>
      </c>
      <c r="M196" s="6">
        <v>1349.94</v>
      </c>
      <c r="N196" s="6">
        <v>0.184</v>
      </c>
      <c r="O196" s="6">
        <v>10</v>
      </c>
    </row>
    <row r="197" spans="1:15" x14ac:dyDescent="0.25">
      <c r="A197" s="12" t="s">
        <v>228</v>
      </c>
      <c r="B197" s="4">
        <v>45240</v>
      </c>
      <c r="C197" s="4">
        <v>45258</v>
      </c>
      <c r="D197" s="12" t="s">
        <v>648</v>
      </c>
      <c r="E197" s="12" t="s">
        <v>655</v>
      </c>
      <c r="F197" s="12" t="s">
        <v>672</v>
      </c>
      <c r="G197" s="12" t="s">
        <v>702</v>
      </c>
      <c r="H197" s="12" t="s">
        <v>709</v>
      </c>
      <c r="I197" s="12" t="s">
        <v>716</v>
      </c>
      <c r="J197" s="12" t="s">
        <v>733</v>
      </c>
      <c r="K197" s="12" t="s">
        <v>948</v>
      </c>
      <c r="L197" s="6">
        <v>388.51</v>
      </c>
      <c r="M197" s="6">
        <v>776.46</v>
      </c>
      <c r="N197" s="6">
        <v>0.157</v>
      </c>
      <c r="O197" s="6">
        <v>12</v>
      </c>
    </row>
    <row r="198" spans="1:15" x14ac:dyDescent="0.25">
      <c r="A198" s="12" t="s">
        <v>331</v>
      </c>
      <c r="B198" s="4">
        <v>45244</v>
      </c>
      <c r="C198" s="4">
        <v>45260</v>
      </c>
      <c r="D198" s="12" t="s">
        <v>648</v>
      </c>
      <c r="E198" s="12" t="s">
        <v>655</v>
      </c>
      <c r="F198" s="12" t="s">
        <v>670</v>
      </c>
      <c r="G198" s="12" t="s">
        <v>706</v>
      </c>
      <c r="H198" s="12" t="s">
        <v>711</v>
      </c>
      <c r="I198" s="12" t="s">
        <v>723</v>
      </c>
      <c r="J198" s="12" t="s">
        <v>729</v>
      </c>
      <c r="K198" s="12" t="s">
        <v>1051</v>
      </c>
      <c r="L198" s="6">
        <v>1017.92</v>
      </c>
      <c r="M198" s="6">
        <v>1175.25</v>
      </c>
      <c r="N198" s="6">
        <v>7.4999999999999997E-2</v>
      </c>
      <c r="O198" s="6">
        <v>15</v>
      </c>
    </row>
    <row r="199" spans="1:15" x14ac:dyDescent="0.25">
      <c r="A199" s="12" t="s">
        <v>347</v>
      </c>
      <c r="B199" s="4">
        <v>45245</v>
      </c>
      <c r="C199" s="4">
        <v>45266</v>
      </c>
      <c r="D199" s="12" t="s">
        <v>649</v>
      </c>
      <c r="E199" s="12" t="s">
        <v>658</v>
      </c>
      <c r="F199" s="12" t="s">
        <v>693</v>
      </c>
      <c r="G199" s="12" t="s">
        <v>702</v>
      </c>
      <c r="H199" s="12" t="s">
        <v>711</v>
      </c>
      <c r="I199" s="12" t="s">
        <v>722</v>
      </c>
      <c r="J199" s="12" t="s">
        <v>733</v>
      </c>
      <c r="K199" s="12" t="s">
        <v>1067</v>
      </c>
      <c r="L199" s="6">
        <v>1184.99</v>
      </c>
      <c r="M199" s="6">
        <v>1154.3399999999999</v>
      </c>
      <c r="N199" s="6">
        <v>2.8000000000000001E-2</v>
      </c>
      <c r="O199" s="6">
        <v>5</v>
      </c>
    </row>
    <row r="200" spans="1:15" x14ac:dyDescent="0.25">
      <c r="A200" s="12" t="s">
        <v>136</v>
      </c>
      <c r="B200" s="4">
        <v>45249</v>
      </c>
      <c r="C200" s="4">
        <v>45273</v>
      </c>
      <c r="D200" s="12" t="s">
        <v>649</v>
      </c>
      <c r="E200" s="12" t="s">
        <v>657</v>
      </c>
      <c r="F200" s="12" t="s">
        <v>679</v>
      </c>
      <c r="G200" s="12" t="s">
        <v>703</v>
      </c>
      <c r="H200" s="12" t="s">
        <v>711</v>
      </c>
      <c r="I200" s="12" t="s">
        <v>722</v>
      </c>
      <c r="J200" s="12" t="s">
        <v>732</v>
      </c>
      <c r="K200" s="12" t="s">
        <v>855</v>
      </c>
      <c r="L200" s="6">
        <v>1297.42</v>
      </c>
      <c r="M200" s="6">
        <v>2742.97</v>
      </c>
      <c r="N200" s="6">
        <v>6.9000000000000006E-2</v>
      </c>
      <c r="O200" s="6">
        <v>9</v>
      </c>
    </row>
    <row r="201" spans="1:15" x14ac:dyDescent="0.25">
      <c r="A201" s="12" t="s">
        <v>639</v>
      </c>
      <c r="B201" s="4">
        <v>45249</v>
      </c>
      <c r="C201" s="4">
        <v>45272</v>
      </c>
      <c r="D201" s="12" t="s">
        <v>647</v>
      </c>
      <c r="E201" s="12" t="s">
        <v>654</v>
      </c>
      <c r="F201" s="12" t="s">
        <v>680</v>
      </c>
      <c r="G201" s="12" t="s">
        <v>705</v>
      </c>
      <c r="H201" s="12" t="s">
        <v>711</v>
      </c>
      <c r="I201" s="12" t="s">
        <v>712</v>
      </c>
      <c r="J201" s="12" t="s">
        <v>729</v>
      </c>
      <c r="K201" s="12" t="s">
        <v>1357</v>
      </c>
      <c r="L201" s="6">
        <v>1349.04</v>
      </c>
      <c r="M201" s="6">
        <v>2636.6</v>
      </c>
      <c r="N201" s="6">
        <v>0.114</v>
      </c>
      <c r="O201" s="6">
        <v>14</v>
      </c>
    </row>
    <row r="202" spans="1:15" x14ac:dyDescent="0.25">
      <c r="A202" s="12" t="s">
        <v>644</v>
      </c>
      <c r="B202" s="4">
        <v>45249</v>
      </c>
      <c r="C202" s="4">
        <v>45279</v>
      </c>
      <c r="D202" s="12" t="s">
        <v>647</v>
      </c>
      <c r="E202" s="12" t="s">
        <v>652</v>
      </c>
      <c r="F202" s="12" t="s">
        <v>694</v>
      </c>
      <c r="G202" s="12" t="s">
        <v>704</v>
      </c>
      <c r="H202" s="12" t="s">
        <v>707</v>
      </c>
      <c r="I202" s="14" t="s">
        <v>1368</v>
      </c>
      <c r="J202" s="12" t="s">
        <v>730</v>
      </c>
      <c r="K202" s="12" t="s">
        <v>1362</v>
      </c>
      <c r="L202" s="6">
        <v>807.11</v>
      </c>
      <c r="M202" s="6">
        <v>1853.86</v>
      </c>
      <c r="N202" s="6">
        <v>0.13900000000000001</v>
      </c>
      <c r="O202" s="6">
        <v>8</v>
      </c>
    </row>
    <row r="203" spans="1:15" x14ac:dyDescent="0.25">
      <c r="A203" s="12" t="s">
        <v>129</v>
      </c>
      <c r="B203" s="4">
        <v>45250</v>
      </c>
      <c r="C203" s="4">
        <v>45265</v>
      </c>
      <c r="D203" s="12" t="s">
        <v>647</v>
      </c>
      <c r="E203" s="12" t="s">
        <v>652</v>
      </c>
      <c r="F203" s="12" t="s">
        <v>689</v>
      </c>
      <c r="G203" s="12" t="s">
        <v>706</v>
      </c>
      <c r="H203" s="12" t="s">
        <v>707</v>
      </c>
      <c r="I203" s="12" t="s">
        <v>716</v>
      </c>
      <c r="J203" s="12" t="s">
        <v>729</v>
      </c>
      <c r="K203" s="12" t="s">
        <v>848</v>
      </c>
      <c r="L203" s="6">
        <v>354.24</v>
      </c>
      <c r="M203" s="6">
        <v>249.87</v>
      </c>
      <c r="N203" s="6">
        <v>0</v>
      </c>
      <c r="O203" s="6">
        <v>6</v>
      </c>
    </row>
    <row r="204" spans="1:15" x14ac:dyDescent="0.25">
      <c r="A204" s="12" t="s">
        <v>252</v>
      </c>
      <c r="B204" s="4">
        <v>45258</v>
      </c>
      <c r="C204" s="4">
        <v>45267</v>
      </c>
      <c r="D204" s="12" t="s">
        <v>647</v>
      </c>
      <c r="E204" s="12" t="s">
        <v>654</v>
      </c>
      <c r="F204" s="12" t="s">
        <v>680</v>
      </c>
      <c r="G204" s="12" t="s">
        <v>706</v>
      </c>
      <c r="H204" s="12" t="s">
        <v>709</v>
      </c>
      <c r="I204" s="12" t="s">
        <v>716</v>
      </c>
      <c r="J204" s="12" t="s">
        <v>730</v>
      </c>
      <c r="K204" s="12" t="s">
        <v>972</v>
      </c>
      <c r="L204" s="6">
        <v>699.33</v>
      </c>
      <c r="M204" s="6">
        <v>873.75</v>
      </c>
      <c r="N204" s="6">
        <v>0.23499999999999999</v>
      </c>
      <c r="O204" s="6">
        <v>10</v>
      </c>
    </row>
    <row r="205" spans="1:15" x14ac:dyDescent="0.25">
      <c r="A205" s="12" t="s">
        <v>160</v>
      </c>
      <c r="B205" s="4">
        <v>45260</v>
      </c>
      <c r="C205" s="4">
        <v>45259</v>
      </c>
      <c r="D205" s="12" t="s">
        <v>646</v>
      </c>
      <c r="E205" s="12" t="s">
        <v>661</v>
      </c>
      <c r="F205" s="12" t="s">
        <v>687</v>
      </c>
      <c r="G205" s="12" t="s">
        <v>705</v>
      </c>
      <c r="H205" s="12" t="s">
        <v>709</v>
      </c>
      <c r="I205" s="12" t="s">
        <v>718</v>
      </c>
      <c r="J205" s="12" t="s">
        <v>731</v>
      </c>
      <c r="K205" s="12" t="s">
        <v>879</v>
      </c>
      <c r="L205" s="6">
        <v>275.56</v>
      </c>
      <c r="M205" s="6">
        <v>630.72</v>
      </c>
      <c r="N205" s="6">
        <v>0.107</v>
      </c>
      <c r="O205" s="6">
        <v>23</v>
      </c>
    </row>
    <row r="206" spans="1:15" x14ac:dyDescent="0.25">
      <c r="A206" s="12" t="s">
        <v>472</v>
      </c>
      <c r="B206" s="4">
        <v>45260</v>
      </c>
      <c r="C206" s="4">
        <v>45270</v>
      </c>
      <c r="D206" s="12" t="s">
        <v>649</v>
      </c>
      <c r="E206" s="12" t="s">
        <v>656</v>
      </c>
      <c r="F206" s="12" t="s">
        <v>684</v>
      </c>
      <c r="G206" s="12" t="s">
        <v>705</v>
      </c>
      <c r="H206" s="12" t="s">
        <v>711</v>
      </c>
      <c r="I206" s="12" t="s">
        <v>721</v>
      </c>
      <c r="J206" s="12" t="s">
        <v>731</v>
      </c>
      <c r="K206" s="12" t="s">
        <v>1191</v>
      </c>
      <c r="L206" s="6">
        <v>174.74</v>
      </c>
      <c r="M206" s="6">
        <v>415.96</v>
      </c>
      <c r="N206" s="6">
        <v>0.125</v>
      </c>
      <c r="O206" s="6">
        <v>21</v>
      </c>
    </row>
    <row r="207" spans="1:15" x14ac:dyDescent="0.25">
      <c r="A207" s="12" t="s">
        <v>359</v>
      </c>
      <c r="B207" s="4">
        <v>45261</v>
      </c>
      <c r="C207" s="4">
        <v>45278</v>
      </c>
      <c r="D207" s="12" t="s">
        <v>647</v>
      </c>
      <c r="E207" s="12" t="s">
        <v>652</v>
      </c>
      <c r="F207" s="12" t="s">
        <v>694</v>
      </c>
      <c r="G207" s="12" t="s">
        <v>705</v>
      </c>
      <c r="H207" s="12" t="s">
        <v>711</v>
      </c>
      <c r="I207" s="12" t="s">
        <v>725</v>
      </c>
      <c r="J207" s="12" t="s">
        <v>731</v>
      </c>
      <c r="K207" s="12" t="s">
        <v>1079</v>
      </c>
      <c r="L207" s="6">
        <v>1495.79</v>
      </c>
      <c r="M207" s="6">
        <v>2783.12</v>
      </c>
      <c r="N207" s="6">
        <v>0.02</v>
      </c>
      <c r="O207" s="6">
        <v>5</v>
      </c>
    </row>
    <row r="208" spans="1:15" x14ac:dyDescent="0.25">
      <c r="A208" s="12" t="s">
        <v>365</v>
      </c>
      <c r="B208" s="4">
        <v>45262</v>
      </c>
      <c r="C208" s="4">
        <v>45276</v>
      </c>
      <c r="D208" s="12" t="s">
        <v>649</v>
      </c>
      <c r="E208" s="12" t="s">
        <v>656</v>
      </c>
      <c r="F208" s="12" t="s">
        <v>698</v>
      </c>
      <c r="G208" s="12" t="s">
        <v>702</v>
      </c>
      <c r="H208" s="12" t="s">
        <v>711</v>
      </c>
      <c r="I208" s="12" t="s">
        <v>725</v>
      </c>
      <c r="J208" s="12" t="s">
        <v>732</v>
      </c>
      <c r="K208" s="12" t="s">
        <v>1085</v>
      </c>
      <c r="L208" s="6">
        <v>879.08</v>
      </c>
      <c r="M208" s="6">
        <v>1093.3900000000001</v>
      </c>
      <c r="N208" s="6">
        <v>0.113</v>
      </c>
      <c r="O208" s="6">
        <v>17</v>
      </c>
    </row>
    <row r="209" spans="1:15" x14ac:dyDescent="0.25">
      <c r="A209" s="12" t="s">
        <v>80</v>
      </c>
      <c r="B209" s="4">
        <v>45263</v>
      </c>
      <c r="C209" s="4">
        <v>45286</v>
      </c>
      <c r="D209" s="12" t="s">
        <v>648</v>
      </c>
      <c r="E209" s="12" t="s">
        <v>655</v>
      </c>
      <c r="F209" s="12" t="s">
        <v>692</v>
      </c>
      <c r="G209" s="12" t="s">
        <v>702</v>
      </c>
      <c r="H209" s="12" t="s">
        <v>707</v>
      </c>
      <c r="I209" s="12" t="s">
        <v>719</v>
      </c>
      <c r="J209" s="12" t="s">
        <v>730</v>
      </c>
      <c r="K209" s="12" t="s">
        <v>799</v>
      </c>
      <c r="L209" s="6">
        <v>1303.1099999999999</v>
      </c>
      <c r="M209" s="6">
        <v>1145.67</v>
      </c>
      <c r="N209" s="6">
        <v>0.184</v>
      </c>
      <c r="O209" s="6">
        <v>13</v>
      </c>
    </row>
    <row r="210" spans="1:15" x14ac:dyDescent="0.25">
      <c r="A210" s="12" t="s">
        <v>470</v>
      </c>
      <c r="B210" s="4">
        <v>45265</v>
      </c>
      <c r="C210" s="4">
        <v>45272</v>
      </c>
      <c r="D210" s="12" t="s">
        <v>648</v>
      </c>
      <c r="E210" s="12" t="s">
        <v>655</v>
      </c>
      <c r="F210" s="12" t="s">
        <v>672</v>
      </c>
      <c r="G210" s="12" t="s">
        <v>701</v>
      </c>
      <c r="H210" s="12" t="s">
        <v>711</v>
      </c>
      <c r="I210" s="12" t="s">
        <v>721</v>
      </c>
      <c r="J210" s="12" t="s">
        <v>730</v>
      </c>
      <c r="K210" s="12" t="s">
        <v>1189</v>
      </c>
      <c r="L210" s="6">
        <v>307.43</v>
      </c>
      <c r="M210" s="6">
        <v>495.19</v>
      </c>
      <c r="N210" s="6">
        <v>0</v>
      </c>
      <c r="O210" s="6">
        <v>42</v>
      </c>
    </row>
    <row r="211" spans="1:15" x14ac:dyDescent="0.25">
      <c r="A211" s="12" t="s">
        <v>19</v>
      </c>
      <c r="B211" s="4">
        <v>45266</v>
      </c>
      <c r="C211" s="4">
        <v>45291</v>
      </c>
      <c r="D211" s="12" t="s">
        <v>647</v>
      </c>
      <c r="E211" s="12" t="s">
        <v>652</v>
      </c>
      <c r="F211" s="12" t="s">
        <v>666</v>
      </c>
      <c r="G211" s="12" t="s">
        <v>704</v>
      </c>
      <c r="H211" s="12" t="s">
        <v>707</v>
      </c>
      <c r="I211" s="12" t="s">
        <v>716</v>
      </c>
      <c r="J211" s="12" t="s">
        <v>728</v>
      </c>
      <c r="K211" s="12" t="s">
        <v>738</v>
      </c>
      <c r="L211" s="6">
        <v>663.03</v>
      </c>
      <c r="M211" s="6">
        <v>813.51</v>
      </c>
      <c r="N211" s="6">
        <v>0.10199999999999999</v>
      </c>
      <c r="O211" s="6">
        <v>15</v>
      </c>
    </row>
    <row r="212" spans="1:15" x14ac:dyDescent="0.25">
      <c r="A212" s="12" t="s">
        <v>167</v>
      </c>
      <c r="B212" s="4">
        <v>45267</v>
      </c>
      <c r="C212" s="4">
        <v>45265</v>
      </c>
      <c r="D212" s="12" t="s">
        <v>647</v>
      </c>
      <c r="E212" s="12" t="s">
        <v>652</v>
      </c>
      <c r="F212" s="12" t="s">
        <v>689</v>
      </c>
      <c r="G212" s="12" t="s">
        <v>703</v>
      </c>
      <c r="H212" s="12" t="s">
        <v>709</v>
      </c>
      <c r="I212" s="12" t="s">
        <v>722</v>
      </c>
      <c r="J212" s="12" t="s">
        <v>728</v>
      </c>
      <c r="K212" s="12" t="s">
        <v>886</v>
      </c>
      <c r="L212" s="6">
        <v>1097.5899999999999</v>
      </c>
      <c r="M212" s="6">
        <v>845.55</v>
      </c>
      <c r="N212" s="6">
        <v>0.184</v>
      </c>
      <c r="O212" s="6">
        <v>6</v>
      </c>
    </row>
    <row r="213" spans="1:15" x14ac:dyDescent="0.25">
      <c r="A213" s="12" t="s">
        <v>643</v>
      </c>
      <c r="B213" s="4">
        <v>45267</v>
      </c>
      <c r="C213" s="4">
        <v>45293</v>
      </c>
      <c r="D213" s="12" t="s">
        <v>649</v>
      </c>
      <c r="E213" s="12" t="s">
        <v>656</v>
      </c>
      <c r="F213" s="12" t="s">
        <v>698</v>
      </c>
      <c r="G213" s="12" t="s">
        <v>706</v>
      </c>
      <c r="H213" s="12" t="s">
        <v>710</v>
      </c>
      <c r="I213" s="12" t="s">
        <v>718</v>
      </c>
      <c r="J213" s="12" t="s">
        <v>727</v>
      </c>
      <c r="K213" s="12" t="s">
        <v>1361</v>
      </c>
      <c r="L213" s="6">
        <v>1071.99</v>
      </c>
      <c r="M213" s="6">
        <v>2397.3000000000002</v>
      </c>
      <c r="N213" s="6">
        <v>6.2E-2</v>
      </c>
      <c r="O213" s="6">
        <v>18</v>
      </c>
    </row>
    <row r="214" spans="1:15" x14ac:dyDescent="0.25">
      <c r="A214" s="12" t="s">
        <v>423</v>
      </c>
      <c r="B214" s="4">
        <v>45276</v>
      </c>
      <c r="C214" s="4">
        <v>45279</v>
      </c>
      <c r="D214" s="12" t="s">
        <v>647</v>
      </c>
      <c r="E214" s="12" t="s">
        <v>659</v>
      </c>
      <c r="F214" s="12" t="s">
        <v>699</v>
      </c>
      <c r="G214" s="12" t="s">
        <v>702</v>
      </c>
      <c r="H214" s="12" t="s">
        <v>707</v>
      </c>
      <c r="I214" s="12" t="s">
        <v>720</v>
      </c>
      <c r="J214" s="12" t="s">
        <v>733</v>
      </c>
      <c r="K214" s="12" t="s">
        <v>1142</v>
      </c>
      <c r="L214" s="6">
        <v>1415.05</v>
      </c>
      <c r="M214" s="6">
        <v>1972.38</v>
      </c>
      <c r="N214" s="6">
        <v>0</v>
      </c>
      <c r="O214" s="6">
        <v>12</v>
      </c>
    </row>
    <row r="215" spans="1:15" x14ac:dyDescent="0.25">
      <c r="A215" s="12" t="s">
        <v>481</v>
      </c>
      <c r="B215" s="4">
        <v>45278</v>
      </c>
      <c r="C215" s="4">
        <v>45305</v>
      </c>
      <c r="D215" s="12" t="s">
        <v>647</v>
      </c>
      <c r="E215" s="12" t="s">
        <v>654</v>
      </c>
      <c r="F215" s="12" t="s">
        <v>691</v>
      </c>
      <c r="G215" s="12" t="s">
        <v>704</v>
      </c>
      <c r="H215" s="12" t="s">
        <v>710</v>
      </c>
      <c r="I215" s="12" t="s">
        <v>726</v>
      </c>
      <c r="J215" s="12" t="s">
        <v>729</v>
      </c>
      <c r="K215" s="12" t="s">
        <v>1200</v>
      </c>
      <c r="L215" s="6">
        <v>1408.3</v>
      </c>
      <c r="M215" s="6">
        <v>2193.13</v>
      </c>
      <c r="N215" s="6">
        <v>7.0999999999999994E-2</v>
      </c>
      <c r="O215" s="6">
        <v>7</v>
      </c>
    </row>
    <row r="216" spans="1:15" x14ac:dyDescent="0.25">
      <c r="A216" s="12" t="s">
        <v>239</v>
      </c>
      <c r="B216" s="4">
        <v>45279</v>
      </c>
      <c r="C216" s="4">
        <v>45280</v>
      </c>
      <c r="D216" s="12" t="s">
        <v>648</v>
      </c>
      <c r="E216" s="12" t="s">
        <v>655</v>
      </c>
      <c r="F216" s="12" t="s">
        <v>692</v>
      </c>
      <c r="G216" s="12" t="s">
        <v>704</v>
      </c>
      <c r="H216" s="12" t="s">
        <v>710</v>
      </c>
      <c r="I216" s="12" t="s">
        <v>713</v>
      </c>
      <c r="J216" s="12" t="s">
        <v>730</v>
      </c>
      <c r="K216" s="12" t="s">
        <v>959</v>
      </c>
      <c r="L216" s="6">
        <v>1080.43</v>
      </c>
      <c r="M216" s="6">
        <v>2529.15</v>
      </c>
      <c r="N216" s="6">
        <v>0.14699999999999999</v>
      </c>
      <c r="O216" s="6">
        <v>10</v>
      </c>
    </row>
    <row r="217" spans="1:15" x14ac:dyDescent="0.25">
      <c r="A217" s="12" t="s">
        <v>588</v>
      </c>
      <c r="B217" s="4">
        <v>45279</v>
      </c>
      <c r="C217" s="4">
        <v>45292</v>
      </c>
      <c r="D217" s="12" t="s">
        <v>648</v>
      </c>
      <c r="E217" s="12" t="s">
        <v>653</v>
      </c>
      <c r="F217" s="12" t="s">
        <v>667</v>
      </c>
      <c r="G217" s="12" t="s">
        <v>706</v>
      </c>
      <c r="H217" s="12" t="s">
        <v>707</v>
      </c>
      <c r="I217" s="12" t="s">
        <v>723</v>
      </c>
      <c r="J217" s="12" t="s">
        <v>732</v>
      </c>
      <c r="K217" s="12" t="s">
        <v>1306</v>
      </c>
      <c r="L217" s="6">
        <v>856.1</v>
      </c>
      <c r="M217" s="6">
        <v>901.48</v>
      </c>
      <c r="N217" s="6">
        <v>5.6000000000000001E-2</v>
      </c>
      <c r="O217" s="6">
        <v>17</v>
      </c>
    </row>
    <row r="218" spans="1:15" x14ac:dyDescent="0.25">
      <c r="A218" s="12" t="s">
        <v>230</v>
      </c>
      <c r="B218" s="4">
        <v>45280</v>
      </c>
      <c r="C218" s="4">
        <v>45305</v>
      </c>
      <c r="D218" s="12" t="s">
        <v>647</v>
      </c>
      <c r="E218" s="12" t="s">
        <v>654</v>
      </c>
      <c r="F218" s="12" t="s">
        <v>691</v>
      </c>
      <c r="G218" s="12" t="s">
        <v>703</v>
      </c>
      <c r="H218" s="12" t="s">
        <v>709</v>
      </c>
      <c r="I218" s="12" t="s">
        <v>716</v>
      </c>
      <c r="J218" s="12" t="s">
        <v>732</v>
      </c>
      <c r="K218" s="12" t="s">
        <v>950</v>
      </c>
      <c r="L218" s="6">
        <v>1085.6099999999999</v>
      </c>
      <c r="M218" s="6">
        <v>1246.4100000000001</v>
      </c>
      <c r="N218" s="6">
        <v>0.113</v>
      </c>
      <c r="O218" s="6">
        <v>7</v>
      </c>
    </row>
    <row r="219" spans="1:15" x14ac:dyDescent="0.25">
      <c r="A219" s="12" t="s">
        <v>362</v>
      </c>
      <c r="B219" s="4">
        <v>45281</v>
      </c>
      <c r="C219" s="4">
        <v>45297</v>
      </c>
      <c r="D219" s="12" t="s">
        <v>646</v>
      </c>
      <c r="E219" s="12" t="s">
        <v>651</v>
      </c>
      <c r="F219" s="14" t="s">
        <v>1367</v>
      </c>
      <c r="G219" s="12" t="s">
        <v>701</v>
      </c>
      <c r="H219" s="12" t="s">
        <v>709</v>
      </c>
      <c r="I219" s="12" t="s">
        <v>723</v>
      </c>
      <c r="J219" s="12" t="s">
        <v>727</v>
      </c>
      <c r="K219" s="12" t="s">
        <v>1082</v>
      </c>
      <c r="L219" s="6">
        <v>932.61</v>
      </c>
      <c r="M219" s="6">
        <v>1982.98</v>
      </c>
      <c r="N219" s="6">
        <v>0.14399999999999999</v>
      </c>
      <c r="O219" s="6">
        <v>16</v>
      </c>
    </row>
    <row r="220" spans="1:15" x14ac:dyDescent="0.25">
      <c r="A220" s="12" t="s">
        <v>100</v>
      </c>
      <c r="B220" s="4">
        <v>45282</v>
      </c>
      <c r="C220" s="4">
        <v>45283</v>
      </c>
      <c r="D220" s="12" t="s">
        <v>646</v>
      </c>
      <c r="E220" s="12" t="s">
        <v>661</v>
      </c>
      <c r="F220" s="12" t="s">
        <v>695</v>
      </c>
      <c r="G220" s="12" t="s">
        <v>703</v>
      </c>
      <c r="H220" s="12" t="s">
        <v>709</v>
      </c>
      <c r="I220" s="12" t="s">
        <v>726</v>
      </c>
      <c r="J220" s="12" t="s">
        <v>727</v>
      </c>
      <c r="K220" s="12" t="s">
        <v>819</v>
      </c>
      <c r="L220" s="6">
        <v>1186.18</v>
      </c>
      <c r="M220" s="6">
        <v>1285.0899999999999</v>
      </c>
      <c r="N220" s="6">
        <v>7.0000000000000007E-2</v>
      </c>
      <c r="O220" s="6">
        <v>11</v>
      </c>
    </row>
    <row r="221" spans="1:15" x14ac:dyDescent="0.25">
      <c r="A221" s="12" t="s">
        <v>640</v>
      </c>
      <c r="B221" s="4">
        <v>45282</v>
      </c>
      <c r="C221" s="4">
        <v>45307</v>
      </c>
      <c r="D221" s="12" t="s">
        <v>647</v>
      </c>
      <c r="E221" s="12" t="s">
        <v>654</v>
      </c>
      <c r="F221" s="12" t="s">
        <v>696</v>
      </c>
      <c r="G221" s="12" t="s">
        <v>705</v>
      </c>
      <c r="H221" s="12" t="s">
        <v>707</v>
      </c>
      <c r="I221" s="12" t="s">
        <v>720</v>
      </c>
      <c r="J221" s="12" t="s">
        <v>727</v>
      </c>
      <c r="K221" s="12" t="s">
        <v>1358</v>
      </c>
      <c r="L221" s="6">
        <v>1346.81</v>
      </c>
      <c r="M221" s="6">
        <v>978.09</v>
      </c>
      <c r="N221" s="6">
        <v>0.159</v>
      </c>
      <c r="O221" s="6">
        <v>17</v>
      </c>
    </row>
    <row r="222" spans="1:15" x14ac:dyDescent="0.25">
      <c r="A222" s="12" t="s">
        <v>282</v>
      </c>
      <c r="B222" s="4">
        <v>45284</v>
      </c>
      <c r="C222" s="4">
        <v>45292</v>
      </c>
      <c r="D222" s="12" t="s">
        <v>648</v>
      </c>
      <c r="E222" s="12" t="s">
        <v>655</v>
      </c>
      <c r="F222" s="12" t="s">
        <v>670</v>
      </c>
      <c r="G222" s="12" t="s">
        <v>702</v>
      </c>
      <c r="H222" s="12" t="s">
        <v>711</v>
      </c>
      <c r="I222" s="12" t="s">
        <v>712</v>
      </c>
      <c r="J222" s="12" t="s">
        <v>730</v>
      </c>
      <c r="K222" s="12" t="s">
        <v>1002</v>
      </c>
      <c r="L222" s="6">
        <v>526.49</v>
      </c>
      <c r="M222" s="6">
        <v>496.2</v>
      </c>
      <c r="N222" s="6">
        <v>0</v>
      </c>
      <c r="O222" s="6">
        <v>14</v>
      </c>
    </row>
    <row r="223" spans="1:15" x14ac:dyDescent="0.25">
      <c r="A223" s="12" t="s">
        <v>460</v>
      </c>
      <c r="B223" s="4">
        <v>45284</v>
      </c>
      <c r="C223" s="4">
        <v>45304</v>
      </c>
      <c r="D223" s="12" t="s">
        <v>647</v>
      </c>
      <c r="E223" s="12" t="s">
        <v>652</v>
      </c>
      <c r="F223" s="12" t="s">
        <v>694</v>
      </c>
      <c r="G223" s="12" t="s">
        <v>702</v>
      </c>
      <c r="H223" s="12" t="s">
        <v>711</v>
      </c>
      <c r="I223" s="12" t="s">
        <v>717</v>
      </c>
      <c r="J223" s="12" t="s">
        <v>731</v>
      </c>
      <c r="K223" s="12" t="s">
        <v>1179</v>
      </c>
      <c r="L223" s="6">
        <v>625.37</v>
      </c>
      <c r="M223" s="6">
        <v>1319.04</v>
      </c>
      <c r="N223" s="6">
        <v>7.3999999999999996E-2</v>
      </c>
      <c r="O223" s="6">
        <v>8</v>
      </c>
    </row>
    <row r="224" spans="1:15" x14ac:dyDescent="0.25">
      <c r="A224" s="12" t="s">
        <v>384</v>
      </c>
      <c r="B224" s="4">
        <v>45286</v>
      </c>
      <c r="C224" s="4">
        <v>45294</v>
      </c>
      <c r="D224" s="12" t="s">
        <v>649</v>
      </c>
      <c r="E224" s="12" t="s">
        <v>657</v>
      </c>
      <c r="F224" s="12" t="s">
        <v>679</v>
      </c>
      <c r="G224" s="12" t="s">
        <v>705</v>
      </c>
      <c r="H224" s="12" t="s">
        <v>707</v>
      </c>
      <c r="I224" s="12" t="s">
        <v>724</v>
      </c>
      <c r="J224" s="12" t="s">
        <v>731</v>
      </c>
      <c r="K224" s="12" t="s">
        <v>1104</v>
      </c>
      <c r="L224" s="6">
        <v>492.75</v>
      </c>
      <c r="M224" s="6">
        <v>731.29</v>
      </c>
      <c r="N224" s="6">
        <v>5.8000000000000003E-2</v>
      </c>
      <c r="O224" s="6">
        <v>6</v>
      </c>
    </row>
    <row r="225" spans="1:15" x14ac:dyDescent="0.25">
      <c r="A225" s="12" t="s">
        <v>553</v>
      </c>
      <c r="B225" s="4">
        <v>45288</v>
      </c>
      <c r="C225" s="4">
        <v>45292</v>
      </c>
      <c r="D225" s="12" t="s">
        <v>646</v>
      </c>
      <c r="E225" s="12" t="s">
        <v>661</v>
      </c>
      <c r="F225" s="12" t="s">
        <v>695</v>
      </c>
      <c r="G225" s="12" t="s">
        <v>702</v>
      </c>
      <c r="H225" s="12" t="s">
        <v>710</v>
      </c>
      <c r="I225" s="12" t="s">
        <v>720</v>
      </c>
      <c r="J225" s="12" t="s">
        <v>728</v>
      </c>
      <c r="K225" s="12" t="s">
        <v>1271</v>
      </c>
      <c r="L225" s="6">
        <v>1141.8</v>
      </c>
      <c r="M225" s="6">
        <v>2318.7399999999998</v>
      </c>
      <c r="N225" s="6">
        <v>0.107</v>
      </c>
      <c r="O225" s="6">
        <v>32</v>
      </c>
    </row>
    <row r="226" spans="1:15" x14ac:dyDescent="0.25">
      <c r="A226" s="12" t="s">
        <v>137</v>
      </c>
      <c r="B226" s="4">
        <v>45289</v>
      </c>
      <c r="C226" s="4">
        <v>45311</v>
      </c>
      <c r="D226" s="12" t="s">
        <v>646</v>
      </c>
      <c r="E226" s="12" t="s">
        <v>650</v>
      </c>
      <c r="F226" s="12" t="s">
        <v>662</v>
      </c>
      <c r="G226" s="12" t="s">
        <v>701</v>
      </c>
      <c r="H226" s="12" t="s">
        <v>711</v>
      </c>
      <c r="I226" s="12" t="s">
        <v>716</v>
      </c>
      <c r="J226" s="12" t="s">
        <v>730</v>
      </c>
      <c r="K226" s="12" t="s">
        <v>856</v>
      </c>
      <c r="L226" s="6">
        <v>1395.49</v>
      </c>
      <c r="M226" s="6">
        <v>1679.42</v>
      </c>
      <c r="N226" s="6">
        <v>0.20300000000000001</v>
      </c>
      <c r="O226" s="6">
        <v>12</v>
      </c>
    </row>
    <row r="227" spans="1:15" x14ac:dyDescent="0.25">
      <c r="A227" s="12" t="s">
        <v>452</v>
      </c>
      <c r="B227" s="4">
        <v>45290</v>
      </c>
      <c r="C227" s="4">
        <v>45299</v>
      </c>
      <c r="D227" s="12" t="s">
        <v>649</v>
      </c>
      <c r="E227" s="12" t="s">
        <v>657</v>
      </c>
      <c r="F227" s="12" t="s">
        <v>673</v>
      </c>
      <c r="G227" s="12" t="s">
        <v>704</v>
      </c>
      <c r="H227" s="12" t="s">
        <v>709</v>
      </c>
      <c r="I227" s="12" t="s">
        <v>716</v>
      </c>
      <c r="J227" s="12" t="s">
        <v>733</v>
      </c>
      <c r="K227" s="12" t="s">
        <v>1171</v>
      </c>
      <c r="L227" s="6">
        <v>861.1</v>
      </c>
      <c r="M227" s="6">
        <v>1224.72</v>
      </c>
      <c r="N227" s="6">
        <v>0.17399999999999999</v>
      </c>
      <c r="O227" s="6">
        <v>24</v>
      </c>
    </row>
    <row r="228" spans="1:15" x14ac:dyDescent="0.25">
      <c r="A228" s="12" t="s">
        <v>369</v>
      </c>
      <c r="B228" s="4">
        <v>45292</v>
      </c>
      <c r="C228" s="4">
        <v>45318</v>
      </c>
      <c r="D228" s="12" t="s">
        <v>649</v>
      </c>
      <c r="E228" s="12" t="s">
        <v>658</v>
      </c>
      <c r="F228" s="12" t="s">
        <v>693</v>
      </c>
      <c r="G228" s="12" t="s">
        <v>702</v>
      </c>
      <c r="H228" s="12" t="s">
        <v>710</v>
      </c>
      <c r="I228" s="12" t="s">
        <v>726</v>
      </c>
      <c r="J228" s="12" t="s">
        <v>733</v>
      </c>
      <c r="K228" s="12" t="s">
        <v>1089</v>
      </c>
      <c r="L228" s="6">
        <v>657.45</v>
      </c>
      <c r="M228" s="6">
        <v>1325.96</v>
      </c>
      <c r="N228" s="6">
        <v>0.16700000000000001</v>
      </c>
      <c r="O228" s="6">
        <v>21</v>
      </c>
    </row>
    <row r="229" spans="1:15" x14ac:dyDescent="0.25">
      <c r="A229" s="12" t="s">
        <v>335</v>
      </c>
      <c r="B229" s="4">
        <v>45293</v>
      </c>
      <c r="C229" s="4">
        <v>45292</v>
      </c>
      <c r="D229" s="12" t="s">
        <v>648</v>
      </c>
      <c r="E229" s="12" t="s">
        <v>660</v>
      </c>
      <c r="F229" s="12" t="s">
        <v>677</v>
      </c>
      <c r="G229" s="12" t="s">
        <v>702</v>
      </c>
      <c r="H229" s="12" t="s">
        <v>709</v>
      </c>
      <c r="I229" s="12" t="s">
        <v>717</v>
      </c>
      <c r="J229" s="12" t="s">
        <v>729</v>
      </c>
      <c r="K229" s="12" t="s">
        <v>1055</v>
      </c>
      <c r="L229" s="6">
        <v>404.77</v>
      </c>
      <c r="M229" s="6">
        <v>433.88</v>
      </c>
      <c r="N229" s="6">
        <v>0.215</v>
      </c>
      <c r="O229" s="6">
        <v>22</v>
      </c>
    </row>
    <row r="230" spans="1:15" x14ac:dyDescent="0.25">
      <c r="A230" s="12" t="s">
        <v>494</v>
      </c>
      <c r="B230" s="4">
        <v>45293</v>
      </c>
      <c r="C230" s="4">
        <v>45306</v>
      </c>
      <c r="D230" s="12" t="s">
        <v>647</v>
      </c>
      <c r="E230" s="12" t="s">
        <v>652</v>
      </c>
      <c r="F230" s="12" t="s">
        <v>694</v>
      </c>
      <c r="G230" s="12" t="s">
        <v>705</v>
      </c>
      <c r="H230" s="12" t="s">
        <v>709</v>
      </c>
      <c r="I230" s="12" t="s">
        <v>715</v>
      </c>
      <c r="J230" s="12" t="s">
        <v>729</v>
      </c>
      <c r="K230" s="12" t="s">
        <v>1213</v>
      </c>
      <c r="L230" s="6">
        <v>1219.06</v>
      </c>
      <c r="M230" s="6">
        <v>2738.69</v>
      </c>
      <c r="N230" s="6">
        <v>7.5999999999999998E-2</v>
      </c>
      <c r="O230" s="6">
        <v>16</v>
      </c>
    </row>
    <row r="231" spans="1:15" x14ac:dyDescent="0.25">
      <c r="A231" s="12" t="s">
        <v>587</v>
      </c>
      <c r="B231" s="4">
        <v>45293</v>
      </c>
      <c r="C231" s="4">
        <v>45293</v>
      </c>
      <c r="D231" s="12" t="s">
        <v>648</v>
      </c>
      <c r="E231" s="12" t="s">
        <v>653</v>
      </c>
      <c r="F231" s="12" t="s">
        <v>688</v>
      </c>
      <c r="G231" s="12" t="s">
        <v>702</v>
      </c>
      <c r="H231" s="12" t="s">
        <v>711</v>
      </c>
      <c r="I231" s="12" t="s">
        <v>720</v>
      </c>
      <c r="J231" s="12" t="s">
        <v>731</v>
      </c>
      <c r="K231" s="12" t="s">
        <v>1305</v>
      </c>
      <c r="L231" s="6">
        <v>444.41</v>
      </c>
      <c r="M231" s="6">
        <v>754.24</v>
      </c>
      <c r="N231" s="6">
        <v>0.20699999999999999</v>
      </c>
      <c r="O231" s="6">
        <v>32</v>
      </c>
    </row>
    <row r="232" spans="1:15" x14ac:dyDescent="0.25">
      <c r="A232" s="12" t="s">
        <v>574</v>
      </c>
      <c r="B232" s="4">
        <v>45299</v>
      </c>
      <c r="C232" s="4">
        <v>45303</v>
      </c>
      <c r="D232" s="12" t="s">
        <v>647</v>
      </c>
      <c r="E232" s="12" t="s">
        <v>654</v>
      </c>
      <c r="F232" s="12" t="s">
        <v>668</v>
      </c>
      <c r="G232" s="12" t="s">
        <v>701</v>
      </c>
      <c r="H232" s="12" t="s">
        <v>711</v>
      </c>
      <c r="I232" s="12" t="s">
        <v>718</v>
      </c>
      <c r="J232" s="12" t="s">
        <v>728</v>
      </c>
      <c r="K232" s="12" t="s">
        <v>1292</v>
      </c>
      <c r="L232" s="6">
        <v>802.32</v>
      </c>
      <c r="M232" s="6">
        <v>602.34</v>
      </c>
      <c r="N232" s="6">
        <v>0.12</v>
      </c>
      <c r="O232" s="6">
        <v>25</v>
      </c>
    </row>
    <row r="233" spans="1:15" x14ac:dyDescent="0.25">
      <c r="A233" s="12" t="s">
        <v>283</v>
      </c>
      <c r="B233" s="4">
        <v>45301</v>
      </c>
      <c r="C233" s="4">
        <v>45314</v>
      </c>
      <c r="D233" s="12" t="s">
        <v>649</v>
      </c>
      <c r="E233" s="12" t="s">
        <v>657</v>
      </c>
      <c r="F233" s="12" t="s">
        <v>673</v>
      </c>
      <c r="G233" s="12" t="s">
        <v>701</v>
      </c>
      <c r="H233" s="12" t="s">
        <v>711</v>
      </c>
      <c r="I233" s="12" t="s">
        <v>720</v>
      </c>
      <c r="J233" s="12" t="s">
        <v>728</v>
      </c>
      <c r="K233" s="12" t="s">
        <v>1003</v>
      </c>
      <c r="L233" s="6">
        <v>720</v>
      </c>
      <c r="M233" s="6">
        <v>907.59</v>
      </c>
      <c r="N233" s="6">
        <v>0.154</v>
      </c>
      <c r="O233" s="6">
        <v>10</v>
      </c>
    </row>
    <row r="234" spans="1:15" x14ac:dyDescent="0.25">
      <c r="A234" s="12" t="s">
        <v>56</v>
      </c>
      <c r="B234" s="4">
        <v>45302</v>
      </c>
      <c r="C234" s="4">
        <v>45324</v>
      </c>
      <c r="D234" s="12" t="s">
        <v>646</v>
      </c>
      <c r="E234" s="12" t="s">
        <v>661</v>
      </c>
      <c r="F234" s="12" t="s">
        <v>687</v>
      </c>
      <c r="G234" s="12" t="s">
        <v>704</v>
      </c>
      <c r="H234" s="12" t="s">
        <v>708</v>
      </c>
      <c r="I234" s="12" t="s">
        <v>723</v>
      </c>
      <c r="J234" s="12" t="s">
        <v>729</v>
      </c>
      <c r="K234" s="12" t="s">
        <v>775</v>
      </c>
      <c r="L234" s="6">
        <v>1206.2</v>
      </c>
      <c r="M234" s="6">
        <v>1759.79</v>
      </c>
      <c r="N234" s="6">
        <v>0</v>
      </c>
      <c r="O234" s="6">
        <v>6</v>
      </c>
    </row>
    <row r="235" spans="1:15" x14ac:dyDescent="0.25">
      <c r="A235" s="12" t="s">
        <v>249</v>
      </c>
      <c r="B235" s="4">
        <v>45302</v>
      </c>
      <c r="C235" s="4">
        <v>45324</v>
      </c>
      <c r="D235" s="12" t="s">
        <v>647</v>
      </c>
      <c r="E235" s="12" t="s">
        <v>652</v>
      </c>
      <c r="F235" s="12" t="s">
        <v>694</v>
      </c>
      <c r="G235" s="12" t="s">
        <v>705</v>
      </c>
      <c r="H235" s="12" t="s">
        <v>708</v>
      </c>
      <c r="I235" s="14" t="s">
        <v>1368</v>
      </c>
      <c r="J235" s="12" t="s">
        <v>728</v>
      </c>
      <c r="K235" s="12" t="s">
        <v>969</v>
      </c>
      <c r="L235" s="6">
        <v>1237.68</v>
      </c>
      <c r="M235" s="6">
        <v>1432.8</v>
      </c>
      <c r="N235" s="6">
        <v>6.8000000000000005E-2</v>
      </c>
      <c r="O235" s="6">
        <v>13</v>
      </c>
    </row>
    <row r="236" spans="1:15" x14ac:dyDescent="0.25">
      <c r="A236" s="12" t="s">
        <v>215</v>
      </c>
      <c r="B236" s="4">
        <v>45303</v>
      </c>
      <c r="C236" s="4">
        <v>45320</v>
      </c>
      <c r="D236" s="12" t="s">
        <v>648</v>
      </c>
      <c r="E236" s="12" t="s">
        <v>660</v>
      </c>
      <c r="F236" s="12" t="s">
        <v>677</v>
      </c>
      <c r="G236" s="12" t="s">
        <v>702</v>
      </c>
      <c r="H236" s="12" t="s">
        <v>710</v>
      </c>
      <c r="I236" s="12" t="s">
        <v>720</v>
      </c>
      <c r="J236" s="12" t="s">
        <v>728</v>
      </c>
      <c r="K236" s="12" t="s">
        <v>935</v>
      </c>
      <c r="L236" s="6">
        <v>493.76</v>
      </c>
      <c r="M236" s="6">
        <v>625.04</v>
      </c>
      <c r="N236" s="6">
        <v>0.25800000000000001</v>
      </c>
      <c r="O236" s="6">
        <v>10</v>
      </c>
    </row>
    <row r="237" spans="1:15" x14ac:dyDescent="0.25">
      <c r="A237" s="12" t="s">
        <v>340</v>
      </c>
      <c r="B237" s="4">
        <v>45303</v>
      </c>
      <c r="C237" s="4">
        <v>45320</v>
      </c>
      <c r="D237" s="12" t="s">
        <v>647</v>
      </c>
      <c r="E237" s="12" t="s">
        <v>654</v>
      </c>
      <c r="F237" s="12" t="s">
        <v>696</v>
      </c>
      <c r="G237" s="12" t="s">
        <v>705</v>
      </c>
      <c r="H237" s="12" t="s">
        <v>711</v>
      </c>
      <c r="I237" s="12" t="s">
        <v>717</v>
      </c>
      <c r="J237" s="12" t="s">
        <v>727</v>
      </c>
      <c r="K237" s="12" t="s">
        <v>1060</v>
      </c>
      <c r="L237" s="6">
        <v>310.02</v>
      </c>
      <c r="M237" s="6">
        <v>619.51</v>
      </c>
      <c r="N237" s="6">
        <v>4.2000000000000003E-2</v>
      </c>
      <c r="O237" s="6">
        <v>4</v>
      </c>
    </row>
    <row r="238" spans="1:15" x14ac:dyDescent="0.25">
      <c r="A238" s="12" t="s">
        <v>116</v>
      </c>
      <c r="B238" s="4">
        <v>45304</v>
      </c>
      <c r="C238" s="4">
        <v>45313</v>
      </c>
      <c r="D238" s="12" t="s">
        <v>647</v>
      </c>
      <c r="E238" s="12" t="s">
        <v>654</v>
      </c>
      <c r="F238" s="12" t="s">
        <v>691</v>
      </c>
      <c r="G238" s="12" t="s">
        <v>706</v>
      </c>
      <c r="H238" s="12" t="s">
        <v>709</v>
      </c>
      <c r="I238" s="12" t="s">
        <v>713</v>
      </c>
      <c r="J238" s="12" t="s">
        <v>727</v>
      </c>
      <c r="K238" s="12" t="s">
        <v>835</v>
      </c>
      <c r="L238" s="6">
        <v>313.60000000000002</v>
      </c>
      <c r="M238" s="6">
        <v>334.28</v>
      </c>
      <c r="N238" s="6">
        <v>0.14000000000000001</v>
      </c>
      <c r="O238" s="6">
        <v>22</v>
      </c>
    </row>
    <row r="239" spans="1:15" x14ac:dyDescent="0.25">
      <c r="A239" s="12" t="s">
        <v>298</v>
      </c>
      <c r="B239" s="4">
        <v>45304</v>
      </c>
      <c r="C239" s="4">
        <v>45327</v>
      </c>
      <c r="D239" s="12" t="s">
        <v>649</v>
      </c>
      <c r="E239" s="12" t="s">
        <v>656</v>
      </c>
      <c r="F239" s="12" t="s">
        <v>698</v>
      </c>
      <c r="G239" s="12" t="s">
        <v>702</v>
      </c>
      <c r="H239" s="12" t="s">
        <v>711</v>
      </c>
      <c r="I239" s="12" t="s">
        <v>717</v>
      </c>
      <c r="J239" s="12" t="s">
        <v>731</v>
      </c>
      <c r="K239" s="12" t="s">
        <v>1018</v>
      </c>
      <c r="L239" s="6">
        <v>1017.93</v>
      </c>
      <c r="M239" s="6">
        <v>1529.14</v>
      </c>
      <c r="N239" s="6">
        <v>0.155</v>
      </c>
      <c r="O239" s="6">
        <v>12</v>
      </c>
    </row>
    <row r="240" spans="1:15" x14ac:dyDescent="0.25">
      <c r="A240" s="12" t="s">
        <v>538</v>
      </c>
      <c r="B240" s="4">
        <v>45304</v>
      </c>
      <c r="C240" s="4">
        <v>45306</v>
      </c>
      <c r="D240" s="12" t="s">
        <v>648</v>
      </c>
      <c r="E240" s="12" t="s">
        <v>660</v>
      </c>
      <c r="F240" s="12" t="s">
        <v>686</v>
      </c>
      <c r="G240" s="12" t="s">
        <v>703</v>
      </c>
      <c r="H240" s="12" t="s">
        <v>711</v>
      </c>
      <c r="I240" s="12" t="s">
        <v>718</v>
      </c>
      <c r="J240" s="12" t="s">
        <v>727</v>
      </c>
      <c r="K240" s="12" t="s">
        <v>1257</v>
      </c>
      <c r="L240" s="6">
        <v>1061.3699999999999</v>
      </c>
      <c r="M240" s="6">
        <v>1938.33</v>
      </c>
      <c r="N240" s="6">
        <v>0.17</v>
      </c>
      <c r="O240" s="6">
        <v>4</v>
      </c>
    </row>
    <row r="241" spans="1:15" x14ac:dyDescent="0.25">
      <c r="A241" s="12" t="s">
        <v>433</v>
      </c>
      <c r="B241" s="4">
        <v>45307</v>
      </c>
      <c r="C241" s="4">
        <v>45333</v>
      </c>
      <c r="D241" s="12" t="s">
        <v>649</v>
      </c>
      <c r="E241" s="12" t="s">
        <v>656</v>
      </c>
      <c r="F241" s="12" t="s">
        <v>698</v>
      </c>
      <c r="G241" s="12" t="s">
        <v>703</v>
      </c>
      <c r="H241" s="12" t="s">
        <v>710</v>
      </c>
      <c r="I241" s="12" t="s">
        <v>718</v>
      </c>
      <c r="J241" s="12" t="s">
        <v>732</v>
      </c>
      <c r="K241" s="12" t="s">
        <v>1152</v>
      </c>
      <c r="L241" s="6">
        <v>504.93</v>
      </c>
      <c r="M241" s="6">
        <v>819.06</v>
      </c>
      <c r="N241" s="6">
        <v>0.22600000000000001</v>
      </c>
      <c r="O241" s="6">
        <v>15</v>
      </c>
    </row>
    <row r="242" spans="1:15" x14ac:dyDescent="0.25">
      <c r="A242" s="12" t="s">
        <v>373</v>
      </c>
      <c r="B242" s="4">
        <v>45309</v>
      </c>
      <c r="C242" s="4">
        <v>45325</v>
      </c>
      <c r="D242" s="12" t="s">
        <v>646</v>
      </c>
      <c r="E242" s="12" t="s">
        <v>661</v>
      </c>
      <c r="F242" s="12" t="s">
        <v>695</v>
      </c>
      <c r="G242" s="12" t="s">
        <v>703</v>
      </c>
      <c r="H242" s="12" t="s">
        <v>710</v>
      </c>
      <c r="I242" s="12" t="s">
        <v>716</v>
      </c>
      <c r="J242" s="12" t="s">
        <v>728</v>
      </c>
      <c r="K242" s="12" t="s">
        <v>1093</v>
      </c>
      <c r="L242" s="6">
        <v>666.23</v>
      </c>
      <c r="M242" s="6">
        <v>1382.91</v>
      </c>
      <c r="N242" s="6">
        <v>0.17599999999999999</v>
      </c>
      <c r="O242" s="6">
        <v>13</v>
      </c>
    </row>
    <row r="243" spans="1:15" x14ac:dyDescent="0.25">
      <c r="A243" s="12" t="s">
        <v>28</v>
      </c>
      <c r="B243" s="4">
        <v>45311</v>
      </c>
      <c r="C243" s="4">
        <v>45335</v>
      </c>
      <c r="D243" s="12" t="s">
        <v>649</v>
      </c>
      <c r="E243" s="12" t="s">
        <v>657</v>
      </c>
      <c r="F243" s="12" t="s">
        <v>673</v>
      </c>
      <c r="G243" s="12" t="s">
        <v>701</v>
      </c>
      <c r="H243" s="12" t="s">
        <v>707</v>
      </c>
      <c r="I243" s="12" t="s">
        <v>722</v>
      </c>
      <c r="J243" s="12" t="s">
        <v>728</v>
      </c>
      <c r="K243" s="12" t="s">
        <v>747</v>
      </c>
      <c r="L243" s="6">
        <v>643.53</v>
      </c>
      <c r="M243" s="6">
        <v>1439.01</v>
      </c>
      <c r="N243" s="6">
        <v>0</v>
      </c>
      <c r="O243" s="6">
        <v>15</v>
      </c>
    </row>
    <row r="244" spans="1:15" x14ac:dyDescent="0.25">
      <c r="A244" s="12" t="s">
        <v>103</v>
      </c>
      <c r="B244" s="4">
        <v>45312</v>
      </c>
      <c r="C244" s="4">
        <v>45316</v>
      </c>
      <c r="D244" s="12" t="s">
        <v>647</v>
      </c>
      <c r="E244" s="12" t="s">
        <v>654</v>
      </c>
      <c r="F244" s="12" t="s">
        <v>680</v>
      </c>
      <c r="G244" s="12" t="s">
        <v>704</v>
      </c>
      <c r="H244" s="12" t="s">
        <v>711</v>
      </c>
      <c r="I244" s="12" t="s">
        <v>712</v>
      </c>
      <c r="J244" s="12" t="s">
        <v>732</v>
      </c>
      <c r="K244" s="12" t="s">
        <v>822</v>
      </c>
      <c r="L244" s="6">
        <v>523.70000000000005</v>
      </c>
      <c r="M244" s="6">
        <v>1109.92</v>
      </c>
      <c r="N244" s="6">
        <v>0.03</v>
      </c>
      <c r="O244" s="6">
        <v>11</v>
      </c>
    </row>
    <row r="245" spans="1:15" x14ac:dyDescent="0.25">
      <c r="A245" s="12" t="s">
        <v>579</v>
      </c>
      <c r="B245" s="4">
        <v>45315</v>
      </c>
      <c r="C245" s="4">
        <v>45326</v>
      </c>
      <c r="D245" s="12" t="s">
        <v>649</v>
      </c>
      <c r="E245" s="12" t="s">
        <v>658</v>
      </c>
      <c r="F245" s="12" t="s">
        <v>693</v>
      </c>
      <c r="G245" s="12" t="s">
        <v>704</v>
      </c>
      <c r="H245" s="12" t="s">
        <v>707</v>
      </c>
      <c r="I245" s="12" t="s">
        <v>717</v>
      </c>
      <c r="J245" s="12" t="s">
        <v>731</v>
      </c>
      <c r="K245" s="12" t="s">
        <v>1297</v>
      </c>
      <c r="L245" s="6">
        <v>525.34</v>
      </c>
      <c r="M245" s="6">
        <v>1233.79</v>
      </c>
      <c r="N245" s="6">
        <v>0.14299999999999999</v>
      </c>
      <c r="O245" s="6">
        <v>4</v>
      </c>
    </row>
    <row r="246" spans="1:15" x14ac:dyDescent="0.25">
      <c r="A246" s="12" t="s">
        <v>289</v>
      </c>
      <c r="B246" s="4">
        <v>45316</v>
      </c>
      <c r="C246" s="4">
        <v>45318</v>
      </c>
      <c r="D246" s="12" t="s">
        <v>648</v>
      </c>
      <c r="E246" s="12" t="s">
        <v>655</v>
      </c>
      <c r="F246" s="12" t="s">
        <v>670</v>
      </c>
      <c r="G246" s="12" t="s">
        <v>703</v>
      </c>
      <c r="H246" s="12" t="s">
        <v>709</v>
      </c>
      <c r="I246" s="12" t="s">
        <v>725</v>
      </c>
      <c r="J246" s="12" t="s">
        <v>731</v>
      </c>
      <c r="K246" s="12" t="s">
        <v>1009</v>
      </c>
      <c r="L246" s="6">
        <v>1410.97</v>
      </c>
      <c r="M246" s="6">
        <v>1650.75</v>
      </c>
      <c r="N246" s="6">
        <v>0.13500000000000001</v>
      </c>
      <c r="O246" s="6">
        <v>6</v>
      </c>
    </row>
    <row r="247" spans="1:15" x14ac:dyDescent="0.25">
      <c r="A247" s="12" t="s">
        <v>544</v>
      </c>
      <c r="B247" s="4">
        <v>45316</v>
      </c>
      <c r="C247" s="4">
        <v>45330</v>
      </c>
      <c r="D247" s="12" t="s">
        <v>647</v>
      </c>
      <c r="E247" s="12" t="s">
        <v>652</v>
      </c>
      <c r="F247" s="12" t="s">
        <v>666</v>
      </c>
      <c r="G247" s="12" t="s">
        <v>704</v>
      </c>
      <c r="H247" s="12" t="s">
        <v>709</v>
      </c>
      <c r="I247" s="12" t="s">
        <v>714</v>
      </c>
      <c r="J247" s="12" t="s">
        <v>729</v>
      </c>
      <c r="K247" s="12" t="s">
        <v>1263</v>
      </c>
      <c r="L247" s="6">
        <v>937.16</v>
      </c>
      <c r="M247" s="6">
        <v>1069.77</v>
      </c>
      <c r="N247" s="6">
        <v>3.7999999999999999E-2</v>
      </c>
      <c r="O247" s="6">
        <v>9</v>
      </c>
    </row>
    <row r="248" spans="1:15" x14ac:dyDescent="0.25">
      <c r="A248" s="12" t="s">
        <v>25</v>
      </c>
      <c r="B248" s="4">
        <v>45319</v>
      </c>
      <c r="C248" s="4">
        <v>45331</v>
      </c>
      <c r="D248" s="12" t="s">
        <v>649</v>
      </c>
      <c r="E248" s="12" t="s">
        <v>656</v>
      </c>
      <c r="F248" s="12" t="s">
        <v>671</v>
      </c>
      <c r="G248" s="12" t="s">
        <v>701</v>
      </c>
      <c r="H248" s="12" t="s">
        <v>708</v>
      </c>
      <c r="I248" s="12" t="s">
        <v>715</v>
      </c>
      <c r="J248" s="12" t="s">
        <v>733</v>
      </c>
      <c r="K248" s="12" t="s">
        <v>744</v>
      </c>
      <c r="L248" s="6">
        <v>644.16999999999996</v>
      </c>
      <c r="M248" s="6">
        <v>700.12</v>
      </c>
      <c r="N248" s="6">
        <v>6.0000000000000001E-3</v>
      </c>
      <c r="O248" s="6">
        <v>23</v>
      </c>
    </row>
    <row r="249" spans="1:15" x14ac:dyDescent="0.25">
      <c r="A249" s="12" t="s">
        <v>302</v>
      </c>
      <c r="B249" s="4">
        <v>45319</v>
      </c>
      <c r="C249" s="4">
        <v>45321</v>
      </c>
      <c r="D249" s="12" t="s">
        <v>646</v>
      </c>
      <c r="E249" s="12" t="s">
        <v>661</v>
      </c>
      <c r="F249" s="12" t="s">
        <v>695</v>
      </c>
      <c r="G249" s="12" t="s">
        <v>704</v>
      </c>
      <c r="H249" s="12" t="s">
        <v>711</v>
      </c>
      <c r="I249" s="12" t="s">
        <v>721</v>
      </c>
      <c r="J249" s="12" t="s">
        <v>733</v>
      </c>
      <c r="K249" s="12" t="s">
        <v>1022</v>
      </c>
      <c r="L249" s="6">
        <v>798.45</v>
      </c>
      <c r="M249" s="6">
        <v>1592.02</v>
      </c>
      <c r="N249" s="6">
        <v>6.6000000000000003E-2</v>
      </c>
      <c r="O249" s="6">
        <v>18</v>
      </c>
    </row>
    <row r="250" spans="1:15" x14ac:dyDescent="0.25">
      <c r="A250" s="12" t="s">
        <v>623</v>
      </c>
      <c r="B250" s="4">
        <v>45319</v>
      </c>
      <c r="C250" s="4">
        <v>45318</v>
      </c>
      <c r="D250" s="12" t="s">
        <v>646</v>
      </c>
      <c r="E250" s="12" t="s">
        <v>661</v>
      </c>
      <c r="F250" s="12" t="s">
        <v>695</v>
      </c>
      <c r="G250" s="12" t="s">
        <v>706</v>
      </c>
      <c r="H250" s="12" t="s">
        <v>711</v>
      </c>
      <c r="I250" s="12" t="s">
        <v>719</v>
      </c>
      <c r="J250" s="12" t="s">
        <v>727</v>
      </c>
      <c r="K250" s="12" t="s">
        <v>1341</v>
      </c>
      <c r="L250" s="6">
        <v>109.75</v>
      </c>
      <c r="M250" s="6">
        <v>124.25</v>
      </c>
      <c r="N250" s="6">
        <v>0.12</v>
      </c>
      <c r="O250" s="6">
        <v>19</v>
      </c>
    </row>
    <row r="251" spans="1:15" x14ac:dyDescent="0.25">
      <c r="A251" s="12" t="s">
        <v>171</v>
      </c>
      <c r="B251" s="4">
        <v>45323</v>
      </c>
      <c r="C251" s="4">
        <v>45343</v>
      </c>
      <c r="D251" s="12" t="s">
        <v>649</v>
      </c>
      <c r="E251" s="12" t="s">
        <v>657</v>
      </c>
      <c r="F251" s="12" t="s">
        <v>690</v>
      </c>
      <c r="G251" s="12" t="s">
        <v>705</v>
      </c>
      <c r="H251" s="12" t="s">
        <v>709</v>
      </c>
      <c r="I251" s="12" t="s">
        <v>720</v>
      </c>
      <c r="J251" s="12" t="s">
        <v>729</v>
      </c>
      <c r="K251" s="12" t="s">
        <v>890</v>
      </c>
      <c r="L251" s="6">
        <v>656.2</v>
      </c>
      <c r="M251" s="6">
        <v>1467.17</v>
      </c>
      <c r="N251" s="6">
        <v>1.7999999999999999E-2</v>
      </c>
      <c r="O251" s="6">
        <v>5</v>
      </c>
    </row>
    <row r="252" spans="1:15" x14ac:dyDescent="0.25">
      <c r="A252" s="12" t="s">
        <v>625</v>
      </c>
      <c r="B252" s="4">
        <v>45323</v>
      </c>
      <c r="C252" s="4">
        <v>45323</v>
      </c>
      <c r="D252" s="12" t="s">
        <v>648</v>
      </c>
      <c r="E252" s="12" t="s">
        <v>660</v>
      </c>
      <c r="F252" s="12" t="s">
        <v>697</v>
      </c>
      <c r="G252" s="12" t="s">
        <v>704</v>
      </c>
      <c r="H252" s="12" t="s">
        <v>710</v>
      </c>
      <c r="I252" s="12" t="s">
        <v>722</v>
      </c>
      <c r="J252" s="12" t="s">
        <v>728</v>
      </c>
      <c r="K252" s="12" t="s">
        <v>1343</v>
      </c>
      <c r="L252" s="6">
        <v>714.43</v>
      </c>
      <c r="M252" s="6">
        <v>1595.52</v>
      </c>
      <c r="N252" s="6">
        <v>0.19400000000000001</v>
      </c>
      <c r="O252" s="6">
        <v>14</v>
      </c>
    </row>
    <row r="253" spans="1:15" x14ac:dyDescent="0.25">
      <c r="A253" s="12" t="s">
        <v>192</v>
      </c>
      <c r="B253" s="4">
        <v>45325</v>
      </c>
      <c r="C253" s="4">
        <v>45343</v>
      </c>
      <c r="D253" s="12" t="s">
        <v>649</v>
      </c>
      <c r="E253" s="12" t="s">
        <v>656</v>
      </c>
      <c r="F253" s="12" t="s">
        <v>698</v>
      </c>
      <c r="G253" s="12" t="s">
        <v>701</v>
      </c>
      <c r="H253" s="12" t="s">
        <v>707</v>
      </c>
      <c r="I253" s="12" t="s">
        <v>722</v>
      </c>
      <c r="J253" s="12" t="s">
        <v>727</v>
      </c>
      <c r="K253" s="12" t="s">
        <v>911</v>
      </c>
      <c r="L253" s="6">
        <v>39.229999999999997</v>
      </c>
      <c r="M253" s="6">
        <v>30.09</v>
      </c>
      <c r="N253" s="6">
        <v>0.17699999999999999</v>
      </c>
      <c r="O253" s="6">
        <v>13</v>
      </c>
    </row>
    <row r="254" spans="1:15" x14ac:dyDescent="0.25">
      <c r="A254" s="12" t="s">
        <v>204</v>
      </c>
      <c r="B254" s="4">
        <v>45325</v>
      </c>
      <c r="C254" s="4">
        <v>45341</v>
      </c>
      <c r="D254" s="12" t="s">
        <v>647</v>
      </c>
      <c r="E254" s="12" t="s">
        <v>659</v>
      </c>
      <c r="F254" s="12" t="s">
        <v>676</v>
      </c>
      <c r="G254" s="12" t="s">
        <v>705</v>
      </c>
      <c r="H254" s="12" t="s">
        <v>708</v>
      </c>
      <c r="I254" s="12" t="s">
        <v>722</v>
      </c>
      <c r="J254" s="12" t="s">
        <v>731</v>
      </c>
      <c r="K254" s="12" t="s">
        <v>924</v>
      </c>
      <c r="L254" s="6">
        <v>993.75</v>
      </c>
      <c r="M254" s="6">
        <v>1310.29</v>
      </c>
      <c r="N254" s="6">
        <v>0.215</v>
      </c>
      <c r="O254" s="6">
        <v>19</v>
      </c>
    </row>
    <row r="255" spans="1:15" x14ac:dyDescent="0.25">
      <c r="A255" s="12" t="s">
        <v>487</v>
      </c>
      <c r="B255" s="4">
        <v>45328</v>
      </c>
      <c r="C255" s="4">
        <v>45350</v>
      </c>
      <c r="D255" s="12" t="s">
        <v>646</v>
      </c>
      <c r="E255" s="12" t="s">
        <v>650</v>
      </c>
      <c r="F255" s="12" t="s">
        <v>662</v>
      </c>
      <c r="G255" s="12" t="s">
        <v>703</v>
      </c>
      <c r="H255" s="12" t="s">
        <v>708</v>
      </c>
      <c r="I255" s="12" t="s">
        <v>723</v>
      </c>
      <c r="J255" s="12" t="s">
        <v>732</v>
      </c>
      <c r="K255" s="12" t="s">
        <v>1206</v>
      </c>
      <c r="L255" s="6">
        <v>834.93</v>
      </c>
      <c r="M255" s="6">
        <v>1588.53</v>
      </c>
      <c r="N255" s="6">
        <v>0.126</v>
      </c>
      <c r="O255" s="6">
        <v>6</v>
      </c>
    </row>
    <row r="256" spans="1:15" x14ac:dyDescent="0.25">
      <c r="A256" s="12" t="s">
        <v>580</v>
      </c>
      <c r="B256" s="4">
        <v>45330</v>
      </c>
      <c r="C256" s="4">
        <v>45331</v>
      </c>
      <c r="D256" s="12" t="s">
        <v>646</v>
      </c>
      <c r="E256" s="12" t="s">
        <v>650</v>
      </c>
      <c r="F256" s="12" t="s">
        <v>675</v>
      </c>
      <c r="G256" s="12" t="s">
        <v>701</v>
      </c>
      <c r="H256" s="12" t="s">
        <v>711</v>
      </c>
      <c r="I256" s="12" t="s">
        <v>721</v>
      </c>
      <c r="J256" s="12" t="s">
        <v>727</v>
      </c>
      <c r="K256" s="12" t="s">
        <v>1298</v>
      </c>
      <c r="L256" s="6">
        <v>1233.52</v>
      </c>
      <c r="M256" s="6">
        <v>1543.76</v>
      </c>
      <c r="N256" s="6">
        <v>0.126</v>
      </c>
      <c r="O256" s="6">
        <v>13</v>
      </c>
    </row>
    <row r="257" spans="1:15" x14ac:dyDescent="0.25">
      <c r="A257" s="12" t="s">
        <v>211</v>
      </c>
      <c r="B257" s="4">
        <v>45333</v>
      </c>
      <c r="C257" s="4">
        <v>45354</v>
      </c>
      <c r="D257" s="12" t="s">
        <v>646</v>
      </c>
      <c r="E257" s="12" t="s">
        <v>650</v>
      </c>
      <c r="F257" s="12" t="s">
        <v>662</v>
      </c>
      <c r="G257" s="12" t="s">
        <v>706</v>
      </c>
      <c r="H257" s="12" t="s">
        <v>708</v>
      </c>
      <c r="I257" s="12" t="s">
        <v>717</v>
      </c>
      <c r="J257" s="12" t="s">
        <v>730</v>
      </c>
      <c r="K257" s="12" t="s">
        <v>931</v>
      </c>
      <c r="L257" s="6">
        <v>516.86</v>
      </c>
      <c r="M257" s="6">
        <v>852.54</v>
      </c>
      <c r="N257" s="6">
        <v>5.0999999999999997E-2</v>
      </c>
      <c r="O257" s="6">
        <v>14</v>
      </c>
    </row>
    <row r="258" spans="1:15" x14ac:dyDescent="0.25">
      <c r="A258" s="12" t="s">
        <v>154</v>
      </c>
      <c r="B258" s="4">
        <v>45336</v>
      </c>
      <c r="C258" s="4">
        <v>45336</v>
      </c>
      <c r="D258" s="12" t="s">
        <v>647</v>
      </c>
      <c r="E258" s="12" t="s">
        <v>659</v>
      </c>
      <c r="F258" s="12" t="s">
        <v>699</v>
      </c>
      <c r="G258" s="12" t="s">
        <v>701</v>
      </c>
      <c r="H258" s="12" t="s">
        <v>710</v>
      </c>
      <c r="I258" s="12" t="s">
        <v>716</v>
      </c>
      <c r="J258" s="12" t="s">
        <v>733</v>
      </c>
      <c r="K258" s="12" t="s">
        <v>873</v>
      </c>
      <c r="L258" s="6">
        <v>65.930000000000007</v>
      </c>
      <c r="M258" s="6">
        <v>84.9</v>
      </c>
      <c r="N258" s="6">
        <v>0.25900000000000001</v>
      </c>
      <c r="O258" s="6">
        <v>23</v>
      </c>
    </row>
    <row r="259" spans="1:15" x14ac:dyDescent="0.25">
      <c r="A259" s="12" t="s">
        <v>260</v>
      </c>
      <c r="B259" s="4">
        <v>45338</v>
      </c>
      <c r="C259" s="4">
        <v>45355</v>
      </c>
      <c r="D259" s="12" t="s">
        <v>648</v>
      </c>
      <c r="E259" s="12" t="s">
        <v>653</v>
      </c>
      <c r="F259" s="12" t="s">
        <v>681</v>
      </c>
      <c r="G259" s="12" t="s">
        <v>703</v>
      </c>
      <c r="H259" s="12" t="s">
        <v>707</v>
      </c>
      <c r="I259" s="12" t="s">
        <v>726</v>
      </c>
      <c r="J259" s="12" t="s">
        <v>731</v>
      </c>
      <c r="K259" s="12" t="s">
        <v>980</v>
      </c>
      <c r="L259" s="6">
        <v>1350.98</v>
      </c>
      <c r="M259" s="6">
        <v>2210.4</v>
      </c>
      <c r="N259" s="6">
        <v>0.26300000000000001</v>
      </c>
      <c r="O259" s="6">
        <v>6</v>
      </c>
    </row>
    <row r="260" spans="1:15" x14ac:dyDescent="0.25">
      <c r="A260" s="12" t="s">
        <v>357</v>
      </c>
      <c r="B260" s="4">
        <v>45339</v>
      </c>
      <c r="C260" s="4">
        <v>45355</v>
      </c>
      <c r="D260" s="12" t="s">
        <v>647</v>
      </c>
      <c r="E260" s="12" t="s">
        <v>654</v>
      </c>
      <c r="F260" s="12" t="s">
        <v>680</v>
      </c>
      <c r="G260" s="12" t="s">
        <v>705</v>
      </c>
      <c r="H260" s="12" t="s">
        <v>709</v>
      </c>
      <c r="I260" s="12" t="s">
        <v>721</v>
      </c>
      <c r="J260" s="12" t="s">
        <v>730</v>
      </c>
      <c r="K260" s="12" t="s">
        <v>1077</v>
      </c>
      <c r="L260" s="6">
        <v>1231.8</v>
      </c>
      <c r="M260" s="6">
        <v>2015.99</v>
      </c>
      <c r="N260" s="6">
        <v>0.26100000000000001</v>
      </c>
      <c r="O260" s="6">
        <v>6</v>
      </c>
    </row>
    <row r="261" spans="1:15" x14ac:dyDescent="0.25">
      <c r="A261" s="12" t="s">
        <v>168</v>
      </c>
      <c r="B261" s="4">
        <v>45340</v>
      </c>
      <c r="C261" s="4">
        <v>45355</v>
      </c>
      <c r="D261" s="12" t="s">
        <v>646</v>
      </c>
      <c r="E261" s="12" t="s">
        <v>650</v>
      </c>
      <c r="F261" s="12" t="s">
        <v>662</v>
      </c>
      <c r="G261" s="12" t="s">
        <v>702</v>
      </c>
      <c r="H261" s="12" t="s">
        <v>711</v>
      </c>
      <c r="I261" s="12" t="s">
        <v>723</v>
      </c>
      <c r="J261" s="12" t="s">
        <v>728</v>
      </c>
      <c r="K261" s="12" t="s">
        <v>887</v>
      </c>
      <c r="L261" s="6">
        <v>928.68</v>
      </c>
      <c r="M261" s="6">
        <v>2145.17</v>
      </c>
      <c r="N261" s="6">
        <v>0.13600000000000001</v>
      </c>
      <c r="O261" s="6">
        <v>16</v>
      </c>
    </row>
    <row r="262" spans="1:15" x14ac:dyDescent="0.25">
      <c r="A262" s="12" t="s">
        <v>337</v>
      </c>
      <c r="B262" s="4">
        <v>45340</v>
      </c>
      <c r="C262" s="4">
        <v>45362</v>
      </c>
      <c r="D262" s="12" t="s">
        <v>648</v>
      </c>
      <c r="E262" s="12" t="s">
        <v>655</v>
      </c>
      <c r="F262" s="12" t="s">
        <v>670</v>
      </c>
      <c r="G262" s="12" t="s">
        <v>704</v>
      </c>
      <c r="H262" s="12" t="s">
        <v>708</v>
      </c>
      <c r="I262" s="12" t="s">
        <v>720</v>
      </c>
      <c r="J262" s="12" t="s">
        <v>727</v>
      </c>
      <c r="K262" s="12" t="s">
        <v>1057</v>
      </c>
      <c r="L262" s="6">
        <v>80.48</v>
      </c>
      <c r="M262" s="6">
        <v>65.650000000000006</v>
      </c>
      <c r="N262" s="6">
        <v>0.17599999999999999</v>
      </c>
      <c r="O262" s="6">
        <v>13</v>
      </c>
    </row>
    <row r="263" spans="1:15" x14ac:dyDescent="0.25">
      <c r="A263" s="12" t="s">
        <v>351</v>
      </c>
      <c r="B263" s="4">
        <v>45340</v>
      </c>
      <c r="C263" s="4">
        <v>45354</v>
      </c>
      <c r="D263" s="12" t="s">
        <v>648</v>
      </c>
      <c r="E263" s="12" t="s">
        <v>655</v>
      </c>
      <c r="F263" s="14" t="s">
        <v>1367</v>
      </c>
      <c r="G263" s="12" t="s">
        <v>706</v>
      </c>
      <c r="H263" s="12" t="s">
        <v>710</v>
      </c>
      <c r="I263" s="12" t="s">
        <v>720</v>
      </c>
      <c r="J263" s="12" t="s">
        <v>728</v>
      </c>
      <c r="K263" s="12" t="s">
        <v>1071</v>
      </c>
      <c r="L263" s="6">
        <v>624.23</v>
      </c>
      <c r="M263" s="6">
        <v>1318.37</v>
      </c>
      <c r="N263" s="6">
        <v>0.21</v>
      </c>
      <c r="O263" s="6">
        <v>37</v>
      </c>
    </row>
    <row r="264" spans="1:15" x14ac:dyDescent="0.25">
      <c r="A264" s="12" t="s">
        <v>438</v>
      </c>
      <c r="B264" s="4">
        <v>45341</v>
      </c>
      <c r="C264" s="4">
        <v>45357</v>
      </c>
      <c r="D264" s="12" t="s">
        <v>647</v>
      </c>
      <c r="E264" s="12" t="s">
        <v>659</v>
      </c>
      <c r="F264" s="12" t="s">
        <v>699</v>
      </c>
      <c r="G264" s="12" t="s">
        <v>702</v>
      </c>
      <c r="H264" s="12" t="s">
        <v>709</v>
      </c>
      <c r="I264" s="12" t="s">
        <v>719</v>
      </c>
      <c r="J264" s="12" t="s">
        <v>728</v>
      </c>
      <c r="K264" s="12" t="s">
        <v>1157</v>
      </c>
      <c r="L264" s="6">
        <v>1477.84</v>
      </c>
      <c r="M264" s="6">
        <v>3197.47</v>
      </c>
      <c r="N264" s="6">
        <v>0.24299999999999999</v>
      </c>
      <c r="O264" s="6">
        <v>24</v>
      </c>
    </row>
    <row r="265" spans="1:15" x14ac:dyDescent="0.25">
      <c r="A265" s="12" t="s">
        <v>583</v>
      </c>
      <c r="B265" s="4">
        <v>45342</v>
      </c>
      <c r="C265" s="4">
        <v>45342</v>
      </c>
      <c r="D265" s="12" t="s">
        <v>648</v>
      </c>
      <c r="E265" s="12" t="s">
        <v>660</v>
      </c>
      <c r="F265" s="12" t="s">
        <v>700</v>
      </c>
      <c r="G265" s="12" t="s">
        <v>706</v>
      </c>
      <c r="H265" s="12" t="s">
        <v>708</v>
      </c>
      <c r="I265" s="12" t="s">
        <v>712</v>
      </c>
      <c r="J265" s="12" t="s">
        <v>729</v>
      </c>
      <c r="K265" s="12" t="s">
        <v>1301</v>
      </c>
      <c r="L265" s="6">
        <v>1407.05</v>
      </c>
      <c r="M265" s="6">
        <v>2858.93</v>
      </c>
      <c r="N265" s="6">
        <v>0</v>
      </c>
      <c r="O265" s="6">
        <v>12</v>
      </c>
    </row>
    <row r="266" spans="1:15" x14ac:dyDescent="0.25">
      <c r="A266" s="12" t="s">
        <v>442</v>
      </c>
      <c r="B266" s="4">
        <v>45347</v>
      </c>
      <c r="C266" s="4">
        <v>45360</v>
      </c>
      <c r="D266" s="12" t="s">
        <v>649</v>
      </c>
      <c r="E266" s="12" t="s">
        <v>657</v>
      </c>
      <c r="F266" s="12" t="s">
        <v>673</v>
      </c>
      <c r="G266" s="12" t="s">
        <v>705</v>
      </c>
      <c r="H266" s="12" t="s">
        <v>710</v>
      </c>
      <c r="I266" s="12" t="s">
        <v>718</v>
      </c>
      <c r="J266" s="12" t="s">
        <v>732</v>
      </c>
      <c r="K266" s="12" t="s">
        <v>1161</v>
      </c>
      <c r="L266" s="6">
        <v>322.44</v>
      </c>
      <c r="M266" s="6">
        <v>395.61</v>
      </c>
      <c r="N266" s="6">
        <v>0</v>
      </c>
      <c r="O266" s="6">
        <v>34</v>
      </c>
    </row>
    <row r="267" spans="1:15" x14ac:dyDescent="0.25">
      <c r="A267" s="12" t="s">
        <v>439</v>
      </c>
      <c r="B267" s="4">
        <v>45349</v>
      </c>
      <c r="C267" s="4">
        <v>45377</v>
      </c>
      <c r="D267" s="12" t="s">
        <v>647</v>
      </c>
      <c r="E267" s="12" t="s">
        <v>654</v>
      </c>
      <c r="F267" s="12" t="s">
        <v>691</v>
      </c>
      <c r="G267" s="12" t="s">
        <v>702</v>
      </c>
      <c r="H267" s="12" t="s">
        <v>709</v>
      </c>
      <c r="I267" s="12" t="s">
        <v>715</v>
      </c>
      <c r="J267" s="12" t="s">
        <v>731</v>
      </c>
      <c r="K267" s="12" t="s">
        <v>1158</v>
      </c>
      <c r="L267" s="6">
        <v>1035.19</v>
      </c>
      <c r="M267" s="6">
        <v>2322.6999999999998</v>
      </c>
      <c r="N267" s="6">
        <v>0.17299999999999999</v>
      </c>
      <c r="O267" s="6">
        <v>8</v>
      </c>
    </row>
    <row r="268" spans="1:15" x14ac:dyDescent="0.25">
      <c r="A268" s="12" t="s">
        <v>229</v>
      </c>
      <c r="B268" s="4">
        <v>45351</v>
      </c>
      <c r="C268" s="4">
        <v>45381</v>
      </c>
      <c r="D268" s="12" t="s">
        <v>647</v>
      </c>
      <c r="E268" s="12" t="s">
        <v>652</v>
      </c>
      <c r="F268" s="12" t="s">
        <v>694</v>
      </c>
      <c r="G268" s="12" t="s">
        <v>705</v>
      </c>
      <c r="H268" s="12" t="s">
        <v>711</v>
      </c>
      <c r="I268" s="12" t="s">
        <v>714</v>
      </c>
      <c r="J268" s="12" t="s">
        <v>729</v>
      </c>
      <c r="K268" s="12" t="s">
        <v>949</v>
      </c>
      <c r="L268" s="6">
        <v>231.11</v>
      </c>
      <c r="M268" s="6">
        <v>318.17</v>
      </c>
      <c r="N268" s="6">
        <v>0.20100000000000001</v>
      </c>
      <c r="O268" s="6">
        <v>60</v>
      </c>
    </row>
    <row r="269" spans="1:15" x14ac:dyDescent="0.25">
      <c r="A269" s="12" t="s">
        <v>507</v>
      </c>
      <c r="B269" s="4">
        <v>45352</v>
      </c>
      <c r="C269" s="4">
        <v>45351</v>
      </c>
      <c r="D269" s="12" t="s">
        <v>648</v>
      </c>
      <c r="E269" s="12" t="s">
        <v>655</v>
      </c>
      <c r="F269" s="12" t="s">
        <v>670</v>
      </c>
      <c r="G269" s="12" t="s">
        <v>703</v>
      </c>
      <c r="H269" s="12" t="s">
        <v>711</v>
      </c>
      <c r="I269" s="12" t="s">
        <v>714</v>
      </c>
      <c r="J269" s="12" t="s">
        <v>730</v>
      </c>
      <c r="K269" s="12" t="s">
        <v>1226</v>
      </c>
      <c r="L269" s="6">
        <v>5.34</v>
      </c>
      <c r="M269" s="6">
        <v>12.69</v>
      </c>
      <c r="N269" s="6">
        <v>0.13200000000000001</v>
      </c>
      <c r="O269" s="6">
        <v>10</v>
      </c>
    </row>
    <row r="270" spans="1:15" x14ac:dyDescent="0.25">
      <c r="A270" s="12" t="s">
        <v>310</v>
      </c>
      <c r="B270" s="4">
        <v>45353</v>
      </c>
      <c r="C270" s="4">
        <v>45367</v>
      </c>
      <c r="D270" s="12" t="s">
        <v>648</v>
      </c>
      <c r="E270" s="12" t="s">
        <v>653</v>
      </c>
      <c r="F270" s="12" t="s">
        <v>688</v>
      </c>
      <c r="G270" s="12" t="s">
        <v>703</v>
      </c>
      <c r="H270" s="12" t="s">
        <v>711</v>
      </c>
      <c r="I270" s="12" t="s">
        <v>719</v>
      </c>
      <c r="J270" s="12" t="s">
        <v>728</v>
      </c>
      <c r="K270" s="12" t="s">
        <v>1030</v>
      </c>
      <c r="L270" s="6">
        <v>248.24</v>
      </c>
      <c r="M270" s="6">
        <v>464.05</v>
      </c>
      <c r="N270" s="6">
        <v>0.16900000000000001</v>
      </c>
      <c r="O270" s="6">
        <v>11</v>
      </c>
    </row>
    <row r="271" spans="1:15" x14ac:dyDescent="0.25">
      <c r="A271" s="12" t="s">
        <v>525</v>
      </c>
      <c r="B271" s="4">
        <v>45353</v>
      </c>
      <c r="C271" s="4">
        <v>45374</v>
      </c>
      <c r="D271" s="12" t="s">
        <v>648</v>
      </c>
      <c r="E271" s="12" t="s">
        <v>660</v>
      </c>
      <c r="F271" s="12" t="s">
        <v>677</v>
      </c>
      <c r="G271" s="12" t="s">
        <v>705</v>
      </c>
      <c r="H271" s="12" t="s">
        <v>708</v>
      </c>
      <c r="I271" s="12" t="s">
        <v>721</v>
      </c>
      <c r="J271" s="12" t="s">
        <v>727</v>
      </c>
      <c r="K271" s="12" t="s">
        <v>1244</v>
      </c>
      <c r="L271" s="6">
        <v>225.01</v>
      </c>
      <c r="M271" s="6">
        <v>333.48</v>
      </c>
      <c r="N271" s="6">
        <v>0.11899999999999999</v>
      </c>
      <c r="O271" s="6">
        <v>12</v>
      </c>
    </row>
    <row r="272" spans="1:15" x14ac:dyDescent="0.25">
      <c r="A272" s="12" t="s">
        <v>389</v>
      </c>
      <c r="B272" s="4">
        <v>45354</v>
      </c>
      <c r="C272" s="4">
        <v>45370</v>
      </c>
      <c r="D272" s="12" t="s">
        <v>647</v>
      </c>
      <c r="E272" s="12" t="s">
        <v>659</v>
      </c>
      <c r="F272" s="12" t="s">
        <v>699</v>
      </c>
      <c r="G272" s="12" t="s">
        <v>704</v>
      </c>
      <c r="H272" s="12" t="s">
        <v>710</v>
      </c>
      <c r="I272" s="12" t="s">
        <v>715</v>
      </c>
      <c r="J272" s="12" t="s">
        <v>730</v>
      </c>
      <c r="K272" s="12" t="s">
        <v>1109</v>
      </c>
      <c r="L272" s="6">
        <v>988.83</v>
      </c>
      <c r="M272" s="6">
        <v>1206.04</v>
      </c>
      <c r="N272" s="6">
        <v>6.3E-2</v>
      </c>
      <c r="O272" s="6">
        <v>34</v>
      </c>
    </row>
    <row r="273" spans="1:15" x14ac:dyDescent="0.25">
      <c r="A273" s="12" t="s">
        <v>560</v>
      </c>
      <c r="B273" s="4">
        <v>45355</v>
      </c>
      <c r="C273" s="4">
        <v>45367</v>
      </c>
      <c r="D273" s="12" t="s">
        <v>646</v>
      </c>
      <c r="E273" s="12" t="s">
        <v>661</v>
      </c>
      <c r="F273" s="12" t="s">
        <v>682</v>
      </c>
      <c r="G273" s="12" t="s">
        <v>706</v>
      </c>
      <c r="H273" s="12" t="s">
        <v>710</v>
      </c>
      <c r="I273" s="12" t="s">
        <v>724</v>
      </c>
      <c r="J273" s="12" t="s">
        <v>732</v>
      </c>
      <c r="K273" s="12" t="s">
        <v>1278</v>
      </c>
      <c r="L273" s="6">
        <v>441.08</v>
      </c>
      <c r="M273" s="6">
        <v>1054.29</v>
      </c>
      <c r="N273" s="6">
        <v>0.23699999999999999</v>
      </c>
      <c r="O273" s="6">
        <v>6</v>
      </c>
    </row>
    <row r="274" spans="1:15" x14ac:dyDescent="0.25">
      <c r="A274" s="12" t="s">
        <v>259</v>
      </c>
      <c r="B274" s="4">
        <v>45357</v>
      </c>
      <c r="C274" s="4">
        <v>45377</v>
      </c>
      <c r="D274" s="12" t="s">
        <v>646</v>
      </c>
      <c r="E274" s="12" t="s">
        <v>651</v>
      </c>
      <c r="F274" s="12" t="s">
        <v>663</v>
      </c>
      <c r="G274" s="12" t="s">
        <v>704</v>
      </c>
      <c r="H274" s="12" t="s">
        <v>709</v>
      </c>
      <c r="I274" s="12" t="s">
        <v>714</v>
      </c>
      <c r="J274" s="12" t="s">
        <v>730</v>
      </c>
      <c r="K274" s="12" t="s">
        <v>979</v>
      </c>
      <c r="L274" s="6">
        <v>65.64</v>
      </c>
      <c r="M274" s="6">
        <v>151.88</v>
      </c>
      <c r="N274" s="6">
        <v>0.16700000000000001</v>
      </c>
      <c r="O274" s="6">
        <v>23</v>
      </c>
    </row>
    <row r="275" spans="1:15" x14ac:dyDescent="0.25">
      <c r="A275" s="12" t="s">
        <v>51</v>
      </c>
      <c r="B275" s="4">
        <v>45358</v>
      </c>
      <c r="C275" s="4">
        <v>45376</v>
      </c>
      <c r="D275" s="12" t="s">
        <v>649</v>
      </c>
      <c r="E275" s="12" t="s">
        <v>656</v>
      </c>
      <c r="F275" s="12" t="s">
        <v>684</v>
      </c>
      <c r="G275" s="12" t="s">
        <v>701</v>
      </c>
      <c r="H275" s="12" t="s">
        <v>708</v>
      </c>
      <c r="I275" s="12" t="s">
        <v>717</v>
      </c>
      <c r="J275" s="12" t="s">
        <v>727</v>
      </c>
      <c r="K275" s="12" t="s">
        <v>770</v>
      </c>
      <c r="L275" s="6">
        <v>712.84</v>
      </c>
      <c r="M275" s="6">
        <v>927.51</v>
      </c>
      <c r="N275" s="6">
        <v>0.24299999999999999</v>
      </c>
      <c r="O275" s="6">
        <v>27</v>
      </c>
    </row>
    <row r="276" spans="1:15" x14ac:dyDescent="0.25">
      <c r="A276" s="12" t="s">
        <v>476</v>
      </c>
      <c r="B276" s="4">
        <v>45358</v>
      </c>
      <c r="C276" s="4">
        <v>45385</v>
      </c>
      <c r="D276" s="12" t="s">
        <v>649</v>
      </c>
      <c r="E276" s="12" t="s">
        <v>656</v>
      </c>
      <c r="F276" s="12" t="s">
        <v>698</v>
      </c>
      <c r="G276" s="12" t="s">
        <v>701</v>
      </c>
      <c r="H276" s="12" t="s">
        <v>711</v>
      </c>
      <c r="I276" s="12" t="s">
        <v>724</v>
      </c>
      <c r="J276" s="12" t="s">
        <v>728</v>
      </c>
      <c r="K276" s="12" t="s">
        <v>1195</v>
      </c>
      <c r="L276" s="6">
        <v>738.16</v>
      </c>
      <c r="M276" s="6">
        <v>956.49</v>
      </c>
      <c r="N276" s="6">
        <v>0.152</v>
      </c>
      <c r="O276" s="6">
        <v>5</v>
      </c>
    </row>
    <row r="277" spans="1:15" x14ac:dyDescent="0.25">
      <c r="A277" s="12" t="s">
        <v>377</v>
      </c>
      <c r="B277" s="4">
        <v>45360</v>
      </c>
      <c r="C277" s="4">
        <v>45377</v>
      </c>
      <c r="D277" s="12" t="s">
        <v>647</v>
      </c>
      <c r="E277" s="12" t="s">
        <v>659</v>
      </c>
      <c r="F277" s="12" t="s">
        <v>676</v>
      </c>
      <c r="G277" s="12" t="s">
        <v>706</v>
      </c>
      <c r="H277" s="12" t="s">
        <v>708</v>
      </c>
      <c r="I277" s="12" t="s">
        <v>723</v>
      </c>
      <c r="J277" s="12" t="s">
        <v>732</v>
      </c>
      <c r="K277" s="12" t="s">
        <v>1097</v>
      </c>
      <c r="L277" s="6">
        <v>1029.67</v>
      </c>
      <c r="M277" s="6">
        <v>1118.43</v>
      </c>
      <c r="N277" s="6">
        <v>0.27200000000000002</v>
      </c>
      <c r="O277" s="6">
        <v>9</v>
      </c>
    </row>
    <row r="278" spans="1:15" x14ac:dyDescent="0.25">
      <c r="A278" s="12" t="s">
        <v>407</v>
      </c>
      <c r="B278" s="4">
        <v>45360</v>
      </c>
      <c r="C278" s="4">
        <v>45377</v>
      </c>
      <c r="D278" s="12" t="s">
        <v>648</v>
      </c>
      <c r="E278" s="12" t="s">
        <v>660</v>
      </c>
      <c r="F278" s="12" t="s">
        <v>686</v>
      </c>
      <c r="G278" s="12" t="s">
        <v>702</v>
      </c>
      <c r="H278" s="12" t="s">
        <v>711</v>
      </c>
      <c r="I278" s="12" t="s">
        <v>714</v>
      </c>
      <c r="J278" s="12" t="s">
        <v>730</v>
      </c>
      <c r="K278" s="12" t="s">
        <v>1126</v>
      </c>
      <c r="L278" s="6">
        <v>1137.4100000000001</v>
      </c>
      <c r="M278" s="6">
        <v>1680.93</v>
      </c>
      <c r="N278" s="6">
        <v>0.254</v>
      </c>
      <c r="O278" s="6">
        <v>9</v>
      </c>
    </row>
    <row r="279" spans="1:15" x14ac:dyDescent="0.25">
      <c r="A279" s="12" t="s">
        <v>614</v>
      </c>
      <c r="B279" s="4">
        <v>45360</v>
      </c>
      <c r="C279" s="4">
        <v>45373</v>
      </c>
      <c r="D279" s="12" t="s">
        <v>649</v>
      </c>
      <c r="E279" s="12" t="s">
        <v>658</v>
      </c>
      <c r="F279" s="12" t="s">
        <v>693</v>
      </c>
      <c r="G279" s="12" t="s">
        <v>704</v>
      </c>
      <c r="H279" s="12" t="s">
        <v>708</v>
      </c>
      <c r="I279" s="12" t="s">
        <v>718</v>
      </c>
      <c r="J279" s="12" t="s">
        <v>731</v>
      </c>
      <c r="K279" s="12" t="s">
        <v>1332</v>
      </c>
      <c r="L279" s="6">
        <v>985.45</v>
      </c>
      <c r="M279" s="6">
        <v>1802.44</v>
      </c>
      <c r="N279" s="6">
        <v>8.9999999999999993E-3</v>
      </c>
      <c r="O279" s="6">
        <v>19</v>
      </c>
    </row>
    <row r="280" spans="1:15" x14ac:dyDescent="0.25">
      <c r="A280" s="12" t="s">
        <v>75</v>
      </c>
      <c r="B280" s="4">
        <v>45361</v>
      </c>
      <c r="C280" s="4">
        <v>45391</v>
      </c>
      <c r="D280" s="12" t="s">
        <v>649</v>
      </c>
      <c r="E280" s="12" t="s">
        <v>657</v>
      </c>
      <c r="F280" s="12" t="s">
        <v>679</v>
      </c>
      <c r="G280" s="12" t="s">
        <v>701</v>
      </c>
      <c r="H280" s="12" t="s">
        <v>711</v>
      </c>
      <c r="I280" s="12" t="s">
        <v>714</v>
      </c>
      <c r="J280" s="12" t="s">
        <v>727</v>
      </c>
      <c r="K280" s="12" t="s">
        <v>794</v>
      </c>
      <c r="L280" s="6">
        <v>1176.56</v>
      </c>
      <c r="M280" s="6">
        <v>1911.89</v>
      </c>
      <c r="N280" s="6">
        <v>0.11899999999999999</v>
      </c>
      <c r="O280" s="6">
        <v>20</v>
      </c>
    </row>
    <row r="281" spans="1:15" x14ac:dyDescent="0.25">
      <c r="A281" s="12" t="s">
        <v>15</v>
      </c>
      <c r="B281" s="4">
        <v>45362</v>
      </c>
      <c r="C281" s="4">
        <v>45388</v>
      </c>
      <c r="D281" s="12" t="s">
        <v>646</v>
      </c>
      <c r="E281" s="12" t="s">
        <v>650</v>
      </c>
      <c r="F281" s="12" t="s">
        <v>662</v>
      </c>
      <c r="G281" s="12" t="s">
        <v>701</v>
      </c>
      <c r="H281" s="12" t="s">
        <v>707</v>
      </c>
      <c r="I281" s="12" t="s">
        <v>712</v>
      </c>
      <c r="J281" s="12" t="s">
        <v>727</v>
      </c>
      <c r="K281" s="12" t="s">
        <v>734</v>
      </c>
      <c r="L281" s="6">
        <v>279.24</v>
      </c>
      <c r="M281" s="6">
        <v>608.9</v>
      </c>
      <c r="N281" s="6">
        <v>0.112</v>
      </c>
      <c r="O281" s="6">
        <v>9</v>
      </c>
    </row>
    <row r="282" spans="1:15" x14ac:dyDescent="0.25">
      <c r="A282" s="12" t="s">
        <v>572</v>
      </c>
      <c r="B282" s="4">
        <v>45362</v>
      </c>
      <c r="C282" s="4">
        <v>45380</v>
      </c>
      <c r="D282" s="12" t="s">
        <v>648</v>
      </c>
      <c r="E282" s="12" t="s">
        <v>660</v>
      </c>
      <c r="F282" s="12" t="s">
        <v>700</v>
      </c>
      <c r="G282" s="12" t="s">
        <v>701</v>
      </c>
      <c r="H282" s="12" t="s">
        <v>707</v>
      </c>
      <c r="I282" s="12" t="s">
        <v>724</v>
      </c>
      <c r="J282" s="12" t="s">
        <v>732</v>
      </c>
      <c r="K282" s="12" t="s">
        <v>1290</v>
      </c>
      <c r="L282" s="6">
        <v>710.98</v>
      </c>
      <c r="M282" s="6">
        <v>1481.45</v>
      </c>
      <c r="N282" s="6">
        <v>0.21099999999999999</v>
      </c>
      <c r="O282" s="6">
        <v>9</v>
      </c>
    </row>
    <row r="283" spans="1:15" x14ac:dyDescent="0.25">
      <c r="A283" s="12" t="s">
        <v>601</v>
      </c>
      <c r="B283" s="4">
        <v>45364</v>
      </c>
      <c r="C283" s="4">
        <v>45388</v>
      </c>
      <c r="D283" s="12" t="s">
        <v>646</v>
      </c>
      <c r="E283" s="12" t="s">
        <v>651</v>
      </c>
      <c r="F283" s="12" t="s">
        <v>669</v>
      </c>
      <c r="G283" s="12" t="s">
        <v>704</v>
      </c>
      <c r="H283" s="12" t="s">
        <v>710</v>
      </c>
      <c r="I283" s="12" t="s">
        <v>716</v>
      </c>
      <c r="J283" s="12" t="s">
        <v>727</v>
      </c>
      <c r="K283" s="12" t="s">
        <v>1319</v>
      </c>
      <c r="L283" s="6">
        <v>1232.78</v>
      </c>
      <c r="M283" s="6">
        <v>1731.75</v>
      </c>
      <c r="N283" s="6">
        <v>9.2999999999999999E-2</v>
      </c>
      <c r="O283" s="6">
        <v>16</v>
      </c>
    </row>
    <row r="284" spans="1:15" x14ac:dyDescent="0.25">
      <c r="A284" s="12" t="s">
        <v>266</v>
      </c>
      <c r="B284" s="4">
        <v>45366</v>
      </c>
      <c r="C284" s="4">
        <v>45391</v>
      </c>
      <c r="D284" s="12" t="s">
        <v>648</v>
      </c>
      <c r="E284" s="12" t="s">
        <v>653</v>
      </c>
      <c r="F284" s="12" t="s">
        <v>688</v>
      </c>
      <c r="G284" s="12" t="s">
        <v>704</v>
      </c>
      <c r="H284" s="12" t="s">
        <v>708</v>
      </c>
      <c r="I284" s="12" t="s">
        <v>721</v>
      </c>
      <c r="J284" s="12" t="s">
        <v>732</v>
      </c>
      <c r="K284" s="12" t="s">
        <v>986</v>
      </c>
      <c r="L284" s="6">
        <v>648.64</v>
      </c>
      <c r="M284" s="6">
        <v>815.19</v>
      </c>
      <c r="N284" s="6">
        <v>0.22500000000000001</v>
      </c>
      <c r="O284" s="6">
        <v>28</v>
      </c>
    </row>
    <row r="285" spans="1:15" x14ac:dyDescent="0.25">
      <c r="A285" s="12" t="s">
        <v>288</v>
      </c>
      <c r="B285" s="4">
        <v>45367</v>
      </c>
      <c r="C285" s="4">
        <v>45395</v>
      </c>
      <c r="D285" s="12" t="s">
        <v>649</v>
      </c>
      <c r="E285" s="12" t="s">
        <v>657</v>
      </c>
      <c r="F285" s="12" t="s">
        <v>690</v>
      </c>
      <c r="G285" s="12" t="s">
        <v>705</v>
      </c>
      <c r="H285" s="12" t="s">
        <v>708</v>
      </c>
      <c r="I285" s="12" t="s">
        <v>723</v>
      </c>
      <c r="J285" s="12" t="s">
        <v>728</v>
      </c>
      <c r="K285" s="12" t="s">
        <v>1008</v>
      </c>
      <c r="L285" s="6">
        <v>287.61</v>
      </c>
      <c r="M285" s="6">
        <v>628.54</v>
      </c>
      <c r="N285" s="6">
        <v>0.13500000000000001</v>
      </c>
      <c r="O285" s="6">
        <v>21</v>
      </c>
    </row>
    <row r="286" spans="1:15" x14ac:dyDescent="0.25">
      <c r="A286" s="12" t="s">
        <v>85</v>
      </c>
      <c r="B286" s="4">
        <v>45369</v>
      </c>
      <c r="C286" s="4">
        <v>45372</v>
      </c>
      <c r="D286" s="12" t="s">
        <v>649</v>
      </c>
      <c r="E286" s="12" t="s">
        <v>656</v>
      </c>
      <c r="F286" s="12" t="s">
        <v>684</v>
      </c>
      <c r="G286" s="12" t="s">
        <v>705</v>
      </c>
      <c r="H286" s="12" t="s">
        <v>708</v>
      </c>
      <c r="I286" s="12" t="s">
        <v>724</v>
      </c>
      <c r="J286" s="12" t="s">
        <v>733</v>
      </c>
      <c r="K286" s="12" t="s">
        <v>804</v>
      </c>
      <c r="L286" s="6">
        <v>910.63</v>
      </c>
      <c r="M286" s="6">
        <v>1269.4000000000001</v>
      </c>
      <c r="N286" s="6">
        <v>6.8000000000000005E-2</v>
      </c>
      <c r="O286" s="6">
        <v>9</v>
      </c>
    </row>
    <row r="287" spans="1:15" x14ac:dyDescent="0.25">
      <c r="A287" s="12" t="s">
        <v>455</v>
      </c>
      <c r="B287" s="4">
        <v>45374</v>
      </c>
      <c r="C287" s="4">
        <v>45377</v>
      </c>
      <c r="D287" s="12" t="s">
        <v>647</v>
      </c>
      <c r="E287" s="12" t="s">
        <v>654</v>
      </c>
      <c r="F287" s="12" t="s">
        <v>668</v>
      </c>
      <c r="G287" s="12" t="s">
        <v>702</v>
      </c>
      <c r="H287" s="12" t="s">
        <v>711</v>
      </c>
      <c r="I287" s="12" t="s">
        <v>715</v>
      </c>
      <c r="J287" s="12" t="s">
        <v>730</v>
      </c>
      <c r="K287" s="12" t="s">
        <v>1174</v>
      </c>
      <c r="L287" s="6">
        <v>382.21</v>
      </c>
      <c r="M287" s="6">
        <v>571.89</v>
      </c>
      <c r="N287" s="6">
        <v>0.14799999999999999</v>
      </c>
      <c r="O287" s="6">
        <v>26</v>
      </c>
    </row>
    <row r="288" spans="1:15" x14ac:dyDescent="0.25">
      <c r="A288" s="12" t="s">
        <v>312</v>
      </c>
      <c r="B288" s="4">
        <v>45377</v>
      </c>
      <c r="C288" s="4">
        <v>45387</v>
      </c>
      <c r="D288" s="12" t="s">
        <v>648</v>
      </c>
      <c r="E288" s="12" t="s">
        <v>660</v>
      </c>
      <c r="F288" s="12" t="s">
        <v>697</v>
      </c>
      <c r="G288" s="12" t="s">
        <v>704</v>
      </c>
      <c r="H288" s="12" t="s">
        <v>711</v>
      </c>
      <c r="I288" s="12" t="s">
        <v>713</v>
      </c>
      <c r="J288" s="12" t="s">
        <v>732</v>
      </c>
      <c r="K288" s="12" t="s">
        <v>1032</v>
      </c>
      <c r="L288" s="6">
        <v>5.66</v>
      </c>
      <c r="M288" s="6">
        <v>4.22</v>
      </c>
      <c r="N288" s="6">
        <v>0.11899999999999999</v>
      </c>
      <c r="O288" s="6">
        <v>18</v>
      </c>
    </row>
    <row r="289" spans="1:15" x14ac:dyDescent="0.25">
      <c r="A289" s="12" t="s">
        <v>290</v>
      </c>
      <c r="B289" s="4">
        <v>45378</v>
      </c>
      <c r="C289" s="4">
        <v>45393</v>
      </c>
      <c r="D289" s="12" t="s">
        <v>648</v>
      </c>
      <c r="E289" s="12" t="s">
        <v>660</v>
      </c>
      <c r="F289" s="12" t="s">
        <v>686</v>
      </c>
      <c r="G289" s="12" t="s">
        <v>705</v>
      </c>
      <c r="H289" s="12" t="s">
        <v>711</v>
      </c>
      <c r="I289" s="12" t="s">
        <v>719</v>
      </c>
      <c r="J289" s="12" t="s">
        <v>729</v>
      </c>
      <c r="K289" s="12" t="s">
        <v>1010</v>
      </c>
      <c r="L289" s="6">
        <v>1338.35</v>
      </c>
      <c r="M289" s="6">
        <v>2247.14</v>
      </c>
      <c r="N289" s="6">
        <v>0.115</v>
      </c>
      <c r="O289" s="6">
        <v>40</v>
      </c>
    </row>
    <row r="290" spans="1:15" x14ac:dyDescent="0.25">
      <c r="A290" s="12" t="s">
        <v>253</v>
      </c>
      <c r="B290" s="4">
        <v>45381</v>
      </c>
      <c r="C290" s="4">
        <v>45406</v>
      </c>
      <c r="D290" s="12" t="s">
        <v>648</v>
      </c>
      <c r="E290" s="12" t="s">
        <v>660</v>
      </c>
      <c r="F290" s="12" t="s">
        <v>697</v>
      </c>
      <c r="G290" s="12" t="s">
        <v>703</v>
      </c>
      <c r="H290" s="12" t="s">
        <v>708</v>
      </c>
      <c r="I290" s="12" t="s">
        <v>715</v>
      </c>
      <c r="J290" s="12" t="s">
        <v>731</v>
      </c>
      <c r="K290" s="12" t="s">
        <v>973</v>
      </c>
      <c r="L290" s="6">
        <v>160.82</v>
      </c>
      <c r="M290" s="6">
        <v>258.52</v>
      </c>
      <c r="N290" s="6">
        <v>0.13</v>
      </c>
      <c r="O290" s="6">
        <v>17</v>
      </c>
    </row>
    <row r="291" spans="1:15" x14ac:dyDescent="0.25">
      <c r="A291" s="12" t="s">
        <v>286</v>
      </c>
      <c r="B291" s="4">
        <v>45382</v>
      </c>
      <c r="C291" s="4">
        <v>45399</v>
      </c>
      <c r="D291" s="12" t="s">
        <v>649</v>
      </c>
      <c r="E291" s="12" t="s">
        <v>656</v>
      </c>
      <c r="F291" s="12" t="s">
        <v>698</v>
      </c>
      <c r="G291" s="12" t="s">
        <v>702</v>
      </c>
      <c r="H291" s="12" t="s">
        <v>711</v>
      </c>
      <c r="I291" s="12" t="s">
        <v>722</v>
      </c>
      <c r="J291" s="12" t="s">
        <v>732</v>
      </c>
      <c r="K291" s="12" t="s">
        <v>1006</v>
      </c>
      <c r="L291" s="6">
        <v>1025.51</v>
      </c>
      <c r="M291" s="6">
        <v>1436.54</v>
      </c>
      <c r="N291" s="6">
        <v>0.13900000000000001</v>
      </c>
      <c r="O291" s="6">
        <v>28</v>
      </c>
    </row>
    <row r="292" spans="1:15" x14ac:dyDescent="0.25">
      <c r="A292" s="12" t="s">
        <v>177</v>
      </c>
      <c r="B292" s="4">
        <v>45385</v>
      </c>
      <c r="C292" s="4">
        <v>45389</v>
      </c>
      <c r="D292" s="12" t="s">
        <v>648</v>
      </c>
      <c r="E292" s="12" t="s">
        <v>655</v>
      </c>
      <c r="F292" s="12" t="s">
        <v>672</v>
      </c>
      <c r="G292" s="12" t="s">
        <v>703</v>
      </c>
      <c r="H292" s="12" t="s">
        <v>711</v>
      </c>
      <c r="I292" s="12" t="s">
        <v>725</v>
      </c>
      <c r="J292" s="12" t="s">
        <v>730</v>
      </c>
      <c r="K292" s="12" t="s">
        <v>896</v>
      </c>
      <c r="L292" s="6">
        <v>1023.27</v>
      </c>
      <c r="M292" s="6">
        <v>1343.64</v>
      </c>
      <c r="N292" s="6">
        <v>0.13300000000000001</v>
      </c>
      <c r="O292" s="6">
        <v>7</v>
      </c>
    </row>
    <row r="293" spans="1:15" x14ac:dyDescent="0.25">
      <c r="A293" s="12" t="s">
        <v>371</v>
      </c>
      <c r="B293" s="4">
        <v>45385</v>
      </c>
      <c r="C293" s="4">
        <v>45403</v>
      </c>
      <c r="D293" s="12" t="s">
        <v>648</v>
      </c>
      <c r="E293" s="12" t="s">
        <v>655</v>
      </c>
      <c r="F293" s="12" t="s">
        <v>672</v>
      </c>
      <c r="G293" s="12" t="s">
        <v>705</v>
      </c>
      <c r="H293" s="12" t="s">
        <v>710</v>
      </c>
      <c r="I293" s="12" t="s">
        <v>717</v>
      </c>
      <c r="J293" s="12" t="s">
        <v>729</v>
      </c>
      <c r="K293" s="12" t="s">
        <v>1091</v>
      </c>
      <c r="L293" s="6">
        <v>1176.69</v>
      </c>
      <c r="M293" s="6">
        <v>2201.54</v>
      </c>
      <c r="N293" s="6">
        <v>0.17</v>
      </c>
      <c r="O293" s="6">
        <v>27</v>
      </c>
    </row>
    <row r="294" spans="1:15" x14ac:dyDescent="0.25">
      <c r="A294" s="12" t="s">
        <v>162</v>
      </c>
      <c r="B294" s="4">
        <v>45386</v>
      </c>
      <c r="C294" s="4">
        <v>45406</v>
      </c>
      <c r="D294" s="12" t="s">
        <v>649</v>
      </c>
      <c r="E294" s="12" t="s">
        <v>656</v>
      </c>
      <c r="F294" s="12" t="s">
        <v>698</v>
      </c>
      <c r="G294" s="12" t="s">
        <v>703</v>
      </c>
      <c r="H294" s="12" t="s">
        <v>711</v>
      </c>
      <c r="I294" s="12" t="s">
        <v>719</v>
      </c>
      <c r="J294" s="12" t="s">
        <v>733</v>
      </c>
      <c r="K294" s="12" t="s">
        <v>881</v>
      </c>
      <c r="L294" s="6">
        <v>683.42</v>
      </c>
      <c r="M294" s="6">
        <v>951.51</v>
      </c>
      <c r="N294" s="6">
        <v>0</v>
      </c>
      <c r="O294" s="6">
        <v>14</v>
      </c>
    </row>
    <row r="295" spans="1:15" x14ac:dyDescent="0.25">
      <c r="A295" s="12" t="s">
        <v>519</v>
      </c>
      <c r="B295" s="4">
        <v>45387</v>
      </c>
      <c r="C295" s="4">
        <v>45391</v>
      </c>
      <c r="D295" s="12" t="s">
        <v>646</v>
      </c>
      <c r="E295" s="12" t="s">
        <v>651</v>
      </c>
      <c r="F295" s="12" t="s">
        <v>665</v>
      </c>
      <c r="G295" s="12" t="s">
        <v>703</v>
      </c>
      <c r="H295" s="12" t="s">
        <v>711</v>
      </c>
      <c r="I295" s="12" t="s">
        <v>723</v>
      </c>
      <c r="J295" s="12" t="s">
        <v>727</v>
      </c>
      <c r="K295" s="12" t="s">
        <v>1238</v>
      </c>
      <c r="L295" s="6">
        <v>395.07</v>
      </c>
      <c r="M295" s="6">
        <v>970.27</v>
      </c>
      <c r="N295" s="6">
        <v>0.123</v>
      </c>
      <c r="O295" s="6">
        <v>38</v>
      </c>
    </row>
    <row r="296" spans="1:15" x14ac:dyDescent="0.25">
      <c r="A296" s="12" t="s">
        <v>101</v>
      </c>
      <c r="B296" s="4">
        <v>45388</v>
      </c>
      <c r="C296" s="4">
        <v>45407</v>
      </c>
      <c r="D296" s="12" t="s">
        <v>647</v>
      </c>
      <c r="E296" s="12" t="s">
        <v>659</v>
      </c>
      <c r="F296" s="12" t="s">
        <v>685</v>
      </c>
      <c r="G296" s="12" t="s">
        <v>701</v>
      </c>
      <c r="H296" s="12" t="s">
        <v>707</v>
      </c>
      <c r="I296" s="12" t="s">
        <v>723</v>
      </c>
      <c r="J296" s="12" t="s">
        <v>727</v>
      </c>
      <c r="K296" s="12" t="s">
        <v>820</v>
      </c>
      <c r="L296" s="6">
        <v>1366.48</v>
      </c>
      <c r="M296" s="6">
        <v>1678.14</v>
      </c>
      <c r="N296" s="6">
        <v>0.154</v>
      </c>
      <c r="O296" s="6">
        <v>10</v>
      </c>
    </row>
    <row r="297" spans="1:15" x14ac:dyDescent="0.25">
      <c r="A297" s="12" t="s">
        <v>349</v>
      </c>
      <c r="B297" s="4">
        <v>45391</v>
      </c>
      <c r="C297" s="4">
        <v>45400</v>
      </c>
      <c r="D297" s="12" t="s">
        <v>649</v>
      </c>
      <c r="E297" s="12" t="s">
        <v>657</v>
      </c>
      <c r="F297" s="12" t="s">
        <v>679</v>
      </c>
      <c r="G297" s="12" t="s">
        <v>704</v>
      </c>
      <c r="H297" s="12" t="s">
        <v>708</v>
      </c>
      <c r="I297" s="12" t="s">
        <v>718</v>
      </c>
      <c r="J297" s="12" t="s">
        <v>728</v>
      </c>
      <c r="K297" s="12" t="s">
        <v>1069</v>
      </c>
      <c r="L297" s="6">
        <v>1288.8499999999999</v>
      </c>
      <c r="M297" s="6">
        <v>2751.84</v>
      </c>
      <c r="N297" s="6">
        <v>0.158</v>
      </c>
      <c r="O297" s="6">
        <v>7</v>
      </c>
    </row>
    <row r="298" spans="1:15" x14ac:dyDescent="0.25">
      <c r="A298" s="12" t="s">
        <v>87</v>
      </c>
      <c r="B298" s="4">
        <v>45394</v>
      </c>
      <c r="C298" s="4">
        <v>45419</v>
      </c>
      <c r="D298" s="12" t="s">
        <v>646</v>
      </c>
      <c r="E298" s="12" t="s">
        <v>661</v>
      </c>
      <c r="F298" s="12" t="s">
        <v>682</v>
      </c>
      <c r="G298" s="12" t="s">
        <v>702</v>
      </c>
      <c r="H298" s="12" t="s">
        <v>710</v>
      </c>
      <c r="I298" s="12" t="s">
        <v>720</v>
      </c>
      <c r="J298" s="12" t="s">
        <v>731</v>
      </c>
      <c r="K298" s="12" t="s">
        <v>806</v>
      </c>
      <c r="L298" s="6">
        <v>1376.51</v>
      </c>
      <c r="M298" s="6">
        <v>1455.91</v>
      </c>
      <c r="N298" s="6">
        <v>0.185</v>
      </c>
      <c r="O298" s="6">
        <v>17</v>
      </c>
    </row>
    <row r="299" spans="1:15" x14ac:dyDescent="0.25">
      <c r="A299" s="12" t="s">
        <v>539</v>
      </c>
      <c r="B299" s="4">
        <v>45398</v>
      </c>
      <c r="C299" s="4">
        <v>45409</v>
      </c>
      <c r="D299" s="12" t="s">
        <v>646</v>
      </c>
      <c r="E299" s="12" t="s">
        <v>650</v>
      </c>
      <c r="F299" s="12" t="s">
        <v>678</v>
      </c>
      <c r="G299" s="12" t="s">
        <v>706</v>
      </c>
      <c r="H299" s="12" t="s">
        <v>708</v>
      </c>
      <c r="I299" s="12" t="s">
        <v>726</v>
      </c>
      <c r="J299" s="12" t="s">
        <v>728</v>
      </c>
      <c r="K299" s="12" t="s">
        <v>1258</v>
      </c>
      <c r="L299" s="6">
        <v>401.3</v>
      </c>
      <c r="M299" s="6">
        <v>826.47</v>
      </c>
      <c r="N299" s="6">
        <v>0.22500000000000001</v>
      </c>
      <c r="O299" s="6">
        <v>13</v>
      </c>
    </row>
    <row r="300" spans="1:15" x14ac:dyDescent="0.25">
      <c r="A300" s="12" t="s">
        <v>48</v>
      </c>
      <c r="B300" s="4">
        <v>45400</v>
      </c>
      <c r="C300" s="4">
        <v>45420</v>
      </c>
      <c r="D300" s="12" t="s">
        <v>649</v>
      </c>
      <c r="E300" s="12" t="s">
        <v>658</v>
      </c>
      <c r="F300" s="12" t="s">
        <v>683</v>
      </c>
      <c r="G300" s="12" t="s">
        <v>703</v>
      </c>
      <c r="H300" s="14" t="s">
        <v>1379</v>
      </c>
      <c r="I300" s="12" t="s">
        <v>726</v>
      </c>
      <c r="J300" s="12" t="s">
        <v>731</v>
      </c>
      <c r="K300" s="12" t="s">
        <v>767</v>
      </c>
      <c r="L300" s="6">
        <v>645.33000000000004</v>
      </c>
      <c r="M300" s="6">
        <v>1321.85</v>
      </c>
      <c r="N300" s="6">
        <v>0</v>
      </c>
      <c r="O300" s="6">
        <v>10</v>
      </c>
    </row>
    <row r="301" spans="1:15" x14ac:dyDescent="0.25">
      <c r="A301" s="12" t="s">
        <v>53</v>
      </c>
      <c r="B301" s="4">
        <v>45401</v>
      </c>
      <c r="C301" s="4">
        <v>45418</v>
      </c>
      <c r="D301" s="12" t="s">
        <v>646</v>
      </c>
      <c r="E301" s="12" t="s">
        <v>651</v>
      </c>
      <c r="F301" s="12" t="s">
        <v>663</v>
      </c>
      <c r="G301" s="12" t="s">
        <v>703</v>
      </c>
      <c r="H301" s="12" t="s">
        <v>708</v>
      </c>
      <c r="I301" s="12" t="s">
        <v>720</v>
      </c>
      <c r="J301" s="12" t="s">
        <v>728</v>
      </c>
      <c r="K301" s="12" t="s">
        <v>772</v>
      </c>
      <c r="L301" s="6">
        <v>865.33</v>
      </c>
      <c r="M301" s="6">
        <v>1395.64</v>
      </c>
      <c r="N301" s="6">
        <v>0.17499999999999999</v>
      </c>
      <c r="O301" s="6">
        <v>13</v>
      </c>
    </row>
    <row r="302" spans="1:15" x14ac:dyDescent="0.25">
      <c r="A302" s="12" t="s">
        <v>504</v>
      </c>
      <c r="B302" s="4">
        <v>45403</v>
      </c>
      <c r="C302" s="4">
        <v>45431</v>
      </c>
      <c r="D302" s="12" t="s">
        <v>646</v>
      </c>
      <c r="E302" s="12" t="s">
        <v>651</v>
      </c>
      <c r="F302" s="12" t="s">
        <v>665</v>
      </c>
      <c r="G302" s="12" t="s">
        <v>701</v>
      </c>
      <c r="H302" s="12" t="s">
        <v>710</v>
      </c>
      <c r="I302" s="12" t="s">
        <v>720</v>
      </c>
      <c r="J302" s="12" t="s">
        <v>733</v>
      </c>
      <c r="K302" s="12" t="s">
        <v>1223</v>
      </c>
      <c r="L302" s="6">
        <v>187.22</v>
      </c>
      <c r="M302" s="6">
        <v>309.47000000000003</v>
      </c>
      <c r="N302" s="6">
        <v>0</v>
      </c>
      <c r="O302" s="6">
        <v>5</v>
      </c>
    </row>
    <row r="303" spans="1:15" x14ac:dyDescent="0.25">
      <c r="A303" s="12" t="s">
        <v>537</v>
      </c>
      <c r="B303" s="4">
        <v>45406</v>
      </c>
      <c r="C303" s="4">
        <v>45422</v>
      </c>
      <c r="D303" s="12" t="s">
        <v>646</v>
      </c>
      <c r="E303" s="12" t="s">
        <v>650</v>
      </c>
      <c r="F303" s="12" t="s">
        <v>662</v>
      </c>
      <c r="G303" s="12" t="s">
        <v>703</v>
      </c>
      <c r="H303" s="12" t="s">
        <v>708</v>
      </c>
      <c r="I303" s="12" t="s">
        <v>725</v>
      </c>
      <c r="J303" s="12" t="s">
        <v>732</v>
      </c>
      <c r="K303" s="12" t="s">
        <v>1256</v>
      </c>
      <c r="L303" s="6">
        <v>513.30999999999995</v>
      </c>
      <c r="M303" s="6">
        <v>1186.26</v>
      </c>
      <c r="N303" s="6">
        <v>9.4E-2</v>
      </c>
      <c r="O303" s="6">
        <v>15</v>
      </c>
    </row>
    <row r="304" spans="1:15" x14ac:dyDescent="0.25">
      <c r="A304" s="12" t="s">
        <v>515</v>
      </c>
      <c r="B304" s="4">
        <v>45408</v>
      </c>
      <c r="C304" s="4">
        <v>45406</v>
      </c>
      <c r="D304" s="12" t="s">
        <v>649</v>
      </c>
      <c r="E304" s="12" t="s">
        <v>658</v>
      </c>
      <c r="F304" s="12" t="s">
        <v>683</v>
      </c>
      <c r="G304" s="12" t="s">
        <v>703</v>
      </c>
      <c r="H304" s="12" t="s">
        <v>710</v>
      </c>
      <c r="I304" s="12" t="s">
        <v>725</v>
      </c>
      <c r="J304" s="12" t="s">
        <v>730</v>
      </c>
      <c r="K304" s="12" t="s">
        <v>1234</v>
      </c>
      <c r="L304" s="6">
        <v>1232.77</v>
      </c>
      <c r="M304" s="6">
        <v>891.73</v>
      </c>
      <c r="N304" s="6">
        <v>0.16700000000000001</v>
      </c>
      <c r="O304" s="6">
        <v>10</v>
      </c>
    </row>
    <row r="305" spans="1:15" x14ac:dyDescent="0.25">
      <c r="A305" s="12" t="s">
        <v>269</v>
      </c>
      <c r="B305" s="4">
        <v>45411</v>
      </c>
      <c r="C305" s="4">
        <v>45431</v>
      </c>
      <c r="D305" s="12" t="s">
        <v>649</v>
      </c>
      <c r="E305" s="12" t="s">
        <v>656</v>
      </c>
      <c r="F305" s="12" t="s">
        <v>698</v>
      </c>
      <c r="G305" s="12" t="s">
        <v>706</v>
      </c>
      <c r="H305" s="12" t="s">
        <v>709</v>
      </c>
      <c r="I305" s="12" t="s">
        <v>712</v>
      </c>
      <c r="J305" s="12" t="s">
        <v>731</v>
      </c>
      <c r="K305" s="12" t="s">
        <v>989</v>
      </c>
      <c r="L305" s="6">
        <v>668.97</v>
      </c>
      <c r="M305" s="6">
        <v>1667.44</v>
      </c>
      <c r="N305" s="6">
        <v>3.4000000000000002E-2</v>
      </c>
      <c r="O305" s="6">
        <v>15</v>
      </c>
    </row>
    <row r="306" spans="1:15" x14ac:dyDescent="0.25">
      <c r="A306" s="12" t="s">
        <v>466</v>
      </c>
      <c r="B306" s="4">
        <v>45413</v>
      </c>
      <c r="C306" s="4">
        <v>45428</v>
      </c>
      <c r="D306" s="12" t="s">
        <v>647</v>
      </c>
      <c r="E306" s="12" t="s">
        <v>654</v>
      </c>
      <c r="F306" s="12" t="s">
        <v>668</v>
      </c>
      <c r="G306" s="12" t="s">
        <v>705</v>
      </c>
      <c r="H306" s="12" t="s">
        <v>707</v>
      </c>
      <c r="I306" s="12" t="s">
        <v>716</v>
      </c>
      <c r="J306" s="12" t="s">
        <v>727</v>
      </c>
      <c r="K306" s="12" t="s">
        <v>1185</v>
      </c>
      <c r="L306" s="6">
        <v>901.19</v>
      </c>
      <c r="M306" s="6">
        <v>2125.44</v>
      </c>
      <c r="N306" s="6">
        <v>7.0999999999999994E-2</v>
      </c>
      <c r="O306" s="6">
        <v>12</v>
      </c>
    </row>
    <row r="307" spans="1:15" x14ac:dyDescent="0.25">
      <c r="A307" s="12" t="s">
        <v>532</v>
      </c>
      <c r="B307" s="4">
        <v>45413</v>
      </c>
      <c r="C307" s="4">
        <v>45438</v>
      </c>
      <c r="D307" s="12" t="s">
        <v>649</v>
      </c>
      <c r="E307" s="12" t="s">
        <v>656</v>
      </c>
      <c r="F307" s="12" t="s">
        <v>671</v>
      </c>
      <c r="G307" s="12" t="s">
        <v>703</v>
      </c>
      <c r="H307" s="12" t="s">
        <v>707</v>
      </c>
      <c r="I307" s="12" t="s">
        <v>717</v>
      </c>
      <c r="J307" s="12" t="s">
        <v>729</v>
      </c>
      <c r="K307" s="12" t="s">
        <v>1251</v>
      </c>
      <c r="L307" s="6">
        <v>930.71</v>
      </c>
      <c r="M307" s="6">
        <v>1625.42</v>
      </c>
      <c r="N307" s="6">
        <v>0.13800000000000001</v>
      </c>
      <c r="O307" s="6">
        <v>7</v>
      </c>
    </row>
    <row r="308" spans="1:15" x14ac:dyDescent="0.25">
      <c r="A308" s="12" t="s">
        <v>23</v>
      </c>
      <c r="B308" s="4">
        <v>45416</v>
      </c>
      <c r="C308" s="4">
        <v>45441</v>
      </c>
      <c r="D308" s="12" t="s">
        <v>646</v>
      </c>
      <c r="E308" s="12" t="s">
        <v>651</v>
      </c>
      <c r="F308" s="12" t="s">
        <v>669</v>
      </c>
      <c r="G308" s="12" t="s">
        <v>703</v>
      </c>
      <c r="H308" s="12" t="s">
        <v>709</v>
      </c>
      <c r="I308" s="12" t="s">
        <v>719</v>
      </c>
      <c r="J308" s="12" t="s">
        <v>732</v>
      </c>
      <c r="K308" s="12" t="s">
        <v>742</v>
      </c>
      <c r="L308" s="6">
        <v>1295.3399999999999</v>
      </c>
      <c r="M308" s="6">
        <v>2530.81</v>
      </c>
      <c r="N308" s="6">
        <v>3.1E-2</v>
      </c>
      <c r="O308" s="6">
        <v>6</v>
      </c>
    </row>
    <row r="309" spans="1:15" x14ac:dyDescent="0.25">
      <c r="A309" s="12" t="s">
        <v>473</v>
      </c>
      <c r="B309" s="4">
        <v>45417</v>
      </c>
      <c r="C309" s="4">
        <v>45430</v>
      </c>
      <c r="D309" s="12" t="s">
        <v>649</v>
      </c>
      <c r="E309" s="12" t="s">
        <v>657</v>
      </c>
      <c r="F309" s="12" t="s">
        <v>673</v>
      </c>
      <c r="G309" s="12" t="s">
        <v>701</v>
      </c>
      <c r="H309" s="12" t="s">
        <v>709</v>
      </c>
      <c r="I309" s="12" t="s">
        <v>720</v>
      </c>
      <c r="J309" s="12" t="s">
        <v>727</v>
      </c>
      <c r="K309" s="12" t="s">
        <v>1192</v>
      </c>
      <c r="L309" s="6">
        <v>1264.04</v>
      </c>
      <c r="M309" s="6">
        <v>1870.89</v>
      </c>
      <c r="N309" s="6">
        <v>0</v>
      </c>
      <c r="O309" s="6">
        <v>13</v>
      </c>
    </row>
    <row r="310" spans="1:15" x14ac:dyDescent="0.25">
      <c r="A310" s="12" t="s">
        <v>401</v>
      </c>
      <c r="B310" s="4">
        <v>45419</v>
      </c>
      <c r="C310" s="4">
        <v>45424</v>
      </c>
      <c r="D310" s="12" t="s">
        <v>646</v>
      </c>
      <c r="E310" s="12" t="s">
        <v>651</v>
      </c>
      <c r="F310" s="12" t="s">
        <v>669</v>
      </c>
      <c r="G310" s="12" t="s">
        <v>703</v>
      </c>
      <c r="H310" s="12" t="s">
        <v>710</v>
      </c>
      <c r="I310" s="12" t="s">
        <v>716</v>
      </c>
      <c r="J310" s="12" t="s">
        <v>731</v>
      </c>
      <c r="K310" s="12" t="s">
        <v>1120</v>
      </c>
      <c r="L310" s="6">
        <v>1163.99</v>
      </c>
      <c r="M310" s="6">
        <v>1617.85</v>
      </c>
      <c r="N310" s="6">
        <v>0.127</v>
      </c>
      <c r="O310" s="6">
        <v>14</v>
      </c>
    </row>
    <row r="311" spans="1:15" x14ac:dyDescent="0.25">
      <c r="A311" s="12" t="s">
        <v>490</v>
      </c>
      <c r="B311" s="4">
        <v>45422</v>
      </c>
      <c r="C311" s="4">
        <v>45428</v>
      </c>
      <c r="D311" s="12" t="s">
        <v>649</v>
      </c>
      <c r="E311" s="12" t="s">
        <v>658</v>
      </c>
      <c r="F311" s="12" t="s">
        <v>674</v>
      </c>
      <c r="G311" s="12" t="s">
        <v>703</v>
      </c>
      <c r="H311" s="12" t="s">
        <v>711</v>
      </c>
      <c r="I311" s="12" t="s">
        <v>715</v>
      </c>
      <c r="J311" s="12" t="s">
        <v>731</v>
      </c>
      <c r="K311" s="12" t="s">
        <v>1209</v>
      </c>
      <c r="L311" s="6">
        <v>210.76</v>
      </c>
      <c r="M311" s="6">
        <v>221.58</v>
      </c>
      <c r="N311" s="6">
        <v>8.8999999999999996E-2</v>
      </c>
      <c r="O311" s="6">
        <v>5</v>
      </c>
    </row>
    <row r="312" spans="1:15" x14ac:dyDescent="0.25">
      <c r="A312" s="12" t="s">
        <v>502</v>
      </c>
      <c r="B312" s="4">
        <v>45424</v>
      </c>
      <c r="C312" s="4">
        <v>45436</v>
      </c>
      <c r="D312" s="12" t="s">
        <v>649</v>
      </c>
      <c r="E312" s="12" t="s">
        <v>658</v>
      </c>
      <c r="F312" s="12" t="s">
        <v>693</v>
      </c>
      <c r="G312" s="12" t="s">
        <v>702</v>
      </c>
      <c r="H312" s="12" t="s">
        <v>709</v>
      </c>
      <c r="I312" s="12" t="s">
        <v>723</v>
      </c>
      <c r="J312" s="12" t="s">
        <v>728</v>
      </c>
      <c r="K312" s="12" t="s">
        <v>1221</v>
      </c>
      <c r="L312" s="6">
        <v>111.02</v>
      </c>
      <c r="M312" s="6">
        <v>172.88</v>
      </c>
      <c r="N312" s="6">
        <v>0.19700000000000001</v>
      </c>
      <c r="O312" s="6">
        <v>29</v>
      </c>
    </row>
    <row r="313" spans="1:15" x14ac:dyDescent="0.25">
      <c r="A313" s="12" t="s">
        <v>62</v>
      </c>
      <c r="B313" s="4">
        <v>45426</v>
      </c>
      <c r="C313" s="4">
        <v>45440</v>
      </c>
      <c r="D313" s="12" t="s">
        <v>649</v>
      </c>
      <c r="E313" s="12" t="s">
        <v>658</v>
      </c>
      <c r="F313" s="12" t="s">
        <v>674</v>
      </c>
      <c r="G313" s="12" t="s">
        <v>704</v>
      </c>
      <c r="H313" s="12" t="s">
        <v>707</v>
      </c>
      <c r="I313" s="12" t="s">
        <v>717</v>
      </c>
      <c r="J313" s="12" t="s">
        <v>729</v>
      </c>
      <c r="K313" s="12" t="s">
        <v>781</v>
      </c>
      <c r="L313" s="6">
        <v>1421.14</v>
      </c>
      <c r="M313" s="6">
        <v>3524</v>
      </c>
      <c r="N313" s="6">
        <v>0</v>
      </c>
      <c r="O313" s="6">
        <v>31</v>
      </c>
    </row>
    <row r="314" spans="1:15" x14ac:dyDescent="0.25">
      <c r="A314" s="12" t="s">
        <v>388</v>
      </c>
      <c r="B314" s="4">
        <v>45429</v>
      </c>
      <c r="C314" s="4">
        <v>45439</v>
      </c>
      <c r="D314" s="12" t="s">
        <v>648</v>
      </c>
      <c r="E314" s="12" t="s">
        <v>660</v>
      </c>
      <c r="F314" s="12" t="s">
        <v>697</v>
      </c>
      <c r="G314" s="12" t="s">
        <v>703</v>
      </c>
      <c r="H314" s="12" t="s">
        <v>708</v>
      </c>
      <c r="I314" s="12" t="s">
        <v>712</v>
      </c>
      <c r="J314" s="12" t="s">
        <v>730</v>
      </c>
      <c r="K314" s="12" t="s">
        <v>1108</v>
      </c>
      <c r="L314" s="6">
        <v>1484.23</v>
      </c>
      <c r="M314" s="6">
        <v>3472.81</v>
      </c>
      <c r="N314" s="6">
        <v>0.25600000000000001</v>
      </c>
      <c r="O314" s="6">
        <v>12</v>
      </c>
    </row>
    <row r="315" spans="1:15" x14ac:dyDescent="0.25">
      <c r="A315" s="12" t="s">
        <v>38</v>
      </c>
      <c r="B315" s="4">
        <v>45430</v>
      </c>
      <c r="C315" s="4">
        <v>45435</v>
      </c>
      <c r="D315" s="12" t="s">
        <v>648</v>
      </c>
      <c r="E315" s="12" t="s">
        <v>660</v>
      </c>
      <c r="F315" s="12" t="s">
        <v>677</v>
      </c>
      <c r="G315" s="12" t="s">
        <v>706</v>
      </c>
      <c r="H315" s="12" t="s">
        <v>707</v>
      </c>
      <c r="I315" s="12" t="s">
        <v>722</v>
      </c>
      <c r="J315" s="12" t="s">
        <v>731</v>
      </c>
      <c r="K315" s="12" t="s">
        <v>757</v>
      </c>
      <c r="L315" s="6">
        <v>1274.5899999999999</v>
      </c>
      <c r="M315" s="6">
        <v>2553.69</v>
      </c>
      <c r="N315" s="6">
        <v>0.01</v>
      </c>
      <c r="O315" s="6">
        <v>8</v>
      </c>
    </row>
    <row r="316" spans="1:15" x14ac:dyDescent="0.25">
      <c r="A316" s="12" t="s">
        <v>425</v>
      </c>
      <c r="B316" s="4">
        <v>45430</v>
      </c>
      <c r="C316" s="4">
        <v>45433</v>
      </c>
      <c r="D316" s="12" t="s">
        <v>649</v>
      </c>
      <c r="E316" s="12" t="s">
        <v>657</v>
      </c>
      <c r="F316" s="12" t="s">
        <v>673</v>
      </c>
      <c r="G316" s="12" t="s">
        <v>703</v>
      </c>
      <c r="H316" s="12" t="s">
        <v>709</v>
      </c>
      <c r="I316" s="12" t="s">
        <v>726</v>
      </c>
      <c r="J316" s="12" t="s">
        <v>728</v>
      </c>
      <c r="K316" s="12" t="s">
        <v>1144</v>
      </c>
      <c r="L316" s="6">
        <v>663.66</v>
      </c>
      <c r="M316" s="6">
        <v>824.26</v>
      </c>
      <c r="N316" s="6">
        <v>0.23899999999999999</v>
      </c>
      <c r="O316" s="6">
        <v>11</v>
      </c>
    </row>
    <row r="317" spans="1:15" x14ac:dyDescent="0.25">
      <c r="A317" s="12" t="s">
        <v>573</v>
      </c>
      <c r="B317" s="4">
        <v>45430</v>
      </c>
      <c r="C317" s="4">
        <v>45434</v>
      </c>
      <c r="D317" s="12" t="s">
        <v>646</v>
      </c>
      <c r="E317" s="12" t="s">
        <v>650</v>
      </c>
      <c r="F317" s="12" t="s">
        <v>664</v>
      </c>
      <c r="G317" s="12" t="s">
        <v>701</v>
      </c>
      <c r="H317" s="12" t="s">
        <v>711</v>
      </c>
      <c r="I317" s="12" t="s">
        <v>722</v>
      </c>
      <c r="J317" s="12" t="s">
        <v>733</v>
      </c>
      <c r="K317" s="12" t="s">
        <v>1291</v>
      </c>
      <c r="L317" s="6">
        <v>857.42</v>
      </c>
      <c r="M317" s="6">
        <v>1658.92</v>
      </c>
      <c r="N317" s="6">
        <v>0.122</v>
      </c>
      <c r="O317" s="6">
        <v>9</v>
      </c>
    </row>
    <row r="318" spans="1:15" x14ac:dyDescent="0.25">
      <c r="A318" s="12" t="s">
        <v>203</v>
      </c>
      <c r="B318" s="4">
        <v>45431</v>
      </c>
      <c r="C318" s="4">
        <v>45451</v>
      </c>
      <c r="D318" s="12" t="s">
        <v>648</v>
      </c>
      <c r="E318" s="12" t="s">
        <v>655</v>
      </c>
      <c r="F318" s="12" t="s">
        <v>672</v>
      </c>
      <c r="G318" s="12" t="s">
        <v>705</v>
      </c>
      <c r="H318" s="12" t="s">
        <v>707</v>
      </c>
      <c r="I318" s="12" t="s">
        <v>718</v>
      </c>
      <c r="J318" s="12" t="s">
        <v>732</v>
      </c>
      <c r="K318" s="12" t="s">
        <v>923</v>
      </c>
      <c r="L318" s="6">
        <v>1075.9000000000001</v>
      </c>
      <c r="M318" s="6">
        <v>1242.1500000000001</v>
      </c>
      <c r="N318" s="6">
        <v>1.2E-2</v>
      </c>
      <c r="O318" s="6">
        <v>7</v>
      </c>
    </row>
    <row r="319" spans="1:15" x14ac:dyDescent="0.25">
      <c r="A319" s="12" t="s">
        <v>59</v>
      </c>
      <c r="B319" s="4">
        <v>45432</v>
      </c>
      <c r="C319" s="4">
        <v>45445</v>
      </c>
      <c r="D319" s="12" t="s">
        <v>648</v>
      </c>
      <c r="E319" s="12" t="s">
        <v>653</v>
      </c>
      <c r="F319" s="12" t="s">
        <v>688</v>
      </c>
      <c r="G319" s="12" t="s">
        <v>706</v>
      </c>
      <c r="H319" s="12" t="s">
        <v>709</v>
      </c>
      <c r="I319" s="12" t="s">
        <v>723</v>
      </c>
      <c r="J319" s="12" t="s">
        <v>727</v>
      </c>
      <c r="K319" s="12" t="s">
        <v>778</v>
      </c>
      <c r="L319" s="6">
        <v>675.43</v>
      </c>
      <c r="M319" s="6">
        <v>996.36</v>
      </c>
      <c r="N319" s="6">
        <v>0.182</v>
      </c>
      <c r="O319" s="6">
        <v>22</v>
      </c>
    </row>
    <row r="320" spans="1:15" x14ac:dyDescent="0.25">
      <c r="A320" s="12" t="s">
        <v>120</v>
      </c>
      <c r="B320" s="4">
        <v>45433</v>
      </c>
      <c r="C320" s="4">
        <v>45439</v>
      </c>
      <c r="D320" s="12" t="s">
        <v>646</v>
      </c>
      <c r="E320" s="12" t="s">
        <v>661</v>
      </c>
      <c r="F320" s="12" t="s">
        <v>682</v>
      </c>
      <c r="G320" s="12" t="s">
        <v>703</v>
      </c>
      <c r="H320" s="12" t="s">
        <v>708</v>
      </c>
      <c r="I320" s="12" t="s">
        <v>724</v>
      </c>
      <c r="J320" s="12" t="s">
        <v>727</v>
      </c>
      <c r="K320" s="12" t="s">
        <v>839</v>
      </c>
      <c r="L320" s="6">
        <v>1157.51</v>
      </c>
      <c r="M320" s="6">
        <v>1394.3</v>
      </c>
      <c r="N320" s="6">
        <v>0.27800000000000002</v>
      </c>
      <c r="O320" s="6">
        <v>12</v>
      </c>
    </row>
    <row r="321" spans="1:15" x14ac:dyDescent="0.25">
      <c r="A321" s="12" t="s">
        <v>82</v>
      </c>
      <c r="B321" s="4">
        <v>45434</v>
      </c>
      <c r="C321" s="4">
        <v>45449</v>
      </c>
      <c r="D321" s="12" t="s">
        <v>647</v>
      </c>
      <c r="E321" s="12" t="s">
        <v>652</v>
      </c>
      <c r="F321" s="12" t="s">
        <v>694</v>
      </c>
      <c r="G321" s="12" t="s">
        <v>701</v>
      </c>
      <c r="H321" s="12" t="s">
        <v>710</v>
      </c>
      <c r="I321" s="12" t="s">
        <v>712</v>
      </c>
      <c r="J321" s="12" t="s">
        <v>732</v>
      </c>
      <c r="K321" s="12" t="s">
        <v>801</v>
      </c>
      <c r="L321" s="6">
        <v>673.88</v>
      </c>
      <c r="M321" s="6">
        <v>1228.01</v>
      </c>
      <c r="N321" s="6">
        <v>0.105</v>
      </c>
      <c r="O321" s="6">
        <v>13</v>
      </c>
    </row>
    <row r="322" spans="1:15" x14ac:dyDescent="0.25">
      <c r="A322" s="12" t="s">
        <v>182</v>
      </c>
      <c r="B322" s="4">
        <v>45435</v>
      </c>
      <c r="C322" s="4">
        <v>45457</v>
      </c>
      <c r="D322" s="12" t="s">
        <v>649</v>
      </c>
      <c r="E322" s="12" t="s">
        <v>657</v>
      </c>
      <c r="F322" s="12" t="s">
        <v>673</v>
      </c>
      <c r="G322" s="12" t="s">
        <v>705</v>
      </c>
      <c r="H322" s="12" t="s">
        <v>708</v>
      </c>
      <c r="I322" s="12" t="s">
        <v>725</v>
      </c>
      <c r="J322" s="12" t="s">
        <v>732</v>
      </c>
      <c r="K322" s="12" t="s">
        <v>901</v>
      </c>
      <c r="L322" s="6">
        <v>1481.74</v>
      </c>
      <c r="M322" s="6">
        <v>1848.97</v>
      </c>
      <c r="N322" s="6">
        <v>0.254</v>
      </c>
      <c r="O322" s="6">
        <v>9</v>
      </c>
    </row>
    <row r="323" spans="1:15" x14ac:dyDescent="0.25">
      <c r="A323" s="12" t="s">
        <v>189</v>
      </c>
      <c r="B323" s="4">
        <v>45435</v>
      </c>
      <c r="C323" s="4">
        <v>45446</v>
      </c>
      <c r="D323" s="12" t="s">
        <v>646</v>
      </c>
      <c r="E323" s="12" t="s">
        <v>661</v>
      </c>
      <c r="F323" s="12" t="s">
        <v>682</v>
      </c>
      <c r="G323" s="12" t="s">
        <v>705</v>
      </c>
      <c r="H323" s="12" t="s">
        <v>710</v>
      </c>
      <c r="I323" s="12" t="s">
        <v>721</v>
      </c>
      <c r="J323" s="12" t="s">
        <v>728</v>
      </c>
      <c r="K323" s="12" t="s">
        <v>908</v>
      </c>
      <c r="L323" s="6">
        <v>180.89</v>
      </c>
      <c r="M323" s="6">
        <v>249.57</v>
      </c>
      <c r="N323" s="6">
        <v>2.1999999999999999E-2</v>
      </c>
      <c r="O323" s="6">
        <v>8</v>
      </c>
    </row>
    <row r="324" spans="1:15" x14ac:dyDescent="0.25">
      <c r="A324" s="12" t="s">
        <v>325</v>
      </c>
      <c r="B324" s="4">
        <v>45435</v>
      </c>
      <c r="C324" s="4">
        <v>45449</v>
      </c>
      <c r="D324" s="12" t="s">
        <v>648</v>
      </c>
      <c r="E324" s="12" t="s">
        <v>655</v>
      </c>
      <c r="F324" s="12" t="s">
        <v>692</v>
      </c>
      <c r="G324" s="12" t="s">
        <v>703</v>
      </c>
      <c r="H324" s="12" t="s">
        <v>708</v>
      </c>
      <c r="I324" s="12" t="s">
        <v>714</v>
      </c>
      <c r="J324" s="12" t="s">
        <v>729</v>
      </c>
      <c r="K324" s="12" t="s">
        <v>1045</v>
      </c>
      <c r="L324" s="6">
        <v>51.13</v>
      </c>
      <c r="M324" s="6">
        <v>57.53</v>
      </c>
      <c r="N324" s="6">
        <v>4.4999999999999998E-2</v>
      </c>
      <c r="O324" s="6">
        <v>16</v>
      </c>
    </row>
    <row r="325" spans="1:15" x14ac:dyDescent="0.25">
      <c r="A325" s="12" t="s">
        <v>508</v>
      </c>
      <c r="B325" s="4">
        <v>45439</v>
      </c>
      <c r="C325" s="4">
        <v>45460</v>
      </c>
      <c r="D325" s="12" t="s">
        <v>647</v>
      </c>
      <c r="E325" s="12" t="s">
        <v>654</v>
      </c>
      <c r="F325" s="12" t="s">
        <v>680</v>
      </c>
      <c r="G325" s="12" t="s">
        <v>705</v>
      </c>
      <c r="H325" s="12" t="s">
        <v>708</v>
      </c>
      <c r="I325" s="12" t="s">
        <v>722</v>
      </c>
      <c r="J325" s="12" t="s">
        <v>733</v>
      </c>
      <c r="K325" s="12" t="s">
        <v>1227</v>
      </c>
      <c r="L325" s="6">
        <v>465.02</v>
      </c>
      <c r="M325" s="6">
        <v>651.55999999999995</v>
      </c>
      <c r="N325" s="6">
        <v>4.2000000000000003E-2</v>
      </c>
      <c r="O325" s="6">
        <v>19</v>
      </c>
    </row>
    <row r="326" spans="1:15" x14ac:dyDescent="0.25">
      <c r="A326" s="12" t="s">
        <v>112</v>
      </c>
      <c r="B326" s="4">
        <v>45440</v>
      </c>
      <c r="C326" s="4">
        <v>45438</v>
      </c>
      <c r="D326" s="12" t="s">
        <v>646</v>
      </c>
      <c r="E326" s="12" t="s">
        <v>651</v>
      </c>
      <c r="F326" s="12" t="s">
        <v>669</v>
      </c>
      <c r="G326" s="12" t="s">
        <v>706</v>
      </c>
      <c r="H326" s="12" t="s">
        <v>708</v>
      </c>
      <c r="I326" s="12" t="s">
        <v>721</v>
      </c>
      <c r="J326" s="12" t="s">
        <v>733</v>
      </c>
      <c r="K326" s="12" t="s">
        <v>831</v>
      </c>
      <c r="L326" s="6">
        <v>1227.08</v>
      </c>
      <c r="M326" s="6">
        <v>1896.62</v>
      </c>
      <c r="N326" s="6">
        <v>0</v>
      </c>
      <c r="O326" s="6">
        <v>18</v>
      </c>
    </row>
    <row r="327" spans="1:15" x14ac:dyDescent="0.25">
      <c r="A327" s="12" t="s">
        <v>334</v>
      </c>
      <c r="B327" s="4">
        <v>45440</v>
      </c>
      <c r="C327" s="4">
        <v>45461</v>
      </c>
      <c r="D327" s="12" t="s">
        <v>649</v>
      </c>
      <c r="E327" s="12" t="s">
        <v>656</v>
      </c>
      <c r="F327" s="12" t="s">
        <v>698</v>
      </c>
      <c r="G327" s="12" t="s">
        <v>705</v>
      </c>
      <c r="H327" s="12" t="s">
        <v>708</v>
      </c>
      <c r="I327" s="12" t="s">
        <v>718</v>
      </c>
      <c r="J327" s="12" t="s">
        <v>730</v>
      </c>
      <c r="K327" s="12" t="s">
        <v>1054</v>
      </c>
      <c r="L327" s="6">
        <v>986.85</v>
      </c>
      <c r="M327" s="6">
        <v>2422.1</v>
      </c>
      <c r="N327" s="6">
        <v>7.5999999999999998E-2</v>
      </c>
      <c r="O327" s="6">
        <v>10</v>
      </c>
    </row>
    <row r="328" spans="1:15" x14ac:dyDescent="0.25">
      <c r="A328" s="12" t="s">
        <v>143</v>
      </c>
      <c r="B328" s="4">
        <v>45442</v>
      </c>
      <c r="C328" s="4">
        <v>45456</v>
      </c>
      <c r="D328" s="12" t="s">
        <v>648</v>
      </c>
      <c r="E328" s="12" t="s">
        <v>660</v>
      </c>
      <c r="F328" s="12" t="s">
        <v>686</v>
      </c>
      <c r="G328" s="12" t="s">
        <v>705</v>
      </c>
      <c r="H328" s="12" t="s">
        <v>707</v>
      </c>
      <c r="I328" s="12" t="s">
        <v>721</v>
      </c>
      <c r="J328" s="12" t="s">
        <v>730</v>
      </c>
      <c r="K328" s="12" t="s">
        <v>862</v>
      </c>
      <c r="L328" s="6">
        <v>157.78</v>
      </c>
      <c r="M328" s="6">
        <v>361.1</v>
      </c>
      <c r="N328" s="6">
        <v>0.187</v>
      </c>
      <c r="O328" s="6">
        <v>9</v>
      </c>
    </row>
    <row r="329" spans="1:15" x14ac:dyDescent="0.25">
      <c r="A329" s="12" t="s">
        <v>124</v>
      </c>
      <c r="B329" s="4">
        <v>45445</v>
      </c>
      <c r="C329" s="4">
        <v>45451</v>
      </c>
      <c r="D329" s="12" t="s">
        <v>646</v>
      </c>
      <c r="E329" s="12" t="s">
        <v>650</v>
      </c>
      <c r="F329" s="12" t="s">
        <v>662</v>
      </c>
      <c r="G329" s="12" t="s">
        <v>704</v>
      </c>
      <c r="H329" s="12" t="s">
        <v>709</v>
      </c>
      <c r="I329" s="12" t="s">
        <v>720</v>
      </c>
      <c r="J329" s="12" t="s">
        <v>733</v>
      </c>
      <c r="K329" s="12" t="s">
        <v>843</v>
      </c>
      <c r="L329" s="6">
        <v>292.94</v>
      </c>
      <c r="M329" s="6">
        <v>356.55</v>
      </c>
      <c r="N329" s="6">
        <v>0.22900000000000001</v>
      </c>
      <c r="O329" s="6">
        <v>2</v>
      </c>
    </row>
    <row r="330" spans="1:15" x14ac:dyDescent="0.25">
      <c r="A330" s="12" t="s">
        <v>380</v>
      </c>
      <c r="B330" s="4">
        <v>45445</v>
      </c>
      <c r="C330" s="4">
        <v>45458</v>
      </c>
      <c r="D330" s="12" t="s">
        <v>646</v>
      </c>
      <c r="E330" s="12" t="s">
        <v>650</v>
      </c>
      <c r="F330" s="12" t="s">
        <v>675</v>
      </c>
      <c r="G330" s="12" t="s">
        <v>702</v>
      </c>
      <c r="H330" s="12" t="s">
        <v>708</v>
      </c>
      <c r="I330" s="12" t="s">
        <v>719</v>
      </c>
      <c r="J330" s="12" t="s">
        <v>730</v>
      </c>
      <c r="K330" s="12" t="s">
        <v>1100</v>
      </c>
      <c r="L330" s="6">
        <v>1295.18</v>
      </c>
      <c r="M330" s="6">
        <v>3024.03</v>
      </c>
      <c r="N330" s="6">
        <v>0.192</v>
      </c>
      <c r="O330" s="6">
        <v>8</v>
      </c>
    </row>
    <row r="331" spans="1:15" x14ac:dyDescent="0.25">
      <c r="A331" s="12" t="s">
        <v>462</v>
      </c>
      <c r="B331" s="4">
        <v>45446</v>
      </c>
      <c r="C331" s="4">
        <v>45467</v>
      </c>
      <c r="D331" s="12" t="s">
        <v>648</v>
      </c>
      <c r="E331" s="12" t="s">
        <v>653</v>
      </c>
      <c r="F331" s="12" t="s">
        <v>667</v>
      </c>
      <c r="G331" s="12" t="s">
        <v>705</v>
      </c>
      <c r="H331" s="12" t="s">
        <v>711</v>
      </c>
      <c r="I331" s="12" t="s">
        <v>715</v>
      </c>
      <c r="J331" s="12" t="s">
        <v>732</v>
      </c>
      <c r="K331" s="12" t="s">
        <v>1181</v>
      </c>
      <c r="L331" s="6">
        <v>1205.5</v>
      </c>
      <c r="M331" s="6">
        <v>2210.17</v>
      </c>
      <c r="N331" s="6">
        <v>0.104</v>
      </c>
      <c r="O331" s="6">
        <v>23</v>
      </c>
    </row>
    <row r="332" spans="1:15" x14ac:dyDescent="0.25">
      <c r="A332" s="12" t="s">
        <v>179</v>
      </c>
      <c r="B332" s="4">
        <v>45447</v>
      </c>
      <c r="C332" s="4">
        <v>45459</v>
      </c>
      <c r="D332" s="12" t="s">
        <v>647</v>
      </c>
      <c r="E332" s="12" t="s">
        <v>659</v>
      </c>
      <c r="F332" s="12" t="s">
        <v>685</v>
      </c>
      <c r="G332" s="12" t="s">
        <v>701</v>
      </c>
      <c r="H332" s="12" t="s">
        <v>707</v>
      </c>
      <c r="I332" s="12" t="s">
        <v>713</v>
      </c>
      <c r="J332" s="12" t="s">
        <v>728</v>
      </c>
      <c r="K332" s="12" t="s">
        <v>898</v>
      </c>
      <c r="L332" s="6">
        <v>918.42</v>
      </c>
      <c r="M332" s="6">
        <v>1511.71</v>
      </c>
      <c r="N332" s="6">
        <v>0.02</v>
      </c>
      <c r="O332" s="6">
        <v>8</v>
      </c>
    </row>
    <row r="333" spans="1:15" x14ac:dyDescent="0.25">
      <c r="A333" s="12" t="s">
        <v>542</v>
      </c>
      <c r="B333" s="4">
        <v>45448</v>
      </c>
      <c r="C333" s="4">
        <v>45466</v>
      </c>
      <c r="D333" s="12" t="s">
        <v>646</v>
      </c>
      <c r="E333" s="12" t="s">
        <v>650</v>
      </c>
      <c r="F333" s="12" t="s">
        <v>664</v>
      </c>
      <c r="G333" s="12" t="s">
        <v>704</v>
      </c>
      <c r="H333" s="12" t="s">
        <v>710</v>
      </c>
      <c r="I333" s="12" t="s">
        <v>726</v>
      </c>
      <c r="J333" s="12" t="s">
        <v>731</v>
      </c>
      <c r="K333" s="12" t="s">
        <v>1261</v>
      </c>
      <c r="L333" s="6">
        <v>1208.74</v>
      </c>
      <c r="M333" s="6">
        <v>1594.78</v>
      </c>
      <c r="N333" s="6">
        <v>5.8999999999999997E-2</v>
      </c>
      <c r="O333" s="6">
        <v>39</v>
      </c>
    </row>
    <row r="334" spans="1:15" x14ac:dyDescent="0.25">
      <c r="A334" s="12" t="s">
        <v>428</v>
      </c>
      <c r="B334" s="4">
        <v>45449</v>
      </c>
      <c r="C334" s="4">
        <v>45467</v>
      </c>
      <c r="D334" s="12" t="s">
        <v>647</v>
      </c>
      <c r="E334" s="12" t="s">
        <v>654</v>
      </c>
      <c r="F334" s="12" t="s">
        <v>668</v>
      </c>
      <c r="G334" s="12" t="s">
        <v>705</v>
      </c>
      <c r="H334" s="12" t="s">
        <v>711</v>
      </c>
      <c r="I334" s="12" t="s">
        <v>722</v>
      </c>
      <c r="J334" s="12" t="s">
        <v>729</v>
      </c>
      <c r="K334" s="12" t="s">
        <v>1147</v>
      </c>
      <c r="L334" s="6">
        <v>1253.25</v>
      </c>
      <c r="M334" s="6">
        <v>3087.13</v>
      </c>
      <c r="N334" s="6">
        <v>7.1999999999999995E-2</v>
      </c>
      <c r="O334" s="6">
        <v>11</v>
      </c>
    </row>
    <row r="335" spans="1:15" x14ac:dyDescent="0.25">
      <c r="A335" s="12" t="s">
        <v>141</v>
      </c>
      <c r="B335" s="4">
        <v>45450</v>
      </c>
      <c r="C335" s="4">
        <v>45469</v>
      </c>
      <c r="D335" s="12" t="s">
        <v>649</v>
      </c>
      <c r="E335" s="12" t="s">
        <v>656</v>
      </c>
      <c r="F335" s="12" t="s">
        <v>671</v>
      </c>
      <c r="G335" s="12" t="s">
        <v>703</v>
      </c>
      <c r="H335" s="12" t="s">
        <v>709</v>
      </c>
      <c r="I335" s="12" t="s">
        <v>724</v>
      </c>
      <c r="J335" s="12" t="s">
        <v>727</v>
      </c>
      <c r="K335" s="12" t="s">
        <v>860</v>
      </c>
      <c r="L335" s="6">
        <v>1064.32</v>
      </c>
      <c r="M335" s="6">
        <v>1848.39</v>
      </c>
      <c r="N335" s="6">
        <v>7.2999999999999995E-2</v>
      </c>
      <c r="O335" s="6">
        <v>38</v>
      </c>
    </row>
    <row r="336" spans="1:15" x14ac:dyDescent="0.25">
      <c r="A336" s="12" t="s">
        <v>556</v>
      </c>
      <c r="B336" s="4">
        <v>45450</v>
      </c>
      <c r="C336" s="4">
        <v>45452</v>
      </c>
      <c r="D336" s="12" t="s">
        <v>647</v>
      </c>
      <c r="E336" s="12" t="s">
        <v>659</v>
      </c>
      <c r="F336" s="12" t="s">
        <v>685</v>
      </c>
      <c r="G336" s="12" t="s">
        <v>701</v>
      </c>
      <c r="H336" s="12" t="s">
        <v>707</v>
      </c>
      <c r="I336" s="12" t="s">
        <v>719</v>
      </c>
      <c r="J336" s="12" t="s">
        <v>732</v>
      </c>
      <c r="K336" s="12" t="s">
        <v>1274</v>
      </c>
      <c r="L336" s="6">
        <v>1370.28</v>
      </c>
      <c r="M336" s="6">
        <v>2209.66</v>
      </c>
      <c r="N336" s="6">
        <v>0.13300000000000001</v>
      </c>
      <c r="O336" s="6">
        <v>16</v>
      </c>
    </row>
    <row r="337" spans="1:15" x14ac:dyDescent="0.25">
      <c r="A337" s="12" t="s">
        <v>328</v>
      </c>
      <c r="B337" s="4">
        <v>45451</v>
      </c>
      <c r="C337" s="4">
        <v>45467</v>
      </c>
      <c r="D337" s="12" t="s">
        <v>646</v>
      </c>
      <c r="E337" s="12" t="s">
        <v>661</v>
      </c>
      <c r="F337" s="12" t="s">
        <v>687</v>
      </c>
      <c r="G337" s="12" t="s">
        <v>702</v>
      </c>
      <c r="H337" s="12" t="s">
        <v>710</v>
      </c>
      <c r="I337" s="12" t="s">
        <v>722</v>
      </c>
      <c r="J337" s="12" t="s">
        <v>732</v>
      </c>
      <c r="K337" s="12" t="s">
        <v>1048</v>
      </c>
      <c r="L337" s="6">
        <v>597.85</v>
      </c>
      <c r="M337" s="6">
        <v>741.92</v>
      </c>
      <c r="N337" s="6">
        <v>3.1E-2</v>
      </c>
      <c r="O337" s="6">
        <v>7</v>
      </c>
    </row>
    <row r="338" spans="1:15" x14ac:dyDescent="0.25">
      <c r="A338" s="12" t="s">
        <v>125</v>
      </c>
      <c r="B338" s="4">
        <v>45452</v>
      </c>
      <c r="C338" s="4">
        <v>45480</v>
      </c>
      <c r="D338" s="12" t="s">
        <v>647</v>
      </c>
      <c r="E338" s="12" t="s">
        <v>659</v>
      </c>
      <c r="F338" s="12" t="s">
        <v>676</v>
      </c>
      <c r="G338" s="12" t="s">
        <v>701</v>
      </c>
      <c r="H338" s="12" t="s">
        <v>708</v>
      </c>
      <c r="I338" s="12" t="s">
        <v>713</v>
      </c>
      <c r="J338" s="12" t="s">
        <v>727</v>
      </c>
      <c r="K338" s="12" t="s">
        <v>844</v>
      </c>
      <c r="L338" s="6">
        <v>550.22</v>
      </c>
      <c r="M338" s="6">
        <v>1025.05</v>
      </c>
      <c r="N338" s="6">
        <v>0</v>
      </c>
      <c r="O338" s="6">
        <v>27</v>
      </c>
    </row>
    <row r="339" spans="1:15" x14ac:dyDescent="0.25">
      <c r="A339" s="12" t="s">
        <v>126</v>
      </c>
      <c r="B339" s="4">
        <v>45453</v>
      </c>
      <c r="C339" s="4">
        <v>45454</v>
      </c>
      <c r="D339" s="12" t="s">
        <v>649</v>
      </c>
      <c r="E339" s="12" t="s">
        <v>658</v>
      </c>
      <c r="F339" s="12" t="s">
        <v>674</v>
      </c>
      <c r="G339" s="12" t="s">
        <v>705</v>
      </c>
      <c r="H339" s="12" t="s">
        <v>709</v>
      </c>
      <c r="I339" s="12" t="s">
        <v>724</v>
      </c>
      <c r="J339" s="12" t="s">
        <v>731</v>
      </c>
      <c r="K339" s="12" t="s">
        <v>845</v>
      </c>
      <c r="L339" s="6">
        <v>1187.1300000000001</v>
      </c>
      <c r="M339" s="6">
        <v>1795.17</v>
      </c>
      <c r="N339" s="6">
        <v>1.2E-2</v>
      </c>
      <c r="O339" s="6">
        <v>17</v>
      </c>
    </row>
    <row r="340" spans="1:15" x14ac:dyDescent="0.25">
      <c r="A340" s="12" t="s">
        <v>463</v>
      </c>
      <c r="B340" s="4">
        <v>45454</v>
      </c>
      <c r="C340" s="4">
        <v>45482</v>
      </c>
      <c r="D340" s="12" t="s">
        <v>646</v>
      </c>
      <c r="E340" s="12" t="s">
        <v>651</v>
      </c>
      <c r="F340" s="12" t="s">
        <v>663</v>
      </c>
      <c r="G340" s="12" t="s">
        <v>701</v>
      </c>
      <c r="H340" s="12" t="s">
        <v>709</v>
      </c>
      <c r="I340" s="12" t="s">
        <v>714</v>
      </c>
      <c r="J340" s="12" t="s">
        <v>730</v>
      </c>
      <c r="K340" s="12" t="s">
        <v>1182</v>
      </c>
      <c r="L340" s="6">
        <v>895.54</v>
      </c>
      <c r="M340" s="6">
        <v>1045</v>
      </c>
      <c r="N340" s="6">
        <v>0.216</v>
      </c>
      <c r="O340" s="6">
        <v>15</v>
      </c>
    </row>
    <row r="341" spans="1:15" x14ac:dyDescent="0.25">
      <c r="A341" s="12" t="s">
        <v>158</v>
      </c>
      <c r="B341" s="4">
        <v>45458</v>
      </c>
      <c r="C341" s="4">
        <v>45479</v>
      </c>
      <c r="D341" s="12" t="s">
        <v>648</v>
      </c>
      <c r="E341" s="12" t="s">
        <v>653</v>
      </c>
      <c r="F341" s="12" t="s">
        <v>667</v>
      </c>
      <c r="G341" s="12" t="s">
        <v>706</v>
      </c>
      <c r="H341" s="12" t="s">
        <v>710</v>
      </c>
      <c r="I341" s="12" t="s">
        <v>716</v>
      </c>
      <c r="J341" s="12" t="s">
        <v>728</v>
      </c>
      <c r="K341" s="12" t="s">
        <v>877</v>
      </c>
      <c r="L341" s="6">
        <v>817.23</v>
      </c>
      <c r="M341" s="6">
        <v>1467.17</v>
      </c>
      <c r="N341" s="6">
        <v>0.245</v>
      </c>
      <c r="O341" s="6">
        <v>9</v>
      </c>
    </row>
    <row r="342" spans="1:15" x14ac:dyDescent="0.25">
      <c r="A342" s="12" t="s">
        <v>292</v>
      </c>
      <c r="B342" s="4">
        <v>45459</v>
      </c>
      <c r="C342" s="4">
        <v>45476</v>
      </c>
      <c r="D342" s="12" t="s">
        <v>646</v>
      </c>
      <c r="E342" s="12" t="s">
        <v>661</v>
      </c>
      <c r="F342" s="12" t="s">
        <v>682</v>
      </c>
      <c r="G342" s="12" t="s">
        <v>706</v>
      </c>
      <c r="H342" s="12" t="s">
        <v>709</v>
      </c>
      <c r="I342" s="12" t="s">
        <v>721</v>
      </c>
      <c r="J342" s="12" t="s">
        <v>730</v>
      </c>
      <c r="K342" s="12" t="s">
        <v>1012</v>
      </c>
      <c r="L342" s="6">
        <v>1173.83</v>
      </c>
      <c r="M342" s="6">
        <v>2328.9</v>
      </c>
      <c r="N342" s="6">
        <v>0.12</v>
      </c>
      <c r="O342" s="6">
        <v>17</v>
      </c>
    </row>
    <row r="343" spans="1:15" x14ac:dyDescent="0.25">
      <c r="A343" s="12" t="s">
        <v>602</v>
      </c>
      <c r="B343" s="4">
        <v>45459</v>
      </c>
      <c r="C343" s="4">
        <v>45464</v>
      </c>
      <c r="D343" s="12" t="s">
        <v>647</v>
      </c>
      <c r="E343" s="12" t="s">
        <v>652</v>
      </c>
      <c r="F343" s="12" t="s">
        <v>689</v>
      </c>
      <c r="G343" s="12" t="s">
        <v>705</v>
      </c>
      <c r="H343" s="12" t="s">
        <v>710</v>
      </c>
      <c r="I343" s="12" t="s">
        <v>721</v>
      </c>
      <c r="J343" s="12" t="s">
        <v>730</v>
      </c>
      <c r="K343" s="12" t="s">
        <v>1320</v>
      </c>
      <c r="L343" s="6">
        <v>1367.13</v>
      </c>
      <c r="M343" s="6">
        <v>3062.01</v>
      </c>
      <c r="N343" s="6">
        <v>0.10299999999999999</v>
      </c>
      <c r="O343" s="6">
        <v>25</v>
      </c>
    </row>
    <row r="344" spans="1:15" x14ac:dyDescent="0.25">
      <c r="A344" s="12" t="s">
        <v>318</v>
      </c>
      <c r="B344" s="4">
        <v>45462</v>
      </c>
      <c r="C344" s="4">
        <v>45463</v>
      </c>
      <c r="D344" s="12" t="s">
        <v>646</v>
      </c>
      <c r="E344" s="12" t="s">
        <v>650</v>
      </c>
      <c r="F344" s="12" t="s">
        <v>662</v>
      </c>
      <c r="G344" s="12" t="s">
        <v>705</v>
      </c>
      <c r="H344" s="12" t="s">
        <v>711</v>
      </c>
      <c r="I344" s="12" t="s">
        <v>713</v>
      </c>
      <c r="J344" s="12" t="s">
        <v>731</v>
      </c>
      <c r="K344" s="12" t="s">
        <v>1038</v>
      </c>
      <c r="L344" s="6">
        <v>231.63</v>
      </c>
      <c r="M344" s="6">
        <v>537.39</v>
      </c>
      <c r="N344" s="6">
        <v>0.08</v>
      </c>
      <c r="O344" s="6">
        <v>12</v>
      </c>
    </row>
    <row r="345" spans="1:15" x14ac:dyDescent="0.25">
      <c r="A345" s="12" t="s">
        <v>374</v>
      </c>
      <c r="B345" s="4">
        <v>45466</v>
      </c>
      <c r="C345" s="4">
        <v>45468</v>
      </c>
      <c r="D345" s="12" t="s">
        <v>649</v>
      </c>
      <c r="E345" s="12" t="s">
        <v>658</v>
      </c>
      <c r="F345" s="12" t="s">
        <v>674</v>
      </c>
      <c r="G345" s="12" t="s">
        <v>705</v>
      </c>
      <c r="H345" s="12" t="s">
        <v>709</v>
      </c>
      <c r="I345" s="12" t="s">
        <v>716</v>
      </c>
      <c r="J345" s="12" t="s">
        <v>733</v>
      </c>
      <c r="K345" s="12" t="s">
        <v>1094</v>
      </c>
      <c r="L345" s="6">
        <v>951.44</v>
      </c>
      <c r="M345" s="6">
        <v>1646.43</v>
      </c>
      <c r="N345" s="6">
        <v>0.11</v>
      </c>
      <c r="O345" s="6">
        <v>24</v>
      </c>
    </row>
    <row r="346" spans="1:15" x14ac:dyDescent="0.25">
      <c r="A346" s="12" t="s">
        <v>480</v>
      </c>
      <c r="B346" s="4">
        <v>45466</v>
      </c>
      <c r="C346" s="4">
        <v>45471</v>
      </c>
      <c r="D346" s="12" t="s">
        <v>646</v>
      </c>
      <c r="E346" s="12" t="s">
        <v>651</v>
      </c>
      <c r="F346" s="12" t="s">
        <v>663</v>
      </c>
      <c r="G346" s="12" t="s">
        <v>703</v>
      </c>
      <c r="H346" s="12" t="s">
        <v>711</v>
      </c>
      <c r="I346" s="12" t="s">
        <v>724</v>
      </c>
      <c r="J346" s="12" t="s">
        <v>733</v>
      </c>
      <c r="K346" s="12" t="s">
        <v>1199</v>
      </c>
      <c r="L346" s="6">
        <v>242.31</v>
      </c>
      <c r="M346" s="6">
        <v>587.95000000000005</v>
      </c>
      <c r="N346" s="6">
        <v>0.22900000000000001</v>
      </c>
      <c r="O346" s="6">
        <v>6</v>
      </c>
    </row>
    <row r="347" spans="1:15" x14ac:dyDescent="0.25">
      <c r="A347" s="12" t="s">
        <v>627</v>
      </c>
      <c r="B347" s="4">
        <v>45468</v>
      </c>
      <c r="C347" s="4">
        <v>45473</v>
      </c>
      <c r="D347" s="12" t="s">
        <v>646</v>
      </c>
      <c r="E347" s="12" t="s">
        <v>650</v>
      </c>
      <c r="F347" s="12" t="s">
        <v>662</v>
      </c>
      <c r="G347" s="12" t="s">
        <v>702</v>
      </c>
      <c r="H347" s="12" t="s">
        <v>711</v>
      </c>
      <c r="I347" s="12" t="s">
        <v>724</v>
      </c>
      <c r="J347" s="12" t="s">
        <v>729</v>
      </c>
      <c r="K347" s="12" t="s">
        <v>1345</v>
      </c>
      <c r="L347" s="6">
        <v>1323.55</v>
      </c>
      <c r="M347" s="6">
        <v>3230.35</v>
      </c>
      <c r="N347" s="6">
        <v>2.1999999999999999E-2</v>
      </c>
      <c r="O347" s="6">
        <v>26</v>
      </c>
    </row>
    <row r="348" spans="1:15" x14ac:dyDescent="0.25">
      <c r="A348" s="12" t="s">
        <v>127</v>
      </c>
      <c r="B348" s="4">
        <v>45472</v>
      </c>
      <c r="C348" s="4">
        <v>45499</v>
      </c>
      <c r="D348" s="12" t="s">
        <v>646</v>
      </c>
      <c r="E348" s="12" t="s">
        <v>661</v>
      </c>
      <c r="F348" s="12" t="s">
        <v>687</v>
      </c>
      <c r="G348" s="12" t="s">
        <v>706</v>
      </c>
      <c r="H348" s="12" t="s">
        <v>710</v>
      </c>
      <c r="I348" s="12" t="s">
        <v>717</v>
      </c>
      <c r="J348" s="12" t="s">
        <v>729</v>
      </c>
      <c r="K348" s="12" t="s">
        <v>846</v>
      </c>
      <c r="L348" s="6">
        <v>5.36</v>
      </c>
      <c r="M348" s="6">
        <v>4.37</v>
      </c>
      <c r="N348" s="6">
        <v>0.11799999999999999</v>
      </c>
      <c r="O348" s="6">
        <v>9</v>
      </c>
    </row>
    <row r="349" spans="1:15" x14ac:dyDescent="0.25">
      <c r="A349" s="12" t="s">
        <v>40</v>
      </c>
      <c r="B349" s="4">
        <v>45473</v>
      </c>
      <c r="C349" s="4">
        <v>45487</v>
      </c>
      <c r="D349" s="12" t="s">
        <v>648</v>
      </c>
      <c r="E349" s="12" t="s">
        <v>655</v>
      </c>
      <c r="F349" s="12" t="s">
        <v>672</v>
      </c>
      <c r="G349" s="12" t="s">
        <v>702</v>
      </c>
      <c r="H349" s="12" t="s">
        <v>707</v>
      </c>
      <c r="I349" s="12" t="s">
        <v>712</v>
      </c>
      <c r="J349" s="12" t="s">
        <v>733</v>
      </c>
      <c r="K349" s="12" t="s">
        <v>759</v>
      </c>
      <c r="L349" s="6">
        <v>1491.85</v>
      </c>
      <c r="M349" s="6">
        <v>2583.02</v>
      </c>
      <c r="N349" s="6">
        <v>0.16800000000000001</v>
      </c>
      <c r="O349" s="6">
        <v>4</v>
      </c>
    </row>
    <row r="350" spans="1:15" x14ac:dyDescent="0.25">
      <c r="A350" s="12" t="s">
        <v>92</v>
      </c>
      <c r="B350" s="4">
        <v>45473</v>
      </c>
      <c r="C350" s="4">
        <v>45471</v>
      </c>
      <c r="D350" s="12" t="s">
        <v>648</v>
      </c>
      <c r="E350" s="12" t="s">
        <v>655</v>
      </c>
      <c r="F350" s="12" t="s">
        <v>692</v>
      </c>
      <c r="G350" s="12" t="s">
        <v>705</v>
      </c>
      <c r="H350" s="12" t="s">
        <v>711</v>
      </c>
      <c r="I350" s="12" t="s">
        <v>716</v>
      </c>
      <c r="J350" s="12" t="s">
        <v>733</v>
      </c>
      <c r="K350" s="12" t="s">
        <v>811</v>
      </c>
      <c r="L350" s="6">
        <v>1112.98</v>
      </c>
      <c r="M350" s="6">
        <v>2095.73</v>
      </c>
      <c r="N350" s="6">
        <v>7.1999999999999995E-2</v>
      </c>
      <c r="O350" s="6">
        <v>17</v>
      </c>
    </row>
    <row r="351" spans="1:15" x14ac:dyDescent="0.25">
      <c r="A351" s="12" t="s">
        <v>609</v>
      </c>
      <c r="B351" s="4">
        <v>45473</v>
      </c>
      <c r="C351" s="4">
        <v>45494</v>
      </c>
      <c r="D351" s="12" t="s">
        <v>646</v>
      </c>
      <c r="E351" s="12" t="s">
        <v>650</v>
      </c>
      <c r="F351" s="12" t="s">
        <v>662</v>
      </c>
      <c r="G351" s="12" t="s">
        <v>705</v>
      </c>
      <c r="H351" s="12" t="s">
        <v>707</v>
      </c>
      <c r="I351" s="12" t="s">
        <v>723</v>
      </c>
      <c r="J351" s="12" t="s">
        <v>731</v>
      </c>
      <c r="K351" s="12" t="s">
        <v>1327</v>
      </c>
      <c r="L351" s="6">
        <v>753.43</v>
      </c>
      <c r="M351" s="6">
        <v>1787.2</v>
      </c>
      <c r="N351" s="6">
        <v>7.2999999999999995E-2</v>
      </c>
      <c r="O351" s="6">
        <v>9</v>
      </c>
    </row>
    <row r="352" spans="1:15" x14ac:dyDescent="0.25">
      <c r="A352" s="12" t="s">
        <v>534</v>
      </c>
      <c r="B352" s="4">
        <v>45482</v>
      </c>
      <c r="C352" s="4">
        <v>45512</v>
      </c>
      <c r="D352" s="12" t="s">
        <v>649</v>
      </c>
      <c r="E352" s="12" t="s">
        <v>657</v>
      </c>
      <c r="F352" s="12" t="s">
        <v>673</v>
      </c>
      <c r="G352" s="12" t="s">
        <v>701</v>
      </c>
      <c r="H352" s="12" t="s">
        <v>711</v>
      </c>
      <c r="I352" s="12" t="s">
        <v>713</v>
      </c>
      <c r="J352" s="12" t="s">
        <v>727</v>
      </c>
      <c r="K352" s="12" t="s">
        <v>1253</v>
      </c>
      <c r="L352" s="6">
        <v>1062.3800000000001</v>
      </c>
      <c r="M352" s="6">
        <v>1503.96</v>
      </c>
      <c r="N352" s="6">
        <v>0.18</v>
      </c>
      <c r="O352" s="6">
        <v>6</v>
      </c>
    </row>
    <row r="353" spans="1:15" x14ac:dyDescent="0.25">
      <c r="A353" s="12" t="s">
        <v>536</v>
      </c>
      <c r="B353" s="4">
        <v>45482</v>
      </c>
      <c r="C353" s="4">
        <v>45485</v>
      </c>
      <c r="D353" s="12" t="s">
        <v>647</v>
      </c>
      <c r="E353" s="12" t="s">
        <v>659</v>
      </c>
      <c r="F353" s="12" t="s">
        <v>685</v>
      </c>
      <c r="G353" s="12" t="s">
        <v>705</v>
      </c>
      <c r="H353" s="12" t="s">
        <v>707</v>
      </c>
      <c r="I353" s="12" t="s">
        <v>726</v>
      </c>
      <c r="J353" s="12" t="s">
        <v>733</v>
      </c>
      <c r="K353" s="12" t="s">
        <v>1255</v>
      </c>
      <c r="L353" s="6">
        <v>748.39</v>
      </c>
      <c r="M353" s="6">
        <v>979.42</v>
      </c>
      <c r="N353" s="6">
        <v>0</v>
      </c>
      <c r="O353" s="6">
        <v>23</v>
      </c>
    </row>
    <row r="354" spans="1:15" x14ac:dyDescent="0.25">
      <c r="A354" s="12" t="s">
        <v>350</v>
      </c>
      <c r="B354" s="4">
        <v>45484</v>
      </c>
      <c r="C354" s="4">
        <v>45504</v>
      </c>
      <c r="D354" s="12" t="s">
        <v>647</v>
      </c>
      <c r="E354" s="12" t="s">
        <v>659</v>
      </c>
      <c r="F354" s="12" t="s">
        <v>676</v>
      </c>
      <c r="G354" s="12" t="s">
        <v>704</v>
      </c>
      <c r="H354" s="12" t="s">
        <v>708</v>
      </c>
      <c r="I354" s="12" t="s">
        <v>715</v>
      </c>
      <c r="J354" s="12" t="s">
        <v>730</v>
      </c>
      <c r="K354" s="12" t="s">
        <v>1070</v>
      </c>
      <c r="L354" s="6">
        <v>647.26</v>
      </c>
      <c r="M354" s="6">
        <v>1374.72</v>
      </c>
      <c r="N354" s="6">
        <v>6.6000000000000003E-2</v>
      </c>
      <c r="O354" s="6">
        <v>22</v>
      </c>
    </row>
    <row r="355" spans="1:15" x14ac:dyDescent="0.25">
      <c r="A355" s="12" t="s">
        <v>358</v>
      </c>
      <c r="B355" s="4">
        <v>45486</v>
      </c>
      <c r="C355" s="4">
        <v>45485</v>
      </c>
      <c r="D355" s="12" t="s">
        <v>647</v>
      </c>
      <c r="E355" s="12" t="s">
        <v>652</v>
      </c>
      <c r="F355" s="12" t="s">
        <v>694</v>
      </c>
      <c r="G355" s="12" t="s">
        <v>705</v>
      </c>
      <c r="H355" s="12" t="s">
        <v>709</v>
      </c>
      <c r="I355" s="12" t="s">
        <v>721</v>
      </c>
      <c r="J355" s="12" t="s">
        <v>729</v>
      </c>
      <c r="K355" s="12" t="s">
        <v>1078</v>
      </c>
      <c r="L355" s="6">
        <v>105.13</v>
      </c>
      <c r="M355" s="6">
        <v>244.13</v>
      </c>
      <c r="N355" s="6">
        <v>7.0999999999999994E-2</v>
      </c>
      <c r="O355" s="6">
        <v>14</v>
      </c>
    </row>
    <row r="356" spans="1:15" x14ac:dyDescent="0.25">
      <c r="A356" s="12" t="s">
        <v>563</v>
      </c>
      <c r="B356" s="4">
        <v>45486</v>
      </c>
      <c r="C356" s="4">
        <v>45507</v>
      </c>
      <c r="D356" s="12" t="s">
        <v>648</v>
      </c>
      <c r="E356" s="12" t="s">
        <v>655</v>
      </c>
      <c r="F356" s="12" t="s">
        <v>692</v>
      </c>
      <c r="G356" s="12" t="s">
        <v>701</v>
      </c>
      <c r="H356" s="12" t="s">
        <v>709</v>
      </c>
      <c r="I356" s="12" t="s">
        <v>724</v>
      </c>
      <c r="J356" s="12" t="s">
        <v>732</v>
      </c>
      <c r="K356" s="12" t="s">
        <v>1281</v>
      </c>
      <c r="L356" s="6">
        <v>702.98</v>
      </c>
      <c r="M356" s="6">
        <v>1104.8</v>
      </c>
      <c r="N356" s="6">
        <v>0.17499999999999999</v>
      </c>
      <c r="O356" s="6">
        <v>12</v>
      </c>
    </row>
    <row r="357" spans="1:15" x14ac:dyDescent="0.25">
      <c r="A357" s="12" t="s">
        <v>185</v>
      </c>
      <c r="B357" s="4">
        <v>45488</v>
      </c>
      <c r="C357" s="4">
        <v>45488</v>
      </c>
      <c r="D357" s="12" t="s">
        <v>647</v>
      </c>
      <c r="E357" s="12" t="s">
        <v>652</v>
      </c>
      <c r="F357" s="12" t="s">
        <v>689</v>
      </c>
      <c r="G357" s="12" t="s">
        <v>705</v>
      </c>
      <c r="H357" s="12" t="s">
        <v>709</v>
      </c>
      <c r="I357" s="12" t="s">
        <v>715</v>
      </c>
      <c r="J357" s="12" t="s">
        <v>733</v>
      </c>
      <c r="K357" s="12" t="s">
        <v>904</v>
      </c>
      <c r="L357" s="6">
        <v>801.77</v>
      </c>
      <c r="M357" s="6">
        <v>1218.92</v>
      </c>
      <c r="N357" s="6">
        <v>0.254</v>
      </c>
      <c r="O357" s="6">
        <v>16</v>
      </c>
    </row>
    <row r="358" spans="1:15" x14ac:dyDescent="0.25">
      <c r="A358" s="12" t="s">
        <v>398</v>
      </c>
      <c r="B358" s="4">
        <v>45491</v>
      </c>
      <c r="C358" s="4">
        <v>45511</v>
      </c>
      <c r="D358" s="12" t="s">
        <v>649</v>
      </c>
      <c r="E358" s="12" t="s">
        <v>657</v>
      </c>
      <c r="F358" s="12" t="s">
        <v>673</v>
      </c>
      <c r="G358" s="12" t="s">
        <v>701</v>
      </c>
      <c r="H358" s="12" t="s">
        <v>707</v>
      </c>
      <c r="I358" s="12" t="s">
        <v>721</v>
      </c>
      <c r="J358" s="12" t="s">
        <v>732</v>
      </c>
      <c r="K358" s="12" t="s">
        <v>1117</v>
      </c>
      <c r="L358" s="6">
        <v>941.35</v>
      </c>
      <c r="M358" s="6">
        <v>899.83</v>
      </c>
      <c r="N358" s="6">
        <v>5.8000000000000003E-2</v>
      </c>
      <c r="O358" s="6">
        <v>18</v>
      </c>
    </row>
    <row r="359" spans="1:15" x14ac:dyDescent="0.25">
      <c r="A359" s="12" t="s">
        <v>42</v>
      </c>
      <c r="B359" s="4">
        <v>45492</v>
      </c>
      <c r="C359" s="4">
        <v>45492</v>
      </c>
      <c r="D359" s="12" t="s">
        <v>646</v>
      </c>
      <c r="E359" s="12" t="s">
        <v>650</v>
      </c>
      <c r="F359" s="12" t="s">
        <v>662</v>
      </c>
      <c r="G359" s="12" t="s">
        <v>705</v>
      </c>
      <c r="H359" s="12" t="s">
        <v>707</v>
      </c>
      <c r="I359" s="12" t="s">
        <v>720</v>
      </c>
      <c r="J359" s="12" t="s">
        <v>730</v>
      </c>
      <c r="K359" s="12" t="s">
        <v>761</v>
      </c>
      <c r="L359" s="6">
        <v>857.24</v>
      </c>
      <c r="M359" s="6">
        <v>758.23</v>
      </c>
      <c r="N359" s="6">
        <v>0.125</v>
      </c>
      <c r="O359" s="6">
        <v>6</v>
      </c>
    </row>
    <row r="360" spans="1:15" x14ac:dyDescent="0.25">
      <c r="A360" s="12" t="s">
        <v>417</v>
      </c>
      <c r="B360" s="4">
        <v>45497</v>
      </c>
      <c r="C360" s="4">
        <v>45512</v>
      </c>
      <c r="D360" s="12" t="s">
        <v>649</v>
      </c>
      <c r="E360" s="12" t="s">
        <v>657</v>
      </c>
      <c r="F360" s="12" t="s">
        <v>673</v>
      </c>
      <c r="G360" s="12" t="s">
        <v>706</v>
      </c>
      <c r="H360" s="12" t="s">
        <v>709</v>
      </c>
      <c r="I360" s="12" t="s">
        <v>722</v>
      </c>
      <c r="J360" s="12" t="s">
        <v>731</v>
      </c>
      <c r="K360" s="12" t="s">
        <v>1136</v>
      </c>
      <c r="L360" s="6">
        <v>501.5</v>
      </c>
      <c r="M360" s="6">
        <v>1201.47</v>
      </c>
      <c r="N360" s="6">
        <v>0.126</v>
      </c>
      <c r="O360" s="6">
        <v>5</v>
      </c>
    </row>
    <row r="361" spans="1:15" x14ac:dyDescent="0.25">
      <c r="A361" s="12" t="s">
        <v>35</v>
      </c>
      <c r="B361" s="4">
        <v>45498</v>
      </c>
      <c r="C361" s="4">
        <v>45497</v>
      </c>
      <c r="D361" s="12" t="s">
        <v>646</v>
      </c>
      <c r="E361" s="12" t="s">
        <v>650</v>
      </c>
      <c r="F361" s="12" t="s">
        <v>675</v>
      </c>
      <c r="G361" s="12" t="s">
        <v>703</v>
      </c>
      <c r="H361" s="12" t="s">
        <v>711</v>
      </c>
      <c r="I361" s="12" t="s">
        <v>713</v>
      </c>
      <c r="J361" s="12" t="s">
        <v>731</v>
      </c>
      <c r="K361" s="12" t="s">
        <v>754</v>
      </c>
      <c r="L361" s="6">
        <v>1494.4</v>
      </c>
      <c r="M361" s="6">
        <v>3661.07</v>
      </c>
      <c r="N361" s="6">
        <v>7.1999999999999995E-2</v>
      </c>
      <c r="O361" s="6">
        <v>7</v>
      </c>
    </row>
    <row r="362" spans="1:15" x14ac:dyDescent="0.25">
      <c r="A362" s="12" t="s">
        <v>360</v>
      </c>
      <c r="B362" s="4">
        <v>45498</v>
      </c>
      <c r="C362" s="4">
        <v>45506</v>
      </c>
      <c r="D362" s="12" t="s">
        <v>648</v>
      </c>
      <c r="E362" s="12" t="s">
        <v>653</v>
      </c>
      <c r="F362" s="12" t="s">
        <v>681</v>
      </c>
      <c r="G362" s="12" t="s">
        <v>704</v>
      </c>
      <c r="H362" s="12" t="s">
        <v>711</v>
      </c>
      <c r="I362" s="12" t="s">
        <v>713</v>
      </c>
      <c r="J362" s="12" t="s">
        <v>733</v>
      </c>
      <c r="K362" s="12" t="s">
        <v>1080</v>
      </c>
      <c r="L362" s="6">
        <v>986.81</v>
      </c>
      <c r="M362" s="6">
        <v>2050.31</v>
      </c>
      <c r="N362" s="6">
        <v>0.10299999999999999</v>
      </c>
      <c r="O362" s="6">
        <v>43</v>
      </c>
    </row>
    <row r="363" spans="1:15" x14ac:dyDescent="0.25">
      <c r="A363" s="12" t="s">
        <v>636</v>
      </c>
      <c r="B363" s="4">
        <v>45501</v>
      </c>
      <c r="C363" s="4">
        <v>45527</v>
      </c>
      <c r="D363" s="12" t="s">
        <v>647</v>
      </c>
      <c r="E363" s="12" t="s">
        <v>654</v>
      </c>
      <c r="F363" s="12" t="s">
        <v>696</v>
      </c>
      <c r="G363" s="12" t="s">
        <v>701</v>
      </c>
      <c r="H363" s="12" t="s">
        <v>707</v>
      </c>
      <c r="I363" s="12" t="s">
        <v>713</v>
      </c>
      <c r="J363" s="12" t="s">
        <v>729</v>
      </c>
      <c r="K363" s="12" t="s">
        <v>1354</v>
      </c>
      <c r="L363" s="6">
        <v>1339.24</v>
      </c>
      <c r="M363" s="6">
        <v>1558.89</v>
      </c>
      <c r="N363" s="6">
        <v>0.192</v>
      </c>
      <c r="O363" s="6">
        <v>24</v>
      </c>
    </row>
    <row r="364" spans="1:15" x14ac:dyDescent="0.25">
      <c r="A364" s="12" t="s">
        <v>267</v>
      </c>
      <c r="B364" s="4">
        <v>45502</v>
      </c>
      <c r="C364" s="4">
        <v>45504</v>
      </c>
      <c r="D364" s="12" t="s">
        <v>648</v>
      </c>
      <c r="E364" s="12" t="s">
        <v>660</v>
      </c>
      <c r="F364" s="12" t="s">
        <v>700</v>
      </c>
      <c r="G364" s="12" t="s">
        <v>702</v>
      </c>
      <c r="H364" s="12" t="s">
        <v>709</v>
      </c>
      <c r="I364" s="12" t="s">
        <v>714</v>
      </c>
      <c r="J364" s="12" t="s">
        <v>728</v>
      </c>
      <c r="K364" s="12" t="s">
        <v>987</v>
      </c>
      <c r="L364" s="6">
        <v>798.97</v>
      </c>
      <c r="M364" s="6">
        <v>1814.06</v>
      </c>
      <c r="N364" s="6">
        <v>0.122</v>
      </c>
      <c r="O364" s="6">
        <v>16</v>
      </c>
    </row>
    <row r="365" spans="1:15" x14ac:dyDescent="0.25">
      <c r="A365" s="12" t="s">
        <v>607</v>
      </c>
      <c r="B365" s="4">
        <v>45504</v>
      </c>
      <c r="C365" s="4">
        <v>45519</v>
      </c>
      <c r="D365" s="12" t="s">
        <v>647</v>
      </c>
      <c r="E365" s="12" t="s">
        <v>652</v>
      </c>
      <c r="F365" s="12" t="s">
        <v>689</v>
      </c>
      <c r="G365" s="12" t="s">
        <v>701</v>
      </c>
      <c r="H365" s="12" t="s">
        <v>709</v>
      </c>
      <c r="I365" s="12" t="s">
        <v>721</v>
      </c>
      <c r="J365" s="12" t="s">
        <v>732</v>
      </c>
      <c r="K365" s="12" t="s">
        <v>1325</v>
      </c>
      <c r="L365" s="6">
        <v>1252.52</v>
      </c>
      <c r="M365" s="6">
        <v>1417.24</v>
      </c>
      <c r="N365" s="6">
        <v>0.192</v>
      </c>
      <c r="O365" s="6">
        <v>5</v>
      </c>
    </row>
    <row r="366" spans="1:15" x14ac:dyDescent="0.25">
      <c r="A366" s="12" t="s">
        <v>598</v>
      </c>
      <c r="B366" s="4">
        <v>45507</v>
      </c>
      <c r="C366" s="4">
        <v>45513</v>
      </c>
      <c r="D366" s="12" t="s">
        <v>646</v>
      </c>
      <c r="E366" s="12" t="s">
        <v>650</v>
      </c>
      <c r="F366" s="12" t="s">
        <v>675</v>
      </c>
      <c r="G366" s="12" t="s">
        <v>704</v>
      </c>
      <c r="H366" s="12" t="s">
        <v>709</v>
      </c>
      <c r="I366" s="12" t="s">
        <v>722</v>
      </c>
      <c r="J366" s="12" t="s">
        <v>731</v>
      </c>
      <c r="K366" s="12" t="s">
        <v>1316</v>
      </c>
      <c r="L366" s="6">
        <v>643.21</v>
      </c>
      <c r="M366" s="6">
        <v>1112.81</v>
      </c>
      <c r="N366" s="6">
        <v>0.14099999999999999</v>
      </c>
      <c r="O366" s="6">
        <v>4</v>
      </c>
    </row>
    <row r="367" spans="1:15" x14ac:dyDescent="0.25">
      <c r="A367" s="12" t="s">
        <v>509</v>
      </c>
      <c r="B367" s="4">
        <v>45508</v>
      </c>
      <c r="C367" s="4">
        <v>45521</v>
      </c>
      <c r="D367" s="12" t="s">
        <v>648</v>
      </c>
      <c r="E367" s="12" t="s">
        <v>660</v>
      </c>
      <c r="F367" s="12" t="s">
        <v>697</v>
      </c>
      <c r="G367" s="12" t="s">
        <v>704</v>
      </c>
      <c r="H367" s="12" t="s">
        <v>707</v>
      </c>
      <c r="I367" s="12" t="s">
        <v>726</v>
      </c>
      <c r="J367" s="12" t="s">
        <v>732</v>
      </c>
      <c r="K367" s="12" t="s">
        <v>1228</v>
      </c>
      <c r="L367" s="6">
        <v>352.79</v>
      </c>
      <c r="M367" s="6">
        <v>754.22</v>
      </c>
      <c r="N367" s="6">
        <v>0.113</v>
      </c>
      <c r="O367" s="6">
        <v>7</v>
      </c>
    </row>
    <row r="368" spans="1:15" x14ac:dyDescent="0.25">
      <c r="A368" s="12" t="s">
        <v>170</v>
      </c>
      <c r="B368" s="4">
        <v>45511</v>
      </c>
      <c r="C368" s="4">
        <v>45521</v>
      </c>
      <c r="D368" s="12" t="s">
        <v>647</v>
      </c>
      <c r="E368" s="12" t="s">
        <v>652</v>
      </c>
      <c r="F368" s="12" t="s">
        <v>666</v>
      </c>
      <c r="G368" s="12" t="s">
        <v>704</v>
      </c>
      <c r="H368" s="12" t="s">
        <v>708</v>
      </c>
      <c r="I368" s="12" t="s">
        <v>723</v>
      </c>
      <c r="J368" s="12" t="s">
        <v>729</v>
      </c>
      <c r="K368" s="12" t="s">
        <v>889</v>
      </c>
      <c r="L368" s="6">
        <v>436.58</v>
      </c>
      <c r="M368" s="6">
        <v>527.48</v>
      </c>
      <c r="N368" s="6">
        <v>0.111</v>
      </c>
      <c r="O368" s="6">
        <v>19</v>
      </c>
    </row>
    <row r="369" spans="1:15" x14ac:dyDescent="0.25">
      <c r="A369" s="12" t="s">
        <v>367</v>
      </c>
      <c r="B369" s="4">
        <v>45512</v>
      </c>
      <c r="C369" s="4">
        <v>45524</v>
      </c>
      <c r="D369" s="12" t="s">
        <v>647</v>
      </c>
      <c r="E369" s="12" t="s">
        <v>652</v>
      </c>
      <c r="F369" s="12" t="s">
        <v>666</v>
      </c>
      <c r="G369" s="12" t="s">
        <v>705</v>
      </c>
      <c r="H369" s="12" t="s">
        <v>707</v>
      </c>
      <c r="I369" s="12" t="s">
        <v>722</v>
      </c>
      <c r="J369" s="12" t="s">
        <v>729</v>
      </c>
      <c r="K369" s="12" t="s">
        <v>1087</v>
      </c>
      <c r="L369" s="6">
        <v>1233.3599999999999</v>
      </c>
      <c r="M369" s="6">
        <v>2120.4</v>
      </c>
      <c r="N369" s="6">
        <v>0.17899999999999999</v>
      </c>
      <c r="O369" s="6">
        <v>20</v>
      </c>
    </row>
    <row r="370" spans="1:15" x14ac:dyDescent="0.25">
      <c r="A370" s="12" t="s">
        <v>405</v>
      </c>
      <c r="B370" s="4">
        <v>45514</v>
      </c>
      <c r="C370" s="4">
        <v>45542</v>
      </c>
      <c r="D370" s="12" t="s">
        <v>649</v>
      </c>
      <c r="E370" s="12" t="s">
        <v>657</v>
      </c>
      <c r="F370" s="12" t="s">
        <v>673</v>
      </c>
      <c r="G370" s="12" t="s">
        <v>703</v>
      </c>
      <c r="H370" s="12" t="s">
        <v>711</v>
      </c>
      <c r="I370" s="12" t="s">
        <v>721</v>
      </c>
      <c r="J370" s="12" t="s">
        <v>728</v>
      </c>
      <c r="K370" s="12" t="s">
        <v>1124</v>
      </c>
      <c r="L370" s="6">
        <v>229.96</v>
      </c>
      <c r="M370" s="6">
        <v>564.26</v>
      </c>
      <c r="N370" s="6">
        <v>0.105</v>
      </c>
      <c r="O370" s="6">
        <v>5</v>
      </c>
    </row>
    <row r="371" spans="1:15" x14ac:dyDescent="0.25">
      <c r="A371" s="12" t="s">
        <v>206</v>
      </c>
      <c r="B371" s="4">
        <v>45516</v>
      </c>
      <c r="C371" s="4">
        <v>45538</v>
      </c>
      <c r="D371" s="12" t="s">
        <v>648</v>
      </c>
      <c r="E371" s="12" t="s">
        <v>660</v>
      </c>
      <c r="F371" s="12" t="s">
        <v>697</v>
      </c>
      <c r="G371" s="12" t="s">
        <v>704</v>
      </c>
      <c r="H371" s="12" t="s">
        <v>710</v>
      </c>
      <c r="I371" s="12" t="s">
        <v>714</v>
      </c>
      <c r="J371" s="12" t="s">
        <v>731</v>
      </c>
      <c r="K371" s="12" t="s">
        <v>926</v>
      </c>
      <c r="L371" s="6">
        <v>797.8</v>
      </c>
      <c r="M371" s="6">
        <v>886.22</v>
      </c>
      <c r="N371" s="6">
        <v>0.23599999999999999</v>
      </c>
      <c r="O371" s="6">
        <v>36</v>
      </c>
    </row>
    <row r="372" spans="1:15" x14ac:dyDescent="0.25">
      <c r="A372" s="12" t="s">
        <v>415</v>
      </c>
      <c r="B372" s="4">
        <v>45516</v>
      </c>
      <c r="C372" s="4">
        <v>45519</v>
      </c>
      <c r="D372" s="12" t="s">
        <v>648</v>
      </c>
      <c r="E372" s="12" t="s">
        <v>660</v>
      </c>
      <c r="F372" s="12" t="s">
        <v>677</v>
      </c>
      <c r="G372" s="12" t="s">
        <v>701</v>
      </c>
      <c r="H372" s="12" t="s">
        <v>709</v>
      </c>
      <c r="I372" s="12" t="s">
        <v>726</v>
      </c>
      <c r="J372" s="12" t="s">
        <v>728</v>
      </c>
      <c r="K372" s="12" t="s">
        <v>1134</v>
      </c>
      <c r="L372" s="6">
        <v>850.7</v>
      </c>
      <c r="M372" s="6">
        <v>1118.56</v>
      </c>
      <c r="N372" s="6">
        <v>0.18</v>
      </c>
      <c r="O372" s="6">
        <v>19</v>
      </c>
    </row>
    <row r="373" spans="1:15" x14ac:dyDescent="0.25">
      <c r="A373" s="12" t="s">
        <v>122</v>
      </c>
      <c r="B373" s="4">
        <v>45518</v>
      </c>
      <c r="C373" s="4">
        <v>45539</v>
      </c>
      <c r="D373" s="12" t="s">
        <v>649</v>
      </c>
      <c r="E373" s="12" t="s">
        <v>658</v>
      </c>
      <c r="F373" s="12" t="s">
        <v>693</v>
      </c>
      <c r="G373" s="12" t="s">
        <v>703</v>
      </c>
      <c r="H373" s="12" t="s">
        <v>708</v>
      </c>
      <c r="I373" s="12" t="s">
        <v>713</v>
      </c>
      <c r="J373" s="12" t="s">
        <v>730</v>
      </c>
      <c r="K373" s="12" t="s">
        <v>841</v>
      </c>
      <c r="L373" s="6">
        <v>1138.8</v>
      </c>
      <c r="M373" s="6">
        <v>2250.81</v>
      </c>
      <c r="N373" s="6">
        <v>0.123</v>
      </c>
      <c r="O373" s="6">
        <v>12</v>
      </c>
    </row>
    <row r="374" spans="1:15" x14ac:dyDescent="0.25">
      <c r="A374" s="12" t="s">
        <v>551</v>
      </c>
      <c r="B374" s="4">
        <v>45520</v>
      </c>
      <c r="C374" s="4">
        <v>45530</v>
      </c>
      <c r="D374" s="12" t="s">
        <v>648</v>
      </c>
      <c r="E374" s="12" t="s">
        <v>660</v>
      </c>
      <c r="F374" s="12" t="s">
        <v>677</v>
      </c>
      <c r="G374" s="12" t="s">
        <v>701</v>
      </c>
      <c r="H374" s="12" t="s">
        <v>710</v>
      </c>
      <c r="I374" s="12" t="s">
        <v>716</v>
      </c>
      <c r="J374" s="12" t="s">
        <v>731</v>
      </c>
      <c r="K374" s="12" t="s">
        <v>1121</v>
      </c>
      <c r="L374" s="6">
        <v>1291.7</v>
      </c>
      <c r="M374" s="6">
        <v>2657.84</v>
      </c>
      <c r="N374" s="6">
        <v>8.6999999999999994E-2</v>
      </c>
      <c r="O374" s="6">
        <v>21</v>
      </c>
    </row>
    <row r="375" spans="1:15" x14ac:dyDescent="0.25">
      <c r="A375" s="12" t="s">
        <v>613</v>
      </c>
      <c r="B375" s="4">
        <v>45521</v>
      </c>
      <c r="C375" s="4">
        <v>45519</v>
      </c>
      <c r="D375" s="12" t="s">
        <v>648</v>
      </c>
      <c r="E375" s="12" t="s">
        <v>655</v>
      </c>
      <c r="F375" s="12" t="s">
        <v>692</v>
      </c>
      <c r="G375" s="12" t="s">
        <v>704</v>
      </c>
      <c r="H375" s="12" t="s">
        <v>711</v>
      </c>
      <c r="I375" s="12" t="s">
        <v>724</v>
      </c>
      <c r="J375" s="12" t="s">
        <v>732</v>
      </c>
      <c r="K375" s="12" t="s">
        <v>1331</v>
      </c>
      <c r="L375" s="6">
        <v>165.3</v>
      </c>
      <c r="M375" s="6">
        <v>275.07</v>
      </c>
      <c r="N375" s="6">
        <v>0.13300000000000001</v>
      </c>
      <c r="O375" s="6">
        <v>25</v>
      </c>
    </row>
    <row r="376" spans="1:15" x14ac:dyDescent="0.25">
      <c r="A376" s="12" t="s">
        <v>441</v>
      </c>
      <c r="B376" s="4">
        <v>45522</v>
      </c>
      <c r="C376" s="4">
        <v>45547</v>
      </c>
      <c r="D376" s="12" t="s">
        <v>647</v>
      </c>
      <c r="E376" s="12" t="s">
        <v>654</v>
      </c>
      <c r="F376" s="12" t="s">
        <v>691</v>
      </c>
      <c r="G376" s="12" t="s">
        <v>704</v>
      </c>
      <c r="H376" s="12" t="s">
        <v>709</v>
      </c>
      <c r="I376" s="12" t="s">
        <v>712</v>
      </c>
      <c r="J376" s="12" t="s">
        <v>730</v>
      </c>
      <c r="K376" s="12" t="s">
        <v>1160</v>
      </c>
      <c r="L376" s="6">
        <v>1154.03</v>
      </c>
      <c r="M376" s="6">
        <v>1590.36</v>
      </c>
      <c r="N376" s="6">
        <v>0.314</v>
      </c>
      <c r="O376" s="6">
        <v>18</v>
      </c>
    </row>
    <row r="377" spans="1:15" x14ac:dyDescent="0.25">
      <c r="A377" s="12" t="s">
        <v>505</v>
      </c>
      <c r="B377" s="4">
        <v>45523</v>
      </c>
      <c r="C377" s="4">
        <v>45542</v>
      </c>
      <c r="D377" s="12" t="s">
        <v>649</v>
      </c>
      <c r="E377" s="12" t="s">
        <v>657</v>
      </c>
      <c r="F377" s="12" t="s">
        <v>679</v>
      </c>
      <c r="G377" s="12" t="s">
        <v>701</v>
      </c>
      <c r="H377" s="12" t="s">
        <v>711</v>
      </c>
      <c r="I377" s="12" t="s">
        <v>713</v>
      </c>
      <c r="J377" s="12" t="s">
        <v>727</v>
      </c>
      <c r="K377" s="12" t="s">
        <v>1224</v>
      </c>
      <c r="L377" s="6">
        <v>297.58999999999997</v>
      </c>
      <c r="M377" s="6">
        <v>666.41</v>
      </c>
      <c r="N377" s="6">
        <v>0</v>
      </c>
      <c r="O377" s="6">
        <v>10</v>
      </c>
    </row>
    <row r="378" spans="1:15" x14ac:dyDescent="0.25">
      <c r="A378" s="12" t="s">
        <v>615</v>
      </c>
      <c r="B378" s="4">
        <v>45523</v>
      </c>
      <c r="C378" s="4">
        <v>45537</v>
      </c>
      <c r="D378" s="12" t="s">
        <v>648</v>
      </c>
      <c r="E378" s="12" t="s">
        <v>653</v>
      </c>
      <c r="F378" s="12" t="s">
        <v>667</v>
      </c>
      <c r="G378" s="12" t="s">
        <v>704</v>
      </c>
      <c r="H378" s="12" t="s">
        <v>710</v>
      </c>
      <c r="I378" s="12" t="s">
        <v>712</v>
      </c>
      <c r="J378" s="12" t="s">
        <v>728</v>
      </c>
      <c r="K378" s="12" t="s">
        <v>1333</v>
      </c>
      <c r="L378" s="6">
        <v>1337.01</v>
      </c>
      <c r="M378" s="6">
        <v>1269.78</v>
      </c>
      <c r="N378" s="6">
        <v>0.16</v>
      </c>
      <c r="O378" s="6">
        <v>7</v>
      </c>
    </row>
    <row r="379" spans="1:15" x14ac:dyDescent="0.25">
      <c r="A379" s="12" t="s">
        <v>457</v>
      </c>
      <c r="B379" s="4">
        <v>45526</v>
      </c>
      <c r="C379" s="4">
        <v>45539</v>
      </c>
      <c r="D379" s="12" t="s">
        <v>649</v>
      </c>
      <c r="E379" s="12" t="s">
        <v>656</v>
      </c>
      <c r="F379" s="12" t="s">
        <v>698</v>
      </c>
      <c r="G379" s="12" t="s">
        <v>703</v>
      </c>
      <c r="H379" s="12" t="s">
        <v>707</v>
      </c>
      <c r="I379" s="12" t="s">
        <v>716</v>
      </c>
      <c r="J379" s="12" t="s">
        <v>728</v>
      </c>
      <c r="K379" s="12" t="s">
        <v>1176</v>
      </c>
      <c r="L379" s="6">
        <v>90.04</v>
      </c>
      <c r="M379" s="6">
        <v>194.62</v>
      </c>
      <c r="N379" s="6">
        <v>4.2999999999999997E-2</v>
      </c>
      <c r="O379" s="6">
        <v>32</v>
      </c>
    </row>
    <row r="380" spans="1:15" x14ac:dyDescent="0.25">
      <c r="A380" s="12" t="s">
        <v>49</v>
      </c>
      <c r="B380" s="4">
        <v>45527</v>
      </c>
      <c r="C380" s="4">
        <v>45525</v>
      </c>
      <c r="D380" s="12" t="s">
        <v>646</v>
      </c>
      <c r="E380" s="12" t="s">
        <v>661</v>
      </c>
      <c r="F380" s="12" t="s">
        <v>682</v>
      </c>
      <c r="G380" s="12" t="s">
        <v>702</v>
      </c>
      <c r="H380" s="12" t="s">
        <v>707</v>
      </c>
      <c r="I380" s="12" t="s">
        <v>718</v>
      </c>
      <c r="J380" s="12" t="s">
        <v>727</v>
      </c>
      <c r="K380" s="12" t="s">
        <v>768</v>
      </c>
      <c r="L380" s="6">
        <v>1432.52</v>
      </c>
      <c r="M380" s="6">
        <v>3036.87</v>
      </c>
      <c r="N380" s="6">
        <v>0</v>
      </c>
      <c r="O380" s="6">
        <v>9</v>
      </c>
    </row>
    <row r="381" spans="1:15" x14ac:dyDescent="0.25">
      <c r="A381" s="12" t="s">
        <v>55</v>
      </c>
      <c r="B381" s="4">
        <v>45531</v>
      </c>
      <c r="C381" s="4">
        <v>45554</v>
      </c>
      <c r="D381" s="12" t="s">
        <v>649</v>
      </c>
      <c r="E381" s="12" t="s">
        <v>656</v>
      </c>
      <c r="F381" s="12" t="s">
        <v>671</v>
      </c>
      <c r="G381" s="12" t="s">
        <v>705</v>
      </c>
      <c r="H381" s="12" t="s">
        <v>711</v>
      </c>
      <c r="I381" s="12" t="s">
        <v>726</v>
      </c>
      <c r="J381" s="12" t="s">
        <v>732</v>
      </c>
      <c r="K381" s="12" t="s">
        <v>774</v>
      </c>
      <c r="L381" s="6">
        <v>1024.01</v>
      </c>
      <c r="M381" s="6">
        <v>1580.97</v>
      </c>
      <c r="N381" s="6">
        <v>3.6999999999999998E-2</v>
      </c>
      <c r="O381" s="6">
        <v>27</v>
      </c>
    </row>
    <row r="382" spans="1:15" x14ac:dyDescent="0.25">
      <c r="A382" s="12" t="s">
        <v>172</v>
      </c>
      <c r="B382" s="4">
        <v>45531</v>
      </c>
      <c r="C382" s="4">
        <v>45553</v>
      </c>
      <c r="D382" s="12" t="s">
        <v>647</v>
      </c>
      <c r="E382" s="12" t="s">
        <v>654</v>
      </c>
      <c r="F382" s="12" t="s">
        <v>680</v>
      </c>
      <c r="G382" s="12" t="s">
        <v>704</v>
      </c>
      <c r="H382" s="12" t="s">
        <v>711</v>
      </c>
      <c r="I382" s="12" t="s">
        <v>717</v>
      </c>
      <c r="J382" s="12" t="s">
        <v>727</v>
      </c>
      <c r="K382" s="12" t="s">
        <v>891</v>
      </c>
      <c r="L382" s="6">
        <v>896.75</v>
      </c>
      <c r="M382" s="6">
        <v>1651.14</v>
      </c>
      <c r="N382" s="6">
        <v>2.5000000000000001E-2</v>
      </c>
      <c r="O382" s="6">
        <v>15</v>
      </c>
    </row>
    <row r="383" spans="1:15" x14ac:dyDescent="0.25">
      <c r="A383" s="12" t="s">
        <v>91</v>
      </c>
      <c r="B383" s="4">
        <v>45532</v>
      </c>
      <c r="C383" s="4">
        <v>45560</v>
      </c>
      <c r="D383" s="12" t="s">
        <v>648</v>
      </c>
      <c r="E383" s="12" t="s">
        <v>655</v>
      </c>
      <c r="F383" s="12" t="s">
        <v>692</v>
      </c>
      <c r="G383" s="12" t="s">
        <v>703</v>
      </c>
      <c r="H383" s="12" t="s">
        <v>708</v>
      </c>
      <c r="I383" s="14" t="s">
        <v>1368</v>
      </c>
      <c r="J383" s="12" t="s">
        <v>733</v>
      </c>
      <c r="K383" s="12" t="s">
        <v>810</v>
      </c>
      <c r="L383" s="6">
        <v>1394.65</v>
      </c>
      <c r="M383" s="6">
        <v>3144.1</v>
      </c>
      <c r="N383" s="6">
        <v>0.13400000000000001</v>
      </c>
      <c r="O383" s="6">
        <v>13</v>
      </c>
    </row>
    <row r="384" spans="1:15" x14ac:dyDescent="0.25">
      <c r="A384" s="12" t="s">
        <v>424</v>
      </c>
      <c r="B384" s="4">
        <v>45534</v>
      </c>
      <c r="C384" s="4">
        <v>45540</v>
      </c>
      <c r="D384" s="12" t="s">
        <v>647</v>
      </c>
      <c r="E384" s="12" t="s">
        <v>652</v>
      </c>
      <c r="F384" s="12" t="s">
        <v>694</v>
      </c>
      <c r="G384" s="12" t="s">
        <v>702</v>
      </c>
      <c r="H384" s="12" t="s">
        <v>708</v>
      </c>
      <c r="I384" s="12" t="s">
        <v>725</v>
      </c>
      <c r="J384" s="12" t="s">
        <v>731</v>
      </c>
      <c r="K384" s="12" t="s">
        <v>1143</v>
      </c>
      <c r="L384" s="6">
        <v>466.16</v>
      </c>
      <c r="M384" s="6">
        <v>876.81</v>
      </c>
      <c r="N384" s="6">
        <v>0.24099999999999999</v>
      </c>
      <c r="O384" s="6">
        <v>8</v>
      </c>
    </row>
    <row r="385" spans="1:15" x14ac:dyDescent="0.25">
      <c r="A385" s="12" t="s">
        <v>569</v>
      </c>
      <c r="B385" s="4">
        <v>45535</v>
      </c>
      <c r="C385" s="4">
        <v>45561</v>
      </c>
      <c r="D385" s="12" t="s">
        <v>647</v>
      </c>
      <c r="E385" s="12" t="s">
        <v>652</v>
      </c>
      <c r="F385" s="12" t="s">
        <v>689</v>
      </c>
      <c r="G385" s="12" t="s">
        <v>702</v>
      </c>
      <c r="H385" s="12" t="s">
        <v>708</v>
      </c>
      <c r="I385" s="12" t="s">
        <v>714</v>
      </c>
      <c r="J385" s="12" t="s">
        <v>730</v>
      </c>
      <c r="K385" s="12" t="s">
        <v>1287</v>
      </c>
      <c r="L385" s="6">
        <v>1189.03</v>
      </c>
      <c r="M385" s="6">
        <v>2949.62</v>
      </c>
      <c r="N385" s="6">
        <v>0.125</v>
      </c>
      <c r="O385" s="6">
        <v>13</v>
      </c>
    </row>
    <row r="386" spans="1:15" x14ac:dyDescent="0.25">
      <c r="A386" s="12" t="s">
        <v>264</v>
      </c>
      <c r="B386" s="4">
        <v>45537</v>
      </c>
      <c r="C386" s="4">
        <v>45543</v>
      </c>
      <c r="D386" s="12" t="s">
        <v>648</v>
      </c>
      <c r="E386" s="12" t="s">
        <v>660</v>
      </c>
      <c r="F386" s="12" t="s">
        <v>697</v>
      </c>
      <c r="G386" s="12" t="s">
        <v>704</v>
      </c>
      <c r="H386" s="12" t="s">
        <v>711</v>
      </c>
      <c r="I386" s="12" t="s">
        <v>722</v>
      </c>
      <c r="J386" s="12" t="s">
        <v>727</v>
      </c>
      <c r="K386" s="12" t="s">
        <v>984</v>
      </c>
      <c r="L386" s="6">
        <v>462.94</v>
      </c>
      <c r="M386" s="6">
        <v>1015.7</v>
      </c>
      <c r="N386" s="6">
        <v>0.14299999999999999</v>
      </c>
      <c r="O386" s="6">
        <v>14</v>
      </c>
    </row>
    <row r="387" spans="1:15" x14ac:dyDescent="0.25">
      <c r="A387" s="12" t="s">
        <v>246</v>
      </c>
      <c r="B387" s="4">
        <v>45538</v>
      </c>
      <c r="C387" s="4">
        <v>45543</v>
      </c>
      <c r="D387" s="12" t="s">
        <v>646</v>
      </c>
      <c r="E387" s="12" t="s">
        <v>651</v>
      </c>
      <c r="F387" s="12" t="s">
        <v>665</v>
      </c>
      <c r="G387" s="12" t="s">
        <v>705</v>
      </c>
      <c r="H387" s="12" t="s">
        <v>711</v>
      </c>
      <c r="I387" s="12" t="s">
        <v>723</v>
      </c>
      <c r="J387" s="12" t="s">
        <v>728</v>
      </c>
      <c r="K387" s="12" t="s">
        <v>966</v>
      </c>
      <c r="L387" s="6">
        <v>197.63</v>
      </c>
      <c r="M387" s="6">
        <v>325.79000000000002</v>
      </c>
      <c r="N387" s="6">
        <v>0.11600000000000001</v>
      </c>
      <c r="O387" s="6">
        <v>10</v>
      </c>
    </row>
    <row r="388" spans="1:15" x14ac:dyDescent="0.25">
      <c r="A388" s="12" t="s">
        <v>495</v>
      </c>
      <c r="B388" s="4">
        <v>45538</v>
      </c>
      <c r="C388" s="4">
        <v>45542</v>
      </c>
      <c r="D388" s="12" t="s">
        <v>647</v>
      </c>
      <c r="E388" s="12" t="s">
        <v>652</v>
      </c>
      <c r="F388" s="12" t="s">
        <v>689</v>
      </c>
      <c r="G388" s="12" t="s">
        <v>705</v>
      </c>
      <c r="H388" s="12" t="s">
        <v>710</v>
      </c>
      <c r="I388" s="12" t="s">
        <v>725</v>
      </c>
      <c r="J388" s="12" t="s">
        <v>728</v>
      </c>
      <c r="K388" s="12" t="s">
        <v>1214</v>
      </c>
      <c r="L388" s="6">
        <v>43.23</v>
      </c>
      <c r="M388" s="6">
        <v>94.78</v>
      </c>
      <c r="N388" s="6">
        <v>9.0999999999999998E-2</v>
      </c>
      <c r="O388" s="6">
        <v>55</v>
      </c>
    </row>
    <row r="389" spans="1:15" x14ac:dyDescent="0.25">
      <c r="A389" s="12" t="s">
        <v>247</v>
      </c>
      <c r="B389" s="4">
        <v>45540</v>
      </c>
      <c r="C389" s="4">
        <v>45560</v>
      </c>
      <c r="D389" s="12" t="s">
        <v>647</v>
      </c>
      <c r="E389" s="12" t="s">
        <v>652</v>
      </c>
      <c r="F389" s="12" t="s">
        <v>666</v>
      </c>
      <c r="G389" s="12" t="s">
        <v>706</v>
      </c>
      <c r="H389" s="12" t="s">
        <v>710</v>
      </c>
      <c r="I389" s="12" t="s">
        <v>726</v>
      </c>
      <c r="J389" s="12" t="s">
        <v>732</v>
      </c>
      <c r="K389" s="12" t="s">
        <v>967</v>
      </c>
      <c r="L389" s="6">
        <v>195.54</v>
      </c>
      <c r="M389" s="6">
        <v>405.97</v>
      </c>
      <c r="N389" s="6">
        <v>0.187</v>
      </c>
      <c r="O389" s="6">
        <v>16</v>
      </c>
    </row>
    <row r="390" spans="1:15" x14ac:dyDescent="0.25">
      <c r="A390" s="12" t="s">
        <v>413</v>
      </c>
      <c r="B390" s="4">
        <v>45541</v>
      </c>
      <c r="C390" s="4">
        <v>45569</v>
      </c>
      <c r="D390" s="12" t="s">
        <v>646</v>
      </c>
      <c r="E390" s="12" t="s">
        <v>661</v>
      </c>
      <c r="F390" s="12" t="s">
        <v>695</v>
      </c>
      <c r="G390" s="12" t="s">
        <v>701</v>
      </c>
      <c r="H390" s="12" t="s">
        <v>709</v>
      </c>
      <c r="I390" s="12" t="s">
        <v>726</v>
      </c>
      <c r="J390" s="12" t="s">
        <v>732</v>
      </c>
      <c r="K390" s="12" t="s">
        <v>1132</v>
      </c>
      <c r="L390" s="6">
        <v>1174.17</v>
      </c>
      <c r="M390" s="6">
        <v>1641.61</v>
      </c>
      <c r="N390" s="6">
        <v>0.122</v>
      </c>
      <c r="O390" s="6">
        <v>9</v>
      </c>
    </row>
    <row r="391" spans="1:15" x14ac:dyDescent="0.25">
      <c r="A391" s="12" t="s">
        <v>597</v>
      </c>
      <c r="B391" s="4">
        <v>45541</v>
      </c>
      <c r="C391" s="4">
        <v>45539</v>
      </c>
      <c r="D391" s="12" t="s">
        <v>647</v>
      </c>
      <c r="E391" s="12" t="s">
        <v>652</v>
      </c>
      <c r="F391" s="12" t="s">
        <v>666</v>
      </c>
      <c r="G391" s="12" t="s">
        <v>701</v>
      </c>
      <c r="H391" s="12" t="s">
        <v>711</v>
      </c>
      <c r="I391" s="12" t="s">
        <v>720</v>
      </c>
      <c r="J391" s="12" t="s">
        <v>731</v>
      </c>
      <c r="K391" s="12" t="s">
        <v>1315</v>
      </c>
      <c r="L391" s="6">
        <v>1368.17</v>
      </c>
      <c r="M391" s="6">
        <v>2307.75</v>
      </c>
      <c r="N391" s="6">
        <v>0.16300000000000001</v>
      </c>
      <c r="O391" s="6">
        <v>21</v>
      </c>
    </row>
    <row r="392" spans="1:15" x14ac:dyDescent="0.25">
      <c r="A392" s="12" t="s">
        <v>301</v>
      </c>
      <c r="B392" s="4">
        <v>45542</v>
      </c>
      <c r="C392" s="4">
        <v>45542</v>
      </c>
      <c r="D392" s="12" t="s">
        <v>647</v>
      </c>
      <c r="E392" s="12" t="s">
        <v>654</v>
      </c>
      <c r="F392" s="12" t="s">
        <v>691</v>
      </c>
      <c r="G392" s="12" t="s">
        <v>702</v>
      </c>
      <c r="H392" s="12" t="s">
        <v>710</v>
      </c>
      <c r="I392" s="12" t="s">
        <v>717</v>
      </c>
      <c r="J392" s="12" t="s">
        <v>729</v>
      </c>
      <c r="K392" s="12" t="s">
        <v>1021</v>
      </c>
      <c r="L392" s="6">
        <v>1066.6500000000001</v>
      </c>
      <c r="M392" s="6">
        <v>2569.77</v>
      </c>
      <c r="N392" s="6">
        <v>0.13400000000000001</v>
      </c>
      <c r="O392" s="6">
        <v>9</v>
      </c>
    </row>
    <row r="393" spans="1:15" x14ac:dyDescent="0.25">
      <c r="A393" s="12" t="s">
        <v>448</v>
      </c>
      <c r="B393" s="4">
        <v>45542</v>
      </c>
      <c r="C393" s="4">
        <v>45553</v>
      </c>
      <c r="D393" s="12" t="s">
        <v>647</v>
      </c>
      <c r="E393" s="12" t="s">
        <v>659</v>
      </c>
      <c r="F393" s="12" t="s">
        <v>699</v>
      </c>
      <c r="G393" s="12" t="s">
        <v>704</v>
      </c>
      <c r="H393" s="12" t="s">
        <v>710</v>
      </c>
      <c r="I393" s="12" t="s">
        <v>719</v>
      </c>
      <c r="J393" s="12" t="s">
        <v>729</v>
      </c>
      <c r="K393" s="12" t="s">
        <v>1167</v>
      </c>
      <c r="L393" s="6">
        <v>181.74</v>
      </c>
      <c r="M393" s="6">
        <v>190.84</v>
      </c>
      <c r="N393" s="6">
        <v>0.214</v>
      </c>
      <c r="O393" s="6">
        <v>13</v>
      </c>
    </row>
    <row r="394" spans="1:15" x14ac:dyDescent="0.25">
      <c r="A394" s="12" t="s">
        <v>226</v>
      </c>
      <c r="B394" s="4">
        <v>45544</v>
      </c>
      <c r="C394" s="4">
        <v>45566</v>
      </c>
      <c r="D394" s="12" t="s">
        <v>647</v>
      </c>
      <c r="E394" s="12" t="s">
        <v>659</v>
      </c>
      <c r="F394" s="12" t="s">
        <v>676</v>
      </c>
      <c r="G394" s="12" t="s">
        <v>704</v>
      </c>
      <c r="H394" s="12" t="s">
        <v>711</v>
      </c>
      <c r="I394" s="12" t="s">
        <v>716</v>
      </c>
      <c r="J394" s="12" t="s">
        <v>728</v>
      </c>
      <c r="K394" s="12" t="s">
        <v>946</v>
      </c>
      <c r="L394" s="6">
        <v>1166.18</v>
      </c>
      <c r="M394" s="6">
        <v>1335.02</v>
      </c>
      <c r="N394" s="6">
        <v>0.128</v>
      </c>
      <c r="O394" s="6">
        <v>6</v>
      </c>
    </row>
    <row r="395" spans="1:15" x14ac:dyDescent="0.25">
      <c r="A395" s="12" t="s">
        <v>338</v>
      </c>
      <c r="B395" s="4">
        <v>45544</v>
      </c>
      <c r="C395" s="4">
        <v>45573</v>
      </c>
      <c r="D395" s="12" t="s">
        <v>648</v>
      </c>
      <c r="E395" s="12" t="s">
        <v>655</v>
      </c>
      <c r="F395" s="12" t="s">
        <v>670</v>
      </c>
      <c r="G395" s="12" t="s">
        <v>702</v>
      </c>
      <c r="H395" s="12" t="s">
        <v>711</v>
      </c>
      <c r="I395" s="12" t="s">
        <v>713</v>
      </c>
      <c r="J395" s="12" t="s">
        <v>727</v>
      </c>
      <c r="K395" s="12" t="s">
        <v>1058</v>
      </c>
      <c r="L395" s="6">
        <v>1010.33</v>
      </c>
      <c r="M395" s="6">
        <v>2492.14</v>
      </c>
      <c r="N395" s="6">
        <v>5.0999999999999997E-2</v>
      </c>
      <c r="O395" s="6">
        <v>11</v>
      </c>
    </row>
    <row r="396" spans="1:15" x14ac:dyDescent="0.25">
      <c r="A396" s="12" t="s">
        <v>511</v>
      </c>
      <c r="B396" s="4">
        <v>45544</v>
      </c>
      <c r="C396" s="4">
        <v>45548</v>
      </c>
      <c r="D396" s="12" t="s">
        <v>649</v>
      </c>
      <c r="E396" s="12" t="s">
        <v>658</v>
      </c>
      <c r="F396" s="12" t="s">
        <v>683</v>
      </c>
      <c r="G396" s="12" t="s">
        <v>704</v>
      </c>
      <c r="H396" s="12" t="s">
        <v>709</v>
      </c>
      <c r="I396" s="12" t="s">
        <v>721</v>
      </c>
      <c r="J396" s="12" t="s">
        <v>729</v>
      </c>
      <c r="K396" s="12" t="s">
        <v>1230</v>
      </c>
      <c r="L396" s="6">
        <v>1133.08</v>
      </c>
      <c r="M396" s="6">
        <v>976.17</v>
      </c>
      <c r="N396" s="6">
        <v>4.2000000000000003E-2</v>
      </c>
      <c r="O396" s="6">
        <v>27</v>
      </c>
    </row>
    <row r="397" spans="1:15" x14ac:dyDescent="0.25">
      <c r="A397" s="12" t="s">
        <v>222</v>
      </c>
      <c r="B397" s="4">
        <v>45545</v>
      </c>
      <c r="C397" s="4">
        <v>45572</v>
      </c>
      <c r="D397" s="12" t="s">
        <v>646</v>
      </c>
      <c r="E397" s="12" t="s">
        <v>650</v>
      </c>
      <c r="F397" s="12" t="s">
        <v>662</v>
      </c>
      <c r="G397" s="12" t="s">
        <v>704</v>
      </c>
      <c r="H397" s="12" t="s">
        <v>707</v>
      </c>
      <c r="I397" s="12" t="s">
        <v>716</v>
      </c>
      <c r="J397" s="12" t="s">
        <v>728</v>
      </c>
      <c r="K397" s="12" t="s">
        <v>942</v>
      </c>
      <c r="L397" s="6">
        <v>1248.3900000000001</v>
      </c>
      <c r="M397" s="6">
        <v>1805.11</v>
      </c>
      <c r="N397" s="6">
        <v>0.20300000000000001</v>
      </c>
      <c r="O397" s="6">
        <v>11</v>
      </c>
    </row>
    <row r="398" spans="1:15" x14ac:dyDescent="0.25">
      <c r="A398" s="12" t="s">
        <v>250</v>
      </c>
      <c r="B398" s="4">
        <v>45548</v>
      </c>
      <c r="C398" s="4">
        <v>45567</v>
      </c>
      <c r="D398" s="12" t="s">
        <v>646</v>
      </c>
      <c r="E398" s="12" t="s">
        <v>650</v>
      </c>
      <c r="F398" s="12" t="s">
        <v>675</v>
      </c>
      <c r="G398" s="12" t="s">
        <v>705</v>
      </c>
      <c r="H398" s="12" t="s">
        <v>707</v>
      </c>
      <c r="I398" s="12" t="s">
        <v>724</v>
      </c>
      <c r="J398" s="12" t="s">
        <v>730</v>
      </c>
      <c r="K398" s="12" t="s">
        <v>970</v>
      </c>
      <c r="L398" s="6">
        <v>1338.99</v>
      </c>
      <c r="M398" s="6">
        <v>1765.76</v>
      </c>
      <c r="N398" s="6">
        <v>0.126</v>
      </c>
      <c r="O398" s="6">
        <v>24</v>
      </c>
    </row>
    <row r="399" spans="1:15" x14ac:dyDescent="0.25">
      <c r="A399" s="12" t="s">
        <v>119</v>
      </c>
      <c r="B399" s="4">
        <v>45549</v>
      </c>
      <c r="C399" s="4">
        <v>45570</v>
      </c>
      <c r="D399" s="12" t="s">
        <v>647</v>
      </c>
      <c r="E399" s="12" t="s">
        <v>659</v>
      </c>
      <c r="F399" s="12" t="s">
        <v>685</v>
      </c>
      <c r="G399" s="12" t="s">
        <v>705</v>
      </c>
      <c r="H399" s="12" t="s">
        <v>708</v>
      </c>
      <c r="I399" s="12" t="s">
        <v>722</v>
      </c>
      <c r="J399" s="12" t="s">
        <v>731</v>
      </c>
      <c r="K399" s="12" t="s">
        <v>838</v>
      </c>
      <c r="L399" s="6">
        <v>1405.56</v>
      </c>
      <c r="M399" s="6">
        <v>2968.87</v>
      </c>
      <c r="N399" s="6">
        <v>0.16900000000000001</v>
      </c>
      <c r="O399" s="6">
        <v>5</v>
      </c>
    </row>
    <row r="400" spans="1:15" x14ac:dyDescent="0.25">
      <c r="A400" s="12" t="s">
        <v>233</v>
      </c>
      <c r="B400" s="4">
        <v>45554</v>
      </c>
      <c r="C400" s="4">
        <v>45579</v>
      </c>
      <c r="D400" s="12" t="s">
        <v>648</v>
      </c>
      <c r="E400" s="12" t="s">
        <v>655</v>
      </c>
      <c r="F400" s="12" t="s">
        <v>692</v>
      </c>
      <c r="G400" s="12" t="s">
        <v>705</v>
      </c>
      <c r="H400" s="12" t="s">
        <v>707</v>
      </c>
      <c r="I400" s="12" t="s">
        <v>723</v>
      </c>
      <c r="J400" s="12" t="s">
        <v>728</v>
      </c>
      <c r="K400" s="12" t="s">
        <v>953</v>
      </c>
      <c r="L400" s="6">
        <v>386.96</v>
      </c>
      <c r="M400" s="6">
        <v>937.46</v>
      </c>
      <c r="N400" s="6">
        <v>0.26600000000000001</v>
      </c>
      <c r="O400" s="6">
        <v>41</v>
      </c>
    </row>
    <row r="401" spans="1:15" x14ac:dyDescent="0.25">
      <c r="A401" s="12" t="s">
        <v>209</v>
      </c>
      <c r="B401" s="4">
        <v>45557</v>
      </c>
      <c r="C401" s="4">
        <v>45566</v>
      </c>
      <c r="D401" s="12" t="s">
        <v>648</v>
      </c>
      <c r="E401" s="12" t="s">
        <v>655</v>
      </c>
      <c r="F401" s="12" t="s">
        <v>670</v>
      </c>
      <c r="G401" s="12" t="s">
        <v>703</v>
      </c>
      <c r="H401" s="12" t="s">
        <v>708</v>
      </c>
      <c r="I401" s="12" t="s">
        <v>723</v>
      </c>
      <c r="J401" s="12" t="s">
        <v>732</v>
      </c>
      <c r="K401" s="12" t="s">
        <v>929</v>
      </c>
      <c r="L401" s="6">
        <v>1378.8</v>
      </c>
      <c r="M401" s="6">
        <v>1952.04</v>
      </c>
      <c r="N401" s="6">
        <v>0.159</v>
      </c>
      <c r="O401" s="6">
        <v>19</v>
      </c>
    </row>
    <row r="402" spans="1:15" x14ac:dyDescent="0.25">
      <c r="A402" s="12" t="s">
        <v>164</v>
      </c>
      <c r="B402" s="4">
        <v>45558</v>
      </c>
      <c r="C402" s="4">
        <v>45583</v>
      </c>
      <c r="D402" s="12" t="s">
        <v>648</v>
      </c>
      <c r="E402" s="12" t="s">
        <v>653</v>
      </c>
      <c r="F402" s="12" t="s">
        <v>688</v>
      </c>
      <c r="G402" s="12" t="s">
        <v>705</v>
      </c>
      <c r="H402" s="12" t="s">
        <v>708</v>
      </c>
      <c r="I402" s="12" t="s">
        <v>725</v>
      </c>
      <c r="J402" s="12" t="s">
        <v>730</v>
      </c>
      <c r="K402" s="12" t="s">
        <v>883</v>
      </c>
      <c r="L402" s="6">
        <v>1297</v>
      </c>
      <c r="M402" s="6">
        <v>2411.52</v>
      </c>
      <c r="N402" s="6">
        <v>2.1000000000000001E-2</v>
      </c>
      <c r="O402" s="6">
        <v>18</v>
      </c>
    </row>
    <row r="403" spans="1:15" x14ac:dyDescent="0.25">
      <c r="A403" s="12" t="s">
        <v>458</v>
      </c>
      <c r="B403" s="4">
        <v>45560</v>
      </c>
      <c r="C403" s="4">
        <v>45568</v>
      </c>
      <c r="D403" s="12" t="s">
        <v>648</v>
      </c>
      <c r="E403" s="12" t="s">
        <v>653</v>
      </c>
      <c r="F403" s="12" t="s">
        <v>667</v>
      </c>
      <c r="G403" s="12" t="s">
        <v>704</v>
      </c>
      <c r="H403" s="12" t="s">
        <v>708</v>
      </c>
      <c r="I403" s="12" t="s">
        <v>718</v>
      </c>
      <c r="J403" s="12" t="s">
        <v>728</v>
      </c>
      <c r="K403" s="12" t="s">
        <v>1177</v>
      </c>
      <c r="L403" s="6">
        <v>558.19000000000005</v>
      </c>
      <c r="M403" s="6">
        <v>1031.6400000000001</v>
      </c>
      <c r="N403" s="6">
        <v>0</v>
      </c>
      <c r="O403" s="6">
        <v>21</v>
      </c>
    </row>
    <row r="404" spans="1:15" x14ac:dyDescent="0.25">
      <c r="A404" s="12" t="s">
        <v>224</v>
      </c>
      <c r="B404" s="4">
        <v>45567</v>
      </c>
      <c r="C404" s="4">
        <v>45588</v>
      </c>
      <c r="D404" s="12" t="s">
        <v>646</v>
      </c>
      <c r="E404" s="12" t="s">
        <v>661</v>
      </c>
      <c r="F404" s="12" t="s">
        <v>687</v>
      </c>
      <c r="G404" s="12" t="s">
        <v>701</v>
      </c>
      <c r="H404" s="12" t="s">
        <v>709</v>
      </c>
      <c r="I404" s="12" t="s">
        <v>720</v>
      </c>
      <c r="J404" s="12" t="s">
        <v>727</v>
      </c>
      <c r="K404" s="12" t="s">
        <v>944</v>
      </c>
      <c r="L404" s="6">
        <v>1095.6099999999999</v>
      </c>
      <c r="M404" s="6">
        <v>2366.5100000000002</v>
      </c>
      <c r="N404" s="6">
        <v>0.152</v>
      </c>
      <c r="O404" s="6">
        <v>9</v>
      </c>
    </row>
    <row r="405" spans="1:15" x14ac:dyDescent="0.25">
      <c r="A405" s="12" t="s">
        <v>196</v>
      </c>
      <c r="B405" s="4">
        <v>45568</v>
      </c>
      <c r="C405" s="4">
        <v>45576</v>
      </c>
      <c r="D405" s="12" t="s">
        <v>647</v>
      </c>
      <c r="E405" s="12" t="s">
        <v>659</v>
      </c>
      <c r="F405" s="12" t="s">
        <v>699</v>
      </c>
      <c r="G405" s="12" t="s">
        <v>706</v>
      </c>
      <c r="H405" s="12" t="s">
        <v>711</v>
      </c>
      <c r="I405" s="12" t="s">
        <v>717</v>
      </c>
      <c r="J405" s="12" t="s">
        <v>730</v>
      </c>
      <c r="K405" s="12" t="s">
        <v>915</v>
      </c>
      <c r="L405" s="6">
        <v>1132.6099999999999</v>
      </c>
      <c r="M405" s="6">
        <v>2206.63</v>
      </c>
      <c r="N405" s="6">
        <v>6.3E-2</v>
      </c>
      <c r="O405" s="6">
        <v>20</v>
      </c>
    </row>
    <row r="406" spans="1:15" x14ac:dyDescent="0.25">
      <c r="A406" s="12" t="s">
        <v>108</v>
      </c>
      <c r="B406" s="4">
        <v>45569</v>
      </c>
      <c r="C406" s="4">
        <v>45598</v>
      </c>
      <c r="D406" s="12" t="s">
        <v>646</v>
      </c>
      <c r="E406" s="12" t="s">
        <v>651</v>
      </c>
      <c r="F406" s="12" t="s">
        <v>669</v>
      </c>
      <c r="G406" s="12" t="s">
        <v>701</v>
      </c>
      <c r="H406" s="12" t="s">
        <v>710</v>
      </c>
      <c r="I406" s="12" t="s">
        <v>721</v>
      </c>
      <c r="J406" s="12" t="s">
        <v>733</v>
      </c>
      <c r="K406" s="12" t="s">
        <v>827</v>
      </c>
      <c r="L406" s="6">
        <v>412.09</v>
      </c>
      <c r="M406" s="6">
        <v>968.94</v>
      </c>
      <c r="N406" s="6">
        <v>9.9000000000000005E-2</v>
      </c>
      <c r="O406" s="6">
        <v>23</v>
      </c>
    </row>
    <row r="407" spans="1:15" x14ac:dyDescent="0.25">
      <c r="A407" s="12" t="s">
        <v>280</v>
      </c>
      <c r="B407" s="4">
        <v>45573</v>
      </c>
      <c r="C407" s="4">
        <v>45573</v>
      </c>
      <c r="D407" s="12" t="s">
        <v>649</v>
      </c>
      <c r="E407" s="12" t="s">
        <v>658</v>
      </c>
      <c r="F407" s="12" t="s">
        <v>683</v>
      </c>
      <c r="G407" s="12" t="s">
        <v>701</v>
      </c>
      <c r="H407" s="12" t="s">
        <v>708</v>
      </c>
      <c r="I407" s="12" t="s">
        <v>718</v>
      </c>
      <c r="J407" s="12" t="s">
        <v>732</v>
      </c>
      <c r="K407" s="12" t="s">
        <v>1000</v>
      </c>
      <c r="L407" s="6">
        <v>1108.1099999999999</v>
      </c>
      <c r="M407" s="6">
        <v>2503.79</v>
      </c>
      <c r="N407" s="6">
        <v>0.184</v>
      </c>
      <c r="O407" s="6">
        <v>19</v>
      </c>
    </row>
    <row r="408" spans="1:15" x14ac:dyDescent="0.25">
      <c r="A408" s="12" t="s">
        <v>184</v>
      </c>
      <c r="B408" s="4">
        <v>45574</v>
      </c>
      <c r="C408" s="4">
        <v>45604</v>
      </c>
      <c r="D408" s="12" t="s">
        <v>649</v>
      </c>
      <c r="E408" s="12" t="s">
        <v>658</v>
      </c>
      <c r="F408" s="12" t="s">
        <v>693</v>
      </c>
      <c r="G408" s="12" t="s">
        <v>705</v>
      </c>
      <c r="H408" s="12" t="s">
        <v>710</v>
      </c>
      <c r="I408" s="12" t="s">
        <v>713</v>
      </c>
      <c r="J408" s="12" t="s">
        <v>727</v>
      </c>
      <c r="K408" s="12" t="s">
        <v>903</v>
      </c>
      <c r="L408" s="6">
        <v>343.85</v>
      </c>
      <c r="M408" s="6">
        <v>538.04</v>
      </c>
      <c r="N408" s="6">
        <v>0.13900000000000001</v>
      </c>
      <c r="O408" s="6">
        <v>5</v>
      </c>
    </row>
    <row r="409" spans="1:15" x14ac:dyDescent="0.25">
      <c r="A409" s="12" t="s">
        <v>526</v>
      </c>
      <c r="B409" s="4">
        <v>45575</v>
      </c>
      <c r="C409" s="4">
        <v>45576</v>
      </c>
      <c r="D409" s="12" t="s">
        <v>649</v>
      </c>
      <c r="E409" s="12" t="s">
        <v>658</v>
      </c>
      <c r="F409" s="12" t="s">
        <v>693</v>
      </c>
      <c r="G409" s="12" t="s">
        <v>703</v>
      </c>
      <c r="H409" s="12" t="s">
        <v>710</v>
      </c>
      <c r="I409" s="12" t="s">
        <v>716</v>
      </c>
      <c r="J409" s="12" t="s">
        <v>727</v>
      </c>
      <c r="K409" s="12" t="s">
        <v>1245</v>
      </c>
      <c r="L409" s="6">
        <v>1389.46</v>
      </c>
      <c r="M409" s="6">
        <v>1784.7</v>
      </c>
      <c r="N409" s="6">
        <v>0.14599999999999999</v>
      </c>
      <c r="O409" s="6">
        <v>33</v>
      </c>
    </row>
    <row r="410" spans="1:15" x14ac:dyDescent="0.25">
      <c r="A410" s="12" t="s">
        <v>232</v>
      </c>
      <c r="B410" s="4">
        <v>45576</v>
      </c>
      <c r="C410" s="4">
        <v>45605</v>
      </c>
      <c r="D410" s="12" t="s">
        <v>647</v>
      </c>
      <c r="E410" s="12" t="s">
        <v>659</v>
      </c>
      <c r="F410" s="12" t="s">
        <v>685</v>
      </c>
      <c r="G410" s="12" t="s">
        <v>703</v>
      </c>
      <c r="H410" s="12" t="s">
        <v>708</v>
      </c>
      <c r="I410" s="12" t="s">
        <v>721</v>
      </c>
      <c r="J410" s="12" t="s">
        <v>728</v>
      </c>
      <c r="K410" s="12" t="s">
        <v>952</v>
      </c>
      <c r="L410" s="6">
        <v>391.64</v>
      </c>
      <c r="M410" s="6">
        <v>504.76</v>
      </c>
      <c r="N410" s="6">
        <v>4.0000000000000001E-3</v>
      </c>
      <c r="O410" s="6">
        <v>13</v>
      </c>
    </row>
    <row r="411" spans="1:15" x14ac:dyDescent="0.25">
      <c r="A411" s="12" t="s">
        <v>633</v>
      </c>
      <c r="B411" s="4">
        <v>45578</v>
      </c>
      <c r="C411" s="4">
        <v>45589</v>
      </c>
      <c r="D411" s="12" t="s">
        <v>649</v>
      </c>
      <c r="E411" s="12" t="s">
        <v>657</v>
      </c>
      <c r="F411" s="12" t="s">
        <v>690</v>
      </c>
      <c r="G411" s="12" t="s">
        <v>702</v>
      </c>
      <c r="H411" s="12" t="s">
        <v>710</v>
      </c>
      <c r="I411" s="12" t="s">
        <v>721</v>
      </c>
      <c r="J411" s="12" t="s">
        <v>727</v>
      </c>
      <c r="K411" s="12" t="s">
        <v>1351</v>
      </c>
      <c r="L411" s="6">
        <v>816.7</v>
      </c>
      <c r="M411" s="6">
        <v>1010.75</v>
      </c>
      <c r="N411" s="6">
        <v>4.7E-2</v>
      </c>
      <c r="O411" s="6">
        <v>43</v>
      </c>
    </row>
    <row r="412" spans="1:15" x14ac:dyDescent="0.25">
      <c r="A412" s="12" t="s">
        <v>63</v>
      </c>
      <c r="B412" s="4">
        <v>45579</v>
      </c>
      <c r="C412" s="4">
        <v>45604</v>
      </c>
      <c r="D412" s="12" t="s">
        <v>646</v>
      </c>
      <c r="E412" s="12" t="s">
        <v>651</v>
      </c>
      <c r="F412" s="12" t="s">
        <v>665</v>
      </c>
      <c r="G412" s="12" t="s">
        <v>706</v>
      </c>
      <c r="H412" s="12" t="s">
        <v>708</v>
      </c>
      <c r="I412" s="12" t="s">
        <v>719</v>
      </c>
      <c r="J412" s="12" t="s">
        <v>729</v>
      </c>
      <c r="K412" s="12" t="s">
        <v>782</v>
      </c>
      <c r="L412" s="6">
        <v>859.35</v>
      </c>
      <c r="M412" s="6">
        <v>1825.61</v>
      </c>
      <c r="N412" s="6">
        <v>0.187</v>
      </c>
      <c r="O412" s="6">
        <v>24</v>
      </c>
    </row>
    <row r="413" spans="1:15" x14ac:dyDescent="0.25">
      <c r="A413" s="12" t="s">
        <v>123</v>
      </c>
      <c r="B413" s="4">
        <v>45581</v>
      </c>
      <c r="C413" s="4">
        <v>45604</v>
      </c>
      <c r="D413" s="12" t="s">
        <v>647</v>
      </c>
      <c r="E413" s="12" t="s">
        <v>652</v>
      </c>
      <c r="F413" s="12" t="s">
        <v>666</v>
      </c>
      <c r="G413" s="12" t="s">
        <v>705</v>
      </c>
      <c r="H413" s="12" t="s">
        <v>707</v>
      </c>
      <c r="I413" s="12" t="s">
        <v>713</v>
      </c>
      <c r="J413" s="12" t="s">
        <v>729</v>
      </c>
      <c r="K413" s="12" t="s">
        <v>842</v>
      </c>
      <c r="L413" s="6">
        <v>82.14</v>
      </c>
      <c r="M413" s="6">
        <v>166.04</v>
      </c>
      <c r="N413" s="6">
        <v>0</v>
      </c>
      <c r="O413" s="6">
        <v>10</v>
      </c>
    </row>
    <row r="414" spans="1:15" x14ac:dyDescent="0.25">
      <c r="A414" s="12" t="s">
        <v>66</v>
      </c>
      <c r="B414" s="4">
        <v>45582</v>
      </c>
      <c r="C414" s="4">
        <v>45602</v>
      </c>
      <c r="D414" s="12" t="s">
        <v>647</v>
      </c>
      <c r="E414" s="12" t="s">
        <v>654</v>
      </c>
      <c r="F414" s="12" t="s">
        <v>668</v>
      </c>
      <c r="G414" s="12" t="s">
        <v>706</v>
      </c>
      <c r="H414" s="12" t="s">
        <v>710</v>
      </c>
      <c r="I414" s="12" t="s">
        <v>719</v>
      </c>
      <c r="J414" s="12" t="s">
        <v>732</v>
      </c>
      <c r="K414" s="12" t="s">
        <v>785</v>
      </c>
      <c r="L414" s="6">
        <v>72.94</v>
      </c>
      <c r="M414" s="6">
        <v>106.3</v>
      </c>
      <c r="N414" s="6">
        <v>0.29499999999999998</v>
      </c>
      <c r="O414" s="6">
        <v>8</v>
      </c>
    </row>
    <row r="415" spans="1:15" x14ac:dyDescent="0.25">
      <c r="A415" s="12" t="s">
        <v>626</v>
      </c>
      <c r="B415" s="4">
        <v>45584</v>
      </c>
      <c r="C415" s="4">
        <v>45602</v>
      </c>
      <c r="D415" s="12" t="s">
        <v>648</v>
      </c>
      <c r="E415" s="12" t="s">
        <v>660</v>
      </c>
      <c r="F415" s="12" t="s">
        <v>677</v>
      </c>
      <c r="G415" s="12" t="s">
        <v>702</v>
      </c>
      <c r="H415" s="14" t="s">
        <v>1379</v>
      </c>
      <c r="I415" s="12" t="s">
        <v>712</v>
      </c>
      <c r="J415" s="12" t="s">
        <v>732</v>
      </c>
      <c r="K415" s="12" t="s">
        <v>1344</v>
      </c>
      <c r="L415" s="6">
        <v>942.02</v>
      </c>
      <c r="M415" s="6">
        <v>1028.46</v>
      </c>
      <c r="N415" s="6">
        <v>0</v>
      </c>
      <c r="O415" s="6">
        <v>9</v>
      </c>
    </row>
    <row r="416" spans="1:15" x14ac:dyDescent="0.25">
      <c r="A416" s="12" t="s">
        <v>199</v>
      </c>
      <c r="B416" s="4">
        <v>45587</v>
      </c>
      <c r="C416" s="4">
        <v>45594</v>
      </c>
      <c r="D416" s="12" t="s">
        <v>646</v>
      </c>
      <c r="E416" s="12" t="s">
        <v>651</v>
      </c>
      <c r="F416" s="12" t="s">
        <v>663</v>
      </c>
      <c r="G416" s="12" t="s">
        <v>706</v>
      </c>
      <c r="H416" s="12" t="s">
        <v>710</v>
      </c>
      <c r="I416" s="12" t="s">
        <v>724</v>
      </c>
      <c r="J416" s="12" t="s">
        <v>732</v>
      </c>
      <c r="K416" s="12" t="s">
        <v>918</v>
      </c>
      <c r="L416" s="6">
        <v>1023.06</v>
      </c>
      <c r="M416" s="6">
        <v>1355.61</v>
      </c>
      <c r="N416" s="6">
        <v>0.153</v>
      </c>
      <c r="O416" s="6">
        <v>23</v>
      </c>
    </row>
    <row r="417" spans="1:15" x14ac:dyDescent="0.25">
      <c r="A417" s="12" t="s">
        <v>16</v>
      </c>
      <c r="B417" s="4">
        <v>45588</v>
      </c>
      <c r="C417" s="4">
        <v>45587</v>
      </c>
      <c r="D417" s="12" t="s">
        <v>646</v>
      </c>
      <c r="E417" s="12" t="s">
        <v>651</v>
      </c>
      <c r="F417" s="12" t="s">
        <v>663</v>
      </c>
      <c r="G417" s="12" t="s">
        <v>702</v>
      </c>
      <c r="H417" s="12" t="s">
        <v>708</v>
      </c>
      <c r="I417" s="12" t="s">
        <v>713</v>
      </c>
      <c r="J417" s="12" t="s">
        <v>728</v>
      </c>
      <c r="K417" s="12" t="s">
        <v>735</v>
      </c>
      <c r="L417" s="6">
        <v>1084.3900000000001</v>
      </c>
      <c r="M417" s="6">
        <v>759.33</v>
      </c>
      <c r="N417" s="6">
        <v>0.23699999999999999</v>
      </c>
      <c r="O417" s="6">
        <v>31</v>
      </c>
    </row>
    <row r="418" spans="1:15" x14ac:dyDescent="0.25">
      <c r="A418" s="12" t="s">
        <v>210</v>
      </c>
      <c r="B418" s="4">
        <v>45588</v>
      </c>
      <c r="C418" s="4">
        <v>45610</v>
      </c>
      <c r="D418" s="12" t="s">
        <v>647</v>
      </c>
      <c r="E418" s="12" t="s">
        <v>652</v>
      </c>
      <c r="F418" s="12" t="s">
        <v>666</v>
      </c>
      <c r="G418" s="12" t="s">
        <v>703</v>
      </c>
      <c r="H418" s="12" t="s">
        <v>711</v>
      </c>
      <c r="I418" s="12" t="s">
        <v>717</v>
      </c>
      <c r="J418" s="12" t="s">
        <v>730</v>
      </c>
      <c r="K418" s="12" t="s">
        <v>930</v>
      </c>
      <c r="L418" s="6">
        <v>1406.4</v>
      </c>
      <c r="M418" s="6">
        <v>1564.76</v>
      </c>
      <c r="N418" s="6">
        <v>0.185</v>
      </c>
      <c r="O418" s="6">
        <v>17</v>
      </c>
    </row>
    <row r="419" spans="1:15" x14ac:dyDescent="0.25">
      <c r="A419" s="12" t="s">
        <v>521</v>
      </c>
      <c r="B419" s="4">
        <v>45589</v>
      </c>
      <c r="C419" s="4">
        <v>45593</v>
      </c>
      <c r="D419" s="12" t="s">
        <v>647</v>
      </c>
      <c r="E419" s="12" t="s">
        <v>659</v>
      </c>
      <c r="F419" s="12" t="s">
        <v>685</v>
      </c>
      <c r="G419" s="12" t="s">
        <v>705</v>
      </c>
      <c r="H419" s="12" t="s">
        <v>710</v>
      </c>
      <c r="I419" s="12" t="s">
        <v>714</v>
      </c>
      <c r="J419" s="12" t="s">
        <v>729</v>
      </c>
      <c r="K419" s="12" t="s">
        <v>1240</v>
      </c>
      <c r="L419" s="6">
        <v>1331.77</v>
      </c>
      <c r="M419" s="6">
        <v>2606.11</v>
      </c>
      <c r="N419" s="6">
        <v>0.02</v>
      </c>
      <c r="O419" s="6">
        <v>6</v>
      </c>
    </row>
    <row r="420" spans="1:15" x14ac:dyDescent="0.25">
      <c r="A420" s="12" t="s">
        <v>57</v>
      </c>
      <c r="B420" s="4">
        <v>45590</v>
      </c>
      <c r="C420" s="4">
        <v>45610</v>
      </c>
      <c r="D420" s="12" t="s">
        <v>646</v>
      </c>
      <c r="E420" s="12" t="s">
        <v>650</v>
      </c>
      <c r="F420" s="12" t="s">
        <v>675</v>
      </c>
      <c r="G420" s="12" t="s">
        <v>701</v>
      </c>
      <c r="H420" s="12" t="s">
        <v>711</v>
      </c>
      <c r="I420" s="12" t="s">
        <v>722</v>
      </c>
      <c r="J420" s="12" t="s">
        <v>728</v>
      </c>
      <c r="K420" s="12" t="s">
        <v>776</v>
      </c>
      <c r="L420" s="6">
        <v>1396.48</v>
      </c>
      <c r="M420" s="6">
        <v>3204.5</v>
      </c>
      <c r="N420" s="6">
        <v>0.318</v>
      </c>
      <c r="O420" s="6">
        <v>14</v>
      </c>
    </row>
    <row r="421" spans="1:15" x14ac:dyDescent="0.25">
      <c r="A421" s="12" t="s">
        <v>575</v>
      </c>
      <c r="B421" s="4">
        <v>45590</v>
      </c>
      <c r="C421" s="4">
        <v>45601</v>
      </c>
      <c r="D421" s="12" t="s">
        <v>648</v>
      </c>
      <c r="E421" s="12" t="s">
        <v>660</v>
      </c>
      <c r="F421" s="12" t="s">
        <v>700</v>
      </c>
      <c r="G421" s="12" t="s">
        <v>701</v>
      </c>
      <c r="H421" s="12" t="s">
        <v>710</v>
      </c>
      <c r="I421" s="12" t="s">
        <v>725</v>
      </c>
      <c r="J421" s="12" t="s">
        <v>727</v>
      </c>
      <c r="K421" s="12" t="s">
        <v>1293</v>
      </c>
      <c r="L421" s="6">
        <v>446.66</v>
      </c>
      <c r="M421" s="6">
        <v>527.64</v>
      </c>
      <c r="N421" s="6">
        <v>0.14499999999999999</v>
      </c>
      <c r="O421" s="6">
        <v>15</v>
      </c>
    </row>
    <row r="422" spans="1:15" x14ac:dyDescent="0.25">
      <c r="A422" s="12" t="s">
        <v>268</v>
      </c>
      <c r="B422" s="4">
        <v>45592</v>
      </c>
      <c r="C422" s="4">
        <v>45616</v>
      </c>
      <c r="D422" s="12" t="s">
        <v>647</v>
      </c>
      <c r="E422" s="12" t="s">
        <v>652</v>
      </c>
      <c r="F422" s="12" t="s">
        <v>694</v>
      </c>
      <c r="G422" s="12" t="s">
        <v>703</v>
      </c>
      <c r="H422" s="12" t="s">
        <v>708</v>
      </c>
      <c r="I422" s="12" t="s">
        <v>722</v>
      </c>
      <c r="J422" s="12" t="s">
        <v>732</v>
      </c>
      <c r="K422" s="12" t="s">
        <v>988</v>
      </c>
      <c r="L422" s="6">
        <v>317.25</v>
      </c>
      <c r="M422" s="6">
        <v>758.92</v>
      </c>
      <c r="N422" s="6">
        <v>5.2999999999999999E-2</v>
      </c>
      <c r="O422" s="6">
        <v>9</v>
      </c>
    </row>
    <row r="423" spans="1:15" x14ac:dyDescent="0.25">
      <c r="A423" s="12" t="s">
        <v>356</v>
      </c>
      <c r="B423" s="4">
        <v>45594</v>
      </c>
      <c r="C423" s="4">
        <v>45600</v>
      </c>
      <c r="D423" s="12" t="s">
        <v>646</v>
      </c>
      <c r="E423" s="12" t="s">
        <v>650</v>
      </c>
      <c r="F423" s="12" t="s">
        <v>664</v>
      </c>
      <c r="G423" s="12" t="s">
        <v>701</v>
      </c>
      <c r="H423" s="12" t="s">
        <v>710</v>
      </c>
      <c r="I423" s="12" t="s">
        <v>724</v>
      </c>
      <c r="J423" s="12" t="s">
        <v>728</v>
      </c>
      <c r="K423" s="12" t="s">
        <v>1076</v>
      </c>
      <c r="L423" s="6">
        <v>805.81</v>
      </c>
      <c r="M423" s="6">
        <v>1823.04</v>
      </c>
      <c r="N423" s="6">
        <v>0</v>
      </c>
      <c r="O423" s="6">
        <v>11</v>
      </c>
    </row>
    <row r="424" spans="1:15" x14ac:dyDescent="0.25">
      <c r="A424" s="12" t="s">
        <v>176</v>
      </c>
      <c r="B424" s="4">
        <v>45595</v>
      </c>
      <c r="C424" s="4">
        <v>45620</v>
      </c>
      <c r="D424" s="12" t="s">
        <v>647</v>
      </c>
      <c r="E424" s="12" t="s">
        <v>659</v>
      </c>
      <c r="F424" s="12" t="s">
        <v>676</v>
      </c>
      <c r="G424" s="12" t="s">
        <v>705</v>
      </c>
      <c r="H424" s="12" t="s">
        <v>708</v>
      </c>
      <c r="I424" s="12" t="s">
        <v>718</v>
      </c>
      <c r="J424" s="12" t="s">
        <v>727</v>
      </c>
      <c r="K424" s="12" t="s">
        <v>895</v>
      </c>
      <c r="L424" s="6">
        <v>811.05</v>
      </c>
      <c r="M424" s="6">
        <v>1217.71</v>
      </c>
      <c r="N424" s="6">
        <v>7.1999999999999995E-2</v>
      </c>
      <c r="O424" s="6">
        <v>5</v>
      </c>
    </row>
    <row r="425" spans="1:15" x14ac:dyDescent="0.25">
      <c r="A425" s="12" t="s">
        <v>444</v>
      </c>
      <c r="B425" s="4">
        <v>45597</v>
      </c>
      <c r="C425" s="4">
        <v>45608</v>
      </c>
      <c r="D425" s="12" t="s">
        <v>649</v>
      </c>
      <c r="E425" s="12" t="s">
        <v>656</v>
      </c>
      <c r="F425" s="12" t="s">
        <v>698</v>
      </c>
      <c r="G425" s="12" t="s">
        <v>704</v>
      </c>
      <c r="H425" s="12" t="s">
        <v>708</v>
      </c>
      <c r="I425" s="12" t="s">
        <v>717</v>
      </c>
      <c r="J425" s="12" t="s">
        <v>728</v>
      </c>
      <c r="K425" s="12" t="s">
        <v>1163</v>
      </c>
      <c r="L425" s="6">
        <v>599.84</v>
      </c>
      <c r="M425" s="6">
        <v>1330.85</v>
      </c>
      <c r="N425" s="6">
        <v>0.115</v>
      </c>
      <c r="O425" s="6">
        <v>11</v>
      </c>
    </row>
    <row r="426" spans="1:15" x14ac:dyDescent="0.25">
      <c r="A426" s="12" t="s">
        <v>78</v>
      </c>
      <c r="B426" s="4">
        <v>45598</v>
      </c>
      <c r="C426" s="4">
        <v>45614</v>
      </c>
      <c r="D426" s="12" t="s">
        <v>647</v>
      </c>
      <c r="E426" s="12" t="s">
        <v>654</v>
      </c>
      <c r="F426" s="12" t="s">
        <v>691</v>
      </c>
      <c r="G426" s="12" t="s">
        <v>705</v>
      </c>
      <c r="H426" s="12" t="s">
        <v>710</v>
      </c>
      <c r="I426" s="12" t="s">
        <v>719</v>
      </c>
      <c r="J426" s="12" t="s">
        <v>732</v>
      </c>
      <c r="K426" s="12" t="s">
        <v>797</v>
      </c>
      <c r="L426" s="6">
        <v>1233.58</v>
      </c>
      <c r="M426" s="6">
        <v>1912.51</v>
      </c>
      <c r="N426" s="6">
        <v>0.255</v>
      </c>
      <c r="O426" s="6">
        <v>51</v>
      </c>
    </row>
    <row r="427" spans="1:15" x14ac:dyDescent="0.25">
      <c r="A427" s="12" t="s">
        <v>138</v>
      </c>
      <c r="B427" s="4">
        <v>45598</v>
      </c>
      <c r="C427" s="4">
        <v>45625</v>
      </c>
      <c r="D427" s="12" t="s">
        <v>648</v>
      </c>
      <c r="E427" s="12" t="s">
        <v>655</v>
      </c>
      <c r="F427" s="12" t="s">
        <v>672</v>
      </c>
      <c r="G427" s="12" t="s">
        <v>705</v>
      </c>
      <c r="H427" s="12" t="s">
        <v>711</v>
      </c>
      <c r="I427" s="12" t="s">
        <v>714</v>
      </c>
      <c r="J427" s="12" t="s">
        <v>729</v>
      </c>
      <c r="K427" s="12" t="s">
        <v>857</v>
      </c>
      <c r="L427" s="6">
        <v>1363.51</v>
      </c>
      <c r="M427" s="6">
        <v>1433.9</v>
      </c>
      <c r="N427" s="6">
        <v>5.7000000000000002E-2</v>
      </c>
      <c r="O427" s="6">
        <v>8</v>
      </c>
    </row>
    <row r="428" spans="1:15" x14ac:dyDescent="0.25">
      <c r="A428" s="12" t="s">
        <v>327</v>
      </c>
      <c r="B428" s="4">
        <v>45600</v>
      </c>
      <c r="C428" s="4">
        <v>45601</v>
      </c>
      <c r="D428" s="12" t="s">
        <v>649</v>
      </c>
      <c r="E428" s="12" t="s">
        <v>658</v>
      </c>
      <c r="F428" s="12" t="s">
        <v>683</v>
      </c>
      <c r="G428" s="12" t="s">
        <v>701</v>
      </c>
      <c r="H428" s="12" t="s">
        <v>707</v>
      </c>
      <c r="I428" s="12" t="s">
        <v>724</v>
      </c>
      <c r="J428" s="12" t="s">
        <v>728</v>
      </c>
      <c r="K428" s="12" t="s">
        <v>1047</v>
      </c>
      <c r="L428" s="6">
        <v>840.68</v>
      </c>
      <c r="M428" s="6">
        <v>1493.53</v>
      </c>
      <c r="N428" s="6">
        <v>0</v>
      </c>
      <c r="O428" s="6">
        <v>27</v>
      </c>
    </row>
    <row r="429" spans="1:15" x14ac:dyDescent="0.25">
      <c r="A429" s="12" t="s">
        <v>582</v>
      </c>
      <c r="B429" s="4">
        <v>45600</v>
      </c>
      <c r="C429" s="4">
        <v>45603</v>
      </c>
      <c r="D429" s="12" t="s">
        <v>649</v>
      </c>
      <c r="E429" s="12" t="s">
        <v>657</v>
      </c>
      <c r="F429" s="12" t="s">
        <v>679</v>
      </c>
      <c r="G429" s="12" t="s">
        <v>701</v>
      </c>
      <c r="H429" s="12" t="s">
        <v>708</v>
      </c>
      <c r="I429" s="12" t="s">
        <v>719</v>
      </c>
      <c r="J429" s="12" t="s">
        <v>732</v>
      </c>
      <c r="K429" s="12" t="s">
        <v>1300</v>
      </c>
      <c r="L429" s="6">
        <v>740.68</v>
      </c>
      <c r="M429" s="6">
        <v>1837.19</v>
      </c>
      <c r="N429" s="6">
        <v>0.19700000000000001</v>
      </c>
      <c r="O429" s="6">
        <v>17</v>
      </c>
    </row>
    <row r="430" spans="1:15" x14ac:dyDescent="0.25">
      <c r="A430" s="12" t="s">
        <v>416</v>
      </c>
      <c r="B430" s="4">
        <v>45601</v>
      </c>
      <c r="C430" s="4">
        <v>45604</v>
      </c>
      <c r="D430" s="12" t="s">
        <v>648</v>
      </c>
      <c r="E430" s="12" t="s">
        <v>653</v>
      </c>
      <c r="F430" s="12" t="s">
        <v>667</v>
      </c>
      <c r="G430" s="12" t="s">
        <v>702</v>
      </c>
      <c r="H430" s="12" t="s">
        <v>709</v>
      </c>
      <c r="I430" s="12" t="s">
        <v>719</v>
      </c>
      <c r="J430" s="12" t="s">
        <v>727</v>
      </c>
      <c r="K430" s="12" t="s">
        <v>1135</v>
      </c>
      <c r="L430" s="6">
        <v>1020.4</v>
      </c>
      <c r="M430" s="6">
        <v>1184.71</v>
      </c>
      <c r="N430" s="6">
        <v>0.106</v>
      </c>
      <c r="O430" s="6">
        <v>16</v>
      </c>
    </row>
    <row r="431" spans="1:15" x14ac:dyDescent="0.25">
      <c r="A431" s="12" t="s">
        <v>65</v>
      </c>
      <c r="B431" s="4">
        <v>45602</v>
      </c>
      <c r="C431" s="4">
        <v>45618</v>
      </c>
      <c r="D431" s="12" t="s">
        <v>648</v>
      </c>
      <c r="E431" s="12" t="s">
        <v>653</v>
      </c>
      <c r="F431" s="12" t="s">
        <v>667</v>
      </c>
      <c r="G431" s="12" t="s">
        <v>703</v>
      </c>
      <c r="H431" s="12" t="s">
        <v>710</v>
      </c>
      <c r="I431" s="12" t="s">
        <v>726</v>
      </c>
      <c r="J431" s="12" t="s">
        <v>733</v>
      </c>
      <c r="K431" s="12" t="s">
        <v>784</v>
      </c>
      <c r="L431" s="6">
        <v>1454.11</v>
      </c>
      <c r="M431" s="6">
        <v>2629.75</v>
      </c>
      <c r="N431" s="6">
        <v>0.29199999999999998</v>
      </c>
      <c r="O431" s="6">
        <v>8</v>
      </c>
    </row>
    <row r="432" spans="1:15" x14ac:dyDescent="0.25">
      <c r="A432" s="12" t="s">
        <v>368</v>
      </c>
      <c r="B432" s="4">
        <v>45603</v>
      </c>
      <c r="C432" s="4">
        <v>45622</v>
      </c>
      <c r="D432" s="12" t="s">
        <v>648</v>
      </c>
      <c r="E432" s="12" t="s">
        <v>655</v>
      </c>
      <c r="F432" s="12" t="s">
        <v>692</v>
      </c>
      <c r="G432" s="12" t="s">
        <v>703</v>
      </c>
      <c r="H432" s="12" t="s">
        <v>710</v>
      </c>
      <c r="I432" s="12" t="s">
        <v>713</v>
      </c>
      <c r="J432" s="12" t="s">
        <v>728</v>
      </c>
      <c r="K432" s="12" t="s">
        <v>1088</v>
      </c>
      <c r="L432" s="6">
        <v>55.35</v>
      </c>
      <c r="M432" s="6">
        <v>128.68</v>
      </c>
      <c r="N432" s="6">
        <v>0.128</v>
      </c>
      <c r="O432" s="6">
        <v>10</v>
      </c>
    </row>
    <row r="433" spans="1:15" x14ac:dyDescent="0.25">
      <c r="A433" s="12" t="s">
        <v>262</v>
      </c>
      <c r="B433" s="4">
        <v>45604</v>
      </c>
      <c r="C433" s="4">
        <v>45604</v>
      </c>
      <c r="D433" s="12" t="s">
        <v>646</v>
      </c>
      <c r="E433" s="12" t="s">
        <v>650</v>
      </c>
      <c r="F433" s="12" t="s">
        <v>678</v>
      </c>
      <c r="G433" s="12" t="s">
        <v>706</v>
      </c>
      <c r="H433" s="12" t="s">
        <v>709</v>
      </c>
      <c r="I433" s="12" t="s">
        <v>724</v>
      </c>
      <c r="J433" s="12" t="s">
        <v>729</v>
      </c>
      <c r="K433" s="12" t="s">
        <v>982</v>
      </c>
      <c r="L433" s="6">
        <v>803.28</v>
      </c>
      <c r="M433" s="6">
        <v>1009</v>
      </c>
      <c r="N433" s="6">
        <v>0.11</v>
      </c>
      <c r="O433" s="6">
        <v>4</v>
      </c>
    </row>
    <row r="434" spans="1:15" x14ac:dyDescent="0.25">
      <c r="A434" s="12" t="s">
        <v>593</v>
      </c>
      <c r="B434" s="4">
        <v>45607</v>
      </c>
      <c r="C434" s="4">
        <v>45620</v>
      </c>
      <c r="D434" s="12" t="s">
        <v>649</v>
      </c>
      <c r="E434" s="12" t="s">
        <v>658</v>
      </c>
      <c r="F434" s="12" t="s">
        <v>683</v>
      </c>
      <c r="G434" s="12" t="s">
        <v>701</v>
      </c>
      <c r="H434" s="12" t="s">
        <v>707</v>
      </c>
      <c r="I434" s="12" t="s">
        <v>718</v>
      </c>
      <c r="J434" s="12" t="s">
        <v>729</v>
      </c>
      <c r="K434" s="12" t="s">
        <v>1311</v>
      </c>
      <c r="L434" s="6">
        <v>164.53</v>
      </c>
      <c r="M434" s="6">
        <v>327.72</v>
      </c>
      <c r="N434" s="6">
        <v>6.7000000000000004E-2</v>
      </c>
      <c r="O434" s="6">
        <v>14</v>
      </c>
    </row>
    <row r="435" spans="1:15" x14ac:dyDescent="0.25">
      <c r="A435" s="12" t="s">
        <v>523</v>
      </c>
      <c r="B435" s="4">
        <v>45608</v>
      </c>
      <c r="C435" s="4">
        <v>45617</v>
      </c>
      <c r="D435" s="12" t="s">
        <v>647</v>
      </c>
      <c r="E435" s="12" t="s">
        <v>654</v>
      </c>
      <c r="F435" s="12" t="s">
        <v>691</v>
      </c>
      <c r="G435" s="12" t="s">
        <v>701</v>
      </c>
      <c r="H435" s="12" t="s">
        <v>711</v>
      </c>
      <c r="I435" s="12" t="s">
        <v>722</v>
      </c>
      <c r="J435" s="12" t="s">
        <v>731</v>
      </c>
      <c r="K435" s="12" t="s">
        <v>1242</v>
      </c>
      <c r="L435" s="6">
        <v>903.41</v>
      </c>
      <c r="M435" s="6">
        <v>1860.41</v>
      </c>
      <c r="N435" s="6">
        <v>0.108</v>
      </c>
      <c r="O435" s="6">
        <v>5</v>
      </c>
    </row>
    <row r="436" spans="1:15" x14ac:dyDescent="0.25">
      <c r="A436" s="12" t="s">
        <v>501</v>
      </c>
      <c r="B436" s="4">
        <v>45613</v>
      </c>
      <c r="C436" s="4">
        <v>45624</v>
      </c>
      <c r="D436" s="12" t="s">
        <v>648</v>
      </c>
      <c r="E436" s="12" t="s">
        <v>653</v>
      </c>
      <c r="F436" s="14" t="s">
        <v>1367</v>
      </c>
      <c r="G436" s="12" t="s">
        <v>704</v>
      </c>
      <c r="H436" s="12" t="s">
        <v>710</v>
      </c>
      <c r="I436" s="12" t="s">
        <v>720</v>
      </c>
      <c r="J436" s="12" t="s">
        <v>728</v>
      </c>
      <c r="K436" s="12" t="s">
        <v>1220</v>
      </c>
      <c r="L436" s="6">
        <v>1008.16</v>
      </c>
      <c r="M436" s="6">
        <v>2077.5</v>
      </c>
      <c r="N436" s="6">
        <v>7.3999999999999996E-2</v>
      </c>
      <c r="O436" s="6">
        <v>15</v>
      </c>
    </row>
    <row r="437" spans="1:15" x14ac:dyDescent="0.25">
      <c r="A437" s="12" t="s">
        <v>153</v>
      </c>
      <c r="B437" s="4">
        <v>45616</v>
      </c>
      <c r="C437" s="4">
        <v>45641</v>
      </c>
      <c r="D437" s="12" t="s">
        <v>649</v>
      </c>
      <c r="E437" s="12" t="s">
        <v>657</v>
      </c>
      <c r="F437" s="12" t="s">
        <v>690</v>
      </c>
      <c r="G437" s="12" t="s">
        <v>701</v>
      </c>
      <c r="H437" s="12" t="s">
        <v>708</v>
      </c>
      <c r="I437" s="12" t="s">
        <v>715</v>
      </c>
      <c r="J437" s="12" t="s">
        <v>728</v>
      </c>
      <c r="K437" s="12" t="s">
        <v>872</v>
      </c>
      <c r="L437" s="6">
        <v>1203.58</v>
      </c>
      <c r="M437" s="6">
        <v>1856.16</v>
      </c>
      <c r="N437" s="6">
        <v>0.129</v>
      </c>
      <c r="O437" s="6">
        <v>22</v>
      </c>
    </row>
    <row r="438" spans="1:15" x14ac:dyDescent="0.25">
      <c r="A438" s="12" t="s">
        <v>94</v>
      </c>
      <c r="B438" s="4">
        <v>45617</v>
      </c>
      <c r="C438" s="4">
        <v>45647</v>
      </c>
      <c r="D438" s="12" t="s">
        <v>649</v>
      </c>
      <c r="E438" s="12" t="s">
        <v>657</v>
      </c>
      <c r="F438" s="12" t="s">
        <v>673</v>
      </c>
      <c r="G438" s="12" t="s">
        <v>705</v>
      </c>
      <c r="H438" s="12" t="s">
        <v>711</v>
      </c>
      <c r="I438" s="12" t="s">
        <v>714</v>
      </c>
      <c r="J438" s="12" t="s">
        <v>732</v>
      </c>
      <c r="K438" s="12" t="s">
        <v>813</v>
      </c>
      <c r="L438" s="6">
        <v>1122.68</v>
      </c>
      <c r="M438" s="6">
        <v>1997.19</v>
      </c>
      <c r="N438" s="6">
        <v>0.186</v>
      </c>
      <c r="O438" s="6">
        <v>3</v>
      </c>
    </row>
    <row r="439" spans="1:15" x14ac:dyDescent="0.25">
      <c r="A439" s="12" t="s">
        <v>479</v>
      </c>
      <c r="B439" s="4">
        <v>45618</v>
      </c>
      <c r="C439" s="4">
        <v>45641</v>
      </c>
      <c r="D439" s="12" t="s">
        <v>646</v>
      </c>
      <c r="E439" s="12" t="s">
        <v>650</v>
      </c>
      <c r="F439" s="12" t="s">
        <v>675</v>
      </c>
      <c r="G439" s="12" t="s">
        <v>703</v>
      </c>
      <c r="H439" s="12" t="s">
        <v>710</v>
      </c>
      <c r="I439" s="12" t="s">
        <v>712</v>
      </c>
      <c r="J439" s="12" t="s">
        <v>727</v>
      </c>
      <c r="K439" s="12" t="s">
        <v>1198</v>
      </c>
      <c r="L439" s="6">
        <v>1335.76</v>
      </c>
      <c r="M439" s="6">
        <v>2665.91</v>
      </c>
      <c r="N439" s="6">
        <v>0.21099999999999999</v>
      </c>
      <c r="O439" s="6">
        <v>40</v>
      </c>
    </row>
    <row r="440" spans="1:15" x14ac:dyDescent="0.25">
      <c r="A440" s="12" t="s">
        <v>372</v>
      </c>
      <c r="B440" s="4">
        <v>45621</v>
      </c>
      <c r="C440" s="4">
        <v>45633</v>
      </c>
      <c r="D440" s="12" t="s">
        <v>647</v>
      </c>
      <c r="E440" s="12" t="s">
        <v>659</v>
      </c>
      <c r="F440" s="12" t="s">
        <v>685</v>
      </c>
      <c r="G440" s="12" t="s">
        <v>701</v>
      </c>
      <c r="H440" s="12" t="s">
        <v>710</v>
      </c>
      <c r="I440" s="12" t="s">
        <v>720</v>
      </c>
      <c r="J440" s="12" t="s">
        <v>733</v>
      </c>
      <c r="K440" s="12" t="s">
        <v>1092</v>
      </c>
      <c r="L440" s="6">
        <v>769.9</v>
      </c>
      <c r="M440" s="6">
        <v>814.36</v>
      </c>
      <c r="N440" s="6">
        <v>0</v>
      </c>
      <c r="O440" s="6">
        <v>5</v>
      </c>
    </row>
    <row r="441" spans="1:15" x14ac:dyDescent="0.25">
      <c r="A441" s="12" t="s">
        <v>622</v>
      </c>
      <c r="B441" s="4">
        <v>45623</v>
      </c>
      <c r="C441" s="4">
        <v>45650</v>
      </c>
      <c r="D441" s="12" t="s">
        <v>646</v>
      </c>
      <c r="E441" s="12" t="s">
        <v>650</v>
      </c>
      <c r="F441" s="12" t="s">
        <v>675</v>
      </c>
      <c r="G441" s="12" t="s">
        <v>701</v>
      </c>
      <c r="H441" s="12" t="s">
        <v>710</v>
      </c>
      <c r="I441" s="12" t="s">
        <v>717</v>
      </c>
      <c r="J441" s="12" t="s">
        <v>728</v>
      </c>
      <c r="K441" s="12" t="s">
        <v>1340</v>
      </c>
      <c r="L441" s="6">
        <v>143.33000000000001</v>
      </c>
      <c r="M441" s="6">
        <v>233.51</v>
      </c>
      <c r="N441" s="6">
        <v>0.16300000000000001</v>
      </c>
      <c r="O441" s="6">
        <v>14</v>
      </c>
    </row>
    <row r="442" spans="1:15" x14ac:dyDescent="0.25">
      <c r="A442" s="12" t="s">
        <v>41</v>
      </c>
      <c r="B442" s="4">
        <v>45626</v>
      </c>
      <c r="C442" s="4">
        <v>45656</v>
      </c>
      <c r="D442" s="12" t="s">
        <v>649</v>
      </c>
      <c r="E442" s="12" t="s">
        <v>657</v>
      </c>
      <c r="F442" s="12" t="s">
        <v>673</v>
      </c>
      <c r="G442" s="12" t="s">
        <v>704</v>
      </c>
      <c r="H442" s="12" t="s">
        <v>709</v>
      </c>
      <c r="I442" s="12" t="s">
        <v>721</v>
      </c>
      <c r="J442" s="12" t="s">
        <v>728</v>
      </c>
      <c r="K442" s="12" t="s">
        <v>760</v>
      </c>
      <c r="L442" s="6">
        <v>117.64</v>
      </c>
      <c r="M442" s="6">
        <v>175.67</v>
      </c>
      <c r="N442" s="6">
        <v>0</v>
      </c>
      <c r="O442" s="6">
        <v>10</v>
      </c>
    </row>
    <row r="443" spans="1:15" x14ac:dyDescent="0.25">
      <c r="A443" s="12" t="s">
        <v>430</v>
      </c>
      <c r="B443" s="4">
        <v>45626</v>
      </c>
      <c r="C443" s="4">
        <v>45636</v>
      </c>
      <c r="D443" s="12" t="s">
        <v>647</v>
      </c>
      <c r="E443" s="12" t="s">
        <v>654</v>
      </c>
      <c r="F443" s="12" t="s">
        <v>696</v>
      </c>
      <c r="G443" s="12" t="s">
        <v>705</v>
      </c>
      <c r="H443" s="12" t="s">
        <v>707</v>
      </c>
      <c r="I443" s="12" t="s">
        <v>721</v>
      </c>
      <c r="J443" s="12" t="s">
        <v>733</v>
      </c>
      <c r="K443" s="12" t="s">
        <v>1149</v>
      </c>
      <c r="L443" s="6">
        <v>851.49</v>
      </c>
      <c r="M443" s="6">
        <v>901.79</v>
      </c>
      <c r="N443" s="6">
        <v>0.245</v>
      </c>
      <c r="O443" s="6">
        <v>16</v>
      </c>
    </row>
    <row r="444" spans="1:15" x14ac:dyDescent="0.25">
      <c r="A444" s="12" t="s">
        <v>576</v>
      </c>
      <c r="B444" s="4">
        <v>45626</v>
      </c>
      <c r="C444" s="4">
        <v>45645</v>
      </c>
      <c r="D444" s="12" t="s">
        <v>646</v>
      </c>
      <c r="E444" s="12" t="s">
        <v>650</v>
      </c>
      <c r="F444" s="12" t="s">
        <v>662</v>
      </c>
      <c r="G444" s="12" t="s">
        <v>701</v>
      </c>
      <c r="H444" s="12" t="s">
        <v>708</v>
      </c>
      <c r="I444" s="12" t="s">
        <v>716</v>
      </c>
      <c r="J444" s="12" t="s">
        <v>730</v>
      </c>
      <c r="K444" s="12" t="s">
        <v>1294</v>
      </c>
      <c r="L444" s="6">
        <v>1195.98</v>
      </c>
      <c r="M444" s="6">
        <v>1841.9</v>
      </c>
      <c r="N444" s="6">
        <v>5.5E-2</v>
      </c>
      <c r="O444" s="6">
        <v>19</v>
      </c>
    </row>
    <row r="445" spans="1:15" x14ac:dyDescent="0.25">
      <c r="A445" s="12" t="s">
        <v>257</v>
      </c>
      <c r="B445" s="4">
        <v>45630</v>
      </c>
      <c r="C445" s="4">
        <v>45638</v>
      </c>
      <c r="D445" s="12" t="s">
        <v>649</v>
      </c>
      <c r="E445" s="12" t="s">
        <v>656</v>
      </c>
      <c r="F445" s="12" t="s">
        <v>698</v>
      </c>
      <c r="G445" s="12" t="s">
        <v>706</v>
      </c>
      <c r="H445" s="12" t="s">
        <v>709</v>
      </c>
      <c r="I445" s="12" t="s">
        <v>717</v>
      </c>
      <c r="J445" s="12" t="s">
        <v>728</v>
      </c>
      <c r="K445" s="12" t="s">
        <v>977</v>
      </c>
      <c r="L445" s="6">
        <v>72.06</v>
      </c>
      <c r="M445" s="6">
        <v>122.74</v>
      </c>
      <c r="N445" s="6">
        <v>0.23799999999999999</v>
      </c>
      <c r="O445" s="6">
        <v>8</v>
      </c>
    </row>
    <row r="446" spans="1:15" x14ac:dyDescent="0.25">
      <c r="A446" s="12" t="s">
        <v>118</v>
      </c>
      <c r="B446" s="4">
        <v>45631</v>
      </c>
      <c r="C446" s="4">
        <v>45654</v>
      </c>
      <c r="D446" s="12" t="s">
        <v>648</v>
      </c>
      <c r="E446" s="12" t="s">
        <v>653</v>
      </c>
      <c r="F446" s="12" t="s">
        <v>688</v>
      </c>
      <c r="G446" s="12" t="s">
        <v>701</v>
      </c>
      <c r="H446" s="12" t="s">
        <v>711</v>
      </c>
      <c r="I446" s="12" t="s">
        <v>721</v>
      </c>
      <c r="J446" s="12" t="s">
        <v>733</v>
      </c>
      <c r="K446" s="12" t="s">
        <v>837</v>
      </c>
      <c r="L446" s="6">
        <v>107.03</v>
      </c>
      <c r="M446" s="6">
        <v>242.29</v>
      </c>
      <c r="N446" s="6">
        <v>0.18</v>
      </c>
      <c r="O446" s="6">
        <v>30</v>
      </c>
    </row>
    <row r="447" spans="1:15" x14ac:dyDescent="0.25">
      <c r="A447" s="12" t="s">
        <v>564</v>
      </c>
      <c r="B447" s="4">
        <v>45633</v>
      </c>
      <c r="C447" s="4">
        <v>45652</v>
      </c>
      <c r="D447" s="12" t="s">
        <v>649</v>
      </c>
      <c r="E447" s="12" t="s">
        <v>658</v>
      </c>
      <c r="F447" s="12" t="s">
        <v>683</v>
      </c>
      <c r="G447" s="12" t="s">
        <v>706</v>
      </c>
      <c r="H447" s="12" t="s">
        <v>708</v>
      </c>
      <c r="I447" s="12" t="s">
        <v>726</v>
      </c>
      <c r="J447" s="12" t="s">
        <v>729</v>
      </c>
      <c r="K447" s="12" t="s">
        <v>1282</v>
      </c>
      <c r="L447" s="6">
        <v>1035.24</v>
      </c>
      <c r="M447" s="6">
        <v>2383.41</v>
      </c>
      <c r="N447" s="6">
        <v>0.17</v>
      </c>
      <c r="O447" s="6">
        <v>15</v>
      </c>
    </row>
    <row r="448" spans="1:15" x14ac:dyDescent="0.25">
      <c r="A448" s="12" t="s">
        <v>499</v>
      </c>
      <c r="B448" s="4">
        <v>45634</v>
      </c>
      <c r="C448" s="4">
        <v>45634</v>
      </c>
      <c r="D448" s="12" t="s">
        <v>649</v>
      </c>
      <c r="E448" s="12" t="s">
        <v>657</v>
      </c>
      <c r="F448" s="12" t="s">
        <v>679</v>
      </c>
      <c r="G448" s="12" t="s">
        <v>706</v>
      </c>
      <c r="H448" s="12" t="s">
        <v>707</v>
      </c>
      <c r="I448" s="12" t="s">
        <v>722</v>
      </c>
      <c r="J448" s="12" t="s">
        <v>727</v>
      </c>
      <c r="K448" s="12" t="s">
        <v>1218</v>
      </c>
      <c r="L448" s="6">
        <v>257.44</v>
      </c>
      <c r="M448" s="6">
        <v>290.33</v>
      </c>
      <c r="N448" s="6">
        <v>9.1999999999999998E-2</v>
      </c>
      <c r="O448" s="6">
        <v>23</v>
      </c>
    </row>
    <row r="449" spans="1:15" x14ac:dyDescent="0.25">
      <c r="A449" s="12" t="s">
        <v>31</v>
      </c>
      <c r="B449" s="4">
        <v>45636</v>
      </c>
      <c r="C449" s="4">
        <v>45665</v>
      </c>
      <c r="D449" s="12" t="s">
        <v>649</v>
      </c>
      <c r="E449" s="12" t="s">
        <v>657</v>
      </c>
      <c r="F449" s="12" t="s">
        <v>673</v>
      </c>
      <c r="G449" s="12" t="s">
        <v>705</v>
      </c>
      <c r="H449" s="12" t="s">
        <v>707</v>
      </c>
      <c r="I449" s="12" t="s">
        <v>723</v>
      </c>
      <c r="J449" s="12" t="s">
        <v>728</v>
      </c>
      <c r="K449" s="12" t="s">
        <v>750</v>
      </c>
      <c r="L449" s="6">
        <v>891.08</v>
      </c>
      <c r="M449" s="6">
        <v>1040.0999999999999</v>
      </c>
      <c r="N449" s="6">
        <v>0.109</v>
      </c>
      <c r="O449" s="6">
        <v>28</v>
      </c>
    </row>
    <row r="450" spans="1:15" x14ac:dyDescent="0.25">
      <c r="A450" s="12" t="s">
        <v>447</v>
      </c>
      <c r="B450" s="4">
        <v>45636</v>
      </c>
      <c r="C450" s="4">
        <v>45645</v>
      </c>
      <c r="D450" s="12" t="s">
        <v>646</v>
      </c>
      <c r="E450" s="12" t="s">
        <v>651</v>
      </c>
      <c r="F450" s="12" t="s">
        <v>665</v>
      </c>
      <c r="G450" s="12" t="s">
        <v>701</v>
      </c>
      <c r="H450" s="12" t="s">
        <v>707</v>
      </c>
      <c r="I450" s="12" t="s">
        <v>719</v>
      </c>
      <c r="J450" s="12" t="s">
        <v>732</v>
      </c>
      <c r="K450" s="12" t="s">
        <v>1166</v>
      </c>
      <c r="L450" s="6">
        <v>488.68</v>
      </c>
      <c r="M450" s="6">
        <v>984.36</v>
      </c>
      <c r="N450" s="6">
        <v>5.8999999999999997E-2</v>
      </c>
      <c r="O450" s="6">
        <v>14</v>
      </c>
    </row>
    <row r="451" spans="1:15" x14ac:dyDescent="0.25">
      <c r="A451" s="12" t="s">
        <v>411</v>
      </c>
      <c r="B451" s="4">
        <v>45638</v>
      </c>
      <c r="C451" s="4">
        <v>45646</v>
      </c>
      <c r="D451" s="12" t="s">
        <v>647</v>
      </c>
      <c r="E451" s="12" t="s">
        <v>652</v>
      </c>
      <c r="F451" s="12" t="s">
        <v>689</v>
      </c>
      <c r="G451" s="12" t="s">
        <v>701</v>
      </c>
      <c r="H451" s="12" t="s">
        <v>707</v>
      </c>
      <c r="I451" s="12" t="s">
        <v>717</v>
      </c>
      <c r="J451" s="12" t="s">
        <v>731</v>
      </c>
      <c r="K451" s="12" t="s">
        <v>1130</v>
      </c>
      <c r="L451" s="6">
        <v>1202.47</v>
      </c>
      <c r="M451" s="6">
        <v>1444.72</v>
      </c>
      <c r="N451" s="6">
        <v>0.24099999999999999</v>
      </c>
      <c r="O451" s="6">
        <v>17</v>
      </c>
    </row>
    <row r="452" spans="1:15" x14ac:dyDescent="0.25">
      <c r="A452" s="12" t="s">
        <v>151</v>
      </c>
      <c r="B452" s="4">
        <v>45640</v>
      </c>
      <c r="C452" s="4">
        <v>45669</v>
      </c>
      <c r="D452" s="12" t="s">
        <v>647</v>
      </c>
      <c r="E452" s="12" t="s">
        <v>659</v>
      </c>
      <c r="F452" s="12" t="s">
        <v>676</v>
      </c>
      <c r="G452" s="12" t="s">
        <v>702</v>
      </c>
      <c r="H452" s="12" t="s">
        <v>708</v>
      </c>
      <c r="I452" s="12" t="s">
        <v>713</v>
      </c>
      <c r="J452" s="12" t="s">
        <v>727</v>
      </c>
      <c r="K452" s="12" t="s">
        <v>870</v>
      </c>
      <c r="L452" s="6">
        <v>1412.15</v>
      </c>
      <c r="M452" s="6">
        <v>1631.04</v>
      </c>
      <c r="N452" s="6">
        <v>8.9999999999999993E-3</v>
      </c>
      <c r="O452" s="6">
        <v>6</v>
      </c>
    </row>
    <row r="453" spans="1:15" x14ac:dyDescent="0.25">
      <c r="A453" s="12" t="s">
        <v>88</v>
      </c>
      <c r="B453" s="4">
        <v>45641</v>
      </c>
      <c r="C453" s="4">
        <v>45646</v>
      </c>
      <c r="D453" s="12" t="s">
        <v>647</v>
      </c>
      <c r="E453" s="12" t="s">
        <v>659</v>
      </c>
      <c r="F453" s="12" t="s">
        <v>676</v>
      </c>
      <c r="G453" s="12" t="s">
        <v>705</v>
      </c>
      <c r="H453" s="12" t="s">
        <v>711</v>
      </c>
      <c r="I453" s="12" t="s">
        <v>713</v>
      </c>
      <c r="J453" s="12" t="s">
        <v>729</v>
      </c>
      <c r="K453" s="12" t="s">
        <v>807</v>
      </c>
      <c r="L453" s="6">
        <v>717.55</v>
      </c>
      <c r="M453" s="6">
        <v>546.42999999999995</v>
      </c>
      <c r="N453" s="6">
        <v>4.7E-2</v>
      </c>
      <c r="O453" s="6">
        <v>18</v>
      </c>
    </row>
    <row r="454" spans="1:15" x14ac:dyDescent="0.25">
      <c r="A454" s="12" t="s">
        <v>72</v>
      </c>
      <c r="B454" s="4">
        <v>45643</v>
      </c>
      <c r="C454" s="4">
        <v>45644</v>
      </c>
      <c r="D454" s="12" t="s">
        <v>649</v>
      </c>
      <c r="E454" s="12" t="s">
        <v>656</v>
      </c>
      <c r="F454" s="12" t="s">
        <v>684</v>
      </c>
      <c r="G454" s="12" t="s">
        <v>702</v>
      </c>
      <c r="H454" s="12" t="s">
        <v>707</v>
      </c>
      <c r="I454" s="12" t="s">
        <v>716</v>
      </c>
      <c r="J454" s="12" t="s">
        <v>733</v>
      </c>
      <c r="K454" s="12" t="s">
        <v>791</v>
      </c>
      <c r="L454" s="6">
        <v>346.82</v>
      </c>
      <c r="M454" s="6">
        <v>701.95</v>
      </c>
      <c r="N454" s="6">
        <v>0.14699999999999999</v>
      </c>
      <c r="O454" s="6">
        <v>8</v>
      </c>
    </row>
    <row r="455" spans="1:15" x14ac:dyDescent="0.25">
      <c r="A455" s="12" t="s">
        <v>631</v>
      </c>
      <c r="B455" s="4">
        <v>45643</v>
      </c>
      <c r="C455" s="4">
        <v>45673</v>
      </c>
      <c r="D455" s="12" t="s">
        <v>649</v>
      </c>
      <c r="E455" s="12" t="s">
        <v>658</v>
      </c>
      <c r="F455" s="12" t="s">
        <v>693</v>
      </c>
      <c r="G455" s="12" t="s">
        <v>701</v>
      </c>
      <c r="H455" s="12" t="s">
        <v>707</v>
      </c>
      <c r="I455" s="12" t="s">
        <v>726</v>
      </c>
      <c r="J455" s="12" t="s">
        <v>732</v>
      </c>
      <c r="K455" s="12" t="s">
        <v>1349</v>
      </c>
      <c r="L455" s="6">
        <v>722.87</v>
      </c>
      <c r="M455" s="6">
        <v>-33.659999999999997</v>
      </c>
      <c r="N455" s="6">
        <v>0.10199999999999999</v>
      </c>
      <c r="O455" s="6">
        <v>28</v>
      </c>
    </row>
    <row r="456" spans="1:15" x14ac:dyDescent="0.25">
      <c r="A456" s="12" t="s">
        <v>420</v>
      </c>
      <c r="B456" s="4">
        <v>45646</v>
      </c>
      <c r="C456" s="4">
        <v>45671</v>
      </c>
      <c r="D456" s="12" t="s">
        <v>647</v>
      </c>
      <c r="E456" s="12" t="s">
        <v>654</v>
      </c>
      <c r="F456" s="12" t="s">
        <v>680</v>
      </c>
      <c r="G456" s="12" t="s">
        <v>705</v>
      </c>
      <c r="H456" s="12" t="s">
        <v>707</v>
      </c>
      <c r="I456" s="12" t="s">
        <v>724</v>
      </c>
      <c r="J456" s="12" t="s">
        <v>728</v>
      </c>
      <c r="K456" s="12" t="s">
        <v>1139</v>
      </c>
      <c r="L456" s="6">
        <v>1361.34</v>
      </c>
      <c r="M456" s="6">
        <v>1737.9</v>
      </c>
      <c r="N456" s="6">
        <v>7.6999999999999999E-2</v>
      </c>
      <c r="O456" s="6">
        <v>14</v>
      </c>
    </row>
    <row r="457" spans="1:15" x14ac:dyDescent="0.25">
      <c r="A457" s="12" t="s">
        <v>149</v>
      </c>
      <c r="B457" s="4">
        <v>45647</v>
      </c>
      <c r="C457" s="4">
        <v>45652</v>
      </c>
      <c r="D457" s="12" t="s">
        <v>648</v>
      </c>
      <c r="E457" s="12" t="s">
        <v>660</v>
      </c>
      <c r="F457" s="12" t="s">
        <v>686</v>
      </c>
      <c r="G457" s="12" t="s">
        <v>704</v>
      </c>
      <c r="H457" s="12" t="s">
        <v>709</v>
      </c>
      <c r="I457" s="12" t="s">
        <v>724</v>
      </c>
      <c r="J457" s="12" t="s">
        <v>728</v>
      </c>
      <c r="K457" s="12" t="s">
        <v>868</v>
      </c>
      <c r="L457" s="6">
        <v>699.57</v>
      </c>
      <c r="M457" s="6">
        <v>572.71</v>
      </c>
      <c r="N457" s="6">
        <v>0.192</v>
      </c>
      <c r="O457" s="6">
        <v>26</v>
      </c>
    </row>
    <row r="458" spans="1:15" x14ac:dyDescent="0.25">
      <c r="A458" s="12" t="s">
        <v>156</v>
      </c>
      <c r="B458" s="4">
        <v>45649</v>
      </c>
      <c r="C458" s="4">
        <v>45668</v>
      </c>
      <c r="D458" s="12" t="s">
        <v>649</v>
      </c>
      <c r="E458" s="12" t="s">
        <v>656</v>
      </c>
      <c r="F458" s="12" t="s">
        <v>671</v>
      </c>
      <c r="G458" s="12" t="s">
        <v>702</v>
      </c>
      <c r="H458" s="12" t="s">
        <v>707</v>
      </c>
      <c r="I458" s="12" t="s">
        <v>723</v>
      </c>
      <c r="J458" s="12" t="s">
        <v>730</v>
      </c>
      <c r="K458" s="12" t="s">
        <v>875</v>
      </c>
      <c r="L458" s="6">
        <v>501.81</v>
      </c>
      <c r="M458" s="6">
        <v>921.62</v>
      </c>
      <c r="N458" s="6">
        <v>0.01</v>
      </c>
      <c r="O458" s="6">
        <v>9</v>
      </c>
    </row>
    <row r="459" spans="1:15" x14ac:dyDescent="0.25">
      <c r="A459" s="12" t="s">
        <v>450</v>
      </c>
      <c r="B459" s="4">
        <v>45650</v>
      </c>
      <c r="C459" s="4">
        <v>45670</v>
      </c>
      <c r="D459" s="12" t="s">
        <v>647</v>
      </c>
      <c r="E459" s="12" t="s">
        <v>654</v>
      </c>
      <c r="F459" s="12" t="s">
        <v>668</v>
      </c>
      <c r="G459" s="12" t="s">
        <v>701</v>
      </c>
      <c r="H459" s="12" t="s">
        <v>709</v>
      </c>
      <c r="I459" s="12" t="s">
        <v>726</v>
      </c>
      <c r="J459" s="12" t="s">
        <v>729</v>
      </c>
      <c r="K459" s="12" t="s">
        <v>1169</v>
      </c>
      <c r="L459" s="6">
        <v>126.15</v>
      </c>
      <c r="M459" s="6">
        <v>284.23</v>
      </c>
      <c r="N459" s="6">
        <v>0.113</v>
      </c>
      <c r="O459" s="6">
        <v>22</v>
      </c>
    </row>
    <row r="460" spans="1:15" x14ac:dyDescent="0.25">
      <c r="A460" s="12" t="s">
        <v>21</v>
      </c>
      <c r="B460" s="4">
        <v>45653</v>
      </c>
      <c r="C460" s="4">
        <v>45671</v>
      </c>
      <c r="D460" s="12" t="s">
        <v>647</v>
      </c>
      <c r="E460" s="12" t="s">
        <v>654</v>
      </c>
      <c r="F460" s="12" t="s">
        <v>668</v>
      </c>
      <c r="G460" s="12" t="s">
        <v>705</v>
      </c>
      <c r="H460" s="12" t="s">
        <v>709</v>
      </c>
      <c r="I460" s="12" t="s">
        <v>718</v>
      </c>
      <c r="J460" s="12" t="s">
        <v>732</v>
      </c>
      <c r="K460" s="12" t="s">
        <v>740</v>
      </c>
      <c r="L460" s="6">
        <v>586.07000000000005</v>
      </c>
      <c r="M460" s="6">
        <v>845.97</v>
      </c>
      <c r="N460" s="6">
        <v>0.14699999999999999</v>
      </c>
      <c r="O460" s="6">
        <v>4</v>
      </c>
    </row>
    <row r="461" spans="1:15" x14ac:dyDescent="0.25">
      <c r="A461" s="12" t="s">
        <v>45</v>
      </c>
      <c r="B461" s="4">
        <v>45653</v>
      </c>
      <c r="C461" s="4">
        <v>45672</v>
      </c>
      <c r="D461" s="12" t="s">
        <v>647</v>
      </c>
      <c r="E461" s="12" t="s">
        <v>654</v>
      </c>
      <c r="F461" s="12" t="s">
        <v>680</v>
      </c>
      <c r="G461" s="12" t="s">
        <v>703</v>
      </c>
      <c r="H461" s="12" t="s">
        <v>710</v>
      </c>
      <c r="I461" s="12" t="s">
        <v>715</v>
      </c>
      <c r="J461" s="12" t="s">
        <v>727</v>
      </c>
      <c r="K461" s="12" t="s">
        <v>764</v>
      </c>
      <c r="L461" s="6">
        <v>495.59</v>
      </c>
      <c r="M461" s="6">
        <v>631.78</v>
      </c>
      <c r="N461" s="6">
        <v>8.6999999999999994E-2</v>
      </c>
      <c r="O461" s="6">
        <v>17</v>
      </c>
    </row>
    <row r="462" spans="1:15" x14ac:dyDescent="0.25">
      <c r="A462" s="12" t="s">
        <v>132</v>
      </c>
      <c r="B462" s="4">
        <v>45653</v>
      </c>
      <c r="C462" s="4">
        <v>45659</v>
      </c>
      <c r="D462" s="12" t="s">
        <v>649</v>
      </c>
      <c r="E462" s="12" t="s">
        <v>656</v>
      </c>
      <c r="F462" s="12" t="s">
        <v>698</v>
      </c>
      <c r="G462" s="12" t="s">
        <v>702</v>
      </c>
      <c r="H462" s="12" t="s">
        <v>711</v>
      </c>
      <c r="I462" s="12" t="s">
        <v>721</v>
      </c>
      <c r="J462" s="12" t="s">
        <v>731</v>
      </c>
      <c r="K462" s="12" t="s">
        <v>851</v>
      </c>
      <c r="L462" s="6">
        <v>1391.99</v>
      </c>
      <c r="M462" s="6">
        <v>3469.7</v>
      </c>
      <c r="N462" s="6">
        <v>0.184</v>
      </c>
      <c r="O462" s="6">
        <v>23</v>
      </c>
    </row>
    <row r="463" spans="1:15" x14ac:dyDescent="0.25">
      <c r="A463" s="12" t="s">
        <v>469</v>
      </c>
      <c r="B463" s="4">
        <v>45653</v>
      </c>
      <c r="C463" s="4">
        <v>45655</v>
      </c>
      <c r="D463" s="12" t="s">
        <v>648</v>
      </c>
      <c r="E463" s="12" t="s">
        <v>653</v>
      </c>
      <c r="F463" s="12" t="s">
        <v>688</v>
      </c>
      <c r="G463" s="12" t="s">
        <v>706</v>
      </c>
      <c r="H463" s="12" t="s">
        <v>709</v>
      </c>
      <c r="I463" s="12" t="s">
        <v>712</v>
      </c>
      <c r="J463" s="12" t="s">
        <v>733</v>
      </c>
      <c r="K463" s="12" t="s">
        <v>1188</v>
      </c>
      <c r="L463" s="6">
        <v>1146.72</v>
      </c>
      <c r="M463" s="6">
        <v>2074.34</v>
      </c>
      <c r="N463" s="6">
        <v>0.111</v>
      </c>
      <c r="O463" s="6">
        <v>8</v>
      </c>
    </row>
    <row r="464" spans="1:15" x14ac:dyDescent="0.25">
      <c r="A464" s="12" t="s">
        <v>445</v>
      </c>
      <c r="B464" s="4">
        <v>45654</v>
      </c>
      <c r="C464" s="4">
        <v>45665</v>
      </c>
      <c r="D464" s="12" t="s">
        <v>647</v>
      </c>
      <c r="E464" s="12" t="s">
        <v>659</v>
      </c>
      <c r="F464" s="12" t="s">
        <v>676</v>
      </c>
      <c r="G464" s="12" t="s">
        <v>706</v>
      </c>
      <c r="H464" s="12" t="s">
        <v>708</v>
      </c>
      <c r="I464" s="12" t="s">
        <v>723</v>
      </c>
      <c r="J464" s="12" t="s">
        <v>731</v>
      </c>
      <c r="K464" s="12" t="s">
        <v>1164</v>
      </c>
      <c r="L464" s="6">
        <v>1201.31</v>
      </c>
      <c r="M464" s="6">
        <v>2764.65</v>
      </c>
      <c r="N464" s="6">
        <v>0</v>
      </c>
      <c r="O464" s="6">
        <v>21</v>
      </c>
    </row>
    <row r="465" spans="1:15" x14ac:dyDescent="0.25">
      <c r="A465" s="12" t="s">
        <v>324</v>
      </c>
      <c r="B465" s="4">
        <v>45655</v>
      </c>
      <c r="C465" s="4">
        <v>45669</v>
      </c>
      <c r="D465" s="12" t="s">
        <v>649</v>
      </c>
      <c r="E465" s="12" t="s">
        <v>658</v>
      </c>
      <c r="F465" s="12" t="s">
        <v>693</v>
      </c>
      <c r="G465" s="12" t="s">
        <v>701</v>
      </c>
      <c r="H465" s="12" t="s">
        <v>711</v>
      </c>
      <c r="I465" s="12" t="s">
        <v>717</v>
      </c>
      <c r="J465" s="12" t="s">
        <v>732</v>
      </c>
      <c r="K465" s="12" t="s">
        <v>1044</v>
      </c>
      <c r="L465" s="6">
        <v>1399.72</v>
      </c>
      <c r="M465" s="6">
        <v>3149.21</v>
      </c>
      <c r="N465" s="6">
        <v>0.185</v>
      </c>
      <c r="O465" s="6">
        <v>12</v>
      </c>
    </row>
    <row r="466" spans="1:15" x14ac:dyDescent="0.25">
      <c r="A466" s="12" t="s">
        <v>26</v>
      </c>
      <c r="B466" s="4">
        <v>45660</v>
      </c>
      <c r="C466" s="4">
        <v>45680</v>
      </c>
      <c r="D466" s="12" t="s">
        <v>647</v>
      </c>
      <c r="E466" s="12" t="s">
        <v>652</v>
      </c>
      <c r="F466" s="12" t="s">
        <v>666</v>
      </c>
      <c r="G466" s="12" t="s">
        <v>701</v>
      </c>
      <c r="H466" s="12" t="s">
        <v>710</v>
      </c>
      <c r="I466" s="12" t="s">
        <v>721</v>
      </c>
      <c r="J466" s="12" t="s">
        <v>730</v>
      </c>
      <c r="K466" s="12" t="s">
        <v>745</v>
      </c>
      <c r="L466" s="6">
        <v>908.6</v>
      </c>
      <c r="M466" s="6">
        <v>691.37</v>
      </c>
      <c r="N466" s="6">
        <v>0.25</v>
      </c>
      <c r="O466" s="6">
        <v>20</v>
      </c>
    </row>
    <row r="467" spans="1:15" x14ac:dyDescent="0.25">
      <c r="A467" s="12" t="s">
        <v>528</v>
      </c>
      <c r="B467" s="4">
        <v>45661</v>
      </c>
      <c r="C467" s="4">
        <v>45662</v>
      </c>
      <c r="D467" s="12" t="s">
        <v>647</v>
      </c>
      <c r="E467" s="12" t="s">
        <v>654</v>
      </c>
      <c r="F467" s="12" t="s">
        <v>680</v>
      </c>
      <c r="G467" s="12" t="s">
        <v>702</v>
      </c>
      <c r="H467" s="12" t="s">
        <v>707</v>
      </c>
      <c r="I467" s="12" t="s">
        <v>714</v>
      </c>
      <c r="J467" s="12" t="s">
        <v>727</v>
      </c>
      <c r="K467" s="12" t="s">
        <v>1247</v>
      </c>
      <c r="L467" s="6">
        <v>1428.33</v>
      </c>
      <c r="M467" s="6">
        <v>3028.05</v>
      </c>
      <c r="N467" s="6">
        <v>0</v>
      </c>
      <c r="O467" s="6">
        <v>11</v>
      </c>
    </row>
    <row r="468" spans="1:15" x14ac:dyDescent="0.25">
      <c r="A468" s="12" t="s">
        <v>392</v>
      </c>
      <c r="B468" s="4">
        <v>45664</v>
      </c>
      <c r="C468" s="4">
        <v>45677</v>
      </c>
      <c r="D468" s="12" t="s">
        <v>646</v>
      </c>
      <c r="E468" s="12" t="s">
        <v>661</v>
      </c>
      <c r="F468" s="12" t="s">
        <v>695</v>
      </c>
      <c r="G468" s="12" t="s">
        <v>701</v>
      </c>
      <c r="H468" s="12" t="s">
        <v>711</v>
      </c>
      <c r="I468" s="12" t="s">
        <v>723</v>
      </c>
      <c r="J468" s="12" t="s">
        <v>729</v>
      </c>
      <c r="K468" s="12" t="s">
        <v>1112</v>
      </c>
      <c r="L468" s="6">
        <v>432.13</v>
      </c>
      <c r="M468" s="6">
        <v>1034.6600000000001</v>
      </c>
      <c r="N468" s="6">
        <v>9.1999999999999998E-2</v>
      </c>
      <c r="O468" s="6">
        <v>7</v>
      </c>
    </row>
    <row r="469" spans="1:15" x14ac:dyDescent="0.25">
      <c r="A469" s="12" t="s">
        <v>148</v>
      </c>
      <c r="B469" s="4">
        <v>45666</v>
      </c>
      <c r="C469" s="4">
        <v>45672</v>
      </c>
      <c r="D469" s="12" t="s">
        <v>647</v>
      </c>
      <c r="E469" s="12" t="s">
        <v>659</v>
      </c>
      <c r="F469" s="12" t="s">
        <v>699</v>
      </c>
      <c r="G469" s="12" t="s">
        <v>702</v>
      </c>
      <c r="H469" s="12" t="s">
        <v>708</v>
      </c>
      <c r="I469" s="12" t="s">
        <v>712</v>
      </c>
      <c r="J469" s="12" t="s">
        <v>730</v>
      </c>
      <c r="K469" s="12" t="s">
        <v>867</v>
      </c>
      <c r="L469" s="6">
        <v>304.77999999999997</v>
      </c>
      <c r="M469" s="6">
        <v>537.27</v>
      </c>
      <c r="N469" s="6">
        <v>0.187</v>
      </c>
      <c r="O469" s="6">
        <v>8</v>
      </c>
    </row>
    <row r="470" spans="1:15" x14ac:dyDescent="0.25">
      <c r="A470" s="12" t="s">
        <v>549</v>
      </c>
      <c r="B470" s="4">
        <v>45667</v>
      </c>
      <c r="C470" s="4">
        <v>45694</v>
      </c>
      <c r="D470" s="12" t="s">
        <v>648</v>
      </c>
      <c r="E470" s="12" t="s">
        <v>655</v>
      </c>
      <c r="F470" s="12" t="s">
        <v>672</v>
      </c>
      <c r="G470" s="12" t="s">
        <v>703</v>
      </c>
      <c r="H470" s="12" t="s">
        <v>707</v>
      </c>
      <c r="I470" s="12" t="s">
        <v>717</v>
      </c>
      <c r="J470" s="12" t="s">
        <v>731</v>
      </c>
      <c r="K470" s="12" t="s">
        <v>1268</v>
      </c>
      <c r="L470" s="6">
        <v>725.62</v>
      </c>
      <c r="M470" s="6">
        <v>1559.19</v>
      </c>
      <c r="N470" s="6">
        <v>0.19</v>
      </c>
      <c r="O470" s="6">
        <v>12</v>
      </c>
    </row>
    <row r="471" spans="1:15" x14ac:dyDescent="0.25">
      <c r="A471" s="12" t="s">
        <v>344</v>
      </c>
      <c r="B471" s="4">
        <v>45668</v>
      </c>
      <c r="C471" s="4">
        <v>45680</v>
      </c>
      <c r="D471" s="12" t="s">
        <v>648</v>
      </c>
      <c r="E471" s="12" t="s">
        <v>660</v>
      </c>
      <c r="F471" s="12" t="s">
        <v>697</v>
      </c>
      <c r="G471" s="12" t="s">
        <v>704</v>
      </c>
      <c r="H471" s="12" t="s">
        <v>710</v>
      </c>
      <c r="I471" s="12" t="s">
        <v>722</v>
      </c>
      <c r="J471" s="12" t="s">
        <v>730</v>
      </c>
      <c r="K471" s="12" t="s">
        <v>1064</v>
      </c>
      <c r="L471" s="6">
        <v>100.69</v>
      </c>
      <c r="M471" s="6">
        <v>226.14</v>
      </c>
      <c r="N471" s="6">
        <v>6.5000000000000002E-2</v>
      </c>
      <c r="O471" s="6">
        <v>12</v>
      </c>
    </row>
    <row r="472" spans="1:15" x14ac:dyDescent="0.25">
      <c r="A472" s="12" t="s">
        <v>201</v>
      </c>
      <c r="B472" s="4">
        <v>45670</v>
      </c>
      <c r="C472" s="4">
        <v>45696</v>
      </c>
      <c r="D472" s="12" t="s">
        <v>649</v>
      </c>
      <c r="E472" s="12" t="s">
        <v>657</v>
      </c>
      <c r="F472" s="12" t="s">
        <v>690</v>
      </c>
      <c r="G472" s="12" t="s">
        <v>703</v>
      </c>
      <c r="H472" s="14" t="s">
        <v>1379</v>
      </c>
      <c r="I472" s="12" t="s">
        <v>718</v>
      </c>
      <c r="J472" s="12" t="s">
        <v>732</v>
      </c>
      <c r="K472" s="12" t="s">
        <v>920</v>
      </c>
      <c r="L472" s="6">
        <v>594.74</v>
      </c>
      <c r="M472" s="6">
        <v>1020.69</v>
      </c>
      <c r="N472" s="6">
        <v>0.21099999999999999</v>
      </c>
      <c r="O472" s="6">
        <v>6</v>
      </c>
    </row>
    <row r="473" spans="1:15" x14ac:dyDescent="0.25">
      <c r="A473" s="12" t="s">
        <v>128</v>
      </c>
      <c r="B473" s="4">
        <v>45674</v>
      </c>
      <c r="C473" s="4">
        <v>45681</v>
      </c>
      <c r="D473" s="12" t="s">
        <v>648</v>
      </c>
      <c r="E473" s="12" t="s">
        <v>660</v>
      </c>
      <c r="F473" s="12" t="s">
        <v>697</v>
      </c>
      <c r="G473" s="12" t="s">
        <v>706</v>
      </c>
      <c r="H473" s="12" t="s">
        <v>708</v>
      </c>
      <c r="I473" s="12" t="s">
        <v>715</v>
      </c>
      <c r="J473" s="12" t="s">
        <v>733</v>
      </c>
      <c r="K473" s="12" t="s">
        <v>847</v>
      </c>
      <c r="L473" s="6">
        <v>142.09</v>
      </c>
      <c r="M473" s="6">
        <v>218.5</v>
      </c>
      <c r="N473" s="6">
        <v>0.11899999999999999</v>
      </c>
      <c r="O473" s="6">
        <v>11</v>
      </c>
    </row>
    <row r="474" spans="1:15" x14ac:dyDescent="0.25">
      <c r="A474" s="12" t="s">
        <v>418</v>
      </c>
      <c r="B474" s="4">
        <v>45677</v>
      </c>
      <c r="C474" s="4">
        <v>45691</v>
      </c>
      <c r="D474" s="12" t="s">
        <v>648</v>
      </c>
      <c r="E474" s="12" t="s">
        <v>655</v>
      </c>
      <c r="F474" s="12" t="s">
        <v>672</v>
      </c>
      <c r="G474" s="12" t="s">
        <v>706</v>
      </c>
      <c r="H474" s="12" t="s">
        <v>709</v>
      </c>
      <c r="I474" s="12" t="s">
        <v>721</v>
      </c>
      <c r="J474" s="12" t="s">
        <v>727</v>
      </c>
      <c r="K474" s="12" t="s">
        <v>1137</v>
      </c>
      <c r="L474" s="6">
        <v>974.11</v>
      </c>
      <c r="M474" s="6">
        <v>880.99</v>
      </c>
      <c r="N474" s="6">
        <v>0.111</v>
      </c>
      <c r="O474" s="6">
        <v>10</v>
      </c>
    </row>
    <row r="475" spans="1:15" x14ac:dyDescent="0.25">
      <c r="A475" s="12" t="s">
        <v>68</v>
      </c>
      <c r="B475" s="4">
        <v>45678</v>
      </c>
      <c r="C475" s="4">
        <v>45704</v>
      </c>
      <c r="D475" s="12" t="s">
        <v>649</v>
      </c>
      <c r="E475" s="12" t="s">
        <v>657</v>
      </c>
      <c r="F475" s="12" t="s">
        <v>679</v>
      </c>
      <c r="G475" s="12" t="s">
        <v>701</v>
      </c>
      <c r="H475" s="12" t="s">
        <v>710</v>
      </c>
      <c r="I475" s="12" t="s">
        <v>719</v>
      </c>
      <c r="J475" s="12" t="s">
        <v>731</v>
      </c>
      <c r="K475" s="12" t="s">
        <v>787</v>
      </c>
      <c r="L475" s="6">
        <v>204.11</v>
      </c>
      <c r="M475" s="6">
        <v>236.87</v>
      </c>
      <c r="N475" s="6">
        <v>0.182</v>
      </c>
      <c r="O475" s="6">
        <v>13</v>
      </c>
    </row>
    <row r="476" spans="1:15" x14ac:dyDescent="0.25">
      <c r="A476" s="12" t="s">
        <v>221</v>
      </c>
      <c r="B476" s="4">
        <v>45678</v>
      </c>
      <c r="C476" s="4">
        <v>45702</v>
      </c>
      <c r="D476" s="12" t="s">
        <v>646</v>
      </c>
      <c r="E476" s="12" t="s">
        <v>650</v>
      </c>
      <c r="F476" s="12" t="s">
        <v>664</v>
      </c>
      <c r="G476" s="12" t="s">
        <v>705</v>
      </c>
      <c r="H476" s="12" t="s">
        <v>707</v>
      </c>
      <c r="I476" s="12" t="s">
        <v>713</v>
      </c>
      <c r="J476" s="12" t="s">
        <v>733</v>
      </c>
      <c r="K476" s="12" t="s">
        <v>941</v>
      </c>
      <c r="L476" s="6">
        <v>1030.44</v>
      </c>
      <c r="M476" s="6">
        <v>2562.84</v>
      </c>
      <c r="N476" s="6">
        <v>0.14799999999999999</v>
      </c>
      <c r="O476" s="6">
        <v>13</v>
      </c>
    </row>
    <row r="477" spans="1:15" x14ac:dyDescent="0.25">
      <c r="A477" s="12" t="s">
        <v>313</v>
      </c>
      <c r="B477" s="4">
        <v>45679</v>
      </c>
      <c r="C477" s="4">
        <v>45679</v>
      </c>
      <c r="D477" s="12" t="s">
        <v>649</v>
      </c>
      <c r="E477" s="12" t="s">
        <v>657</v>
      </c>
      <c r="F477" s="12" t="s">
        <v>679</v>
      </c>
      <c r="G477" s="12" t="s">
        <v>705</v>
      </c>
      <c r="H477" s="12" t="s">
        <v>708</v>
      </c>
      <c r="I477" s="12" t="s">
        <v>717</v>
      </c>
      <c r="J477" s="12" t="s">
        <v>733</v>
      </c>
      <c r="K477" s="12" t="s">
        <v>1033</v>
      </c>
      <c r="L477" s="6">
        <v>591.72</v>
      </c>
      <c r="M477" s="6">
        <v>577.24</v>
      </c>
      <c r="N477" s="6">
        <v>0</v>
      </c>
      <c r="O477" s="6">
        <v>22</v>
      </c>
    </row>
    <row r="478" spans="1:15" x14ac:dyDescent="0.25">
      <c r="A478" s="12" t="s">
        <v>322</v>
      </c>
      <c r="B478" s="4">
        <v>45679</v>
      </c>
      <c r="C478" s="4">
        <v>45692</v>
      </c>
      <c r="D478" s="12" t="s">
        <v>647</v>
      </c>
      <c r="E478" s="12" t="s">
        <v>652</v>
      </c>
      <c r="F478" s="12" t="s">
        <v>689</v>
      </c>
      <c r="G478" s="12" t="s">
        <v>705</v>
      </c>
      <c r="H478" s="12" t="s">
        <v>710</v>
      </c>
      <c r="I478" s="12" t="s">
        <v>716</v>
      </c>
      <c r="J478" s="12" t="s">
        <v>728</v>
      </c>
      <c r="K478" s="12" t="s">
        <v>1042</v>
      </c>
      <c r="L478" s="6">
        <v>122.29</v>
      </c>
      <c r="M478" s="6">
        <v>224.95</v>
      </c>
      <c r="N478" s="6">
        <v>0.153</v>
      </c>
      <c r="O478" s="6">
        <v>28</v>
      </c>
    </row>
    <row r="479" spans="1:15" x14ac:dyDescent="0.25">
      <c r="A479" s="12" t="s">
        <v>115</v>
      </c>
      <c r="B479" s="4">
        <v>45684</v>
      </c>
      <c r="C479" s="4">
        <v>45703</v>
      </c>
      <c r="D479" s="12" t="s">
        <v>647</v>
      </c>
      <c r="E479" s="12" t="s">
        <v>659</v>
      </c>
      <c r="F479" s="12" t="s">
        <v>676</v>
      </c>
      <c r="G479" s="12" t="s">
        <v>703</v>
      </c>
      <c r="H479" s="12" t="s">
        <v>711</v>
      </c>
      <c r="I479" s="12" t="s">
        <v>716</v>
      </c>
      <c r="J479" s="12" t="s">
        <v>730</v>
      </c>
      <c r="K479" s="12" t="s">
        <v>834</v>
      </c>
      <c r="L479" s="6">
        <v>1253.22</v>
      </c>
      <c r="M479" s="6">
        <v>3104.71</v>
      </c>
      <c r="N479" s="6">
        <v>0</v>
      </c>
      <c r="O479" s="6">
        <v>17</v>
      </c>
    </row>
    <row r="480" spans="1:15" x14ac:dyDescent="0.25">
      <c r="A480" s="12" t="s">
        <v>227</v>
      </c>
      <c r="B480" s="4">
        <v>45686</v>
      </c>
      <c r="C480" s="4">
        <v>45694</v>
      </c>
      <c r="D480" s="12" t="s">
        <v>646</v>
      </c>
      <c r="E480" s="12" t="s">
        <v>650</v>
      </c>
      <c r="F480" s="12" t="s">
        <v>662</v>
      </c>
      <c r="G480" s="12" t="s">
        <v>702</v>
      </c>
      <c r="H480" s="12" t="s">
        <v>707</v>
      </c>
      <c r="I480" s="12" t="s">
        <v>717</v>
      </c>
      <c r="J480" s="12" t="s">
        <v>730</v>
      </c>
      <c r="K480" s="12" t="s">
        <v>947</v>
      </c>
      <c r="L480" s="6">
        <v>1445.27</v>
      </c>
      <c r="M480" s="6">
        <v>2691.45</v>
      </c>
      <c r="N480" s="6">
        <v>0</v>
      </c>
      <c r="O480" s="6">
        <v>9</v>
      </c>
    </row>
    <row r="481" spans="1:15" x14ac:dyDescent="0.25">
      <c r="A481" s="12" t="s">
        <v>394</v>
      </c>
      <c r="B481" s="4">
        <v>45688</v>
      </c>
      <c r="C481" s="4">
        <v>45705</v>
      </c>
      <c r="D481" s="12" t="s">
        <v>649</v>
      </c>
      <c r="E481" s="12" t="s">
        <v>658</v>
      </c>
      <c r="F481" s="12" t="s">
        <v>683</v>
      </c>
      <c r="G481" s="12" t="s">
        <v>706</v>
      </c>
      <c r="H481" s="12" t="s">
        <v>707</v>
      </c>
      <c r="I481" s="12" t="s">
        <v>722</v>
      </c>
      <c r="J481" s="12" t="s">
        <v>727</v>
      </c>
      <c r="K481" s="12" t="s">
        <v>812</v>
      </c>
      <c r="L481" s="6">
        <v>378.26</v>
      </c>
      <c r="M481" s="6">
        <v>541.55999999999995</v>
      </c>
      <c r="N481" s="6">
        <v>0.16300000000000001</v>
      </c>
      <c r="O481" s="6">
        <v>25</v>
      </c>
    </row>
    <row r="482" spans="1:15" x14ac:dyDescent="0.25">
      <c r="A482" s="12" t="s">
        <v>197</v>
      </c>
      <c r="B482" s="4">
        <v>45690</v>
      </c>
      <c r="C482" s="4">
        <v>45720</v>
      </c>
      <c r="D482" s="12" t="s">
        <v>647</v>
      </c>
      <c r="E482" s="12" t="s">
        <v>652</v>
      </c>
      <c r="F482" s="12" t="s">
        <v>666</v>
      </c>
      <c r="G482" s="12" t="s">
        <v>702</v>
      </c>
      <c r="H482" s="12" t="s">
        <v>710</v>
      </c>
      <c r="I482" s="12" t="s">
        <v>716</v>
      </c>
      <c r="J482" s="12" t="s">
        <v>733</v>
      </c>
      <c r="K482" s="12" t="s">
        <v>916</v>
      </c>
      <c r="L482" s="6">
        <v>766.59</v>
      </c>
      <c r="M482" s="6">
        <v>1912.8</v>
      </c>
      <c r="N482" s="6">
        <v>0.19600000000000001</v>
      </c>
      <c r="O482" s="6">
        <v>5</v>
      </c>
    </row>
    <row r="483" spans="1:15" x14ac:dyDescent="0.25">
      <c r="A483" s="12" t="s">
        <v>218</v>
      </c>
      <c r="B483" s="4">
        <v>45692</v>
      </c>
      <c r="C483" s="4">
        <v>45713</v>
      </c>
      <c r="D483" s="12" t="s">
        <v>649</v>
      </c>
      <c r="E483" s="12" t="s">
        <v>658</v>
      </c>
      <c r="F483" s="12" t="s">
        <v>674</v>
      </c>
      <c r="G483" s="12" t="s">
        <v>701</v>
      </c>
      <c r="H483" s="12" t="s">
        <v>709</v>
      </c>
      <c r="I483" s="12" t="s">
        <v>726</v>
      </c>
      <c r="J483" s="12" t="s">
        <v>732</v>
      </c>
      <c r="K483" s="12" t="s">
        <v>938</v>
      </c>
      <c r="L483" s="6">
        <v>1016.32</v>
      </c>
      <c r="M483" s="6">
        <v>2253.42</v>
      </c>
      <c r="N483" s="6">
        <v>5.5E-2</v>
      </c>
      <c r="O483" s="6">
        <v>12</v>
      </c>
    </row>
    <row r="484" spans="1:15" x14ac:dyDescent="0.25">
      <c r="A484" s="12" t="s">
        <v>578</v>
      </c>
      <c r="B484" s="4">
        <v>45692</v>
      </c>
      <c r="C484" s="4">
        <v>45696</v>
      </c>
      <c r="D484" s="12" t="s">
        <v>649</v>
      </c>
      <c r="E484" s="12" t="s">
        <v>658</v>
      </c>
      <c r="F484" s="12" t="s">
        <v>693</v>
      </c>
      <c r="G484" s="12" t="s">
        <v>706</v>
      </c>
      <c r="H484" s="12" t="s">
        <v>709</v>
      </c>
      <c r="I484" s="12" t="s">
        <v>716</v>
      </c>
      <c r="J484" s="12" t="s">
        <v>729</v>
      </c>
      <c r="K484" s="12" t="s">
        <v>1296</v>
      </c>
      <c r="L484" s="6">
        <v>586.21</v>
      </c>
      <c r="M484" s="6">
        <v>727.22</v>
      </c>
      <c r="N484" s="6">
        <v>6.8000000000000005E-2</v>
      </c>
      <c r="O484" s="6">
        <v>15</v>
      </c>
    </row>
    <row r="485" spans="1:15" x14ac:dyDescent="0.25">
      <c r="A485" s="12" t="s">
        <v>393</v>
      </c>
      <c r="B485" s="4">
        <v>45694</v>
      </c>
      <c r="C485" s="4">
        <v>45703</v>
      </c>
      <c r="D485" s="12" t="s">
        <v>648</v>
      </c>
      <c r="E485" s="12" t="s">
        <v>655</v>
      </c>
      <c r="F485" s="12" t="s">
        <v>670</v>
      </c>
      <c r="G485" s="12" t="s">
        <v>703</v>
      </c>
      <c r="H485" s="12" t="s">
        <v>710</v>
      </c>
      <c r="I485" s="12" t="s">
        <v>721</v>
      </c>
      <c r="J485" s="12" t="s">
        <v>729</v>
      </c>
      <c r="K485" s="12" t="s">
        <v>1113</v>
      </c>
      <c r="L485" s="6">
        <v>837.39</v>
      </c>
      <c r="M485" s="6">
        <v>1905.42</v>
      </c>
      <c r="N485" s="6">
        <v>3.2000000000000001E-2</v>
      </c>
      <c r="O485" s="6">
        <v>18</v>
      </c>
    </row>
    <row r="486" spans="1:15" x14ac:dyDescent="0.25">
      <c r="A486" s="12" t="s">
        <v>540</v>
      </c>
      <c r="B486" s="4">
        <v>45695</v>
      </c>
      <c r="C486" s="4">
        <v>45704</v>
      </c>
      <c r="D486" s="12" t="s">
        <v>646</v>
      </c>
      <c r="E486" s="12" t="s">
        <v>651</v>
      </c>
      <c r="F486" s="12" t="s">
        <v>665</v>
      </c>
      <c r="G486" s="12" t="s">
        <v>705</v>
      </c>
      <c r="H486" s="12" t="s">
        <v>710</v>
      </c>
      <c r="I486" s="12" t="s">
        <v>712</v>
      </c>
      <c r="J486" s="12" t="s">
        <v>728</v>
      </c>
      <c r="K486" s="12" t="s">
        <v>1259</v>
      </c>
      <c r="L486" s="6">
        <v>90.68</v>
      </c>
      <c r="M486" s="6">
        <v>118.17</v>
      </c>
      <c r="N486" s="6">
        <v>0.13500000000000001</v>
      </c>
      <c r="O486" s="6">
        <v>21</v>
      </c>
    </row>
    <row r="487" spans="1:15" x14ac:dyDescent="0.25">
      <c r="A487" s="12" t="s">
        <v>71</v>
      </c>
      <c r="B487" s="4">
        <v>45697</v>
      </c>
      <c r="C487" s="4">
        <v>45717</v>
      </c>
      <c r="D487" s="12" t="s">
        <v>648</v>
      </c>
      <c r="E487" s="12" t="s">
        <v>655</v>
      </c>
      <c r="F487" s="12" t="s">
        <v>670</v>
      </c>
      <c r="G487" s="12" t="s">
        <v>701</v>
      </c>
      <c r="H487" s="12" t="s">
        <v>710</v>
      </c>
      <c r="I487" s="12" t="s">
        <v>717</v>
      </c>
      <c r="J487" s="12" t="s">
        <v>731</v>
      </c>
      <c r="K487" s="12" t="s">
        <v>790</v>
      </c>
      <c r="L487" s="6">
        <v>1154.6400000000001</v>
      </c>
      <c r="M487" s="6">
        <v>2794.13</v>
      </c>
      <c r="N487" s="6">
        <v>3.5000000000000003E-2</v>
      </c>
      <c r="O487" s="6">
        <v>11</v>
      </c>
    </row>
    <row r="488" spans="1:15" x14ac:dyDescent="0.25">
      <c r="A488" s="12" t="s">
        <v>145</v>
      </c>
      <c r="B488" s="4">
        <v>45700</v>
      </c>
      <c r="C488" s="4">
        <v>45716</v>
      </c>
      <c r="D488" s="12" t="s">
        <v>648</v>
      </c>
      <c r="E488" s="12" t="s">
        <v>655</v>
      </c>
      <c r="F488" s="12" t="s">
        <v>670</v>
      </c>
      <c r="G488" s="12" t="s">
        <v>703</v>
      </c>
      <c r="H488" s="12" t="s">
        <v>711</v>
      </c>
      <c r="I488" s="12" t="s">
        <v>717</v>
      </c>
      <c r="J488" s="12" t="s">
        <v>732</v>
      </c>
      <c r="K488" s="12" t="s">
        <v>864</v>
      </c>
      <c r="L488" s="6">
        <v>414.95</v>
      </c>
      <c r="M488" s="6">
        <v>1027.73</v>
      </c>
      <c r="N488" s="6">
        <v>6.3E-2</v>
      </c>
      <c r="O488" s="6">
        <v>8</v>
      </c>
    </row>
    <row r="489" spans="1:15" x14ac:dyDescent="0.25">
      <c r="A489" s="12" t="s">
        <v>173</v>
      </c>
      <c r="B489" s="4">
        <v>45703</v>
      </c>
      <c r="C489" s="4">
        <v>45703</v>
      </c>
      <c r="D489" s="12" t="s">
        <v>649</v>
      </c>
      <c r="E489" s="12" t="s">
        <v>656</v>
      </c>
      <c r="F489" s="12" t="s">
        <v>698</v>
      </c>
      <c r="G489" s="12" t="s">
        <v>705</v>
      </c>
      <c r="H489" s="12" t="s">
        <v>709</v>
      </c>
      <c r="I489" s="12" t="s">
        <v>716</v>
      </c>
      <c r="J489" s="12" t="s">
        <v>733</v>
      </c>
      <c r="K489" s="12" t="s">
        <v>892</v>
      </c>
      <c r="L489" s="6">
        <v>815.83</v>
      </c>
      <c r="M489" s="6">
        <v>1982.18</v>
      </c>
      <c r="N489" s="6">
        <v>0.127</v>
      </c>
      <c r="O489" s="6">
        <v>6</v>
      </c>
    </row>
    <row r="490" spans="1:15" x14ac:dyDescent="0.25">
      <c r="A490" s="12" t="s">
        <v>568</v>
      </c>
      <c r="B490" s="4">
        <v>45703</v>
      </c>
      <c r="C490" s="4">
        <v>45717</v>
      </c>
      <c r="D490" s="12" t="s">
        <v>646</v>
      </c>
      <c r="E490" s="12" t="s">
        <v>650</v>
      </c>
      <c r="F490" s="12" t="s">
        <v>675</v>
      </c>
      <c r="G490" s="12" t="s">
        <v>702</v>
      </c>
      <c r="H490" s="12" t="s">
        <v>711</v>
      </c>
      <c r="I490" s="12" t="s">
        <v>716</v>
      </c>
      <c r="J490" s="12" t="s">
        <v>733</v>
      </c>
      <c r="K490" s="12" t="s">
        <v>1286</v>
      </c>
      <c r="L490" s="6">
        <v>1162.8599999999999</v>
      </c>
      <c r="M490" s="6">
        <v>1447.68</v>
      </c>
      <c r="N490" s="6">
        <v>8.6999999999999994E-2</v>
      </c>
      <c r="O490" s="6">
        <v>12</v>
      </c>
    </row>
    <row r="491" spans="1:15" x14ac:dyDescent="0.25">
      <c r="A491" s="12" t="s">
        <v>603</v>
      </c>
      <c r="B491" s="4">
        <v>45703</v>
      </c>
      <c r="C491" s="4">
        <v>45715</v>
      </c>
      <c r="D491" s="12" t="s">
        <v>649</v>
      </c>
      <c r="E491" s="12" t="s">
        <v>657</v>
      </c>
      <c r="F491" s="12" t="s">
        <v>679</v>
      </c>
      <c r="G491" s="12" t="s">
        <v>703</v>
      </c>
      <c r="H491" s="12" t="s">
        <v>711</v>
      </c>
      <c r="I491" s="12" t="s">
        <v>723</v>
      </c>
      <c r="J491" s="12" t="s">
        <v>733</v>
      </c>
      <c r="K491" s="12" t="s">
        <v>1321</v>
      </c>
      <c r="L491" s="6">
        <v>1027.26</v>
      </c>
      <c r="M491" s="6">
        <v>2200.41</v>
      </c>
      <c r="N491" s="6">
        <v>8.7999999999999995E-2</v>
      </c>
      <c r="O491" s="6">
        <v>6</v>
      </c>
    </row>
    <row r="492" spans="1:15" x14ac:dyDescent="0.25">
      <c r="A492" s="12" t="s">
        <v>567</v>
      </c>
      <c r="B492" s="4">
        <v>45704</v>
      </c>
      <c r="C492" s="4">
        <v>45733</v>
      </c>
      <c r="D492" s="12" t="s">
        <v>649</v>
      </c>
      <c r="E492" s="12" t="s">
        <v>656</v>
      </c>
      <c r="F492" s="12" t="s">
        <v>684</v>
      </c>
      <c r="G492" s="12" t="s">
        <v>704</v>
      </c>
      <c r="H492" s="12" t="s">
        <v>707</v>
      </c>
      <c r="I492" s="12" t="s">
        <v>716</v>
      </c>
      <c r="J492" s="12" t="s">
        <v>733</v>
      </c>
      <c r="K492" s="12" t="s">
        <v>1285</v>
      </c>
      <c r="L492" s="6">
        <v>730.42</v>
      </c>
      <c r="M492" s="6">
        <v>956.7</v>
      </c>
      <c r="N492" s="6">
        <v>4.2000000000000003E-2</v>
      </c>
      <c r="O492" s="6">
        <v>22</v>
      </c>
    </row>
    <row r="493" spans="1:15" x14ac:dyDescent="0.25">
      <c r="A493" s="12" t="s">
        <v>610</v>
      </c>
      <c r="B493" s="4">
        <v>45705</v>
      </c>
      <c r="C493" s="4">
        <v>45703</v>
      </c>
      <c r="D493" s="12" t="s">
        <v>648</v>
      </c>
      <c r="E493" s="12" t="s">
        <v>653</v>
      </c>
      <c r="F493" s="12" t="s">
        <v>667</v>
      </c>
      <c r="G493" s="12" t="s">
        <v>705</v>
      </c>
      <c r="H493" s="12" t="s">
        <v>707</v>
      </c>
      <c r="I493" s="12" t="s">
        <v>726</v>
      </c>
      <c r="J493" s="12" t="s">
        <v>727</v>
      </c>
      <c r="K493" s="12" t="s">
        <v>1328</v>
      </c>
      <c r="L493" s="6">
        <v>1133.47</v>
      </c>
      <c r="M493" s="6">
        <v>1698.75</v>
      </c>
      <c r="N493" s="6">
        <v>4.2999999999999997E-2</v>
      </c>
      <c r="O493" s="6">
        <v>5</v>
      </c>
    </row>
    <row r="494" spans="1:15" x14ac:dyDescent="0.25">
      <c r="A494" s="12" t="s">
        <v>285</v>
      </c>
      <c r="B494" s="4">
        <v>45707</v>
      </c>
      <c r="C494" s="4">
        <v>45725</v>
      </c>
      <c r="D494" s="12" t="s">
        <v>647</v>
      </c>
      <c r="E494" s="12" t="s">
        <v>654</v>
      </c>
      <c r="F494" s="12" t="s">
        <v>680</v>
      </c>
      <c r="G494" s="12" t="s">
        <v>705</v>
      </c>
      <c r="H494" s="12" t="s">
        <v>711</v>
      </c>
      <c r="I494" s="12" t="s">
        <v>719</v>
      </c>
      <c r="J494" s="12" t="s">
        <v>732</v>
      </c>
      <c r="K494" s="12" t="s">
        <v>1005</v>
      </c>
      <c r="L494" s="6">
        <v>325.87</v>
      </c>
      <c r="M494" s="6">
        <v>538.79</v>
      </c>
      <c r="N494" s="6">
        <v>0.17399999999999999</v>
      </c>
      <c r="O494" s="6">
        <v>16</v>
      </c>
    </row>
    <row r="495" spans="1:15" x14ac:dyDescent="0.25">
      <c r="A495" s="12" t="s">
        <v>421</v>
      </c>
      <c r="B495" s="4">
        <v>45709</v>
      </c>
      <c r="C495" s="4">
        <v>45737</v>
      </c>
      <c r="D495" s="12" t="s">
        <v>646</v>
      </c>
      <c r="E495" s="12" t="s">
        <v>651</v>
      </c>
      <c r="F495" s="12" t="s">
        <v>669</v>
      </c>
      <c r="G495" s="12" t="s">
        <v>706</v>
      </c>
      <c r="H495" s="12" t="s">
        <v>709</v>
      </c>
      <c r="I495" s="12" t="s">
        <v>714</v>
      </c>
      <c r="J495" s="12" t="s">
        <v>730</v>
      </c>
      <c r="K495" s="12" t="s">
        <v>1140</v>
      </c>
      <c r="L495" s="6">
        <v>1437.39</v>
      </c>
      <c r="M495" s="6">
        <v>1388.31</v>
      </c>
      <c r="N495" s="6">
        <v>0.13800000000000001</v>
      </c>
      <c r="O495" s="6">
        <v>18</v>
      </c>
    </row>
    <row r="496" spans="1:15" x14ac:dyDescent="0.25">
      <c r="A496" s="12" t="s">
        <v>435</v>
      </c>
      <c r="B496" s="4">
        <v>45713</v>
      </c>
      <c r="C496" s="4">
        <v>45733</v>
      </c>
      <c r="D496" s="12" t="s">
        <v>648</v>
      </c>
      <c r="E496" s="12" t="s">
        <v>660</v>
      </c>
      <c r="F496" s="12" t="s">
        <v>686</v>
      </c>
      <c r="G496" s="12" t="s">
        <v>703</v>
      </c>
      <c r="H496" s="12" t="s">
        <v>709</v>
      </c>
      <c r="I496" s="12" t="s">
        <v>722</v>
      </c>
      <c r="J496" s="12" t="s">
        <v>730</v>
      </c>
      <c r="K496" s="12" t="s">
        <v>1154</v>
      </c>
      <c r="L496" s="6">
        <v>1205.26</v>
      </c>
      <c r="M496" s="6">
        <v>1696.35</v>
      </c>
      <c r="N496" s="6">
        <v>1.9E-2</v>
      </c>
      <c r="O496" s="6">
        <v>6</v>
      </c>
    </row>
    <row r="497" spans="1:15" x14ac:dyDescent="0.25">
      <c r="A497" s="12" t="s">
        <v>645</v>
      </c>
      <c r="B497" s="4">
        <v>45716</v>
      </c>
      <c r="C497" s="4">
        <v>45726</v>
      </c>
      <c r="D497" s="12" t="s">
        <v>647</v>
      </c>
      <c r="E497" s="12" t="s">
        <v>652</v>
      </c>
      <c r="F497" s="12" t="s">
        <v>666</v>
      </c>
      <c r="G497" s="12" t="s">
        <v>702</v>
      </c>
      <c r="H497" s="12" t="s">
        <v>710</v>
      </c>
      <c r="I497" s="12" t="s">
        <v>725</v>
      </c>
      <c r="J497" s="12" t="s">
        <v>731</v>
      </c>
      <c r="K497" s="12" t="s">
        <v>1363</v>
      </c>
      <c r="L497" s="6">
        <v>51.86</v>
      </c>
      <c r="M497" s="6">
        <v>45.98</v>
      </c>
      <c r="N497" s="6">
        <v>0.17299999999999999</v>
      </c>
      <c r="O497" s="6">
        <v>7</v>
      </c>
    </row>
    <row r="498" spans="1:15" x14ac:dyDescent="0.25">
      <c r="A498" s="12" t="s">
        <v>146</v>
      </c>
      <c r="B498" s="4">
        <v>45719</v>
      </c>
      <c r="C498" s="4">
        <v>45740</v>
      </c>
      <c r="D498" s="12" t="s">
        <v>646</v>
      </c>
      <c r="E498" s="12" t="s">
        <v>651</v>
      </c>
      <c r="F498" s="12" t="s">
        <v>669</v>
      </c>
      <c r="G498" s="12" t="s">
        <v>706</v>
      </c>
      <c r="H498" s="12" t="s">
        <v>711</v>
      </c>
      <c r="I498" s="12" t="s">
        <v>722</v>
      </c>
      <c r="J498" s="12" t="s">
        <v>733</v>
      </c>
      <c r="K498" s="12" t="s">
        <v>865</v>
      </c>
      <c r="L498" s="6">
        <v>555.95000000000005</v>
      </c>
      <c r="M498" s="6">
        <v>468.09</v>
      </c>
      <c r="N498" s="6">
        <v>0.14199999999999999</v>
      </c>
      <c r="O498" s="6">
        <v>11</v>
      </c>
    </row>
    <row r="499" spans="1:15" x14ac:dyDescent="0.25">
      <c r="A499" s="12" t="s">
        <v>27</v>
      </c>
      <c r="B499" s="4">
        <v>45722</v>
      </c>
      <c r="C499" s="4">
        <v>45747</v>
      </c>
      <c r="D499" s="12" t="s">
        <v>648</v>
      </c>
      <c r="E499" s="12" t="s">
        <v>655</v>
      </c>
      <c r="F499" s="12" t="s">
        <v>672</v>
      </c>
      <c r="G499" s="12" t="s">
        <v>703</v>
      </c>
      <c r="H499" s="12" t="s">
        <v>708</v>
      </c>
      <c r="I499" s="12" t="s">
        <v>713</v>
      </c>
      <c r="J499" s="12" t="s">
        <v>727</v>
      </c>
      <c r="K499" s="12" t="s">
        <v>746</v>
      </c>
      <c r="L499" s="6">
        <v>331.57</v>
      </c>
      <c r="M499" s="6">
        <v>548.4</v>
      </c>
      <c r="N499" s="6">
        <v>9.4E-2</v>
      </c>
      <c r="O499" s="6">
        <v>10</v>
      </c>
    </row>
    <row r="500" spans="1:15" x14ac:dyDescent="0.25">
      <c r="A500" s="12" t="s">
        <v>422</v>
      </c>
      <c r="B500" s="4">
        <v>45724</v>
      </c>
      <c r="C500" s="4">
        <v>45731</v>
      </c>
      <c r="D500" s="12" t="s">
        <v>647</v>
      </c>
      <c r="E500" s="12" t="s">
        <v>654</v>
      </c>
      <c r="F500" s="12" t="s">
        <v>668</v>
      </c>
      <c r="G500" s="12" t="s">
        <v>701</v>
      </c>
      <c r="H500" s="12" t="s">
        <v>710</v>
      </c>
      <c r="I500" s="12" t="s">
        <v>723</v>
      </c>
      <c r="J500" s="12" t="s">
        <v>731</v>
      </c>
      <c r="K500" s="12" t="s">
        <v>1141</v>
      </c>
      <c r="L500" s="6">
        <v>475.66</v>
      </c>
      <c r="M500" s="6">
        <v>529.14</v>
      </c>
      <c r="N500" s="6">
        <v>0.19600000000000001</v>
      </c>
      <c r="O500" s="6">
        <v>11</v>
      </c>
    </row>
    <row r="501" spans="1:15" x14ac:dyDescent="0.25">
      <c r="A501" s="12" t="s">
        <v>518</v>
      </c>
      <c r="B501" s="4">
        <v>45726</v>
      </c>
      <c r="C501" s="4">
        <v>45743</v>
      </c>
      <c r="D501" s="12" t="s">
        <v>648</v>
      </c>
      <c r="E501" s="12" t="s">
        <v>655</v>
      </c>
      <c r="F501" s="12" t="s">
        <v>692</v>
      </c>
      <c r="G501" s="12" t="s">
        <v>706</v>
      </c>
      <c r="H501" s="12" t="s">
        <v>711</v>
      </c>
      <c r="I501" s="12" t="s">
        <v>721</v>
      </c>
      <c r="J501" s="12" t="s">
        <v>729</v>
      </c>
      <c r="K501" s="12" t="s">
        <v>1237</v>
      </c>
      <c r="L501" s="6">
        <v>996.73</v>
      </c>
      <c r="M501" s="6">
        <v>1217.43</v>
      </c>
      <c r="N501" s="6">
        <v>7.0000000000000007E-2</v>
      </c>
      <c r="O501" s="6">
        <v>9</v>
      </c>
    </row>
    <row r="502" spans="1:15" x14ac:dyDescent="0.25">
      <c r="A502" s="12" t="s">
        <v>612</v>
      </c>
      <c r="B502" s="4">
        <v>45726</v>
      </c>
      <c r="C502" s="4">
        <v>45751</v>
      </c>
      <c r="D502" s="12" t="s">
        <v>647</v>
      </c>
      <c r="E502" s="12" t="s">
        <v>652</v>
      </c>
      <c r="F502" s="12" t="s">
        <v>666</v>
      </c>
      <c r="G502" s="12" t="s">
        <v>701</v>
      </c>
      <c r="H502" s="12" t="s">
        <v>711</v>
      </c>
      <c r="I502" s="12" t="s">
        <v>722</v>
      </c>
      <c r="J502" s="12" t="s">
        <v>728</v>
      </c>
      <c r="K502" s="12" t="s">
        <v>1330</v>
      </c>
      <c r="L502" s="6">
        <v>783.72</v>
      </c>
      <c r="M502" s="6">
        <v>1355.94</v>
      </c>
      <c r="N502" s="6">
        <v>0.187</v>
      </c>
      <c r="O502" s="6">
        <v>4</v>
      </c>
    </row>
    <row r="503" spans="1:15" x14ac:dyDescent="0.25">
      <c r="A503" s="12" t="s">
        <v>545</v>
      </c>
      <c r="B503" s="4">
        <v>45727</v>
      </c>
      <c r="C503" s="4">
        <v>45742</v>
      </c>
      <c r="D503" s="12" t="s">
        <v>649</v>
      </c>
      <c r="E503" s="12" t="s">
        <v>656</v>
      </c>
      <c r="F503" s="12" t="s">
        <v>671</v>
      </c>
      <c r="G503" s="12" t="s">
        <v>705</v>
      </c>
      <c r="H503" s="12" t="s">
        <v>708</v>
      </c>
      <c r="I503" s="12" t="s">
        <v>714</v>
      </c>
      <c r="J503" s="12" t="s">
        <v>730</v>
      </c>
      <c r="K503" s="12" t="s">
        <v>1264</v>
      </c>
      <c r="L503" s="6">
        <v>116.97</v>
      </c>
      <c r="M503" s="6">
        <v>140.82</v>
      </c>
      <c r="N503" s="6">
        <v>0.122</v>
      </c>
      <c r="O503" s="6">
        <v>5</v>
      </c>
    </row>
    <row r="504" spans="1:15" x14ac:dyDescent="0.25">
      <c r="A504" s="12" t="s">
        <v>629</v>
      </c>
      <c r="B504" s="4">
        <v>45727</v>
      </c>
      <c r="C504" s="4">
        <v>45743</v>
      </c>
      <c r="D504" s="12" t="s">
        <v>647</v>
      </c>
      <c r="E504" s="12" t="s">
        <v>652</v>
      </c>
      <c r="F504" s="12" t="s">
        <v>689</v>
      </c>
      <c r="G504" s="12" t="s">
        <v>706</v>
      </c>
      <c r="H504" s="12" t="s">
        <v>710</v>
      </c>
      <c r="I504" s="12" t="s">
        <v>717</v>
      </c>
      <c r="J504" s="12" t="s">
        <v>728</v>
      </c>
      <c r="K504" s="12" t="s">
        <v>1347</v>
      </c>
      <c r="L504" s="6">
        <v>1317.58</v>
      </c>
      <c r="M504" s="6">
        <v>1897.74</v>
      </c>
      <c r="N504" s="6">
        <v>8.1000000000000003E-2</v>
      </c>
      <c r="O504" s="6">
        <v>6</v>
      </c>
    </row>
    <row r="505" spans="1:15" x14ac:dyDescent="0.25">
      <c r="A505" s="12" t="s">
        <v>295</v>
      </c>
      <c r="B505" s="4">
        <v>45730</v>
      </c>
      <c r="C505" s="4">
        <v>45745</v>
      </c>
      <c r="D505" s="12" t="s">
        <v>647</v>
      </c>
      <c r="E505" s="12" t="s">
        <v>652</v>
      </c>
      <c r="F505" s="12" t="s">
        <v>689</v>
      </c>
      <c r="G505" s="12" t="s">
        <v>703</v>
      </c>
      <c r="H505" s="12" t="s">
        <v>711</v>
      </c>
      <c r="I505" s="12" t="s">
        <v>722</v>
      </c>
      <c r="J505" s="12" t="s">
        <v>729</v>
      </c>
      <c r="K505" s="12" t="s">
        <v>1015</v>
      </c>
      <c r="L505" s="6">
        <v>1106.96</v>
      </c>
      <c r="M505" s="6">
        <v>2726.62</v>
      </c>
      <c r="N505" s="6">
        <v>0.317</v>
      </c>
      <c r="O505" s="6">
        <v>7</v>
      </c>
    </row>
    <row r="506" spans="1:15" x14ac:dyDescent="0.25">
      <c r="A506" s="12" t="s">
        <v>432</v>
      </c>
      <c r="B506" s="4">
        <v>45730</v>
      </c>
      <c r="C506" s="4">
        <v>45755</v>
      </c>
      <c r="D506" s="12" t="s">
        <v>647</v>
      </c>
      <c r="E506" s="12" t="s">
        <v>659</v>
      </c>
      <c r="F506" s="14" t="s">
        <v>1367</v>
      </c>
      <c r="G506" s="12" t="s">
        <v>701</v>
      </c>
      <c r="H506" s="12" t="s">
        <v>710</v>
      </c>
      <c r="I506" s="12" t="s">
        <v>726</v>
      </c>
      <c r="J506" s="12" t="s">
        <v>728</v>
      </c>
      <c r="K506" s="12" t="s">
        <v>1151</v>
      </c>
      <c r="L506" s="6">
        <v>80.59</v>
      </c>
      <c r="M506" s="6">
        <v>157.82</v>
      </c>
      <c r="N506" s="6">
        <v>0.217</v>
      </c>
      <c r="O506" s="6">
        <v>6</v>
      </c>
    </row>
    <row r="507" spans="1:15" x14ac:dyDescent="0.25">
      <c r="A507" s="12" t="s">
        <v>381</v>
      </c>
      <c r="B507" s="4">
        <v>45731</v>
      </c>
      <c r="C507" s="4">
        <v>45745</v>
      </c>
      <c r="D507" s="12" t="s">
        <v>647</v>
      </c>
      <c r="E507" s="12" t="s">
        <v>654</v>
      </c>
      <c r="F507" s="12" t="s">
        <v>691</v>
      </c>
      <c r="G507" s="12" t="s">
        <v>706</v>
      </c>
      <c r="H507" s="12" t="s">
        <v>711</v>
      </c>
      <c r="I507" s="12" t="s">
        <v>712</v>
      </c>
      <c r="J507" s="12" t="s">
        <v>727</v>
      </c>
      <c r="K507" s="12" t="s">
        <v>1101</v>
      </c>
      <c r="L507" s="6">
        <v>935.83</v>
      </c>
      <c r="M507" s="6">
        <v>2303.46</v>
      </c>
      <c r="N507" s="6">
        <v>0.105</v>
      </c>
      <c r="O507" s="6">
        <v>9</v>
      </c>
    </row>
    <row r="508" spans="1:15" x14ac:dyDescent="0.25">
      <c r="A508" s="12" t="s">
        <v>379</v>
      </c>
      <c r="B508" s="4">
        <v>45737</v>
      </c>
      <c r="C508" s="4">
        <v>45756</v>
      </c>
      <c r="D508" s="12" t="s">
        <v>647</v>
      </c>
      <c r="E508" s="12" t="s">
        <v>652</v>
      </c>
      <c r="F508" s="12" t="s">
        <v>689</v>
      </c>
      <c r="G508" s="12" t="s">
        <v>705</v>
      </c>
      <c r="H508" s="12" t="s">
        <v>710</v>
      </c>
      <c r="I508" s="12" t="s">
        <v>718</v>
      </c>
      <c r="J508" s="12" t="s">
        <v>727</v>
      </c>
      <c r="K508" s="12" t="s">
        <v>1099</v>
      </c>
      <c r="L508" s="6">
        <v>1055.45</v>
      </c>
      <c r="M508" s="6">
        <v>1210.04</v>
      </c>
      <c r="N508" s="6">
        <v>8.9999999999999993E-3</v>
      </c>
      <c r="O508" s="6">
        <v>18</v>
      </c>
    </row>
    <row r="509" spans="1:15" x14ac:dyDescent="0.25">
      <c r="A509" s="12" t="s">
        <v>483</v>
      </c>
      <c r="B509" s="4">
        <v>45739</v>
      </c>
      <c r="C509" s="4">
        <v>45749</v>
      </c>
      <c r="D509" s="12" t="s">
        <v>649</v>
      </c>
      <c r="E509" s="12" t="s">
        <v>656</v>
      </c>
      <c r="F509" s="12" t="s">
        <v>671</v>
      </c>
      <c r="G509" s="12" t="s">
        <v>706</v>
      </c>
      <c r="H509" s="12" t="s">
        <v>708</v>
      </c>
      <c r="I509" s="12" t="s">
        <v>718</v>
      </c>
      <c r="J509" s="12" t="s">
        <v>728</v>
      </c>
      <c r="K509" s="12" t="s">
        <v>1202</v>
      </c>
      <c r="L509" s="6">
        <v>663.61</v>
      </c>
      <c r="M509" s="6">
        <v>1002.11</v>
      </c>
      <c r="N509" s="6">
        <v>4.5999999999999999E-2</v>
      </c>
      <c r="O509" s="6">
        <v>17</v>
      </c>
    </row>
    <row r="510" spans="1:15" x14ac:dyDescent="0.25">
      <c r="A510" s="12" t="s">
        <v>517</v>
      </c>
      <c r="B510" s="4">
        <v>45740</v>
      </c>
      <c r="C510" s="4">
        <v>45741</v>
      </c>
      <c r="D510" s="12" t="s">
        <v>647</v>
      </c>
      <c r="E510" s="12" t="s">
        <v>659</v>
      </c>
      <c r="F510" s="12" t="s">
        <v>699</v>
      </c>
      <c r="G510" s="12" t="s">
        <v>703</v>
      </c>
      <c r="H510" s="12" t="s">
        <v>708</v>
      </c>
      <c r="I510" s="12" t="s">
        <v>715</v>
      </c>
      <c r="J510" s="12" t="s">
        <v>729</v>
      </c>
      <c r="K510" s="12" t="s">
        <v>1236</v>
      </c>
      <c r="L510" s="6">
        <v>1133.03</v>
      </c>
      <c r="M510" s="6">
        <v>1921.51</v>
      </c>
      <c r="N510" s="6">
        <v>0.10100000000000001</v>
      </c>
      <c r="O510" s="6">
        <v>5</v>
      </c>
    </row>
    <row r="511" spans="1:15" x14ac:dyDescent="0.25">
      <c r="A511" s="12" t="s">
        <v>586</v>
      </c>
      <c r="B511" s="4">
        <v>45740</v>
      </c>
      <c r="C511" s="4">
        <v>45751</v>
      </c>
      <c r="D511" s="12" t="s">
        <v>647</v>
      </c>
      <c r="E511" s="12" t="s">
        <v>654</v>
      </c>
      <c r="F511" s="12" t="s">
        <v>691</v>
      </c>
      <c r="G511" s="12" t="s">
        <v>702</v>
      </c>
      <c r="H511" s="12" t="s">
        <v>709</v>
      </c>
      <c r="I511" s="12" t="s">
        <v>713</v>
      </c>
      <c r="J511" s="12" t="s">
        <v>730</v>
      </c>
      <c r="K511" s="12" t="s">
        <v>1304</v>
      </c>
      <c r="L511" s="6">
        <v>23.83</v>
      </c>
      <c r="M511" s="6">
        <v>47.29</v>
      </c>
      <c r="N511" s="6">
        <v>6.4000000000000001E-2</v>
      </c>
      <c r="O511" s="6">
        <v>19</v>
      </c>
    </row>
    <row r="512" spans="1:15" x14ac:dyDescent="0.25">
      <c r="A512" s="12" t="s">
        <v>99</v>
      </c>
      <c r="B512" s="4">
        <v>45741</v>
      </c>
      <c r="C512" s="4">
        <v>45764</v>
      </c>
      <c r="D512" s="12" t="s">
        <v>649</v>
      </c>
      <c r="E512" s="12" t="s">
        <v>658</v>
      </c>
      <c r="F512" s="12" t="s">
        <v>683</v>
      </c>
      <c r="G512" s="12" t="s">
        <v>704</v>
      </c>
      <c r="H512" s="12" t="s">
        <v>707</v>
      </c>
      <c r="I512" s="12" t="s">
        <v>722</v>
      </c>
      <c r="J512" s="12" t="s">
        <v>729</v>
      </c>
      <c r="K512" s="12" t="s">
        <v>818</v>
      </c>
      <c r="L512" s="6">
        <v>1421.19</v>
      </c>
      <c r="M512" s="6">
        <v>1808.26</v>
      </c>
      <c r="N512" s="6">
        <v>0.104</v>
      </c>
      <c r="O512" s="6">
        <v>13</v>
      </c>
    </row>
    <row r="513" spans="1:15" x14ac:dyDescent="0.25">
      <c r="A513" s="12" t="s">
        <v>320</v>
      </c>
      <c r="B513" s="4">
        <v>45741</v>
      </c>
      <c r="C513" s="4">
        <v>45742</v>
      </c>
      <c r="D513" s="12" t="s">
        <v>646</v>
      </c>
      <c r="E513" s="12" t="s">
        <v>651</v>
      </c>
      <c r="F513" s="12" t="s">
        <v>665</v>
      </c>
      <c r="G513" s="12" t="s">
        <v>702</v>
      </c>
      <c r="H513" s="12" t="s">
        <v>710</v>
      </c>
      <c r="I513" s="12" t="s">
        <v>715</v>
      </c>
      <c r="J513" s="12" t="s">
        <v>733</v>
      </c>
      <c r="K513" s="12" t="s">
        <v>1040</v>
      </c>
      <c r="L513" s="6">
        <v>1450.43</v>
      </c>
      <c r="M513" s="6">
        <v>1994.67</v>
      </c>
      <c r="N513" s="6">
        <v>0.1</v>
      </c>
      <c r="O513" s="6">
        <v>24</v>
      </c>
    </row>
    <row r="514" spans="1:15" x14ac:dyDescent="0.25">
      <c r="A514" s="12" t="s">
        <v>18</v>
      </c>
      <c r="B514" s="4">
        <v>45745</v>
      </c>
      <c r="C514" s="4">
        <v>45749</v>
      </c>
      <c r="D514" s="12" t="s">
        <v>646</v>
      </c>
      <c r="E514" s="12" t="s">
        <v>651</v>
      </c>
      <c r="F514" s="12" t="s">
        <v>665</v>
      </c>
      <c r="G514" s="12" t="s">
        <v>703</v>
      </c>
      <c r="H514" s="12" t="s">
        <v>709</v>
      </c>
      <c r="I514" s="12" t="s">
        <v>715</v>
      </c>
      <c r="J514" s="12" t="s">
        <v>730</v>
      </c>
      <c r="K514" s="12" t="s">
        <v>737</v>
      </c>
      <c r="L514" s="6">
        <v>259.93</v>
      </c>
      <c r="M514" s="6">
        <v>255.94</v>
      </c>
      <c r="N514" s="6">
        <v>7.1999999999999995E-2</v>
      </c>
      <c r="O514" s="6">
        <v>22</v>
      </c>
    </row>
    <row r="515" spans="1:15" x14ac:dyDescent="0.25">
      <c r="A515" s="12" t="s">
        <v>305</v>
      </c>
      <c r="B515" s="4">
        <v>45746</v>
      </c>
      <c r="C515" s="4">
        <v>45754</v>
      </c>
      <c r="D515" s="12" t="s">
        <v>648</v>
      </c>
      <c r="E515" s="12" t="s">
        <v>655</v>
      </c>
      <c r="F515" s="12" t="s">
        <v>670</v>
      </c>
      <c r="G515" s="12" t="s">
        <v>703</v>
      </c>
      <c r="H515" s="12" t="s">
        <v>711</v>
      </c>
      <c r="I515" s="12" t="s">
        <v>716</v>
      </c>
      <c r="J515" s="12" t="s">
        <v>728</v>
      </c>
      <c r="K515" s="12" t="s">
        <v>1025</v>
      </c>
      <c r="L515" s="6">
        <v>71.62</v>
      </c>
      <c r="M515" s="6">
        <v>118.37</v>
      </c>
      <c r="N515" s="6">
        <v>0.156</v>
      </c>
      <c r="O515" s="6">
        <v>11</v>
      </c>
    </row>
    <row r="516" spans="1:15" x14ac:dyDescent="0.25">
      <c r="A516" s="12" t="s">
        <v>461</v>
      </c>
      <c r="B516" s="4">
        <v>45746</v>
      </c>
      <c r="C516" s="4">
        <v>45776</v>
      </c>
      <c r="D516" s="12" t="s">
        <v>646</v>
      </c>
      <c r="E516" s="12" t="s">
        <v>661</v>
      </c>
      <c r="F516" s="12" t="s">
        <v>687</v>
      </c>
      <c r="G516" s="12" t="s">
        <v>704</v>
      </c>
      <c r="H516" s="12" t="s">
        <v>709</v>
      </c>
      <c r="I516" s="12" t="s">
        <v>713</v>
      </c>
      <c r="J516" s="12" t="s">
        <v>732</v>
      </c>
      <c r="K516" s="12" t="s">
        <v>1180</v>
      </c>
      <c r="L516" s="6">
        <v>194.6</v>
      </c>
      <c r="M516" s="6">
        <v>314.87</v>
      </c>
      <c r="N516" s="6">
        <v>0.29299999999999998</v>
      </c>
      <c r="O516" s="6">
        <v>25</v>
      </c>
    </row>
    <row r="517" spans="1:15" x14ac:dyDescent="0.25">
      <c r="A517" s="12" t="s">
        <v>117</v>
      </c>
      <c r="B517" s="4">
        <v>45747</v>
      </c>
      <c r="C517" s="4">
        <v>45751</v>
      </c>
      <c r="D517" s="12" t="s">
        <v>646</v>
      </c>
      <c r="E517" s="12" t="s">
        <v>650</v>
      </c>
      <c r="F517" s="12" t="s">
        <v>678</v>
      </c>
      <c r="G517" s="12" t="s">
        <v>701</v>
      </c>
      <c r="H517" s="12" t="s">
        <v>711</v>
      </c>
      <c r="I517" s="12" t="s">
        <v>712</v>
      </c>
      <c r="J517" s="12" t="s">
        <v>731</v>
      </c>
      <c r="K517" s="12" t="s">
        <v>836</v>
      </c>
      <c r="L517" s="6">
        <v>862.08</v>
      </c>
      <c r="M517" s="6">
        <v>1952.83</v>
      </c>
      <c r="N517" s="6">
        <v>0</v>
      </c>
      <c r="O517" s="6">
        <v>7</v>
      </c>
    </row>
    <row r="518" spans="1:15" x14ac:dyDescent="0.25">
      <c r="A518" s="12" t="s">
        <v>332</v>
      </c>
      <c r="B518" s="4">
        <v>45748</v>
      </c>
      <c r="C518" s="4">
        <v>45774</v>
      </c>
      <c r="D518" s="12" t="s">
        <v>648</v>
      </c>
      <c r="E518" s="12" t="s">
        <v>660</v>
      </c>
      <c r="F518" s="12" t="s">
        <v>686</v>
      </c>
      <c r="G518" s="12" t="s">
        <v>701</v>
      </c>
      <c r="H518" s="12" t="s">
        <v>711</v>
      </c>
      <c r="I518" s="12" t="s">
        <v>714</v>
      </c>
      <c r="J518" s="12" t="s">
        <v>732</v>
      </c>
      <c r="K518" s="12" t="s">
        <v>1052</v>
      </c>
      <c r="L518" s="6">
        <v>156.55000000000001</v>
      </c>
      <c r="M518" s="6">
        <v>227.45</v>
      </c>
      <c r="N518" s="6">
        <v>1.4E-2</v>
      </c>
      <c r="O518" s="6">
        <v>13</v>
      </c>
    </row>
    <row r="519" spans="1:15" x14ac:dyDescent="0.25">
      <c r="A519" s="12" t="s">
        <v>300</v>
      </c>
      <c r="B519" s="4">
        <v>45751</v>
      </c>
      <c r="C519" s="4">
        <v>45760</v>
      </c>
      <c r="D519" s="12" t="s">
        <v>649</v>
      </c>
      <c r="E519" s="12" t="s">
        <v>656</v>
      </c>
      <c r="F519" s="12" t="s">
        <v>684</v>
      </c>
      <c r="G519" s="12" t="s">
        <v>704</v>
      </c>
      <c r="H519" s="12" t="s">
        <v>709</v>
      </c>
      <c r="I519" s="12" t="s">
        <v>721</v>
      </c>
      <c r="J519" s="12" t="s">
        <v>730</v>
      </c>
      <c r="K519" s="12" t="s">
        <v>1020</v>
      </c>
      <c r="L519" s="6">
        <v>7.02</v>
      </c>
      <c r="M519" s="6">
        <v>6.28</v>
      </c>
      <c r="N519" s="6">
        <v>0.13400000000000001</v>
      </c>
      <c r="O519" s="6">
        <v>14</v>
      </c>
    </row>
    <row r="520" spans="1:15" x14ac:dyDescent="0.25">
      <c r="A520" s="12" t="s">
        <v>387</v>
      </c>
      <c r="B520" s="4">
        <v>45751</v>
      </c>
      <c r="C520" s="4">
        <v>45757</v>
      </c>
      <c r="D520" s="12" t="s">
        <v>649</v>
      </c>
      <c r="E520" s="12" t="s">
        <v>658</v>
      </c>
      <c r="F520" s="12" t="s">
        <v>674</v>
      </c>
      <c r="G520" s="12" t="s">
        <v>703</v>
      </c>
      <c r="H520" s="12" t="s">
        <v>711</v>
      </c>
      <c r="I520" s="12" t="s">
        <v>725</v>
      </c>
      <c r="J520" s="12" t="s">
        <v>728</v>
      </c>
      <c r="K520" s="12" t="s">
        <v>1107</v>
      </c>
      <c r="L520" s="6">
        <v>290.14</v>
      </c>
      <c r="M520" s="6">
        <v>250.73</v>
      </c>
      <c r="N520" s="6">
        <v>3.4000000000000002E-2</v>
      </c>
      <c r="O520" s="6">
        <v>17</v>
      </c>
    </row>
    <row r="521" spans="1:15" x14ac:dyDescent="0.25">
      <c r="A521" s="12" t="s">
        <v>70</v>
      </c>
      <c r="B521" s="4">
        <v>45753</v>
      </c>
      <c r="C521" s="4">
        <v>45777</v>
      </c>
      <c r="D521" s="12" t="s">
        <v>648</v>
      </c>
      <c r="E521" s="12" t="s">
        <v>655</v>
      </c>
      <c r="F521" s="12" t="s">
        <v>672</v>
      </c>
      <c r="G521" s="12" t="s">
        <v>702</v>
      </c>
      <c r="H521" s="12" t="s">
        <v>708</v>
      </c>
      <c r="I521" s="12" t="s">
        <v>723</v>
      </c>
      <c r="J521" s="12" t="s">
        <v>732</v>
      </c>
      <c r="K521" s="12" t="s">
        <v>789</v>
      </c>
      <c r="L521" s="6">
        <v>855.78</v>
      </c>
      <c r="M521" s="6">
        <v>977.38</v>
      </c>
      <c r="N521" s="6">
        <v>0.14699999999999999</v>
      </c>
      <c r="O521" s="6">
        <v>38</v>
      </c>
    </row>
    <row r="522" spans="1:15" x14ac:dyDescent="0.25">
      <c r="A522" s="12" t="s">
        <v>44</v>
      </c>
      <c r="B522" s="4">
        <v>45754</v>
      </c>
      <c r="C522" s="4">
        <v>45758</v>
      </c>
      <c r="D522" s="12" t="s">
        <v>649</v>
      </c>
      <c r="E522" s="12" t="s">
        <v>657</v>
      </c>
      <c r="F522" s="12" t="s">
        <v>679</v>
      </c>
      <c r="G522" s="12" t="s">
        <v>702</v>
      </c>
      <c r="H522" s="12" t="s">
        <v>707</v>
      </c>
      <c r="I522" s="12" t="s">
        <v>718</v>
      </c>
      <c r="J522" s="12" t="s">
        <v>729</v>
      </c>
      <c r="K522" s="12" t="s">
        <v>763</v>
      </c>
      <c r="L522" s="6">
        <v>754.77</v>
      </c>
      <c r="M522" s="6">
        <v>1666.18</v>
      </c>
      <c r="N522" s="6">
        <v>0.13900000000000001</v>
      </c>
      <c r="O522" s="6">
        <v>14</v>
      </c>
    </row>
    <row r="523" spans="1:15" x14ac:dyDescent="0.25">
      <c r="A523" s="12" t="s">
        <v>86</v>
      </c>
      <c r="B523" s="4">
        <v>45756</v>
      </c>
      <c r="C523" s="4">
        <v>45783</v>
      </c>
      <c r="D523" s="12" t="s">
        <v>648</v>
      </c>
      <c r="E523" s="12" t="s">
        <v>655</v>
      </c>
      <c r="F523" s="12" t="s">
        <v>672</v>
      </c>
      <c r="G523" s="12" t="s">
        <v>706</v>
      </c>
      <c r="H523" s="12" t="s">
        <v>709</v>
      </c>
      <c r="I523" s="12" t="s">
        <v>721</v>
      </c>
      <c r="J523" s="12" t="s">
        <v>731</v>
      </c>
      <c r="K523" s="12" t="s">
        <v>805</v>
      </c>
      <c r="L523" s="6">
        <v>264.19</v>
      </c>
      <c r="M523" s="6">
        <v>620.92999999999995</v>
      </c>
      <c r="N523" s="6">
        <v>0.14199999999999999</v>
      </c>
      <c r="O523" s="6">
        <v>12</v>
      </c>
    </row>
    <row r="524" spans="1:15" x14ac:dyDescent="0.25">
      <c r="A524" s="12" t="s">
        <v>319</v>
      </c>
      <c r="B524" s="4">
        <v>45756</v>
      </c>
      <c r="C524" s="4">
        <v>45759</v>
      </c>
      <c r="D524" s="12" t="s">
        <v>649</v>
      </c>
      <c r="E524" s="12" t="s">
        <v>657</v>
      </c>
      <c r="F524" s="12" t="s">
        <v>679</v>
      </c>
      <c r="G524" s="12" t="s">
        <v>705</v>
      </c>
      <c r="H524" s="12" t="s">
        <v>710</v>
      </c>
      <c r="I524" s="12" t="s">
        <v>722</v>
      </c>
      <c r="J524" s="12" t="s">
        <v>732</v>
      </c>
      <c r="K524" s="12" t="s">
        <v>1039</v>
      </c>
      <c r="L524" s="6">
        <v>86.68</v>
      </c>
      <c r="M524" s="6">
        <v>213.32</v>
      </c>
      <c r="N524" s="6">
        <v>3.7999999999999999E-2</v>
      </c>
      <c r="O524" s="6">
        <v>8</v>
      </c>
    </row>
    <row r="525" spans="1:15" x14ac:dyDescent="0.25">
      <c r="A525" s="12" t="s">
        <v>477</v>
      </c>
      <c r="B525" s="4">
        <v>45757</v>
      </c>
      <c r="C525" s="4">
        <v>45766</v>
      </c>
      <c r="D525" s="12" t="s">
        <v>646</v>
      </c>
      <c r="E525" s="12" t="s">
        <v>661</v>
      </c>
      <c r="F525" s="12" t="s">
        <v>687</v>
      </c>
      <c r="G525" s="12" t="s">
        <v>706</v>
      </c>
      <c r="H525" s="14" t="s">
        <v>1379</v>
      </c>
      <c r="I525" s="12" t="s">
        <v>715</v>
      </c>
      <c r="J525" s="12" t="s">
        <v>729</v>
      </c>
      <c r="K525" s="12" t="s">
        <v>1196</v>
      </c>
      <c r="L525" s="6">
        <v>113.74</v>
      </c>
      <c r="M525" s="6">
        <v>165.7</v>
      </c>
      <c r="N525" s="6">
        <v>0.124</v>
      </c>
      <c r="O525" s="6">
        <v>13</v>
      </c>
    </row>
    <row r="526" spans="1:15" x14ac:dyDescent="0.25">
      <c r="A526" s="12" t="s">
        <v>308</v>
      </c>
      <c r="B526" s="4">
        <v>45758</v>
      </c>
      <c r="C526" s="4">
        <v>45781</v>
      </c>
      <c r="D526" s="12" t="s">
        <v>647</v>
      </c>
      <c r="E526" s="12" t="s">
        <v>652</v>
      </c>
      <c r="F526" s="12" t="s">
        <v>666</v>
      </c>
      <c r="G526" s="12" t="s">
        <v>705</v>
      </c>
      <c r="H526" s="12" t="s">
        <v>708</v>
      </c>
      <c r="I526" s="12" t="s">
        <v>724</v>
      </c>
      <c r="J526" s="12" t="s">
        <v>727</v>
      </c>
      <c r="K526" s="12" t="s">
        <v>1028</v>
      </c>
      <c r="L526" s="6">
        <v>786.2</v>
      </c>
      <c r="M526" s="6">
        <v>1075.3</v>
      </c>
      <c r="N526" s="6">
        <v>0.08</v>
      </c>
      <c r="O526" s="6">
        <v>9</v>
      </c>
    </row>
    <row r="527" spans="1:15" x14ac:dyDescent="0.25">
      <c r="A527" s="12" t="s">
        <v>414</v>
      </c>
      <c r="B527" s="4">
        <v>45759</v>
      </c>
      <c r="C527" s="4">
        <v>45777</v>
      </c>
      <c r="D527" s="12" t="s">
        <v>646</v>
      </c>
      <c r="E527" s="12" t="s">
        <v>650</v>
      </c>
      <c r="F527" s="12" t="s">
        <v>662</v>
      </c>
      <c r="G527" s="12" t="s">
        <v>701</v>
      </c>
      <c r="H527" s="12" t="s">
        <v>709</v>
      </c>
      <c r="I527" s="12" t="s">
        <v>721</v>
      </c>
      <c r="J527" s="12" t="s">
        <v>729</v>
      </c>
      <c r="K527" s="12" t="s">
        <v>1133</v>
      </c>
      <c r="L527" s="6">
        <v>1119.04</v>
      </c>
      <c r="M527" s="6">
        <v>1299.02</v>
      </c>
      <c r="N527" s="6">
        <v>2.5000000000000001E-2</v>
      </c>
      <c r="O527" s="6">
        <v>14</v>
      </c>
    </row>
    <row r="528" spans="1:15" x14ac:dyDescent="0.25">
      <c r="A528" s="12" t="s">
        <v>584</v>
      </c>
      <c r="B528" s="4">
        <v>45760</v>
      </c>
      <c r="C528" s="4">
        <v>45761</v>
      </c>
      <c r="D528" s="12" t="s">
        <v>647</v>
      </c>
      <c r="E528" s="12" t="s">
        <v>652</v>
      </c>
      <c r="F528" s="12" t="s">
        <v>666</v>
      </c>
      <c r="G528" s="12" t="s">
        <v>706</v>
      </c>
      <c r="H528" s="12" t="s">
        <v>708</v>
      </c>
      <c r="I528" s="12" t="s">
        <v>715</v>
      </c>
      <c r="J528" s="12" t="s">
        <v>727</v>
      </c>
      <c r="K528" s="12" t="s">
        <v>1302</v>
      </c>
      <c r="L528" s="6">
        <v>138.9</v>
      </c>
      <c r="M528" s="6">
        <v>289.92</v>
      </c>
      <c r="N528" s="6">
        <v>2.9000000000000001E-2</v>
      </c>
      <c r="O528" s="6">
        <v>12</v>
      </c>
    </row>
    <row r="529" spans="1:15" x14ac:dyDescent="0.25">
      <c r="A529" s="12" t="s">
        <v>190</v>
      </c>
      <c r="B529" s="4">
        <v>45761</v>
      </c>
      <c r="C529" s="4">
        <v>45781</v>
      </c>
      <c r="D529" s="12" t="s">
        <v>649</v>
      </c>
      <c r="E529" s="12" t="s">
        <v>658</v>
      </c>
      <c r="F529" s="12" t="s">
        <v>674</v>
      </c>
      <c r="G529" s="12" t="s">
        <v>706</v>
      </c>
      <c r="H529" s="12" t="s">
        <v>709</v>
      </c>
      <c r="I529" s="12" t="s">
        <v>723</v>
      </c>
      <c r="J529" s="12" t="s">
        <v>732</v>
      </c>
      <c r="K529" s="12" t="s">
        <v>909</v>
      </c>
      <c r="L529" s="6">
        <v>1413.87</v>
      </c>
      <c r="M529" s="6">
        <v>3275</v>
      </c>
      <c r="N529" s="6">
        <v>0.255</v>
      </c>
      <c r="O529" s="6">
        <v>38</v>
      </c>
    </row>
    <row r="530" spans="1:15" x14ac:dyDescent="0.25">
      <c r="A530" s="12" t="s">
        <v>165</v>
      </c>
      <c r="B530" s="4">
        <v>45763</v>
      </c>
      <c r="C530" s="4">
        <v>45793</v>
      </c>
      <c r="D530" s="12" t="s">
        <v>648</v>
      </c>
      <c r="E530" s="12" t="s">
        <v>653</v>
      </c>
      <c r="F530" s="12" t="s">
        <v>681</v>
      </c>
      <c r="G530" s="12" t="s">
        <v>706</v>
      </c>
      <c r="H530" s="12" t="s">
        <v>710</v>
      </c>
      <c r="I530" s="12" t="s">
        <v>723</v>
      </c>
      <c r="J530" s="12" t="s">
        <v>728</v>
      </c>
      <c r="K530" s="12" t="s">
        <v>884</v>
      </c>
      <c r="L530" s="6">
        <v>763.32</v>
      </c>
      <c r="M530" s="6">
        <v>568.29</v>
      </c>
      <c r="N530" s="6">
        <v>0.13100000000000001</v>
      </c>
      <c r="O530" s="6">
        <v>16</v>
      </c>
    </row>
    <row r="531" spans="1:15" x14ac:dyDescent="0.25">
      <c r="A531" s="12" t="s">
        <v>278</v>
      </c>
      <c r="B531" s="4">
        <v>45763</v>
      </c>
      <c r="C531" s="4">
        <v>45773</v>
      </c>
      <c r="D531" s="12" t="s">
        <v>646</v>
      </c>
      <c r="E531" s="12" t="s">
        <v>651</v>
      </c>
      <c r="F531" s="12" t="s">
        <v>663</v>
      </c>
      <c r="G531" s="12" t="s">
        <v>706</v>
      </c>
      <c r="H531" s="12" t="s">
        <v>709</v>
      </c>
      <c r="I531" s="12" t="s">
        <v>721</v>
      </c>
      <c r="J531" s="12" t="s">
        <v>731</v>
      </c>
      <c r="K531" s="12" t="s">
        <v>998</v>
      </c>
      <c r="L531" s="6">
        <v>1457.44</v>
      </c>
      <c r="M531" s="6">
        <v>1996.81</v>
      </c>
      <c r="N531" s="6">
        <v>0.126</v>
      </c>
      <c r="O531" s="6">
        <v>23</v>
      </c>
    </row>
    <row r="532" spans="1:15" x14ac:dyDescent="0.25">
      <c r="A532" s="12" t="s">
        <v>599</v>
      </c>
      <c r="B532" s="4">
        <v>45764</v>
      </c>
      <c r="C532" s="4">
        <v>45764</v>
      </c>
      <c r="D532" s="12" t="s">
        <v>648</v>
      </c>
      <c r="E532" s="12" t="s">
        <v>655</v>
      </c>
      <c r="F532" s="12" t="s">
        <v>670</v>
      </c>
      <c r="G532" s="12" t="s">
        <v>701</v>
      </c>
      <c r="H532" s="12" t="s">
        <v>710</v>
      </c>
      <c r="I532" s="12" t="s">
        <v>716</v>
      </c>
      <c r="J532" s="12" t="s">
        <v>730</v>
      </c>
      <c r="K532" s="12" t="s">
        <v>1317</v>
      </c>
      <c r="L532" s="6">
        <v>719.41</v>
      </c>
      <c r="M532" s="6">
        <v>1125.99</v>
      </c>
      <c r="N532" s="6">
        <v>4.1000000000000002E-2</v>
      </c>
      <c r="O532" s="6">
        <v>21</v>
      </c>
    </row>
    <row r="533" spans="1:15" x14ac:dyDescent="0.25">
      <c r="A533" s="12" t="s">
        <v>635</v>
      </c>
      <c r="B533" s="4">
        <v>45764</v>
      </c>
      <c r="C533" s="4">
        <v>45780</v>
      </c>
      <c r="D533" s="12" t="s">
        <v>648</v>
      </c>
      <c r="E533" s="12" t="s">
        <v>655</v>
      </c>
      <c r="F533" s="12" t="s">
        <v>692</v>
      </c>
      <c r="G533" s="12" t="s">
        <v>704</v>
      </c>
      <c r="H533" s="12" t="s">
        <v>709</v>
      </c>
      <c r="I533" s="12" t="s">
        <v>713</v>
      </c>
      <c r="J533" s="12" t="s">
        <v>729</v>
      </c>
      <c r="K533" s="12" t="s">
        <v>1353</v>
      </c>
      <c r="L533" s="6">
        <v>168.68</v>
      </c>
      <c r="M533" s="6">
        <v>413.34</v>
      </c>
      <c r="N533" s="6">
        <v>0.186</v>
      </c>
      <c r="O533" s="6">
        <v>7</v>
      </c>
    </row>
    <row r="534" spans="1:15" x14ac:dyDescent="0.25">
      <c r="A534" s="12" t="s">
        <v>261</v>
      </c>
      <c r="B534" s="4">
        <v>45769</v>
      </c>
      <c r="C534" s="4">
        <v>45779</v>
      </c>
      <c r="D534" s="12" t="s">
        <v>649</v>
      </c>
      <c r="E534" s="12" t="s">
        <v>656</v>
      </c>
      <c r="F534" s="12" t="s">
        <v>671</v>
      </c>
      <c r="G534" s="12" t="s">
        <v>701</v>
      </c>
      <c r="H534" s="12" t="s">
        <v>709</v>
      </c>
      <c r="I534" s="12" t="s">
        <v>712</v>
      </c>
      <c r="J534" s="12" t="s">
        <v>732</v>
      </c>
      <c r="K534" s="12" t="s">
        <v>981</v>
      </c>
      <c r="L534" s="6">
        <v>20.149999999999999</v>
      </c>
      <c r="M534" s="6">
        <v>39.74</v>
      </c>
      <c r="N534" s="6">
        <v>0.151</v>
      </c>
      <c r="O534" s="6">
        <v>18</v>
      </c>
    </row>
    <row r="535" spans="1:15" x14ac:dyDescent="0.25">
      <c r="A535" s="12" t="s">
        <v>546</v>
      </c>
      <c r="B535" s="4">
        <v>45769</v>
      </c>
      <c r="C535" s="4">
        <v>45789</v>
      </c>
      <c r="D535" s="12" t="s">
        <v>649</v>
      </c>
      <c r="E535" s="12" t="s">
        <v>657</v>
      </c>
      <c r="F535" s="12" t="s">
        <v>679</v>
      </c>
      <c r="G535" s="12" t="s">
        <v>706</v>
      </c>
      <c r="H535" s="12" t="s">
        <v>709</v>
      </c>
      <c r="I535" s="12" t="s">
        <v>723</v>
      </c>
      <c r="J535" s="12" t="s">
        <v>732</v>
      </c>
      <c r="K535" s="12" t="s">
        <v>1265</v>
      </c>
      <c r="L535" s="6">
        <v>59.51</v>
      </c>
      <c r="M535" s="6">
        <v>67.040000000000006</v>
      </c>
      <c r="N535" s="6">
        <v>0.114</v>
      </c>
      <c r="O535" s="6">
        <v>9</v>
      </c>
    </row>
    <row r="536" spans="1:15" x14ac:dyDescent="0.25">
      <c r="A536" s="12" t="s">
        <v>98</v>
      </c>
      <c r="B536" s="4">
        <v>45770</v>
      </c>
      <c r="C536" s="4">
        <v>45769</v>
      </c>
      <c r="D536" s="12" t="s">
        <v>648</v>
      </c>
      <c r="E536" s="12" t="s">
        <v>660</v>
      </c>
      <c r="F536" s="12" t="s">
        <v>686</v>
      </c>
      <c r="G536" s="12" t="s">
        <v>703</v>
      </c>
      <c r="H536" s="12" t="s">
        <v>710</v>
      </c>
      <c r="I536" s="12" t="s">
        <v>726</v>
      </c>
      <c r="J536" s="12" t="s">
        <v>732</v>
      </c>
      <c r="K536" s="12" t="s">
        <v>817</v>
      </c>
      <c r="L536" s="6">
        <v>23.24</v>
      </c>
      <c r="M536" s="6">
        <v>44.57</v>
      </c>
      <c r="N536" s="6">
        <v>0.215</v>
      </c>
      <c r="O536" s="6">
        <v>15</v>
      </c>
    </row>
    <row r="537" spans="1:15" x14ac:dyDescent="0.25">
      <c r="A537" s="12" t="s">
        <v>245</v>
      </c>
      <c r="B537" s="4">
        <v>45771</v>
      </c>
      <c r="C537" s="4">
        <v>45783</v>
      </c>
      <c r="D537" s="12" t="s">
        <v>648</v>
      </c>
      <c r="E537" s="12" t="s">
        <v>655</v>
      </c>
      <c r="F537" s="12" t="s">
        <v>672</v>
      </c>
      <c r="G537" s="12" t="s">
        <v>704</v>
      </c>
      <c r="H537" s="12" t="s">
        <v>708</v>
      </c>
      <c r="I537" s="12" t="s">
        <v>712</v>
      </c>
      <c r="J537" s="12" t="s">
        <v>730</v>
      </c>
      <c r="K537" s="12" t="s">
        <v>965</v>
      </c>
      <c r="L537" s="6">
        <v>394.13</v>
      </c>
      <c r="M537" s="6">
        <v>932.29</v>
      </c>
      <c r="N537" s="6">
        <v>0.109</v>
      </c>
      <c r="O537" s="6">
        <v>7</v>
      </c>
    </row>
    <row r="538" spans="1:15" x14ac:dyDescent="0.25">
      <c r="A538" s="12" t="s">
        <v>77</v>
      </c>
      <c r="B538" s="4">
        <v>45774</v>
      </c>
      <c r="C538" s="4">
        <v>45802</v>
      </c>
      <c r="D538" s="12" t="s">
        <v>649</v>
      </c>
      <c r="E538" s="12" t="s">
        <v>657</v>
      </c>
      <c r="F538" s="12" t="s">
        <v>690</v>
      </c>
      <c r="G538" s="12" t="s">
        <v>705</v>
      </c>
      <c r="H538" s="12" t="s">
        <v>709</v>
      </c>
      <c r="I538" s="12" t="s">
        <v>714</v>
      </c>
      <c r="J538" s="12" t="s">
        <v>730</v>
      </c>
      <c r="K538" s="12" t="s">
        <v>796</v>
      </c>
      <c r="L538" s="6">
        <v>603.45000000000005</v>
      </c>
      <c r="M538" s="6">
        <v>1244.08</v>
      </c>
      <c r="N538" s="6">
        <v>0.2</v>
      </c>
      <c r="O538" s="6">
        <v>11</v>
      </c>
    </row>
    <row r="539" spans="1:15" x14ac:dyDescent="0.25">
      <c r="A539" s="12" t="s">
        <v>348</v>
      </c>
      <c r="B539" s="4">
        <v>45774</v>
      </c>
      <c r="C539" s="4">
        <v>45804</v>
      </c>
      <c r="D539" s="12" t="s">
        <v>647</v>
      </c>
      <c r="E539" s="12" t="s">
        <v>654</v>
      </c>
      <c r="F539" s="14" t="s">
        <v>1367</v>
      </c>
      <c r="G539" s="12" t="s">
        <v>706</v>
      </c>
      <c r="H539" s="12" t="s">
        <v>709</v>
      </c>
      <c r="I539" s="12" t="s">
        <v>722</v>
      </c>
      <c r="J539" s="12" t="s">
        <v>730</v>
      </c>
      <c r="K539" s="12" t="s">
        <v>1068</v>
      </c>
      <c r="L539" s="6">
        <v>481.32</v>
      </c>
      <c r="M539" s="6">
        <v>1135.99</v>
      </c>
      <c r="N539" s="6">
        <v>0.14499999999999999</v>
      </c>
      <c r="O539" s="6">
        <v>5</v>
      </c>
    </row>
    <row r="540" spans="1:15" x14ac:dyDescent="0.25">
      <c r="A540" s="12" t="s">
        <v>520</v>
      </c>
      <c r="B540" s="4">
        <v>45774</v>
      </c>
      <c r="C540" s="4">
        <v>45794</v>
      </c>
      <c r="D540" s="12" t="s">
        <v>648</v>
      </c>
      <c r="E540" s="12" t="s">
        <v>660</v>
      </c>
      <c r="F540" s="12" t="s">
        <v>697</v>
      </c>
      <c r="G540" s="12" t="s">
        <v>701</v>
      </c>
      <c r="H540" s="12" t="s">
        <v>711</v>
      </c>
      <c r="I540" s="12" t="s">
        <v>725</v>
      </c>
      <c r="J540" s="12" t="s">
        <v>730</v>
      </c>
      <c r="K540" s="12" t="s">
        <v>1239</v>
      </c>
      <c r="L540" s="6">
        <v>932.26</v>
      </c>
      <c r="M540" s="6">
        <v>1624.67</v>
      </c>
      <c r="N540" s="6">
        <v>0.23499999999999999</v>
      </c>
      <c r="O540" s="6">
        <v>28</v>
      </c>
    </row>
    <row r="541" spans="1:15" x14ac:dyDescent="0.25">
      <c r="A541" s="12" t="s">
        <v>105</v>
      </c>
      <c r="B541" s="4">
        <v>45775</v>
      </c>
      <c r="C541" s="4">
        <v>45792</v>
      </c>
      <c r="D541" s="12" t="s">
        <v>647</v>
      </c>
      <c r="E541" s="12" t="s">
        <v>652</v>
      </c>
      <c r="F541" s="12" t="s">
        <v>694</v>
      </c>
      <c r="G541" s="12" t="s">
        <v>702</v>
      </c>
      <c r="H541" s="12" t="s">
        <v>711</v>
      </c>
      <c r="I541" s="12" t="s">
        <v>725</v>
      </c>
      <c r="J541" s="12" t="s">
        <v>729</v>
      </c>
      <c r="K541" s="12" t="s">
        <v>824</v>
      </c>
      <c r="L541" s="6">
        <v>691.19</v>
      </c>
      <c r="M541" s="6">
        <v>1284.3</v>
      </c>
      <c r="N541" s="6">
        <v>7.3999999999999996E-2</v>
      </c>
      <c r="O541" s="6">
        <v>7</v>
      </c>
    </row>
    <row r="542" spans="1:15" x14ac:dyDescent="0.25">
      <c r="A542" s="12" t="s">
        <v>497</v>
      </c>
      <c r="B542" s="4">
        <v>45775</v>
      </c>
      <c r="C542" s="4">
        <v>45796</v>
      </c>
      <c r="D542" s="12" t="s">
        <v>649</v>
      </c>
      <c r="E542" s="12" t="s">
        <v>656</v>
      </c>
      <c r="F542" s="12" t="s">
        <v>671</v>
      </c>
      <c r="G542" s="12" t="s">
        <v>701</v>
      </c>
      <c r="H542" s="12" t="s">
        <v>710</v>
      </c>
      <c r="I542" s="12" t="s">
        <v>717</v>
      </c>
      <c r="J542" s="12" t="s">
        <v>730</v>
      </c>
      <c r="K542" s="12" t="s">
        <v>1216</v>
      </c>
      <c r="L542" s="6">
        <v>350.76</v>
      </c>
      <c r="M542" s="6">
        <v>492.18</v>
      </c>
      <c r="N542" s="6">
        <v>5.2999999999999999E-2</v>
      </c>
      <c r="O542" s="6">
        <v>11</v>
      </c>
    </row>
    <row r="543" spans="1:15" x14ac:dyDescent="0.25">
      <c r="A543" s="12" t="s">
        <v>74</v>
      </c>
      <c r="B543" s="4">
        <v>45779</v>
      </c>
      <c r="C543" s="4">
        <v>45790</v>
      </c>
      <c r="D543" s="12" t="s">
        <v>646</v>
      </c>
      <c r="E543" s="12" t="s">
        <v>650</v>
      </c>
      <c r="F543" s="12" t="s">
        <v>678</v>
      </c>
      <c r="G543" s="12" t="s">
        <v>705</v>
      </c>
      <c r="H543" s="12" t="s">
        <v>708</v>
      </c>
      <c r="I543" s="12" t="s">
        <v>720</v>
      </c>
      <c r="J543" s="12" t="s">
        <v>733</v>
      </c>
      <c r="K543" s="12" t="s">
        <v>793</v>
      </c>
      <c r="L543" s="6">
        <v>1057.5999999999999</v>
      </c>
      <c r="M543" s="6">
        <v>1437.06</v>
      </c>
      <c r="N543" s="6">
        <v>0.20499999999999999</v>
      </c>
      <c r="O543" s="6">
        <v>4</v>
      </c>
    </row>
    <row r="544" spans="1:15" x14ac:dyDescent="0.25">
      <c r="A544" s="12" t="s">
        <v>443</v>
      </c>
      <c r="B544" s="4">
        <v>45784</v>
      </c>
      <c r="C544" s="4">
        <v>45790</v>
      </c>
      <c r="D544" s="12" t="s">
        <v>647</v>
      </c>
      <c r="E544" s="12" t="s">
        <v>654</v>
      </c>
      <c r="F544" s="12" t="s">
        <v>668</v>
      </c>
      <c r="G544" s="12" t="s">
        <v>706</v>
      </c>
      <c r="H544" s="12" t="s">
        <v>711</v>
      </c>
      <c r="I544" s="12" t="s">
        <v>713</v>
      </c>
      <c r="J544" s="12" t="s">
        <v>730</v>
      </c>
      <c r="K544" s="12" t="s">
        <v>1162</v>
      </c>
      <c r="L544" s="6">
        <v>935.98</v>
      </c>
      <c r="M544" s="6">
        <v>2077.69</v>
      </c>
      <c r="N544" s="6">
        <v>0.17499999999999999</v>
      </c>
      <c r="O544" s="6">
        <v>24</v>
      </c>
    </row>
    <row r="545" spans="1:15" x14ac:dyDescent="0.25">
      <c r="A545" s="12" t="s">
        <v>314</v>
      </c>
      <c r="B545" s="4">
        <v>45787</v>
      </c>
      <c r="C545" s="4">
        <v>45804</v>
      </c>
      <c r="D545" s="12" t="s">
        <v>648</v>
      </c>
      <c r="E545" s="12" t="s">
        <v>653</v>
      </c>
      <c r="F545" s="12" t="s">
        <v>688</v>
      </c>
      <c r="G545" s="12" t="s">
        <v>702</v>
      </c>
      <c r="H545" s="12" t="s">
        <v>711</v>
      </c>
      <c r="I545" s="12" t="s">
        <v>712</v>
      </c>
      <c r="J545" s="12" t="s">
        <v>727</v>
      </c>
      <c r="K545" s="12" t="s">
        <v>1034</v>
      </c>
      <c r="L545" s="6">
        <v>862.89</v>
      </c>
      <c r="M545" s="6">
        <v>1426.03</v>
      </c>
      <c r="N545" s="6">
        <v>5.6000000000000001E-2</v>
      </c>
      <c r="O545" s="6">
        <v>19</v>
      </c>
    </row>
    <row r="546" spans="1:15" x14ac:dyDescent="0.25">
      <c r="A546" s="12" t="s">
        <v>400</v>
      </c>
      <c r="B546" s="4">
        <v>45789</v>
      </c>
      <c r="C546" s="4">
        <v>45803</v>
      </c>
      <c r="D546" s="12" t="s">
        <v>647</v>
      </c>
      <c r="E546" s="12" t="s">
        <v>654</v>
      </c>
      <c r="F546" s="12" t="s">
        <v>696</v>
      </c>
      <c r="G546" s="12" t="s">
        <v>701</v>
      </c>
      <c r="H546" s="12" t="s">
        <v>709</v>
      </c>
      <c r="I546" s="12" t="s">
        <v>715</v>
      </c>
      <c r="J546" s="12" t="s">
        <v>728</v>
      </c>
      <c r="K546" s="12" t="s">
        <v>1119</v>
      </c>
      <c r="L546" s="6">
        <v>320.12</v>
      </c>
      <c r="M546" s="6">
        <v>594.41999999999996</v>
      </c>
      <c r="N546" s="6">
        <v>0.104</v>
      </c>
      <c r="O546" s="6">
        <v>18</v>
      </c>
    </row>
    <row r="547" spans="1:15" x14ac:dyDescent="0.25">
      <c r="A547" s="12" t="s">
        <v>97</v>
      </c>
      <c r="B547" s="4">
        <v>45791</v>
      </c>
      <c r="C547" s="4">
        <v>45801</v>
      </c>
      <c r="D547" s="12" t="s">
        <v>649</v>
      </c>
      <c r="E547" s="12" t="s">
        <v>657</v>
      </c>
      <c r="F547" s="12" t="s">
        <v>690</v>
      </c>
      <c r="G547" s="12" t="s">
        <v>705</v>
      </c>
      <c r="H547" s="12" t="s">
        <v>709</v>
      </c>
      <c r="I547" s="12" t="s">
        <v>723</v>
      </c>
      <c r="J547" s="12" t="s">
        <v>727</v>
      </c>
      <c r="K547" s="12" t="s">
        <v>816</v>
      </c>
      <c r="L547" s="6">
        <v>170.39</v>
      </c>
      <c r="M547" s="6">
        <v>388.04</v>
      </c>
      <c r="N547" s="6">
        <v>8.4000000000000005E-2</v>
      </c>
      <c r="O547" s="6">
        <v>15</v>
      </c>
    </row>
    <row r="548" spans="1:15" x14ac:dyDescent="0.25">
      <c r="A548" s="12" t="s">
        <v>571</v>
      </c>
      <c r="B548" s="4">
        <v>45791</v>
      </c>
      <c r="C548" s="4">
        <v>45789</v>
      </c>
      <c r="D548" s="12" t="s">
        <v>648</v>
      </c>
      <c r="E548" s="12" t="s">
        <v>653</v>
      </c>
      <c r="F548" s="12" t="s">
        <v>688</v>
      </c>
      <c r="G548" s="12" t="s">
        <v>703</v>
      </c>
      <c r="H548" s="12" t="s">
        <v>710</v>
      </c>
      <c r="I548" s="12" t="s">
        <v>721</v>
      </c>
      <c r="J548" s="12" t="s">
        <v>728</v>
      </c>
      <c r="K548" s="12" t="s">
        <v>1289</v>
      </c>
      <c r="L548" s="6">
        <v>883.5</v>
      </c>
      <c r="M548" s="6">
        <v>1978.91</v>
      </c>
      <c r="N548" s="6">
        <v>5.3999999999999999E-2</v>
      </c>
      <c r="O548" s="6">
        <v>27</v>
      </c>
    </row>
    <row r="549" spans="1:15" x14ac:dyDescent="0.25">
      <c r="A549" s="12" t="s">
        <v>503</v>
      </c>
      <c r="B549" s="4">
        <v>45792</v>
      </c>
      <c r="C549" s="4">
        <v>45813</v>
      </c>
      <c r="D549" s="12" t="s">
        <v>647</v>
      </c>
      <c r="E549" s="12" t="s">
        <v>652</v>
      </c>
      <c r="F549" s="12" t="s">
        <v>666</v>
      </c>
      <c r="G549" s="12" t="s">
        <v>706</v>
      </c>
      <c r="H549" s="12" t="s">
        <v>711</v>
      </c>
      <c r="I549" s="12" t="s">
        <v>722</v>
      </c>
      <c r="J549" s="12" t="s">
        <v>730</v>
      </c>
      <c r="K549" s="12" t="s">
        <v>1222</v>
      </c>
      <c r="L549" s="6">
        <v>1466.5</v>
      </c>
      <c r="M549" s="6">
        <v>2778.74</v>
      </c>
      <c r="N549" s="6">
        <v>0.13500000000000001</v>
      </c>
      <c r="O549" s="6">
        <v>4</v>
      </c>
    </row>
    <row r="550" spans="1:15" x14ac:dyDescent="0.25">
      <c r="A550" s="12" t="s">
        <v>255</v>
      </c>
      <c r="B550" s="4">
        <v>45793</v>
      </c>
      <c r="C550" s="4">
        <v>45804</v>
      </c>
      <c r="D550" s="12" t="s">
        <v>647</v>
      </c>
      <c r="E550" s="12" t="s">
        <v>659</v>
      </c>
      <c r="F550" s="12" t="s">
        <v>699</v>
      </c>
      <c r="G550" s="12" t="s">
        <v>706</v>
      </c>
      <c r="H550" s="12" t="s">
        <v>708</v>
      </c>
      <c r="I550" s="12" t="s">
        <v>721</v>
      </c>
      <c r="J550" s="12" t="s">
        <v>730</v>
      </c>
      <c r="K550" s="12" t="s">
        <v>975</v>
      </c>
      <c r="L550" s="6">
        <v>918.12</v>
      </c>
      <c r="M550" s="6">
        <v>1337.69</v>
      </c>
      <c r="N550" s="6">
        <v>9.5000000000000001E-2</v>
      </c>
      <c r="O550" s="6">
        <v>8</v>
      </c>
    </row>
    <row r="551" spans="1:15" x14ac:dyDescent="0.25">
      <c r="A551" s="12" t="s">
        <v>617</v>
      </c>
      <c r="B551" s="4">
        <v>45793</v>
      </c>
      <c r="C551" s="4">
        <v>45795</v>
      </c>
      <c r="D551" s="12" t="s">
        <v>647</v>
      </c>
      <c r="E551" s="12" t="s">
        <v>652</v>
      </c>
      <c r="F551" s="12" t="s">
        <v>689</v>
      </c>
      <c r="G551" s="12" t="s">
        <v>706</v>
      </c>
      <c r="H551" s="12" t="s">
        <v>707</v>
      </c>
      <c r="I551" s="12" t="s">
        <v>713</v>
      </c>
      <c r="J551" s="12" t="s">
        <v>728</v>
      </c>
      <c r="K551" s="12" t="s">
        <v>1335</v>
      </c>
      <c r="L551" s="6">
        <v>1144.3800000000001</v>
      </c>
      <c r="M551" s="6">
        <v>2755.04</v>
      </c>
      <c r="N551" s="6">
        <v>0.15</v>
      </c>
      <c r="O551" s="6">
        <v>17</v>
      </c>
    </row>
    <row r="552" spans="1:15" x14ac:dyDescent="0.25">
      <c r="A552" s="12" t="s">
        <v>297</v>
      </c>
      <c r="B552" s="4">
        <v>45794</v>
      </c>
      <c r="C552" s="4">
        <v>45805</v>
      </c>
      <c r="D552" s="12" t="s">
        <v>647</v>
      </c>
      <c r="E552" s="12" t="s">
        <v>654</v>
      </c>
      <c r="F552" s="12" t="s">
        <v>668</v>
      </c>
      <c r="G552" s="12" t="s">
        <v>701</v>
      </c>
      <c r="H552" s="12" t="s">
        <v>710</v>
      </c>
      <c r="I552" s="12" t="s">
        <v>717</v>
      </c>
      <c r="J552" s="12" t="s">
        <v>731</v>
      </c>
      <c r="K552" s="12" t="s">
        <v>1017</v>
      </c>
      <c r="L552" s="6">
        <v>623.4</v>
      </c>
      <c r="M552" s="6">
        <v>1100.0899999999999</v>
      </c>
      <c r="N552" s="6">
        <v>0.114</v>
      </c>
      <c r="O552" s="6">
        <v>12</v>
      </c>
    </row>
    <row r="553" spans="1:15" x14ac:dyDescent="0.25">
      <c r="A553" s="12" t="s">
        <v>531</v>
      </c>
      <c r="B553" s="4">
        <v>45794</v>
      </c>
      <c r="C553" s="4">
        <v>45807</v>
      </c>
      <c r="D553" s="12" t="s">
        <v>646</v>
      </c>
      <c r="E553" s="12" t="s">
        <v>651</v>
      </c>
      <c r="F553" s="12" t="s">
        <v>665</v>
      </c>
      <c r="G553" s="12" t="s">
        <v>704</v>
      </c>
      <c r="H553" s="12" t="s">
        <v>710</v>
      </c>
      <c r="I553" s="12" t="s">
        <v>721</v>
      </c>
      <c r="J553" s="12" t="s">
        <v>733</v>
      </c>
      <c r="K553" s="12" t="s">
        <v>1250</v>
      </c>
      <c r="L553" s="6">
        <v>66.400000000000006</v>
      </c>
      <c r="M553" s="6">
        <v>141.43</v>
      </c>
      <c r="N553" s="6">
        <v>0.107</v>
      </c>
      <c r="O553" s="6">
        <v>8</v>
      </c>
    </row>
    <row r="554" spans="1:15" x14ac:dyDescent="0.25">
      <c r="A554" s="12" t="s">
        <v>321</v>
      </c>
      <c r="B554" s="4">
        <v>45795</v>
      </c>
      <c r="C554" s="4">
        <v>45817</v>
      </c>
      <c r="D554" s="12" t="s">
        <v>648</v>
      </c>
      <c r="E554" s="12" t="s">
        <v>660</v>
      </c>
      <c r="F554" s="12" t="s">
        <v>700</v>
      </c>
      <c r="G554" s="12" t="s">
        <v>704</v>
      </c>
      <c r="H554" s="12" t="s">
        <v>707</v>
      </c>
      <c r="I554" s="12" t="s">
        <v>722</v>
      </c>
      <c r="J554" s="12" t="s">
        <v>729</v>
      </c>
      <c r="K554" s="12" t="s">
        <v>1041</v>
      </c>
      <c r="L554" s="6">
        <v>382.96</v>
      </c>
      <c r="M554" s="6">
        <v>552.84</v>
      </c>
      <c r="N554" s="6">
        <v>0.17599999999999999</v>
      </c>
      <c r="O554" s="6">
        <v>8</v>
      </c>
    </row>
    <row r="555" spans="1:15" x14ac:dyDescent="0.25">
      <c r="A555" s="12" t="s">
        <v>342</v>
      </c>
      <c r="B555" s="4">
        <v>45796</v>
      </c>
      <c r="C555" s="4">
        <v>45794</v>
      </c>
      <c r="D555" s="12" t="s">
        <v>648</v>
      </c>
      <c r="E555" s="12" t="s">
        <v>655</v>
      </c>
      <c r="F555" s="12" t="s">
        <v>670</v>
      </c>
      <c r="G555" s="12" t="s">
        <v>705</v>
      </c>
      <c r="H555" s="12" t="s">
        <v>710</v>
      </c>
      <c r="I555" s="12" t="s">
        <v>716</v>
      </c>
      <c r="J555" s="12" t="s">
        <v>732</v>
      </c>
      <c r="K555" s="12" t="s">
        <v>1062</v>
      </c>
      <c r="L555" s="6">
        <v>383.77</v>
      </c>
      <c r="M555" s="6">
        <v>952.56</v>
      </c>
      <c r="N555" s="6">
        <v>0.34599999999999997</v>
      </c>
      <c r="O555" s="6">
        <v>10</v>
      </c>
    </row>
    <row r="556" spans="1:15" x14ac:dyDescent="0.25">
      <c r="A556" s="12" t="s">
        <v>24</v>
      </c>
      <c r="B556" s="4">
        <v>45798</v>
      </c>
      <c r="C556" s="4">
        <v>45817</v>
      </c>
      <c r="D556" s="12" t="s">
        <v>648</v>
      </c>
      <c r="E556" s="12" t="s">
        <v>655</v>
      </c>
      <c r="F556" s="12" t="s">
        <v>670</v>
      </c>
      <c r="G556" s="12" t="s">
        <v>703</v>
      </c>
      <c r="H556" s="12" t="s">
        <v>708</v>
      </c>
      <c r="I556" s="12" t="s">
        <v>720</v>
      </c>
      <c r="J556" s="12" t="s">
        <v>727</v>
      </c>
      <c r="K556" s="12" t="s">
        <v>743</v>
      </c>
      <c r="L556" s="6">
        <v>1331.38</v>
      </c>
      <c r="M556" s="6">
        <v>2309.56</v>
      </c>
      <c r="N556" s="6">
        <v>0.14899999999999999</v>
      </c>
      <c r="O556" s="6">
        <v>31</v>
      </c>
    </row>
    <row r="557" spans="1:15" x14ac:dyDescent="0.25">
      <c r="A557" s="12" t="s">
        <v>34</v>
      </c>
      <c r="B557" s="4">
        <v>45798</v>
      </c>
      <c r="C557" s="4">
        <v>45796</v>
      </c>
      <c r="D557" s="12" t="s">
        <v>649</v>
      </c>
      <c r="E557" s="12" t="s">
        <v>658</v>
      </c>
      <c r="F557" s="12" t="s">
        <v>674</v>
      </c>
      <c r="G557" s="12" t="s">
        <v>706</v>
      </c>
      <c r="H557" s="12" t="s">
        <v>708</v>
      </c>
      <c r="I557" s="12" t="s">
        <v>724</v>
      </c>
      <c r="J557" s="12" t="s">
        <v>731</v>
      </c>
      <c r="K557" s="12" t="s">
        <v>753</v>
      </c>
      <c r="L557" s="6">
        <v>1015.16</v>
      </c>
      <c r="M557" s="6">
        <v>2148.14</v>
      </c>
      <c r="N557" s="6">
        <v>3.7999999999999999E-2</v>
      </c>
      <c r="O557" s="6">
        <v>19</v>
      </c>
    </row>
    <row r="558" spans="1:15" x14ac:dyDescent="0.25">
      <c r="A558" s="12" t="s">
        <v>188</v>
      </c>
      <c r="B558" s="4">
        <v>45798</v>
      </c>
      <c r="C558" s="4">
        <v>45796</v>
      </c>
      <c r="D558" s="12" t="s">
        <v>646</v>
      </c>
      <c r="E558" s="12" t="s">
        <v>661</v>
      </c>
      <c r="F558" s="12" t="s">
        <v>682</v>
      </c>
      <c r="G558" s="12" t="s">
        <v>703</v>
      </c>
      <c r="H558" s="12" t="s">
        <v>710</v>
      </c>
      <c r="I558" s="12" t="s">
        <v>719</v>
      </c>
      <c r="J558" s="12" t="s">
        <v>731</v>
      </c>
      <c r="K558" s="12" t="s">
        <v>907</v>
      </c>
      <c r="L558" s="6">
        <v>1263.8399999999999</v>
      </c>
      <c r="M558" s="6">
        <v>2281.7199999999998</v>
      </c>
      <c r="N558" s="6">
        <v>7.8E-2</v>
      </c>
      <c r="O558" s="6">
        <v>15</v>
      </c>
    </row>
    <row r="559" spans="1:15" x14ac:dyDescent="0.25">
      <c r="A559" s="12" t="s">
        <v>409</v>
      </c>
      <c r="B559" s="4">
        <v>45804</v>
      </c>
      <c r="C559" s="4">
        <v>45816</v>
      </c>
      <c r="D559" s="12" t="s">
        <v>647</v>
      </c>
      <c r="E559" s="12" t="s">
        <v>652</v>
      </c>
      <c r="F559" s="12" t="s">
        <v>666</v>
      </c>
      <c r="G559" s="12" t="s">
        <v>701</v>
      </c>
      <c r="H559" s="12" t="s">
        <v>707</v>
      </c>
      <c r="I559" s="12" t="s">
        <v>722</v>
      </c>
      <c r="J559" s="12" t="s">
        <v>733</v>
      </c>
      <c r="K559" s="12" t="s">
        <v>1128</v>
      </c>
      <c r="L559" s="6">
        <v>653.6</v>
      </c>
      <c r="M559" s="6">
        <v>842.09</v>
      </c>
      <c r="N559" s="6">
        <v>9.8000000000000004E-2</v>
      </c>
      <c r="O559" s="6">
        <v>19</v>
      </c>
    </row>
    <row r="560" spans="1:15" x14ac:dyDescent="0.25">
      <c r="A560" s="12" t="s">
        <v>58</v>
      </c>
      <c r="B560" s="4">
        <v>45806</v>
      </c>
      <c r="C560" s="4">
        <v>45828</v>
      </c>
      <c r="D560" s="12" t="s">
        <v>649</v>
      </c>
      <c r="E560" s="12" t="s">
        <v>656</v>
      </c>
      <c r="F560" s="12" t="s">
        <v>671</v>
      </c>
      <c r="G560" s="12" t="s">
        <v>701</v>
      </c>
      <c r="H560" s="12" t="s">
        <v>711</v>
      </c>
      <c r="I560" s="12" t="s">
        <v>720</v>
      </c>
      <c r="J560" s="12" t="s">
        <v>728</v>
      </c>
      <c r="K560" s="12" t="s">
        <v>777</v>
      </c>
      <c r="L560" s="6">
        <v>483.47</v>
      </c>
      <c r="M560" s="6">
        <v>1135.43</v>
      </c>
      <c r="N560" s="6">
        <v>0.14599999999999999</v>
      </c>
      <c r="O560" s="6">
        <v>11</v>
      </c>
    </row>
    <row r="561" spans="1:15" x14ac:dyDescent="0.25">
      <c r="A561" s="12" t="s">
        <v>309</v>
      </c>
      <c r="B561" s="4">
        <v>45809</v>
      </c>
      <c r="C561" s="4">
        <v>45835</v>
      </c>
      <c r="D561" s="12" t="s">
        <v>649</v>
      </c>
      <c r="E561" s="12" t="s">
        <v>656</v>
      </c>
      <c r="F561" s="12" t="s">
        <v>684</v>
      </c>
      <c r="G561" s="12" t="s">
        <v>704</v>
      </c>
      <c r="H561" s="12" t="s">
        <v>710</v>
      </c>
      <c r="I561" s="12" t="s">
        <v>718</v>
      </c>
      <c r="J561" s="12" t="s">
        <v>731</v>
      </c>
      <c r="K561" s="12" t="s">
        <v>1029</v>
      </c>
      <c r="L561" s="6">
        <v>1362.31</v>
      </c>
      <c r="M561" s="6">
        <v>3294.57</v>
      </c>
      <c r="N561" s="6">
        <v>0.113</v>
      </c>
      <c r="O561" s="6">
        <v>7</v>
      </c>
    </row>
    <row r="562" spans="1:15" x14ac:dyDescent="0.25">
      <c r="A562" s="12" t="s">
        <v>329</v>
      </c>
      <c r="B562" s="4">
        <v>45809</v>
      </c>
      <c r="C562" s="4">
        <v>45814</v>
      </c>
      <c r="D562" s="12" t="s">
        <v>649</v>
      </c>
      <c r="E562" s="12" t="s">
        <v>657</v>
      </c>
      <c r="F562" s="12" t="s">
        <v>690</v>
      </c>
      <c r="G562" s="12" t="s">
        <v>704</v>
      </c>
      <c r="H562" s="12" t="s">
        <v>710</v>
      </c>
      <c r="I562" s="12" t="s">
        <v>715</v>
      </c>
      <c r="J562" s="12" t="s">
        <v>727</v>
      </c>
      <c r="K562" s="12" t="s">
        <v>1049</v>
      </c>
      <c r="L562" s="6">
        <v>379.45</v>
      </c>
      <c r="M562" s="6">
        <v>742.23</v>
      </c>
      <c r="N562" s="6">
        <v>0.09</v>
      </c>
      <c r="O562" s="6">
        <v>13</v>
      </c>
    </row>
    <row r="563" spans="1:15" x14ac:dyDescent="0.25">
      <c r="A563" s="12" t="s">
        <v>482</v>
      </c>
      <c r="B563" s="4">
        <v>45809</v>
      </c>
      <c r="C563" s="4">
        <v>45813</v>
      </c>
      <c r="D563" s="12" t="s">
        <v>649</v>
      </c>
      <c r="E563" s="12" t="s">
        <v>656</v>
      </c>
      <c r="F563" s="12" t="s">
        <v>684</v>
      </c>
      <c r="G563" s="12" t="s">
        <v>706</v>
      </c>
      <c r="H563" s="12" t="s">
        <v>711</v>
      </c>
      <c r="I563" s="12" t="s">
        <v>724</v>
      </c>
      <c r="J563" s="12" t="s">
        <v>727</v>
      </c>
      <c r="K563" s="12" t="s">
        <v>1201</v>
      </c>
      <c r="L563" s="6">
        <v>1171.42</v>
      </c>
      <c r="M563" s="6">
        <v>2187.8000000000002</v>
      </c>
      <c r="N563" s="6">
        <v>0.23</v>
      </c>
      <c r="O563" s="6">
        <v>15</v>
      </c>
    </row>
    <row r="564" spans="1:15" x14ac:dyDescent="0.25">
      <c r="A564" s="12" t="s">
        <v>131</v>
      </c>
      <c r="B564" s="4">
        <v>45811</v>
      </c>
      <c r="C564" s="4">
        <v>45818</v>
      </c>
      <c r="D564" s="12" t="s">
        <v>648</v>
      </c>
      <c r="E564" s="12" t="s">
        <v>653</v>
      </c>
      <c r="F564" s="12" t="s">
        <v>667</v>
      </c>
      <c r="G564" s="12" t="s">
        <v>704</v>
      </c>
      <c r="H564" s="12" t="s">
        <v>710</v>
      </c>
      <c r="I564" s="12" t="s">
        <v>719</v>
      </c>
      <c r="J564" s="12" t="s">
        <v>728</v>
      </c>
      <c r="K564" s="12" t="s">
        <v>850</v>
      </c>
      <c r="L564" s="6">
        <v>75.180000000000007</v>
      </c>
      <c r="M564" s="6">
        <v>53.45</v>
      </c>
      <c r="N564" s="6">
        <v>0.157</v>
      </c>
      <c r="O564" s="6">
        <v>17</v>
      </c>
    </row>
    <row r="565" spans="1:15" x14ac:dyDescent="0.25">
      <c r="A565" s="12" t="s">
        <v>431</v>
      </c>
      <c r="B565" s="4">
        <v>45813</v>
      </c>
      <c r="C565" s="4">
        <v>45822</v>
      </c>
      <c r="D565" s="12" t="s">
        <v>647</v>
      </c>
      <c r="E565" s="12" t="s">
        <v>654</v>
      </c>
      <c r="F565" s="12" t="s">
        <v>680</v>
      </c>
      <c r="G565" s="12" t="s">
        <v>703</v>
      </c>
      <c r="H565" s="12" t="s">
        <v>707</v>
      </c>
      <c r="I565" s="12" t="s">
        <v>720</v>
      </c>
      <c r="J565" s="12" t="s">
        <v>733</v>
      </c>
      <c r="K565" s="12" t="s">
        <v>1150</v>
      </c>
      <c r="L565" s="6">
        <v>618.69000000000005</v>
      </c>
      <c r="M565" s="6">
        <v>796.15</v>
      </c>
      <c r="N565" s="6">
        <v>0.09</v>
      </c>
      <c r="O565" s="6">
        <v>11</v>
      </c>
    </row>
    <row r="566" spans="1:15" x14ac:dyDescent="0.25">
      <c r="A566" s="12" t="s">
        <v>73</v>
      </c>
      <c r="B566" s="4">
        <v>45817</v>
      </c>
      <c r="C566" s="4">
        <v>45826</v>
      </c>
      <c r="D566" s="12" t="s">
        <v>649</v>
      </c>
      <c r="E566" s="12" t="s">
        <v>657</v>
      </c>
      <c r="F566" s="12" t="s">
        <v>673</v>
      </c>
      <c r="G566" s="12" t="s">
        <v>705</v>
      </c>
      <c r="H566" s="12" t="s">
        <v>709</v>
      </c>
      <c r="I566" s="12" t="s">
        <v>722</v>
      </c>
      <c r="J566" s="12" t="s">
        <v>733</v>
      </c>
      <c r="K566" s="12" t="s">
        <v>792</v>
      </c>
      <c r="L566" s="6">
        <v>1225.5</v>
      </c>
      <c r="M566" s="6">
        <v>-5.27</v>
      </c>
      <c r="N566" s="6">
        <v>7.4999999999999997E-2</v>
      </c>
      <c r="O566" s="6">
        <v>56</v>
      </c>
    </row>
    <row r="567" spans="1:15" x14ac:dyDescent="0.25">
      <c r="A567" s="12" t="s">
        <v>106</v>
      </c>
      <c r="B567" s="4">
        <v>45817</v>
      </c>
      <c r="C567" s="4">
        <v>45833</v>
      </c>
      <c r="D567" s="12" t="s">
        <v>647</v>
      </c>
      <c r="E567" s="12" t="s">
        <v>654</v>
      </c>
      <c r="F567" s="12" t="s">
        <v>696</v>
      </c>
      <c r="G567" s="12" t="s">
        <v>706</v>
      </c>
      <c r="H567" s="12" t="s">
        <v>710</v>
      </c>
      <c r="I567" s="12" t="s">
        <v>724</v>
      </c>
      <c r="J567" s="12" t="s">
        <v>730</v>
      </c>
      <c r="K567" s="12" t="s">
        <v>825</v>
      </c>
      <c r="L567" s="6">
        <v>527.33000000000004</v>
      </c>
      <c r="M567" s="6">
        <v>911.72</v>
      </c>
      <c r="N567" s="6">
        <v>0.14399999999999999</v>
      </c>
      <c r="O567" s="6">
        <v>25</v>
      </c>
    </row>
    <row r="568" spans="1:15" x14ac:dyDescent="0.25">
      <c r="A568" s="12" t="s">
        <v>467</v>
      </c>
      <c r="B568" s="4">
        <v>45817</v>
      </c>
      <c r="C568" s="4">
        <v>45832</v>
      </c>
      <c r="D568" s="12" t="s">
        <v>647</v>
      </c>
      <c r="E568" s="12" t="s">
        <v>652</v>
      </c>
      <c r="F568" s="12" t="s">
        <v>694</v>
      </c>
      <c r="G568" s="12" t="s">
        <v>701</v>
      </c>
      <c r="H568" s="12" t="s">
        <v>711</v>
      </c>
      <c r="I568" s="12" t="s">
        <v>717</v>
      </c>
      <c r="J568" s="12" t="s">
        <v>730</v>
      </c>
      <c r="K568" s="12" t="s">
        <v>1186</v>
      </c>
      <c r="L568" s="6">
        <v>400.39</v>
      </c>
      <c r="M568" s="6">
        <v>712.75</v>
      </c>
      <c r="N568" s="6">
        <v>0.115</v>
      </c>
      <c r="O568" s="6">
        <v>19</v>
      </c>
    </row>
    <row r="569" spans="1:15" x14ac:dyDescent="0.25">
      <c r="A569" s="12" t="s">
        <v>37</v>
      </c>
      <c r="B569" s="4">
        <v>45822</v>
      </c>
      <c r="C569" s="4">
        <v>45837</v>
      </c>
      <c r="D569" s="12" t="s">
        <v>646</v>
      </c>
      <c r="E569" s="12" t="s">
        <v>651</v>
      </c>
      <c r="F569" s="12" t="s">
        <v>663</v>
      </c>
      <c r="G569" s="12" t="s">
        <v>704</v>
      </c>
      <c r="H569" s="12" t="s">
        <v>709</v>
      </c>
      <c r="I569" s="12" t="s">
        <v>724</v>
      </c>
      <c r="J569" s="12" t="s">
        <v>733</v>
      </c>
      <c r="K569" s="12" t="s">
        <v>756</v>
      </c>
      <c r="L569" s="6">
        <v>730.99</v>
      </c>
      <c r="M569" s="6">
        <v>1242.8399999999999</v>
      </c>
      <c r="N569" s="6">
        <v>0.12</v>
      </c>
      <c r="O569" s="6">
        <v>10</v>
      </c>
    </row>
    <row r="570" spans="1:15" x14ac:dyDescent="0.25">
      <c r="A570" s="12" t="s">
        <v>404</v>
      </c>
      <c r="B570" s="4">
        <v>45823</v>
      </c>
      <c r="C570" s="4">
        <v>45838</v>
      </c>
      <c r="D570" s="12" t="s">
        <v>646</v>
      </c>
      <c r="E570" s="12" t="s">
        <v>661</v>
      </c>
      <c r="F570" s="12" t="s">
        <v>682</v>
      </c>
      <c r="G570" s="12" t="s">
        <v>705</v>
      </c>
      <c r="H570" s="12" t="s">
        <v>711</v>
      </c>
      <c r="I570" s="12" t="s">
        <v>712</v>
      </c>
      <c r="J570" s="12" t="s">
        <v>732</v>
      </c>
      <c r="K570" s="12" t="s">
        <v>1123</v>
      </c>
      <c r="L570" s="6">
        <v>1487.59</v>
      </c>
      <c r="M570" s="6">
        <v>1480.83</v>
      </c>
      <c r="N570" s="6">
        <v>8.9999999999999993E-3</v>
      </c>
      <c r="O570" s="6">
        <v>11</v>
      </c>
    </row>
    <row r="571" spans="1:15" x14ac:dyDescent="0.25">
      <c r="A571" s="12" t="s">
        <v>608</v>
      </c>
      <c r="B571" s="4">
        <v>45823</v>
      </c>
      <c r="C571" s="4">
        <v>45850</v>
      </c>
      <c r="D571" s="12" t="s">
        <v>649</v>
      </c>
      <c r="E571" s="12" t="s">
        <v>657</v>
      </c>
      <c r="F571" s="12" t="s">
        <v>673</v>
      </c>
      <c r="G571" s="12" t="s">
        <v>704</v>
      </c>
      <c r="H571" s="12" t="s">
        <v>711</v>
      </c>
      <c r="I571" s="12" t="s">
        <v>712</v>
      </c>
      <c r="J571" s="12" t="s">
        <v>733</v>
      </c>
      <c r="K571" s="12" t="s">
        <v>1326</v>
      </c>
      <c r="L571" s="6">
        <v>318.83</v>
      </c>
      <c r="M571" s="6">
        <v>699.5</v>
      </c>
      <c r="N571" s="6">
        <v>0.08</v>
      </c>
      <c r="O571" s="6">
        <v>13</v>
      </c>
    </row>
    <row r="572" spans="1:15" x14ac:dyDescent="0.25">
      <c r="A572" s="12" t="s">
        <v>363</v>
      </c>
      <c r="B572" s="4">
        <v>45825</v>
      </c>
      <c r="C572" s="4">
        <v>45843</v>
      </c>
      <c r="D572" s="12" t="s">
        <v>647</v>
      </c>
      <c r="E572" s="12" t="s">
        <v>654</v>
      </c>
      <c r="F572" s="12" t="s">
        <v>680</v>
      </c>
      <c r="G572" s="12" t="s">
        <v>704</v>
      </c>
      <c r="H572" s="12" t="s">
        <v>709</v>
      </c>
      <c r="I572" s="12" t="s">
        <v>716</v>
      </c>
      <c r="J572" s="12" t="s">
        <v>731</v>
      </c>
      <c r="K572" s="12" t="s">
        <v>1083</v>
      </c>
      <c r="L572" s="6">
        <v>982.93</v>
      </c>
      <c r="M572" s="6">
        <v>2299.3000000000002</v>
      </c>
      <c r="N572" s="6">
        <v>0.113</v>
      </c>
      <c r="O572" s="6">
        <v>6</v>
      </c>
    </row>
    <row r="573" spans="1:15" x14ac:dyDescent="0.25">
      <c r="A573" s="12" t="s">
        <v>135</v>
      </c>
      <c r="B573" s="4">
        <v>45827</v>
      </c>
      <c r="C573" s="4">
        <v>45850</v>
      </c>
      <c r="D573" s="12" t="s">
        <v>649</v>
      </c>
      <c r="E573" s="12" t="s">
        <v>658</v>
      </c>
      <c r="F573" s="14" t="s">
        <v>1367</v>
      </c>
      <c r="G573" s="12" t="s">
        <v>703</v>
      </c>
      <c r="H573" s="12" t="s">
        <v>711</v>
      </c>
      <c r="I573" s="14" t="s">
        <v>1368</v>
      </c>
      <c r="J573" s="12" t="s">
        <v>729</v>
      </c>
      <c r="K573" s="12" t="s">
        <v>854</v>
      </c>
      <c r="L573" s="6">
        <v>801.24</v>
      </c>
      <c r="M573" s="6">
        <v>1959.09</v>
      </c>
      <c r="N573" s="6">
        <v>0.123</v>
      </c>
      <c r="O573" s="6">
        <v>23</v>
      </c>
    </row>
    <row r="574" spans="1:15" x14ac:dyDescent="0.25">
      <c r="A574" s="12" t="s">
        <v>621</v>
      </c>
      <c r="B574" s="4">
        <v>45827</v>
      </c>
      <c r="C574" s="4">
        <v>45829</v>
      </c>
      <c r="D574" s="12" t="s">
        <v>646</v>
      </c>
      <c r="E574" s="12" t="s">
        <v>661</v>
      </c>
      <c r="F574" s="12" t="s">
        <v>682</v>
      </c>
      <c r="G574" s="12" t="s">
        <v>705</v>
      </c>
      <c r="H574" s="14" t="s">
        <v>1379</v>
      </c>
      <c r="I574" s="12" t="s">
        <v>722</v>
      </c>
      <c r="J574" s="12" t="s">
        <v>730</v>
      </c>
      <c r="K574" s="12" t="s">
        <v>1339</v>
      </c>
      <c r="L574" s="6">
        <v>1466.27</v>
      </c>
      <c r="M574" s="6">
        <v>3589.89</v>
      </c>
      <c r="N574" s="6">
        <v>9.7000000000000003E-2</v>
      </c>
      <c r="O574" s="6">
        <v>9</v>
      </c>
    </row>
    <row r="575" spans="1:15" x14ac:dyDescent="0.25">
      <c r="A575" s="12" t="s">
        <v>277</v>
      </c>
      <c r="B575" s="4">
        <v>45829</v>
      </c>
      <c r="C575" s="4">
        <v>45835</v>
      </c>
      <c r="D575" s="12" t="s">
        <v>646</v>
      </c>
      <c r="E575" s="12" t="s">
        <v>661</v>
      </c>
      <c r="F575" s="12" t="s">
        <v>687</v>
      </c>
      <c r="G575" s="12" t="s">
        <v>706</v>
      </c>
      <c r="H575" s="12" t="s">
        <v>710</v>
      </c>
      <c r="I575" s="12" t="s">
        <v>725</v>
      </c>
      <c r="J575" s="12" t="s">
        <v>730</v>
      </c>
      <c r="K575" s="12" t="s">
        <v>997</v>
      </c>
      <c r="L575" s="6">
        <v>93.91</v>
      </c>
      <c r="M575" s="6">
        <v>99.04</v>
      </c>
      <c r="N575" s="6">
        <v>5.7000000000000002E-2</v>
      </c>
      <c r="O575" s="6">
        <v>6</v>
      </c>
    </row>
    <row r="576" spans="1:15" x14ac:dyDescent="0.25">
      <c r="A576" s="12" t="s">
        <v>317</v>
      </c>
      <c r="B576" s="4">
        <v>45830</v>
      </c>
      <c r="C576" s="4">
        <v>45846</v>
      </c>
      <c r="D576" s="12" t="s">
        <v>649</v>
      </c>
      <c r="E576" s="12" t="s">
        <v>658</v>
      </c>
      <c r="F576" s="12" t="s">
        <v>683</v>
      </c>
      <c r="G576" s="12" t="s">
        <v>702</v>
      </c>
      <c r="H576" s="12" t="s">
        <v>711</v>
      </c>
      <c r="I576" s="12" t="s">
        <v>720</v>
      </c>
      <c r="J576" s="12" t="s">
        <v>730</v>
      </c>
      <c r="K576" s="12" t="s">
        <v>1037</v>
      </c>
      <c r="L576" s="6">
        <v>892.73</v>
      </c>
      <c r="M576" s="6">
        <v>979.84</v>
      </c>
      <c r="N576" s="6">
        <v>0.17399999999999999</v>
      </c>
      <c r="O576" s="6">
        <v>10</v>
      </c>
    </row>
    <row r="577" spans="1:15" x14ac:dyDescent="0.25">
      <c r="A577" s="12" t="s">
        <v>52</v>
      </c>
      <c r="B577" s="4">
        <v>45832</v>
      </c>
      <c r="C577" s="4">
        <v>45848</v>
      </c>
      <c r="D577" s="12" t="s">
        <v>647</v>
      </c>
      <c r="E577" s="12" t="s">
        <v>659</v>
      </c>
      <c r="F577" s="12" t="s">
        <v>685</v>
      </c>
      <c r="G577" s="12" t="s">
        <v>706</v>
      </c>
      <c r="H577" s="12" t="s">
        <v>711</v>
      </c>
      <c r="I577" s="12" t="s">
        <v>725</v>
      </c>
      <c r="J577" s="12" t="s">
        <v>727</v>
      </c>
      <c r="K577" s="12" t="s">
        <v>771</v>
      </c>
      <c r="L577" s="6">
        <v>757.19</v>
      </c>
      <c r="M577" s="6">
        <v>1735.41</v>
      </c>
      <c r="N577" s="6">
        <v>0.13600000000000001</v>
      </c>
      <c r="O577" s="6">
        <v>8</v>
      </c>
    </row>
    <row r="578" spans="1:15" x14ac:dyDescent="0.25">
      <c r="A578" s="12" t="s">
        <v>291</v>
      </c>
      <c r="B578" s="4">
        <v>45832</v>
      </c>
      <c r="C578" s="4">
        <v>45852</v>
      </c>
      <c r="D578" s="12" t="s">
        <v>649</v>
      </c>
      <c r="E578" s="12" t="s">
        <v>656</v>
      </c>
      <c r="F578" s="12" t="s">
        <v>671</v>
      </c>
      <c r="G578" s="12" t="s">
        <v>701</v>
      </c>
      <c r="H578" s="12" t="s">
        <v>711</v>
      </c>
      <c r="I578" s="12" t="s">
        <v>719</v>
      </c>
      <c r="J578" s="12" t="s">
        <v>733</v>
      </c>
      <c r="K578" s="12" t="s">
        <v>1011</v>
      </c>
      <c r="L578" s="6">
        <v>385.08</v>
      </c>
      <c r="M578" s="6">
        <v>893.19</v>
      </c>
      <c r="N578" s="6">
        <v>0.151</v>
      </c>
      <c r="O578" s="6">
        <v>8</v>
      </c>
    </row>
    <row r="579" spans="1:15" x14ac:dyDescent="0.25">
      <c r="A579" s="12" t="s">
        <v>383</v>
      </c>
      <c r="B579" s="4">
        <v>45832</v>
      </c>
      <c r="C579" s="4">
        <v>45861</v>
      </c>
      <c r="D579" s="12" t="s">
        <v>648</v>
      </c>
      <c r="E579" s="12" t="s">
        <v>653</v>
      </c>
      <c r="F579" s="12" t="s">
        <v>688</v>
      </c>
      <c r="G579" s="12" t="s">
        <v>703</v>
      </c>
      <c r="H579" s="12" t="s">
        <v>709</v>
      </c>
      <c r="I579" s="12" t="s">
        <v>714</v>
      </c>
      <c r="J579" s="12" t="s">
        <v>728</v>
      </c>
      <c r="K579" s="12" t="s">
        <v>1103</v>
      </c>
      <c r="L579" s="6">
        <v>255.4</v>
      </c>
      <c r="M579" s="6">
        <v>322.70999999999998</v>
      </c>
      <c r="N579" s="6">
        <v>0.115</v>
      </c>
      <c r="O579" s="6">
        <v>16</v>
      </c>
    </row>
    <row r="580" spans="1:15" x14ac:dyDescent="0.25">
      <c r="A580" s="12" t="s">
        <v>548</v>
      </c>
      <c r="B580" s="4">
        <v>45832</v>
      </c>
      <c r="C580" s="4">
        <v>45852</v>
      </c>
      <c r="D580" s="12" t="s">
        <v>646</v>
      </c>
      <c r="E580" s="12" t="s">
        <v>661</v>
      </c>
      <c r="F580" s="12" t="s">
        <v>682</v>
      </c>
      <c r="G580" s="12" t="s">
        <v>706</v>
      </c>
      <c r="H580" s="12" t="s">
        <v>709</v>
      </c>
      <c r="I580" s="12" t="s">
        <v>713</v>
      </c>
      <c r="J580" s="12" t="s">
        <v>731</v>
      </c>
      <c r="K580" s="12" t="s">
        <v>1267</v>
      </c>
      <c r="L580" s="6">
        <v>1151.06</v>
      </c>
      <c r="M580" s="6">
        <v>2821.36</v>
      </c>
      <c r="N580" s="6">
        <v>0.248</v>
      </c>
      <c r="O580" s="6">
        <v>20</v>
      </c>
    </row>
    <row r="581" spans="1:15" x14ac:dyDescent="0.25">
      <c r="A581" s="12" t="s">
        <v>375</v>
      </c>
      <c r="B581" s="4">
        <v>45833</v>
      </c>
      <c r="C581" s="4">
        <v>45848</v>
      </c>
      <c r="D581" s="12" t="s">
        <v>649</v>
      </c>
      <c r="E581" s="12" t="s">
        <v>658</v>
      </c>
      <c r="F581" s="12" t="s">
        <v>674</v>
      </c>
      <c r="G581" s="12" t="s">
        <v>703</v>
      </c>
      <c r="H581" s="12" t="s">
        <v>709</v>
      </c>
      <c r="I581" s="12" t="s">
        <v>726</v>
      </c>
      <c r="J581" s="12" t="s">
        <v>730</v>
      </c>
      <c r="K581" s="12" t="s">
        <v>1095</v>
      </c>
      <c r="L581" s="6">
        <v>546.83000000000004</v>
      </c>
      <c r="M581" s="6">
        <v>400.84</v>
      </c>
      <c r="N581" s="6">
        <v>7.8E-2</v>
      </c>
      <c r="O581" s="6">
        <v>13</v>
      </c>
    </row>
    <row r="582" spans="1:15" x14ac:dyDescent="0.25">
      <c r="A582" s="12" t="s">
        <v>581</v>
      </c>
      <c r="B582" s="4">
        <v>45834</v>
      </c>
      <c r="C582" s="4">
        <v>45849</v>
      </c>
      <c r="D582" s="12" t="s">
        <v>646</v>
      </c>
      <c r="E582" s="12" t="s">
        <v>651</v>
      </c>
      <c r="F582" s="12" t="s">
        <v>663</v>
      </c>
      <c r="G582" s="12" t="s">
        <v>705</v>
      </c>
      <c r="H582" s="12" t="s">
        <v>708</v>
      </c>
      <c r="I582" s="12" t="s">
        <v>720</v>
      </c>
      <c r="J582" s="12" t="s">
        <v>731</v>
      </c>
      <c r="K582" s="12" t="s">
        <v>1299</v>
      </c>
      <c r="L582" s="6">
        <v>1170.1500000000001</v>
      </c>
      <c r="M582" s="6">
        <v>2115.19</v>
      </c>
      <c r="N582" s="6">
        <v>9.1999999999999998E-2</v>
      </c>
      <c r="O582" s="6">
        <v>23</v>
      </c>
    </row>
    <row r="583" spans="1:15" x14ac:dyDescent="0.25">
      <c r="A583" s="12" t="s">
        <v>272</v>
      </c>
      <c r="B583" s="4">
        <v>45835</v>
      </c>
      <c r="C583" s="4">
        <v>45843</v>
      </c>
      <c r="D583" s="12" t="s">
        <v>649</v>
      </c>
      <c r="E583" s="12" t="s">
        <v>656</v>
      </c>
      <c r="F583" s="12" t="s">
        <v>684</v>
      </c>
      <c r="G583" s="12" t="s">
        <v>705</v>
      </c>
      <c r="H583" s="12" t="s">
        <v>711</v>
      </c>
      <c r="I583" s="12" t="s">
        <v>715</v>
      </c>
      <c r="J583" s="12" t="s">
        <v>732</v>
      </c>
      <c r="K583" s="12" t="s">
        <v>992</v>
      </c>
      <c r="L583" s="6">
        <v>314.93</v>
      </c>
      <c r="M583" s="6">
        <v>687.95</v>
      </c>
      <c r="N583" s="6">
        <v>0.20499999999999999</v>
      </c>
      <c r="O583" s="6">
        <v>8</v>
      </c>
    </row>
    <row r="584" spans="1:15" x14ac:dyDescent="0.25">
      <c r="A584" s="12" t="s">
        <v>390</v>
      </c>
      <c r="B584" s="4">
        <v>45835</v>
      </c>
      <c r="C584" s="4">
        <v>45849</v>
      </c>
      <c r="D584" s="12" t="s">
        <v>647</v>
      </c>
      <c r="E584" s="12" t="s">
        <v>659</v>
      </c>
      <c r="F584" s="12" t="s">
        <v>685</v>
      </c>
      <c r="G584" s="12" t="s">
        <v>705</v>
      </c>
      <c r="H584" s="12" t="s">
        <v>709</v>
      </c>
      <c r="I584" s="12" t="s">
        <v>716</v>
      </c>
      <c r="J584" s="12" t="s">
        <v>729</v>
      </c>
      <c r="K584" s="12" t="s">
        <v>1110</v>
      </c>
      <c r="L584" s="6">
        <v>1227.7</v>
      </c>
      <c r="M584" s="6">
        <v>2197.23</v>
      </c>
      <c r="N584" s="6">
        <v>9.9000000000000005E-2</v>
      </c>
      <c r="O584" s="6">
        <v>22</v>
      </c>
    </row>
    <row r="585" spans="1:15" x14ac:dyDescent="0.25">
      <c r="A585" s="12" t="s">
        <v>436</v>
      </c>
      <c r="B585" s="4">
        <v>45841</v>
      </c>
      <c r="C585" s="4">
        <v>45844</v>
      </c>
      <c r="D585" s="12" t="s">
        <v>646</v>
      </c>
      <c r="E585" s="12" t="s">
        <v>651</v>
      </c>
      <c r="F585" s="12" t="s">
        <v>665</v>
      </c>
      <c r="G585" s="12" t="s">
        <v>704</v>
      </c>
      <c r="H585" s="12" t="s">
        <v>708</v>
      </c>
      <c r="I585" s="14" t="s">
        <v>1368</v>
      </c>
      <c r="J585" s="12" t="s">
        <v>731</v>
      </c>
      <c r="K585" s="12" t="s">
        <v>1155</v>
      </c>
      <c r="L585" s="6">
        <v>1313.3</v>
      </c>
      <c r="M585" s="6">
        <v>2884.34</v>
      </c>
      <c r="N585" s="6">
        <v>0.157</v>
      </c>
      <c r="O585" s="6">
        <v>42</v>
      </c>
    </row>
    <row r="586" spans="1:15" x14ac:dyDescent="0.25">
      <c r="A586" s="12" t="s">
        <v>486</v>
      </c>
      <c r="B586" s="4">
        <v>45841</v>
      </c>
      <c r="C586" s="4">
        <v>45861</v>
      </c>
      <c r="D586" s="12" t="s">
        <v>647</v>
      </c>
      <c r="E586" s="12" t="s">
        <v>659</v>
      </c>
      <c r="F586" s="12" t="s">
        <v>699</v>
      </c>
      <c r="G586" s="12" t="s">
        <v>705</v>
      </c>
      <c r="H586" s="12" t="s">
        <v>708</v>
      </c>
      <c r="I586" s="12" t="s">
        <v>724</v>
      </c>
      <c r="J586" s="12" t="s">
        <v>727</v>
      </c>
      <c r="K586" s="12" t="s">
        <v>1205</v>
      </c>
      <c r="L586" s="6">
        <v>647.36</v>
      </c>
      <c r="M586" s="6">
        <v>1383.6</v>
      </c>
      <c r="N586" s="6">
        <v>7.3999999999999996E-2</v>
      </c>
      <c r="O586" s="6">
        <v>12</v>
      </c>
    </row>
    <row r="587" spans="1:15" x14ac:dyDescent="0.25">
      <c r="A587" s="12" t="s">
        <v>134</v>
      </c>
      <c r="B587" s="4">
        <v>45847</v>
      </c>
      <c r="C587" s="4">
        <v>45856</v>
      </c>
      <c r="D587" s="12" t="s">
        <v>648</v>
      </c>
      <c r="E587" s="12" t="s">
        <v>653</v>
      </c>
      <c r="F587" s="12" t="s">
        <v>688</v>
      </c>
      <c r="G587" s="12" t="s">
        <v>702</v>
      </c>
      <c r="H587" s="12" t="s">
        <v>710</v>
      </c>
      <c r="I587" s="12" t="s">
        <v>714</v>
      </c>
      <c r="J587" s="12" t="s">
        <v>731</v>
      </c>
      <c r="K587" s="12" t="s">
        <v>853</v>
      </c>
      <c r="L587" s="6">
        <v>57.96</v>
      </c>
      <c r="M587" s="6">
        <v>88.51</v>
      </c>
      <c r="N587" s="6">
        <v>4.2999999999999997E-2</v>
      </c>
      <c r="O587" s="6">
        <v>7</v>
      </c>
    </row>
    <row r="588" spans="1:15" x14ac:dyDescent="0.25">
      <c r="A588" s="12" t="s">
        <v>594</v>
      </c>
      <c r="B588" s="4">
        <v>45849</v>
      </c>
      <c r="C588" s="4">
        <v>45872</v>
      </c>
      <c r="D588" s="12" t="s">
        <v>646</v>
      </c>
      <c r="E588" s="12" t="s">
        <v>650</v>
      </c>
      <c r="F588" s="12" t="s">
        <v>678</v>
      </c>
      <c r="G588" s="12" t="s">
        <v>705</v>
      </c>
      <c r="H588" s="12" t="s">
        <v>707</v>
      </c>
      <c r="I588" s="12" t="s">
        <v>712</v>
      </c>
      <c r="J588" s="12" t="s">
        <v>730</v>
      </c>
      <c r="K588" s="12" t="s">
        <v>1312</v>
      </c>
      <c r="L588" s="6">
        <v>389.93</v>
      </c>
      <c r="M588" s="6">
        <v>486.13</v>
      </c>
      <c r="N588" s="6">
        <v>0.13200000000000001</v>
      </c>
      <c r="O588" s="6">
        <v>17</v>
      </c>
    </row>
    <row r="589" spans="1:15" x14ac:dyDescent="0.25">
      <c r="A589" s="12" t="s">
        <v>632</v>
      </c>
      <c r="B589" s="4">
        <v>45849</v>
      </c>
      <c r="C589" s="4">
        <v>45854</v>
      </c>
      <c r="D589" s="12" t="s">
        <v>649</v>
      </c>
      <c r="E589" s="12" t="s">
        <v>658</v>
      </c>
      <c r="F589" s="12" t="s">
        <v>683</v>
      </c>
      <c r="G589" s="12" t="s">
        <v>706</v>
      </c>
      <c r="H589" s="12" t="s">
        <v>708</v>
      </c>
      <c r="I589" s="12" t="s">
        <v>723</v>
      </c>
      <c r="J589" s="12" t="s">
        <v>728</v>
      </c>
      <c r="K589" s="12" t="s">
        <v>1350</v>
      </c>
      <c r="L589" s="6">
        <v>930.03</v>
      </c>
      <c r="M589" s="6">
        <v>1086.68</v>
      </c>
      <c r="N589" s="6">
        <v>0.109</v>
      </c>
      <c r="O589" s="6">
        <v>26</v>
      </c>
    </row>
    <row r="590" spans="1:15" x14ac:dyDescent="0.25">
      <c r="A590" s="12" t="s">
        <v>225</v>
      </c>
      <c r="B590" s="4">
        <v>45852</v>
      </c>
      <c r="C590" s="4">
        <v>45873</v>
      </c>
      <c r="D590" s="12" t="s">
        <v>648</v>
      </c>
      <c r="E590" s="12" t="s">
        <v>653</v>
      </c>
      <c r="F590" s="12" t="s">
        <v>681</v>
      </c>
      <c r="G590" s="12" t="s">
        <v>704</v>
      </c>
      <c r="H590" s="12" t="s">
        <v>708</v>
      </c>
      <c r="I590" s="12" t="s">
        <v>722</v>
      </c>
      <c r="J590" s="12" t="s">
        <v>732</v>
      </c>
      <c r="K590" s="12" t="s">
        <v>945</v>
      </c>
      <c r="L590" s="6">
        <v>90.3</v>
      </c>
      <c r="M590" s="6">
        <v>131.76</v>
      </c>
      <c r="N590" s="6">
        <v>0.10199999999999999</v>
      </c>
      <c r="O590" s="6">
        <v>15</v>
      </c>
    </row>
    <row r="591" spans="1:15" x14ac:dyDescent="0.25">
      <c r="A591" s="12" t="s">
        <v>237</v>
      </c>
      <c r="B591" s="4">
        <v>45854</v>
      </c>
      <c r="C591" s="4">
        <v>45855</v>
      </c>
      <c r="D591" s="12" t="s">
        <v>646</v>
      </c>
      <c r="E591" s="12" t="s">
        <v>661</v>
      </c>
      <c r="F591" s="12" t="s">
        <v>687</v>
      </c>
      <c r="G591" s="12" t="s">
        <v>705</v>
      </c>
      <c r="H591" s="12" t="s">
        <v>710</v>
      </c>
      <c r="I591" s="12" t="s">
        <v>717</v>
      </c>
      <c r="J591" s="12" t="s">
        <v>729</v>
      </c>
      <c r="K591" s="12" t="s">
        <v>957</v>
      </c>
      <c r="L591" s="6">
        <v>1198.9000000000001</v>
      </c>
      <c r="M591" s="6">
        <v>2941.2</v>
      </c>
      <c r="N591" s="6">
        <v>5.0999999999999997E-2</v>
      </c>
      <c r="O591" s="6">
        <v>24</v>
      </c>
    </row>
    <row r="592" spans="1:15" x14ac:dyDescent="0.25">
      <c r="A592" s="12" t="s">
        <v>251</v>
      </c>
      <c r="B592" s="4">
        <v>45855</v>
      </c>
      <c r="C592" s="4">
        <v>45861</v>
      </c>
      <c r="D592" s="12" t="s">
        <v>648</v>
      </c>
      <c r="E592" s="12" t="s">
        <v>653</v>
      </c>
      <c r="F592" s="12" t="s">
        <v>688</v>
      </c>
      <c r="G592" s="12" t="s">
        <v>704</v>
      </c>
      <c r="H592" s="12" t="s">
        <v>708</v>
      </c>
      <c r="I592" s="12" t="s">
        <v>722</v>
      </c>
      <c r="J592" s="12" t="s">
        <v>727</v>
      </c>
      <c r="K592" s="12" t="s">
        <v>971</v>
      </c>
      <c r="L592" s="6">
        <v>1364.89</v>
      </c>
      <c r="M592" s="6">
        <v>2757.54</v>
      </c>
      <c r="N592" s="6">
        <v>0.17199999999999999</v>
      </c>
      <c r="O592" s="6">
        <v>61</v>
      </c>
    </row>
    <row r="593" spans="1:15" x14ac:dyDescent="0.25">
      <c r="A593" s="12" t="s">
        <v>637</v>
      </c>
      <c r="B593" s="4">
        <v>45857</v>
      </c>
      <c r="C593" s="4">
        <v>45869</v>
      </c>
      <c r="D593" s="12" t="s">
        <v>646</v>
      </c>
      <c r="E593" s="12" t="s">
        <v>650</v>
      </c>
      <c r="F593" s="12" t="s">
        <v>664</v>
      </c>
      <c r="G593" s="12" t="s">
        <v>705</v>
      </c>
      <c r="H593" s="12" t="s">
        <v>709</v>
      </c>
      <c r="I593" s="12" t="s">
        <v>719</v>
      </c>
      <c r="J593" s="12" t="s">
        <v>733</v>
      </c>
      <c r="K593" s="12" t="s">
        <v>1355</v>
      </c>
      <c r="L593" s="6">
        <v>619.64</v>
      </c>
      <c r="M593" s="6">
        <v>861.16</v>
      </c>
      <c r="N593" s="6">
        <v>0.113</v>
      </c>
      <c r="O593" s="6">
        <v>14</v>
      </c>
    </row>
    <row r="594" spans="1:15" x14ac:dyDescent="0.25">
      <c r="A594" s="12" t="s">
        <v>33</v>
      </c>
      <c r="B594" s="4">
        <v>45858</v>
      </c>
      <c r="C594" s="4">
        <v>45874</v>
      </c>
      <c r="D594" s="12" t="s">
        <v>648</v>
      </c>
      <c r="E594" s="12" t="s">
        <v>655</v>
      </c>
      <c r="F594" s="12" t="s">
        <v>672</v>
      </c>
      <c r="G594" s="12" t="s">
        <v>706</v>
      </c>
      <c r="H594" s="12" t="s">
        <v>709</v>
      </c>
      <c r="I594" s="12" t="s">
        <v>715</v>
      </c>
      <c r="J594" s="12" t="s">
        <v>733</v>
      </c>
      <c r="K594" s="12" t="s">
        <v>752</v>
      </c>
      <c r="L594" s="6">
        <v>1068.17</v>
      </c>
      <c r="M594" s="6">
        <v>2375.37</v>
      </c>
      <c r="N594" s="6">
        <v>0.109</v>
      </c>
      <c r="O594" s="6">
        <v>18</v>
      </c>
    </row>
    <row r="595" spans="1:15" x14ac:dyDescent="0.25">
      <c r="A595" s="12" t="s">
        <v>223</v>
      </c>
      <c r="B595" s="4">
        <v>45859</v>
      </c>
      <c r="C595" s="4">
        <v>45876</v>
      </c>
      <c r="D595" s="12" t="s">
        <v>646</v>
      </c>
      <c r="E595" s="12" t="s">
        <v>651</v>
      </c>
      <c r="F595" s="12" t="s">
        <v>665</v>
      </c>
      <c r="G595" s="12" t="s">
        <v>706</v>
      </c>
      <c r="H595" s="12" t="s">
        <v>711</v>
      </c>
      <c r="I595" s="12" t="s">
        <v>724</v>
      </c>
      <c r="J595" s="12" t="s">
        <v>733</v>
      </c>
      <c r="K595" s="12" t="s">
        <v>943</v>
      </c>
      <c r="L595" s="6">
        <v>1204.95</v>
      </c>
      <c r="M595" s="6">
        <v>2065.73</v>
      </c>
      <c r="N595" s="6">
        <v>0.13600000000000001</v>
      </c>
      <c r="O595" s="6">
        <v>10</v>
      </c>
    </row>
    <row r="596" spans="1:15" x14ac:dyDescent="0.25">
      <c r="A596" s="12" t="s">
        <v>113</v>
      </c>
      <c r="B596" s="4">
        <v>45860</v>
      </c>
      <c r="C596" s="4">
        <v>45887</v>
      </c>
      <c r="D596" s="12" t="s">
        <v>647</v>
      </c>
      <c r="E596" s="12" t="s">
        <v>659</v>
      </c>
      <c r="F596" s="12" t="s">
        <v>676</v>
      </c>
      <c r="G596" s="12" t="s">
        <v>703</v>
      </c>
      <c r="H596" s="12" t="s">
        <v>709</v>
      </c>
      <c r="I596" s="12" t="s">
        <v>724</v>
      </c>
      <c r="J596" s="12" t="s">
        <v>729</v>
      </c>
      <c r="K596" s="12" t="s">
        <v>832</v>
      </c>
      <c r="L596" s="6">
        <v>547.32000000000005</v>
      </c>
      <c r="M596" s="6">
        <v>419.17</v>
      </c>
      <c r="N596" s="6">
        <v>9.1999999999999998E-2</v>
      </c>
      <c r="O596" s="6">
        <v>14</v>
      </c>
    </row>
    <row r="597" spans="1:15" x14ac:dyDescent="0.25">
      <c r="A597" s="12" t="s">
        <v>396</v>
      </c>
      <c r="B597" s="4">
        <v>45861</v>
      </c>
      <c r="C597" s="4">
        <v>45886</v>
      </c>
      <c r="D597" s="12" t="s">
        <v>649</v>
      </c>
      <c r="E597" s="12" t="s">
        <v>658</v>
      </c>
      <c r="F597" s="12" t="s">
        <v>674</v>
      </c>
      <c r="G597" s="12" t="s">
        <v>702</v>
      </c>
      <c r="H597" s="12" t="s">
        <v>708</v>
      </c>
      <c r="I597" s="12" t="s">
        <v>714</v>
      </c>
      <c r="J597" s="12" t="s">
        <v>728</v>
      </c>
      <c r="K597" s="12" t="s">
        <v>1115</v>
      </c>
      <c r="L597" s="6">
        <v>1142.06</v>
      </c>
      <c r="M597" s="6">
        <v>1455</v>
      </c>
      <c r="N597" s="6">
        <v>7.8E-2</v>
      </c>
      <c r="O597" s="6">
        <v>28</v>
      </c>
    </row>
    <row r="598" spans="1:15" x14ac:dyDescent="0.25">
      <c r="A598" s="12" t="s">
        <v>506</v>
      </c>
      <c r="B598" s="4">
        <v>45861</v>
      </c>
      <c r="C598" s="4">
        <v>45888</v>
      </c>
      <c r="D598" s="12" t="s">
        <v>647</v>
      </c>
      <c r="E598" s="12" t="s">
        <v>652</v>
      </c>
      <c r="F598" s="12" t="s">
        <v>694</v>
      </c>
      <c r="G598" s="12" t="s">
        <v>704</v>
      </c>
      <c r="H598" s="12" t="s">
        <v>709</v>
      </c>
      <c r="I598" s="12" t="s">
        <v>717</v>
      </c>
      <c r="J598" s="12" t="s">
        <v>733</v>
      </c>
      <c r="K598" s="12" t="s">
        <v>1225</v>
      </c>
      <c r="L598" s="6">
        <v>896.09</v>
      </c>
      <c r="M598" s="6">
        <v>744.27</v>
      </c>
      <c r="N598" s="6">
        <v>8.3000000000000004E-2</v>
      </c>
      <c r="O598" s="6">
        <v>11</v>
      </c>
    </row>
    <row r="599" spans="1:15" x14ac:dyDescent="0.25">
      <c r="A599" s="12" t="s">
        <v>47</v>
      </c>
      <c r="B599" s="4">
        <v>45862</v>
      </c>
      <c r="C599" s="4">
        <v>45875</v>
      </c>
      <c r="D599" s="12" t="s">
        <v>646</v>
      </c>
      <c r="E599" s="12" t="s">
        <v>661</v>
      </c>
      <c r="F599" s="12" t="s">
        <v>682</v>
      </c>
      <c r="G599" s="12" t="s">
        <v>702</v>
      </c>
      <c r="H599" s="12" t="s">
        <v>709</v>
      </c>
      <c r="I599" s="12" t="s">
        <v>726</v>
      </c>
      <c r="J599" s="12" t="s">
        <v>729</v>
      </c>
      <c r="K599" s="12" t="s">
        <v>766</v>
      </c>
      <c r="L599" s="6">
        <v>1463.9</v>
      </c>
      <c r="M599" s="6">
        <v>2633.02</v>
      </c>
      <c r="N599" s="6">
        <v>8.4000000000000005E-2</v>
      </c>
      <c r="O599" s="6">
        <v>4</v>
      </c>
    </row>
    <row r="600" spans="1:15" x14ac:dyDescent="0.25">
      <c r="A600" s="12" t="s">
        <v>478</v>
      </c>
      <c r="B600" s="4">
        <v>45865</v>
      </c>
      <c r="C600" s="4">
        <v>45884</v>
      </c>
      <c r="D600" s="12" t="s">
        <v>647</v>
      </c>
      <c r="E600" s="12" t="s">
        <v>652</v>
      </c>
      <c r="F600" s="12" t="s">
        <v>689</v>
      </c>
      <c r="G600" s="12" t="s">
        <v>705</v>
      </c>
      <c r="H600" s="12" t="s">
        <v>709</v>
      </c>
      <c r="I600" s="12" t="s">
        <v>713</v>
      </c>
      <c r="J600" s="12" t="s">
        <v>727</v>
      </c>
      <c r="K600" s="12" t="s">
        <v>1197</v>
      </c>
      <c r="L600" s="6">
        <v>275.43</v>
      </c>
      <c r="M600" s="6">
        <v>608.36</v>
      </c>
      <c r="N600" s="6">
        <v>0.25700000000000001</v>
      </c>
      <c r="O600" s="6">
        <v>4</v>
      </c>
    </row>
    <row r="601" spans="1:15" x14ac:dyDescent="0.25">
      <c r="A601" s="12" t="s">
        <v>111</v>
      </c>
      <c r="B601" s="4">
        <v>45870</v>
      </c>
      <c r="C601" s="4">
        <v>45885</v>
      </c>
      <c r="D601" s="12" t="s">
        <v>647</v>
      </c>
      <c r="E601" s="12" t="s">
        <v>654</v>
      </c>
      <c r="F601" s="14" t="s">
        <v>1367</v>
      </c>
      <c r="G601" s="12" t="s">
        <v>706</v>
      </c>
      <c r="H601" s="12" t="s">
        <v>711</v>
      </c>
      <c r="I601" s="12" t="s">
        <v>719</v>
      </c>
      <c r="J601" s="12" t="s">
        <v>732</v>
      </c>
      <c r="K601" s="12" t="s">
        <v>830</v>
      </c>
      <c r="L601" s="6">
        <v>24.44</v>
      </c>
      <c r="M601" s="6">
        <v>28.69</v>
      </c>
      <c r="N601" s="6">
        <v>0.14599999999999999</v>
      </c>
      <c r="O601" s="6">
        <v>6</v>
      </c>
    </row>
    <row r="602" spans="1:15" x14ac:dyDescent="0.25">
      <c r="A602" s="12" t="s">
        <v>174</v>
      </c>
      <c r="B602" s="4">
        <v>45870</v>
      </c>
      <c r="C602" s="4">
        <v>45890</v>
      </c>
      <c r="D602" s="12" t="s">
        <v>647</v>
      </c>
      <c r="E602" s="12" t="s">
        <v>659</v>
      </c>
      <c r="F602" s="12" t="s">
        <v>685</v>
      </c>
      <c r="G602" s="12" t="s">
        <v>701</v>
      </c>
      <c r="H602" s="12" t="s">
        <v>711</v>
      </c>
      <c r="I602" s="12" t="s">
        <v>714</v>
      </c>
      <c r="J602" s="12" t="s">
        <v>730</v>
      </c>
      <c r="K602" s="12" t="s">
        <v>893</v>
      </c>
      <c r="L602" s="6">
        <v>1220.4100000000001</v>
      </c>
      <c r="M602" s="6">
        <v>2552.2199999999998</v>
      </c>
      <c r="N602" s="6">
        <v>0.18099999999999999</v>
      </c>
      <c r="O602" s="6">
        <v>14</v>
      </c>
    </row>
    <row r="603" spans="1:15" x14ac:dyDescent="0.25">
      <c r="A603" s="12" t="s">
        <v>256</v>
      </c>
      <c r="B603" s="4">
        <v>45871</v>
      </c>
      <c r="C603" s="4">
        <v>45877</v>
      </c>
      <c r="D603" s="12" t="s">
        <v>647</v>
      </c>
      <c r="E603" s="12" t="s">
        <v>652</v>
      </c>
      <c r="F603" s="12" t="s">
        <v>666</v>
      </c>
      <c r="G603" s="12" t="s">
        <v>704</v>
      </c>
      <c r="H603" s="12" t="s">
        <v>711</v>
      </c>
      <c r="I603" s="12" t="s">
        <v>725</v>
      </c>
      <c r="J603" s="12" t="s">
        <v>731</v>
      </c>
      <c r="K603" s="12" t="s">
        <v>976</v>
      </c>
      <c r="L603" s="6">
        <v>1225.94</v>
      </c>
      <c r="M603" s="6">
        <v>1793.08</v>
      </c>
      <c r="N603" s="6">
        <v>0.13600000000000001</v>
      </c>
      <c r="O603" s="6">
        <v>22</v>
      </c>
    </row>
    <row r="604" spans="1:15" x14ac:dyDescent="0.25">
      <c r="A604" s="12" t="s">
        <v>590</v>
      </c>
      <c r="B604" s="4">
        <v>45872</v>
      </c>
      <c r="C604" s="4">
        <v>45885</v>
      </c>
      <c r="D604" s="12" t="s">
        <v>648</v>
      </c>
      <c r="E604" s="12" t="s">
        <v>653</v>
      </c>
      <c r="F604" s="12" t="s">
        <v>681</v>
      </c>
      <c r="G604" s="12" t="s">
        <v>706</v>
      </c>
      <c r="H604" s="12" t="s">
        <v>710</v>
      </c>
      <c r="I604" s="12" t="s">
        <v>719</v>
      </c>
      <c r="J604" s="12" t="s">
        <v>729</v>
      </c>
      <c r="K604" s="12" t="s">
        <v>1308</v>
      </c>
      <c r="L604" s="6">
        <v>698.66</v>
      </c>
      <c r="M604" s="6">
        <v>868.62</v>
      </c>
      <c r="N604" s="6">
        <v>7.1999999999999995E-2</v>
      </c>
      <c r="O604" s="6">
        <v>15</v>
      </c>
    </row>
    <row r="605" spans="1:15" x14ac:dyDescent="0.25">
      <c r="A605" s="12" t="s">
        <v>142</v>
      </c>
      <c r="B605" s="4">
        <v>45874</v>
      </c>
      <c r="C605" s="4">
        <v>45883</v>
      </c>
      <c r="D605" s="12" t="s">
        <v>649</v>
      </c>
      <c r="E605" s="12" t="s">
        <v>658</v>
      </c>
      <c r="F605" s="12" t="s">
        <v>683</v>
      </c>
      <c r="G605" s="12" t="s">
        <v>703</v>
      </c>
      <c r="H605" s="12" t="s">
        <v>711</v>
      </c>
      <c r="I605" s="12" t="s">
        <v>718</v>
      </c>
      <c r="J605" s="12" t="s">
        <v>727</v>
      </c>
      <c r="K605" s="12" t="s">
        <v>861</v>
      </c>
      <c r="L605" s="6">
        <v>41.76</v>
      </c>
      <c r="M605" s="6">
        <v>45.19</v>
      </c>
      <c r="N605" s="6">
        <v>0.17899999999999999</v>
      </c>
      <c r="O605" s="6">
        <v>23</v>
      </c>
    </row>
    <row r="606" spans="1:15" x14ac:dyDescent="0.25">
      <c r="A606" s="12" t="s">
        <v>529</v>
      </c>
      <c r="B606" s="4">
        <v>45874</v>
      </c>
      <c r="C606" s="4">
        <v>45897</v>
      </c>
      <c r="D606" s="12" t="s">
        <v>647</v>
      </c>
      <c r="E606" s="12" t="s">
        <v>654</v>
      </c>
      <c r="F606" s="12" t="s">
        <v>691</v>
      </c>
      <c r="G606" s="12" t="s">
        <v>703</v>
      </c>
      <c r="H606" s="12" t="s">
        <v>710</v>
      </c>
      <c r="I606" s="12" t="s">
        <v>725</v>
      </c>
      <c r="J606" s="12" t="s">
        <v>731</v>
      </c>
      <c r="K606" s="12" t="s">
        <v>1248</v>
      </c>
      <c r="L606" s="6">
        <v>638.54</v>
      </c>
      <c r="M606" s="6">
        <v>987.24</v>
      </c>
      <c r="N606" s="6">
        <v>0</v>
      </c>
      <c r="O606" s="6">
        <v>11</v>
      </c>
    </row>
    <row r="607" spans="1:15" x14ac:dyDescent="0.25">
      <c r="A607" s="12" t="s">
        <v>565</v>
      </c>
      <c r="B607" s="4">
        <v>45875</v>
      </c>
      <c r="C607" s="4">
        <v>45892</v>
      </c>
      <c r="D607" s="12" t="s">
        <v>648</v>
      </c>
      <c r="E607" s="12" t="s">
        <v>655</v>
      </c>
      <c r="F607" s="12" t="s">
        <v>672</v>
      </c>
      <c r="G607" s="12" t="s">
        <v>704</v>
      </c>
      <c r="H607" s="12" t="s">
        <v>710</v>
      </c>
      <c r="I607" s="12" t="s">
        <v>720</v>
      </c>
      <c r="J607" s="12" t="s">
        <v>732</v>
      </c>
      <c r="K607" s="12" t="s">
        <v>1283</v>
      </c>
      <c r="L607" s="6">
        <v>86.64</v>
      </c>
      <c r="M607" s="6">
        <v>213.06</v>
      </c>
      <c r="N607" s="6">
        <v>0.21199999999999999</v>
      </c>
      <c r="O607" s="6">
        <v>11</v>
      </c>
    </row>
    <row r="608" spans="1:15" x14ac:dyDescent="0.25">
      <c r="A608" s="12" t="s">
        <v>102</v>
      </c>
      <c r="B608" s="4">
        <v>45876</v>
      </c>
      <c r="C608" s="4">
        <v>45888</v>
      </c>
      <c r="D608" s="12" t="s">
        <v>646</v>
      </c>
      <c r="E608" s="12" t="s">
        <v>650</v>
      </c>
      <c r="F608" s="12" t="s">
        <v>678</v>
      </c>
      <c r="G608" s="12" t="s">
        <v>701</v>
      </c>
      <c r="H608" s="14" t="s">
        <v>1379</v>
      </c>
      <c r="I608" s="12" t="s">
        <v>724</v>
      </c>
      <c r="J608" s="12" t="s">
        <v>727</v>
      </c>
      <c r="K608" s="12" t="s">
        <v>821</v>
      </c>
      <c r="L608" s="6">
        <v>601.51</v>
      </c>
      <c r="M608" s="6">
        <v>679.35</v>
      </c>
      <c r="N608" s="6">
        <v>0.188</v>
      </c>
      <c r="O608" s="6">
        <v>3</v>
      </c>
    </row>
    <row r="609" spans="1:15" x14ac:dyDescent="0.25">
      <c r="A609" s="12" t="s">
        <v>395</v>
      </c>
      <c r="B609" s="4">
        <v>45876</v>
      </c>
      <c r="C609" s="4">
        <v>45906</v>
      </c>
      <c r="D609" s="12" t="s">
        <v>648</v>
      </c>
      <c r="E609" s="12" t="s">
        <v>653</v>
      </c>
      <c r="F609" s="12" t="s">
        <v>681</v>
      </c>
      <c r="G609" s="12" t="s">
        <v>702</v>
      </c>
      <c r="H609" s="12" t="s">
        <v>711</v>
      </c>
      <c r="I609" s="12" t="s">
        <v>724</v>
      </c>
      <c r="J609" s="12" t="s">
        <v>729</v>
      </c>
      <c r="K609" s="12" t="s">
        <v>1114</v>
      </c>
      <c r="L609" s="6">
        <v>833.73</v>
      </c>
      <c r="M609" s="6">
        <v>1116.5999999999999</v>
      </c>
      <c r="N609" s="6">
        <v>0.17599999999999999</v>
      </c>
      <c r="O609" s="6">
        <v>14</v>
      </c>
    </row>
    <row r="610" spans="1:15" x14ac:dyDescent="0.25">
      <c r="A610" s="12" t="s">
        <v>242</v>
      </c>
      <c r="B610" s="4">
        <v>45879</v>
      </c>
      <c r="C610" s="4">
        <v>45899</v>
      </c>
      <c r="D610" s="12" t="s">
        <v>648</v>
      </c>
      <c r="E610" s="12" t="s">
        <v>660</v>
      </c>
      <c r="F610" s="12" t="s">
        <v>686</v>
      </c>
      <c r="G610" s="12" t="s">
        <v>701</v>
      </c>
      <c r="H610" s="12" t="s">
        <v>709</v>
      </c>
      <c r="I610" s="12" t="s">
        <v>723</v>
      </c>
      <c r="J610" s="12" t="s">
        <v>728</v>
      </c>
      <c r="K610" s="12" t="s">
        <v>962</v>
      </c>
      <c r="L610" s="6">
        <v>933.29</v>
      </c>
      <c r="M610" s="6">
        <v>1456.81</v>
      </c>
      <c r="N610" s="6">
        <v>0.123</v>
      </c>
      <c r="O610" s="6">
        <v>13</v>
      </c>
    </row>
    <row r="611" spans="1:15" x14ac:dyDescent="0.25">
      <c r="A611" s="12" t="s">
        <v>616</v>
      </c>
      <c r="B611" s="4">
        <v>45880</v>
      </c>
      <c r="C611" s="4">
        <v>45897</v>
      </c>
      <c r="D611" s="12" t="s">
        <v>649</v>
      </c>
      <c r="E611" s="12" t="s">
        <v>657</v>
      </c>
      <c r="F611" s="12" t="s">
        <v>690</v>
      </c>
      <c r="G611" s="12" t="s">
        <v>702</v>
      </c>
      <c r="H611" s="12" t="s">
        <v>708</v>
      </c>
      <c r="I611" s="12" t="s">
        <v>721</v>
      </c>
      <c r="J611" s="12" t="s">
        <v>729</v>
      </c>
      <c r="K611" s="12" t="s">
        <v>1334</v>
      </c>
      <c r="L611" s="6">
        <v>416.16</v>
      </c>
      <c r="M611" s="6">
        <v>571.9</v>
      </c>
      <c r="N611" s="6">
        <v>7.0999999999999994E-2</v>
      </c>
      <c r="O611" s="6">
        <v>2</v>
      </c>
    </row>
    <row r="612" spans="1:15" x14ac:dyDescent="0.25">
      <c r="A612" s="12" t="s">
        <v>488</v>
      </c>
      <c r="B612" s="4">
        <v>45882</v>
      </c>
      <c r="C612" s="4">
        <v>45903</v>
      </c>
      <c r="D612" s="12" t="s">
        <v>649</v>
      </c>
      <c r="E612" s="12" t="s">
        <v>657</v>
      </c>
      <c r="F612" s="12" t="s">
        <v>690</v>
      </c>
      <c r="G612" s="12" t="s">
        <v>702</v>
      </c>
      <c r="H612" s="12" t="s">
        <v>707</v>
      </c>
      <c r="I612" s="12" t="s">
        <v>714</v>
      </c>
      <c r="J612" s="12" t="s">
        <v>730</v>
      </c>
      <c r="K612" s="12" t="s">
        <v>1207</v>
      </c>
      <c r="L612" s="6">
        <v>603.47</v>
      </c>
      <c r="M612" s="6">
        <v>1344.05</v>
      </c>
      <c r="N612" s="6">
        <v>0.20499999999999999</v>
      </c>
      <c r="O612" s="6">
        <v>18</v>
      </c>
    </row>
    <row r="613" spans="1:15" x14ac:dyDescent="0.25">
      <c r="A613" s="12" t="s">
        <v>370</v>
      </c>
      <c r="B613" s="4">
        <v>45883</v>
      </c>
      <c r="C613" s="4">
        <v>45911</v>
      </c>
      <c r="D613" s="12" t="s">
        <v>648</v>
      </c>
      <c r="E613" s="12" t="s">
        <v>655</v>
      </c>
      <c r="F613" s="12" t="s">
        <v>670</v>
      </c>
      <c r="G613" s="12" t="s">
        <v>703</v>
      </c>
      <c r="H613" s="12" t="s">
        <v>711</v>
      </c>
      <c r="I613" s="12" t="s">
        <v>721</v>
      </c>
      <c r="J613" s="12" t="s">
        <v>728</v>
      </c>
      <c r="K613" s="12" t="s">
        <v>1090</v>
      </c>
      <c r="L613" s="6">
        <v>1203.02</v>
      </c>
      <c r="M613" s="6">
        <v>2439.33</v>
      </c>
      <c r="N613" s="6">
        <v>0</v>
      </c>
      <c r="O613" s="6">
        <v>18</v>
      </c>
    </row>
    <row r="614" spans="1:15" x14ac:dyDescent="0.25">
      <c r="A614" s="12" t="s">
        <v>559</v>
      </c>
      <c r="B614" s="4">
        <v>45889</v>
      </c>
      <c r="C614" s="4">
        <v>45895</v>
      </c>
      <c r="D614" s="12" t="s">
        <v>648</v>
      </c>
      <c r="E614" s="12" t="s">
        <v>660</v>
      </c>
      <c r="F614" s="12" t="s">
        <v>700</v>
      </c>
      <c r="G614" s="12" t="s">
        <v>701</v>
      </c>
      <c r="H614" s="12" t="s">
        <v>707</v>
      </c>
      <c r="I614" s="12" t="s">
        <v>724</v>
      </c>
      <c r="J614" s="12" t="s">
        <v>729</v>
      </c>
      <c r="K614" s="12" t="s">
        <v>1277</v>
      </c>
      <c r="L614" s="6">
        <v>1304.95</v>
      </c>
      <c r="M614" s="6">
        <v>1712.03</v>
      </c>
      <c r="N614" s="6">
        <v>0.21199999999999999</v>
      </c>
      <c r="O614" s="6">
        <v>8</v>
      </c>
    </row>
    <row r="615" spans="1:15" x14ac:dyDescent="0.25">
      <c r="A615" s="12" t="s">
        <v>194</v>
      </c>
      <c r="B615" s="4">
        <v>45890</v>
      </c>
      <c r="C615" s="4">
        <v>45912</v>
      </c>
      <c r="D615" s="12" t="s">
        <v>647</v>
      </c>
      <c r="E615" s="12" t="s">
        <v>659</v>
      </c>
      <c r="F615" s="12" t="s">
        <v>676</v>
      </c>
      <c r="G615" s="12" t="s">
        <v>702</v>
      </c>
      <c r="H615" s="12" t="s">
        <v>707</v>
      </c>
      <c r="I615" s="12" t="s">
        <v>717</v>
      </c>
      <c r="J615" s="12" t="s">
        <v>728</v>
      </c>
      <c r="K615" s="12" t="s">
        <v>913</v>
      </c>
      <c r="L615" s="6">
        <v>352.66</v>
      </c>
      <c r="M615" s="6">
        <v>411.18</v>
      </c>
      <c r="N615" s="6">
        <v>0.17299999999999999</v>
      </c>
      <c r="O615" s="6">
        <v>13</v>
      </c>
    </row>
    <row r="616" spans="1:15" x14ac:dyDescent="0.25">
      <c r="A616" s="12" t="s">
        <v>410</v>
      </c>
      <c r="B616" s="4">
        <v>45890</v>
      </c>
      <c r="C616" s="4">
        <v>45914</v>
      </c>
      <c r="D616" s="12" t="s">
        <v>649</v>
      </c>
      <c r="E616" s="12" t="s">
        <v>656</v>
      </c>
      <c r="F616" s="12" t="s">
        <v>671</v>
      </c>
      <c r="G616" s="12" t="s">
        <v>703</v>
      </c>
      <c r="H616" s="12" t="s">
        <v>708</v>
      </c>
      <c r="I616" s="12" t="s">
        <v>720</v>
      </c>
      <c r="J616" s="12" t="s">
        <v>732</v>
      </c>
      <c r="K616" s="12" t="s">
        <v>1129</v>
      </c>
      <c r="L616" s="6">
        <v>1397.67</v>
      </c>
      <c r="M616" s="6">
        <v>3131.37</v>
      </c>
      <c r="N616" s="6">
        <v>0.10299999999999999</v>
      </c>
      <c r="O616" s="6">
        <v>20</v>
      </c>
    </row>
    <row r="617" spans="1:15" x14ac:dyDescent="0.25">
      <c r="A617" s="12" t="s">
        <v>234</v>
      </c>
      <c r="B617" s="4">
        <v>45894</v>
      </c>
      <c r="C617" s="4">
        <v>45924</v>
      </c>
      <c r="D617" s="12" t="s">
        <v>646</v>
      </c>
      <c r="E617" s="12" t="s">
        <v>650</v>
      </c>
      <c r="F617" s="12" t="s">
        <v>664</v>
      </c>
      <c r="G617" s="12" t="s">
        <v>704</v>
      </c>
      <c r="H617" s="12" t="s">
        <v>711</v>
      </c>
      <c r="I617" s="12" t="s">
        <v>717</v>
      </c>
      <c r="J617" s="12" t="s">
        <v>727</v>
      </c>
      <c r="K617" s="12" t="s">
        <v>954</v>
      </c>
      <c r="L617" s="6">
        <v>589.14</v>
      </c>
      <c r="M617" s="6">
        <v>1300.58</v>
      </c>
      <c r="N617" s="6">
        <v>5.5E-2</v>
      </c>
      <c r="O617" s="6">
        <v>11</v>
      </c>
    </row>
    <row r="618" spans="1:15" x14ac:dyDescent="0.25">
      <c r="A618" s="12" t="s">
        <v>304</v>
      </c>
      <c r="B618" s="4">
        <v>45897</v>
      </c>
      <c r="C618" s="4">
        <v>45895</v>
      </c>
      <c r="D618" s="12" t="s">
        <v>646</v>
      </c>
      <c r="E618" s="12" t="s">
        <v>651</v>
      </c>
      <c r="F618" s="12" t="s">
        <v>663</v>
      </c>
      <c r="G618" s="12" t="s">
        <v>705</v>
      </c>
      <c r="H618" s="12" t="s">
        <v>707</v>
      </c>
      <c r="I618" s="12" t="s">
        <v>720</v>
      </c>
      <c r="J618" s="12" t="s">
        <v>733</v>
      </c>
      <c r="K618" s="12" t="s">
        <v>1024</v>
      </c>
      <c r="L618" s="6">
        <v>521.05999999999995</v>
      </c>
      <c r="M618" s="6">
        <v>1240.31</v>
      </c>
      <c r="N618" s="6">
        <v>0.14599999999999999</v>
      </c>
      <c r="O618" s="6">
        <v>18</v>
      </c>
    </row>
    <row r="619" spans="1:15" x14ac:dyDescent="0.25">
      <c r="A619" s="12" t="s">
        <v>440</v>
      </c>
      <c r="B619" s="4">
        <v>45897</v>
      </c>
      <c r="C619" s="4">
        <v>45905</v>
      </c>
      <c r="D619" s="12" t="s">
        <v>646</v>
      </c>
      <c r="E619" s="12" t="s">
        <v>651</v>
      </c>
      <c r="F619" s="12" t="s">
        <v>663</v>
      </c>
      <c r="G619" s="12" t="s">
        <v>705</v>
      </c>
      <c r="H619" s="12" t="s">
        <v>709</v>
      </c>
      <c r="I619" s="12" t="s">
        <v>718</v>
      </c>
      <c r="J619" s="12" t="s">
        <v>731</v>
      </c>
      <c r="K619" s="12" t="s">
        <v>1159</v>
      </c>
      <c r="L619" s="6">
        <v>1271.0999999999999</v>
      </c>
      <c r="M619" s="6">
        <v>1932.42</v>
      </c>
      <c r="N619" s="6">
        <v>0.25</v>
      </c>
      <c r="O619" s="6">
        <v>21</v>
      </c>
    </row>
    <row r="620" spans="1:15" x14ac:dyDescent="0.25">
      <c r="A620" s="12" t="s">
        <v>496</v>
      </c>
      <c r="B620" s="4">
        <v>45899</v>
      </c>
      <c r="C620" s="4">
        <v>45903</v>
      </c>
      <c r="D620" s="12" t="s">
        <v>649</v>
      </c>
      <c r="E620" s="12" t="s">
        <v>657</v>
      </c>
      <c r="F620" s="12" t="s">
        <v>673</v>
      </c>
      <c r="G620" s="12" t="s">
        <v>705</v>
      </c>
      <c r="H620" s="12" t="s">
        <v>709</v>
      </c>
      <c r="I620" s="12" t="s">
        <v>713</v>
      </c>
      <c r="J620" s="12" t="s">
        <v>731</v>
      </c>
      <c r="K620" s="12" t="s">
        <v>1215</v>
      </c>
      <c r="L620" s="6">
        <v>1286.56</v>
      </c>
      <c r="M620" s="6">
        <v>2777.35</v>
      </c>
      <c r="N620" s="6">
        <v>0.13200000000000001</v>
      </c>
      <c r="O620" s="6">
        <v>15</v>
      </c>
    </row>
    <row r="621" spans="1:15" x14ac:dyDescent="0.25">
      <c r="A621" s="12" t="s">
        <v>605</v>
      </c>
      <c r="B621" s="4">
        <v>45899</v>
      </c>
      <c r="C621" s="4">
        <v>45922</v>
      </c>
      <c r="D621" s="12" t="s">
        <v>649</v>
      </c>
      <c r="E621" s="12" t="s">
        <v>657</v>
      </c>
      <c r="F621" s="12" t="s">
        <v>673</v>
      </c>
      <c r="G621" s="12" t="s">
        <v>701</v>
      </c>
      <c r="H621" s="12" t="s">
        <v>711</v>
      </c>
      <c r="I621" s="12" t="s">
        <v>718</v>
      </c>
      <c r="J621" s="12" t="s">
        <v>727</v>
      </c>
      <c r="K621" s="12" t="s">
        <v>1323</v>
      </c>
      <c r="L621" s="6">
        <v>663.9</v>
      </c>
      <c r="M621" s="6">
        <v>947.77</v>
      </c>
      <c r="N621" s="6">
        <v>0.17399999999999999</v>
      </c>
      <c r="O621" s="6">
        <v>15</v>
      </c>
    </row>
    <row r="622" spans="1:15" x14ac:dyDescent="0.25">
      <c r="A622" s="12" t="s">
        <v>29</v>
      </c>
      <c r="B622" s="4">
        <v>45901</v>
      </c>
      <c r="C622" s="4">
        <v>45930</v>
      </c>
      <c r="D622" s="12" t="s">
        <v>648</v>
      </c>
      <c r="E622" s="12" t="s">
        <v>655</v>
      </c>
      <c r="F622" s="12" t="s">
        <v>672</v>
      </c>
      <c r="G622" s="12" t="s">
        <v>702</v>
      </c>
      <c r="H622" s="12" t="s">
        <v>707</v>
      </c>
      <c r="I622" s="12" t="s">
        <v>723</v>
      </c>
      <c r="J622" s="12" t="s">
        <v>733</v>
      </c>
      <c r="K622" s="12" t="s">
        <v>748</v>
      </c>
      <c r="L622" s="6">
        <v>780.59</v>
      </c>
      <c r="M622" s="6">
        <v>631.57000000000005</v>
      </c>
      <c r="N622" s="6">
        <v>0</v>
      </c>
      <c r="O622" s="6">
        <v>12</v>
      </c>
    </row>
    <row r="623" spans="1:15" x14ac:dyDescent="0.25">
      <c r="A623" s="12" t="s">
        <v>279</v>
      </c>
      <c r="B623" s="4">
        <v>45902</v>
      </c>
      <c r="C623" s="4">
        <v>45911</v>
      </c>
      <c r="D623" s="12" t="s">
        <v>648</v>
      </c>
      <c r="E623" s="12" t="s">
        <v>653</v>
      </c>
      <c r="F623" s="12" t="s">
        <v>667</v>
      </c>
      <c r="G623" s="12" t="s">
        <v>701</v>
      </c>
      <c r="H623" s="12" t="s">
        <v>710</v>
      </c>
      <c r="I623" s="12" t="s">
        <v>724</v>
      </c>
      <c r="J623" s="12" t="s">
        <v>728</v>
      </c>
      <c r="K623" s="12" t="s">
        <v>999</v>
      </c>
      <c r="L623" s="6">
        <v>1207.6300000000001</v>
      </c>
      <c r="M623" s="6">
        <v>921.68</v>
      </c>
      <c r="N623" s="6">
        <v>0.19600000000000001</v>
      </c>
      <c r="O623" s="6">
        <v>17</v>
      </c>
    </row>
    <row r="624" spans="1:15" x14ac:dyDescent="0.25">
      <c r="A624" s="12" t="s">
        <v>32</v>
      </c>
      <c r="B624" s="4">
        <v>45908</v>
      </c>
      <c r="C624" s="4">
        <v>45916</v>
      </c>
      <c r="D624" s="12" t="s">
        <v>647</v>
      </c>
      <c r="E624" s="12" t="s">
        <v>652</v>
      </c>
      <c r="F624" s="12" t="s">
        <v>666</v>
      </c>
      <c r="G624" s="12" t="s">
        <v>701</v>
      </c>
      <c r="H624" s="12" t="s">
        <v>710</v>
      </c>
      <c r="I624" s="12" t="s">
        <v>712</v>
      </c>
      <c r="J624" s="12" t="s">
        <v>730</v>
      </c>
      <c r="K624" s="12" t="s">
        <v>751</v>
      </c>
      <c r="L624" s="6">
        <v>1225.57</v>
      </c>
      <c r="M624" s="6">
        <v>2705.57</v>
      </c>
      <c r="N624" s="6">
        <v>0.183</v>
      </c>
      <c r="O624" s="6">
        <v>16</v>
      </c>
    </row>
    <row r="625" spans="1:15" x14ac:dyDescent="0.25">
      <c r="A625" s="12" t="s">
        <v>513</v>
      </c>
      <c r="B625" s="4">
        <v>45908</v>
      </c>
      <c r="C625" s="4">
        <v>45935</v>
      </c>
      <c r="D625" s="12" t="s">
        <v>648</v>
      </c>
      <c r="E625" s="12" t="s">
        <v>655</v>
      </c>
      <c r="F625" s="12" t="s">
        <v>692</v>
      </c>
      <c r="G625" s="12" t="s">
        <v>702</v>
      </c>
      <c r="H625" s="12" t="s">
        <v>708</v>
      </c>
      <c r="I625" s="12" t="s">
        <v>712</v>
      </c>
      <c r="J625" s="12" t="s">
        <v>732</v>
      </c>
      <c r="K625" s="12" t="s">
        <v>1232</v>
      </c>
      <c r="L625" s="6">
        <v>660.78</v>
      </c>
      <c r="M625" s="6">
        <v>1630.39</v>
      </c>
      <c r="N625" s="6">
        <v>0.218</v>
      </c>
      <c r="O625" s="6">
        <v>13</v>
      </c>
    </row>
    <row r="626" spans="1:15" x14ac:dyDescent="0.25">
      <c r="A626" s="12" t="s">
        <v>76</v>
      </c>
      <c r="B626" s="4">
        <v>45910</v>
      </c>
      <c r="C626" s="4">
        <v>45912</v>
      </c>
      <c r="D626" s="12" t="s">
        <v>647</v>
      </c>
      <c r="E626" s="12" t="s">
        <v>652</v>
      </c>
      <c r="F626" s="12" t="s">
        <v>689</v>
      </c>
      <c r="G626" s="12" t="s">
        <v>704</v>
      </c>
      <c r="H626" s="12" t="s">
        <v>708</v>
      </c>
      <c r="I626" s="12" t="s">
        <v>719</v>
      </c>
      <c r="J626" s="12" t="s">
        <v>727</v>
      </c>
      <c r="K626" s="12" t="s">
        <v>795</v>
      </c>
      <c r="L626" s="6">
        <v>1470.15</v>
      </c>
      <c r="M626" s="6">
        <v>2593.7800000000002</v>
      </c>
      <c r="N626" s="6">
        <v>0.11</v>
      </c>
      <c r="O626" s="6">
        <v>12</v>
      </c>
    </row>
    <row r="627" spans="1:15" x14ac:dyDescent="0.25">
      <c r="A627" s="12" t="s">
        <v>109</v>
      </c>
      <c r="B627" s="4">
        <v>45910</v>
      </c>
      <c r="C627" s="4">
        <v>45930</v>
      </c>
      <c r="D627" s="12" t="s">
        <v>646</v>
      </c>
      <c r="E627" s="12" t="s">
        <v>650</v>
      </c>
      <c r="F627" s="12" t="s">
        <v>675</v>
      </c>
      <c r="G627" s="12" t="s">
        <v>701</v>
      </c>
      <c r="H627" s="12" t="s">
        <v>711</v>
      </c>
      <c r="I627" s="12" t="s">
        <v>716</v>
      </c>
      <c r="J627" s="12" t="s">
        <v>730</v>
      </c>
      <c r="K627" s="12" t="s">
        <v>828</v>
      </c>
      <c r="L627" s="6">
        <v>1009.48</v>
      </c>
      <c r="M627" s="6">
        <v>1088.81</v>
      </c>
      <c r="N627" s="6">
        <v>0.16</v>
      </c>
      <c r="O627" s="6">
        <v>6</v>
      </c>
    </row>
    <row r="628" spans="1:15" x14ac:dyDescent="0.25">
      <c r="A628" s="12" t="s">
        <v>161</v>
      </c>
      <c r="B628" s="4">
        <v>45911</v>
      </c>
      <c r="C628" s="4">
        <v>45928</v>
      </c>
      <c r="D628" s="12" t="s">
        <v>646</v>
      </c>
      <c r="E628" s="12" t="s">
        <v>650</v>
      </c>
      <c r="F628" s="12" t="s">
        <v>664</v>
      </c>
      <c r="G628" s="12" t="s">
        <v>703</v>
      </c>
      <c r="H628" s="12" t="s">
        <v>710</v>
      </c>
      <c r="I628" s="12" t="s">
        <v>713</v>
      </c>
      <c r="J628" s="12" t="s">
        <v>731</v>
      </c>
      <c r="K628" s="12" t="s">
        <v>880</v>
      </c>
      <c r="L628" s="6">
        <v>891.46</v>
      </c>
      <c r="M628" s="6">
        <v>728.61</v>
      </c>
      <c r="N628" s="6">
        <v>0.185</v>
      </c>
      <c r="O628" s="6">
        <v>6</v>
      </c>
    </row>
    <row r="629" spans="1:15" x14ac:dyDescent="0.25">
      <c r="A629" s="12" t="s">
        <v>263</v>
      </c>
      <c r="B629" s="4">
        <v>45912</v>
      </c>
      <c r="C629" s="4">
        <v>45930</v>
      </c>
      <c r="D629" s="12" t="s">
        <v>647</v>
      </c>
      <c r="E629" s="12" t="s">
        <v>652</v>
      </c>
      <c r="F629" s="12" t="s">
        <v>694</v>
      </c>
      <c r="G629" s="12" t="s">
        <v>703</v>
      </c>
      <c r="H629" s="12" t="s">
        <v>709</v>
      </c>
      <c r="I629" s="12" t="s">
        <v>721</v>
      </c>
      <c r="J629" s="12" t="s">
        <v>732</v>
      </c>
      <c r="K629" s="12" t="s">
        <v>983</v>
      </c>
      <c r="L629" s="6">
        <v>1212.99</v>
      </c>
      <c r="M629" s="6">
        <v>1653.64</v>
      </c>
      <c r="N629" s="6">
        <v>0.107</v>
      </c>
      <c r="O629" s="6">
        <v>8</v>
      </c>
    </row>
    <row r="630" spans="1:15" x14ac:dyDescent="0.25">
      <c r="A630" s="12" t="s">
        <v>345</v>
      </c>
      <c r="B630" s="4">
        <v>45914</v>
      </c>
      <c r="C630" s="4">
        <v>45926</v>
      </c>
      <c r="D630" s="12" t="s">
        <v>649</v>
      </c>
      <c r="E630" s="12" t="s">
        <v>658</v>
      </c>
      <c r="F630" s="12" t="s">
        <v>683</v>
      </c>
      <c r="G630" s="12" t="s">
        <v>705</v>
      </c>
      <c r="H630" s="12" t="s">
        <v>711</v>
      </c>
      <c r="I630" s="12" t="s">
        <v>725</v>
      </c>
      <c r="J630" s="12" t="s">
        <v>729</v>
      </c>
      <c r="K630" s="12" t="s">
        <v>1065</v>
      </c>
      <c r="L630" s="6">
        <v>425.15</v>
      </c>
      <c r="M630" s="6">
        <v>885.92</v>
      </c>
      <c r="N630" s="6">
        <v>0.23899999999999999</v>
      </c>
      <c r="O630" s="6">
        <v>13</v>
      </c>
    </row>
    <row r="631" spans="1:15" x14ac:dyDescent="0.25">
      <c r="A631" s="12" t="s">
        <v>412</v>
      </c>
      <c r="B631" s="4">
        <v>45914</v>
      </c>
      <c r="C631" s="4">
        <v>45923</v>
      </c>
      <c r="D631" s="12" t="s">
        <v>646</v>
      </c>
      <c r="E631" s="12" t="s">
        <v>661</v>
      </c>
      <c r="F631" s="12" t="s">
        <v>687</v>
      </c>
      <c r="G631" s="12" t="s">
        <v>703</v>
      </c>
      <c r="H631" s="12" t="s">
        <v>708</v>
      </c>
      <c r="I631" s="12" t="s">
        <v>726</v>
      </c>
      <c r="J631" s="12" t="s">
        <v>727</v>
      </c>
      <c r="K631" s="12" t="s">
        <v>1131</v>
      </c>
      <c r="L631" s="6">
        <v>1310.3</v>
      </c>
      <c r="M631" s="6">
        <v>2875.8</v>
      </c>
      <c r="N631" s="6">
        <v>8.3000000000000004E-2</v>
      </c>
      <c r="O631" s="6">
        <v>5</v>
      </c>
    </row>
    <row r="632" spans="1:15" x14ac:dyDescent="0.25">
      <c r="A632" s="12" t="s">
        <v>195</v>
      </c>
      <c r="B632" s="4">
        <v>45915</v>
      </c>
      <c r="C632" s="4">
        <v>45918</v>
      </c>
      <c r="D632" s="12" t="s">
        <v>648</v>
      </c>
      <c r="E632" s="12" t="s">
        <v>655</v>
      </c>
      <c r="F632" s="12" t="s">
        <v>692</v>
      </c>
      <c r="G632" s="12" t="s">
        <v>703</v>
      </c>
      <c r="H632" s="12" t="s">
        <v>711</v>
      </c>
      <c r="I632" s="12" t="s">
        <v>716</v>
      </c>
      <c r="J632" s="12" t="s">
        <v>733</v>
      </c>
      <c r="K632" s="12" t="s">
        <v>914</v>
      </c>
      <c r="L632" s="6">
        <v>5.5</v>
      </c>
      <c r="M632" s="6">
        <v>5.92</v>
      </c>
      <c r="N632" s="6">
        <v>0.21199999999999999</v>
      </c>
      <c r="O632" s="6">
        <v>4</v>
      </c>
    </row>
    <row r="633" spans="1:15" x14ac:dyDescent="0.25">
      <c r="A633" s="12" t="s">
        <v>437</v>
      </c>
      <c r="B633" s="4">
        <v>45915</v>
      </c>
      <c r="C633" s="4">
        <v>45925</v>
      </c>
      <c r="D633" s="12" t="s">
        <v>647</v>
      </c>
      <c r="E633" s="12" t="s">
        <v>654</v>
      </c>
      <c r="F633" s="12" t="s">
        <v>680</v>
      </c>
      <c r="G633" s="12" t="s">
        <v>704</v>
      </c>
      <c r="H633" s="12" t="s">
        <v>707</v>
      </c>
      <c r="I633" s="12" t="s">
        <v>720</v>
      </c>
      <c r="J633" s="12" t="s">
        <v>730</v>
      </c>
      <c r="K633" s="12" t="s">
        <v>1156</v>
      </c>
      <c r="L633" s="6">
        <v>1488.91</v>
      </c>
      <c r="M633" s="6">
        <v>1483.74</v>
      </c>
      <c r="N633" s="6">
        <v>0.16800000000000001</v>
      </c>
      <c r="O633" s="6">
        <v>24</v>
      </c>
    </row>
  </sheetData>
  <autoFilter ref="A1:O633" xr:uid="{00000000-0009-0000-0000-000009000000}">
    <sortState ref="A2:O633">
      <sortCondition ref="B1:B633"/>
    </sortState>
  </autoFilter>
  <conditionalFormatting sqref="A1:A1048576">
    <cfRule type="duplicateValues" dxfId="74" priority="1"/>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F0"/>
  </sheetPr>
  <dimension ref="A1"/>
  <sheetViews>
    <sheetView zoomScale="90" zoomScaleNormal="90" workbookViewId="0">
      <selection activeCell="AF16" sqref="AF16"/>
    </sheetView>
  </sheetViews>
  <sheetFormatPr defaultRowHeight="15" x14ac:dyDescent="0.25"/>
  <cols>
    <col min="1" max="16384" width="9.140625" style="3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tabColor rgb="FFFFC000"/>
  </sheetPr>
  <dimension ref="A1:W635"/>
  <sheetViews>
    <sheetView topLeftCell="G1" workbookViewId="0">
      <selection activeCell="W2" sqref="W2"/>
    </sheetView>
  </sheetViews>
  <sheetFormatPr defaultRowHeight="15" x14ac:dyDescent="0.25"/>
  <cols>
    <col min="1" max="1" width="16.42578125" bestFit="1" customWidth="1"/>
    <col min="2" max="2" width="14.85546875" style="4" bestFit="1" customWidth="1"/>
    <col min="3" max="3" width="18" style="4" bestFit="1" customWidth="1"/>
    <col min="4" max="4" width="11.7109375" bestFit="1" customWidth="1"/>
    <col min="5" max="5" width="15.42578125" bestFit="1" customWidth="1"/>
    <col min="6" max="6" width="13.5703125" bestFit="1" customWidth="1"/>
    <col min="7" max="7" width="22.28515625" bestFit="1" customWidth="1"/>
    <col min="8" max="8" width="12.85546875" bestFit="1" customWidth="1"/>
    <col min="9" max="9" width="16.28515625" bestFit="1" customWidth="1"/>
    <col min="10" max="10" width="20.42578125" bestFit="1" customWidth="1"/>
    <col min="11" max="11" width="10.28515625" bestFit="1" customWidth="1"/>
    <col min="12" max="12" width="13.28515625" style="6" bestFit="1" customWidth="1"/>
    <col min="13" max="13" width="13.85546875" style="6" bestFit="1" customWidth="1"/>
    <col min="14" max="14" width="16" style="6" bestFit="1" customWidth="1"/>
    <col min="15" max="15" width="13.28515625" style="6" bestFit="1" customWidth="1"/>
    <col min="16" max="16" width="13.5703125" style="7" hidden="1" customWidth="1"/>
    <col min="17" max="17" width="20.28515625" style="7" hidden="1" customWidth="1"/>
    <col min="18" max="18" width="16.7109375" style="7" bestFit="1" customWidth="1"/>
    <col min="19" max="19" width="16.140625" bestFit="1" customWidth="1"/>
    <col min="20" max="20" width="15.7109375" style="8" bestFit="1" customWidth="1"/>
    <col min="21" max="21" width="20.42578125" bestFit="1" customWidth="1"/>
    <col min="22" max="22" width="16.140625" bestFit="1" customWidth="1"/>
    <col min="23" max="23" width="22.7109375" bestFit="1" customWidth="1"/>
  </cols>
  <sheetData>
    <row r="1" spans="1:23" x14ac:dyDescent="0.25">
      <c r="A1" s="1" t="s">
        <v>0</v>
      </c>
      <c r="B1" s="3" t="s">
        <v>1</v>
      </c>
      <c r="C1" s="3" t="s">
        <v>2</v>
      </c>
      <c r="D1" s="1" t="s">
        <v>3</v>
      </c>
      <c r="E1" s="1" t="s">
        <v>4</v>
      </c>
      <c r="F1" s="1" t="s">
        <v>5</v>
      </c>
      <c r="G1" s="1" t="s">
        <v>6</v>
      </c>
      <c r="H1" s="1" t="s">
        <v>7</v>
      </c>
      <c r="I1" s="1" t="s">
        <v>8</v>
      </c>
      <c r="J1" s="1" t="s">
        <v>9</v>
      </c>
      <c r="K1" s="1" t="s">
        <v>10</v>
      </c>
      <c r="L1" s="5" t="s">
        <v>11</v>
      </c>
      <c r="M1" s="5" t="s">
        <v>12</v>
      </c>
      <c r="N1" s="5" t="s">
        <v>13</v>
      </c>
      <c r="O1" s="5" t="s">
        <v>14</v>
      </c>
      <c r="P1" s="7" t="s">
        <v>1364</v>
      </c>
      <c r="Q1" s="7" t="s">
        <v>1365</v>
      </c>
      <c r="R1" s="7" t="s">
        <v>1366</v>
      </c>
      <c r="S1" s="7" t="s">
        <v>1369</v>
      </c>
      <c r="T1" s="9" t="s">
        <v>1370</v>
      </c>
      <c r="U1" s="10" t="s">
        <v>1371</v>
      </c>
      <c r="V1" s="10" t="s">
        <v>1372</v>
      </c>
      <c r="W1" s="10" t="s">
        <v>1373</v>
      </c>
    </row>
    <row r="2" spans="1:23" x14ac:dyDescent="0.25">
      <c r="A2" t="s">
        <v>15</v>
      </c>
      <c r="B2" s="4">
        <v>45362</v>
      </c>
      <c r="C2" s="4">
        <v>45388</v>
      </c>
      <c r="D2" t="s">
        <v>646</v>
      </c>
      <c r="E2" t="s">
        <v>650</v>
      </c>
      <c r="F2" t="s">
        <v>662</v>
      </c>
      <c r="G2" t="s">
        <v>701</v>
      </c>
      <c r="H2" t="s">
        <v>707</v>
      </c>
      <c r="I2" t="s">
        <v>712</v>
      </c>
      <c r="J2" t="s">
        <v>727</v>
      </c>
      <c r="K2" t="s">
        <v>734</v>
      </c>
      <c r="L2" s="6">
        <v>279.24</v>
      </c>
      <c r="M2" s="6">
        <v>608.9</v>
      </c>
      <c r="N2" s="8">
        <v>0.112</v>
      </c>
      <c r="O2" s="6">
        <v>9</v>
      </c>
      <c r="P2" s="7" t="str">
        <f>IF(OR(F2=" ", ISBLANK(F2)), "Unknown", F2)</f>
        <v>Kisumu</v>
      </c>
      <c r="Q2" s="7" t="str">
        <f>IF(OR(I2=" ", ISBLANK(I2)), "Unassigned", I2)</f>
        <v>C. Otieno</v>
      </c>
      <c r="R2" s="7" t="str">
        <f>IF(OR(H2=" ", ISBLANK(H2)), "Unspecified", H2)</f>
        <v>Retail</v>
      </c>
      <c r="S2" t="str">
        <f t="shared" ref="S2:S3" si="0">IFERROR(IF(M2&lt;0,"Correct (Negative Price)","OK"),"Error")</f>
        <v>OK</v>
      </c>
      <c r="T2" s="8" t="str">
        <f>IFERROR(IF(N2&gt;0.3, "Cap at 30%", "OK"), "Error")</f>
        <v>OK</v>
      </c>
      <c r="U2" s="7" t="str">
        <f>IFERROR(IF(C2&lt;B2,"Correct", "OK"), "Error")</f>
        <v>OK</v>
      </c>
      <c r="V2">
        <f>_xlfn.DAYS(C2,B2)</f>
        <v>26</v>
      </c>
      <c r="W2" s="4">
        <f>IFERROR(IF(C2&lt;B2, B2+15, C2), "Error")</f>
        <v>45388</v>
      </c>
    </row>
    <row r="3" spans="1:23" x14ac:dyDescent="0.25">
      <c r="A3" t="s">
        <v>16</v>
      </c>
      <c r="B3" s="4">
        <v>45588</v>
      </c>
      <c r="C3" s="4">
        <v>45603</v>
      </c>
      <c r="D3" t="s">
        <v>646</v>
      </c>
      <c r="E3" t="s">
        <v>651</v>
      </c>
      <c r="F3" t="s">
        <v>663</v>
      </c>
      <c r="G3" t="s">
        <v>702</v>
      </c>
      <c r="H3" t="s">
        <v>708</v>
      </c>
      <c r="I3" t="s">
        <v>713</v>
      </c>
      <c r="J3" t="s">
        <v>728</v>
      </c>
      <c r="K3" t="s">
        <v>735</v>
      </c>
      <c r="L3" s="6">
        <v>1084.3900000000001</v>
      </c>
      <c r="M3" s="6">
        <v>759.33</v>
      </c>
      <c r="N3" s="8">
        <v>0.23699999999999999</v>
      </c>
      <c r="O3" s="6">
        <v>31</v>
      </c>
      <c r="P3" s="7" t="str">
        <f t="shared" ref="P3:P66" si="1">IF(OR(F3=" ", ISBLANK(F3)), "Unknown", F3)</f>
        <v>Port Harcourt</v>
      </c>
      <c r="Q3" s="7" t="str">
        <f t="shared" ref="Q3:Q66" si="2">IF(OR(I3=" ", ISBLANK(I3)), "Unassigned", I3)</f>
        <v>J. Njeri</v>
      </c>
      <c r="R3" s="7" t="str">
        <f t="shared" ref="R3:R66" si="3">IF(OR(H3=" ", ISBLANK(H3)), "Unspecified", H3)</f>
        <v>Online</v>
      </c>
      <c r="S3" t="str">
        <f t="shared" si="0"/>
        <v>OK</v>
      </c>
      <c r="T3" s="8" t="str">
        <f t="shared" ref="T3:T66" si="4">IFERROR(IF(N3&gt;0.3, "Cap at 30%", "OK"), "Error")</f>
        <v>OK</v>
      </c>
      <c r="U3" s="7" t="str">
        <f t="shared" ref="U3:U66" si="5">IFERROR(IF(C3&lt;B3,"Correct", "OK"), "Error")</f>
        <v>OK</v>
      </c>
      <c r="V3">
        <f t="shared" ref="V3:V66" si="6">_xlfn.DAYS(C3,B3)</f>
        <v>15</v>
      </c>
      <c r="W3" s="4">
        <f>IFERROR(IF(C3&lt;B3, B3+15, C3), "Error")</f>
        <v>45603</v>
      </c>
    </row>
    <row r="4" spans="1:23" x14ac:dyDescent="0.25">
      <c r="A4" t="s">
        <v>17</v>
      </c>
      <c r="B4" s="4">
        <v>44985</v>
      </c>
      <c r="C4" s="4">
        <v>45010</v>
      </c>
      <c r="D4" t="s">
        <v>646</v>
      </c>
      <c r="E4" t="s">
        <v>650</v>
      </c>
      <c r="F4" t="s">
        <v>664</v>
      </c>
      <c r="G4" t="s">
        <v>701</v>
      </c>
      <c r="H4" t="s">
        <v>707</v>
      </c>
      <c r="I4" t="s">
        <v>714</v>
      </c>
      <c r="J4" t="s">
        <v>729</v>
      </c>
      <c r="K4" t="s">
        <v>736</v>
      </c>
      <c r="L4" s="6">
        <v>1460.76</v>
      </c>
      <c r="M4" s="6">
        <v>30.66</v>
      </c>
      <c r="N4" s="8">
        <v>0.13100000000000001</v>
      </c>
      <c r="O4" s="6">
        <v>12</v>
      </c>
      <c r="P4" s="7" t="str">
        <f t="shared" si="1"/>
        <v>Nairobi</v>
      </c>
      <c r="Q4" s="7" t="str">
        <f t="shared" si="2"/>
        <v>I. Johnson</v>
      </c>
      <c r="R4" s="7" t="str">
        <f t="shared" si="3"/>
        <v>Retail</v>
      </c>
      <c r="S4" s="7" t="str">
        <f>IFERROR(IF(M4&lt;0,"Correct (- Price)","OK"),"Error")</f>
        <v>OK</v>
      </c>
      <c r="T4" s="8" t="str">
        <f t="shared" si="4"/>
        <v>OK</v>
      </c>
      <c r="U4" s="7" t="str">
        <f t="shared" si="5"/>
        <v>OK</v>
      </c>
      <c r="V4">
        <f t="shared" si="6"/>
        <v>25</v>
      </c>
      <c r="W4" s="4">
        <f t="shared" ref="W4:W67" si="7">IFERROR(IF(C4&lt;B4, B4+15, C4), "Error")</f>
        <v>45010</v>
      </c>
    </row>
    <row r="5" spans="1:23" x14ac:dyDescent="0.25">
      <c r="A5" t="s">
        <v>18</v>
      </c>
      <c r="B5" s="4">
        <v>45745</v>
      </c>
      <c r="C5" s="4">
        <v>45749</v>
      </c>
      <c r="D5" t="s">
        <v>646</v>
      </c>
      <c r="E5" t="s">
        <v>651</v>
      </c>
      <c r="F5" t="s">
        <v>665</v>
      </c>
      <c r="G5" t="s">
        <v>703</v>
      </c>
      <c r="H5" t="s">
        <v>709</v>
      </c>
      <c r="I5" t="s">
        <v>715</v>
      </c>
      <c r="J5" t="s">
        <v>730</v>
      </c>
      <c r="K5" t="s">
        <v>737</v>
      </c>
      <c r="L5" s="6">
        <v>259.93</v>
      </c>
      <c r="M5" s="6">
        <v>255.94</v>
      </c>
      <c r="N5" s="8">
        <v>7.1999999999999995E-2</v>
      </c>
      <c r="O5" s="6">
        <v>22</v>
      </c>
      <c r="P5" s="7" t="str">
        <f t="shared" si="1"/>
        <v>Lagos</v>
      </c>
      <c r="Q5" s="7" t="str">
        <f t="shared" si="2"/>
        <v>G. Dubois</v>
      </c>
      <c r="R5" s="7" t="str">
        <f t="shared" si="3"/>
        <v>Marketplace</v>
      </c>
      <c r="S5" t="str">
        <f>IFERROR(IF(M5&lt;0,"Correct (Negative Price)","OK"),"Error")</f>
        <v>OK</v>
      </c>
      <c r="T5" s="8" t="str">
        <f t="shared" si="4"/>
        <v>OK</v>
      </c>
      <c r="U5" s="7" t="str">
        <f t="shared" si="5"/>
        <v>OK</v>
      </c>
      <c r="V5">
        <f t="shared" si="6"/>
        <v>4</v>
      </c>
      <c r="W5" s="4">
        <f t="shared" si="7"/>
        <v>45749</v>
      </c>
    </row>
    <row r="6" spans="1:23" x14ac:dyDescent="0.25">
      <c r="A6" t="s">
        <v>19</v>
      </c>
      <c r="B6" s="4">
        <v>45266</v>
      </c>
      <c r="C6" s="4">
        <v>45291</v>
      </c>
      <c r="D6" t="s">
        <v>647</v>
      </c>
      <c r="E6" t="s">
        <v>652</v>
      </c>
      <c r="F6" t="s">
        <v>666</v>
      </c>
      <c r="G6" t="s">
        <v>704</v>
      </c>
      <c r="H6" t="s">
        <v>707</v>
      </c>
      <c r="I6" t="s">
        <v>716</v>
      </c>
      <c r="J6" t="s">
        <v>728</v>
      </c>
      <c r="K6" t="s">
        <v>738</v>
      </c>
      <c r="L6" s="6">
        <v>663.03</v>
      </c>
      <c r="M6" s="6">
        <v>813.51</v>
      </c>
      <c r="N6" s="8">
        <v>0.10199999999999999</v>
      </c>
      <c r="O6" s="6">
        <v>15</v>
      </c>
      <c r="P6" s="7" t="str">
        <f t="shared" si="1"/>
        <v>Osaka</v>
      </c>
      <c r="Q6" s="7" t="str">
        <f t="shared" si="2"/>
        <v>L. Okafor</v>
      </c>
      <c r="R6" s="7" t="str">
        <f t="shared" si="3"/>
        <v>Retail</v>
      </c>
      <c r="S6" t="str">
        <f t="shared" ref="S6:S69" si="8">IFERROR(IF(M6&lt;0,"Correct (Negative Price)","OK"),"Error")</f>
        <v>OK</v>
      </c>
      <c r="T6" s="8" t="str">
        <f t="shared" si="4"/>
        <v>OK</v>
      </c>
      <c r="U6" s="7" t="str">
        <f t="shared" si="5"/>
        <v>OK</v>
      </c>
      <c r="V6">
        <f t="shared" si="6"/>
        <v>25</v>
      </c>
      <c r="W6" s="4">
        <f t="shared" si="7"/>
        <v>45291</v>
      </c>
    </row>
    <row r="7" spans="1:23" x14ac:dyDescent="0.25">
      <c r="A7" t="s">
        <v>20</v>
      </c>
      <c r="B7" s="4">
        <v>44928</v>
      </c>
      <c r="C7" s="4">
        <v>44931</v>
      </c>
      <c r="D7" t="s">
        <v>648</v>
      </c>
      <c r="E7" t="s">
        <v>653</v>
      </c>
      <c r="F7" t="s">
        <v>667</v>
      </c>
      <c r="G7" t="s">
        <v>701</v>
      </c>
      <c r="H7" t="s">
        <v>710</v>
      </c>
      <c r="I7" t="s">
        <v>717</v>
      </c>
      <c r="J7" t="s">
        <v>731</v>
      </c>
      <c r="K7" t="s">
        <v>739</v>
      </c>
      <c r="L7" s="6">
        <v>315.87</v>
      </c>
      <c r="M7" s="6">
        <v>591.67999999999995</v>
      </c>
      <c r="N7" s="8">
        <v>0</v>
      </c>
      <c r="O7" s="6">
        <v>7</v>
      </c>
      <c r="P7" s="7" t="str">
        <f t="shared" si="1"/>
        <v>Toronto</v>
      </c>
      <c r="Q7" s="7" t="str">
        <f t="shared" si="2"/>
        <v>B. Chen</v>
      </c>
      <c r="R7" s="7" t="str">
        <f t="shared" si="3"/>
        <v>Distributor</v>
      </c>
      <c r="S7" t="str">
        <f t="shared" si="8"/>
        <v>OK</v>
      </c>
      <c r="T7" s="8" t="str">
        <f t="shared" si="4"/>
        <v>OK</v>
      </c>
      <c r="U7" s="7" t="str">
        <f t="shared" si="5"/>
        <v>OK</v>
      </c>
      <c r="V7">
        <f t="shared" si="6"/>
        <v>3</v>
      </c>
      <c r="W7" s="4">
        <f t="shared" si="7"/>
        <v>44931</v>
      </c>
    </row>
    <row r="8" spans="1:23" x14ac:dyDescent="0.25">
      <c r="A8" t="s">
        <v>21</v>
      </c>
      <c r="B8" s="4">
        <v>45653</v>
      </c>
      <c r="C8" s="4">
        <v>45671</v>
      </c>
      <c r="D8" t="s">
        <v>647</v>
      </c>
      <c r="E8" t="s">
        <v>654</v>
      </c>
      <c r="F8" t="s">
        <v>668</v>
      </c>
      <c r="G8" t="s">
        <v>705</v>
      </c>
      <c r="H8" t="s">
        <v>709</v>
      </c>
      <c r="I8" t="s">
        <v>718</v>
      </c>
      <c r="J8" t="s">
        <v>732</v>
      </c>
      <c r="K8" t="s">
        <v>740</v>
      </c>
      <c r="L8" s="6">
        <v>586.07000000000005</v>
      </c>
      <c r="M8" s="6">
        <v>845.97</v>
      </c>
      <c r="N8" s="8">
        <v>0.14699999999999999</v>
      </c>
      <c r="O8" s="6">
        <v>4</v>
      </c>
      <c r="P8" s="7" t="str">
        <f t="shared" si="1"/>
        <v>Bengaluru</v>
      </c>
      <c r="Q8" s="7" t="str">
        <f t="shared" si="2"/>
        <v>E. Garcia</v>
      </c>
      <c r="R8" s="7" t="str">
        <f t="shared" si="3"/>
        <v>Marketplace</v>
      </c>
      <c r="S8" t="str">
        <f t="shared" si="8"/>
        <v>OK</v>
      </c>
      <c r="T8" s="8" t="str">
        <f t="shared" si="4"/>
        <v>OK</v>
      </c>
      <c r="U8" s="7" t="str">
        <f t="shared" si="5"/>
        <v>OK</v>
      </c>
      <c r="V8">
        <f t="shared" si="6"/>
        <v>18</v>
      </c>
      <c r="W8" s="4">
        <f t="shared" si="7"/>
        <v>45671</v>
      </c>
    </row>
    <row r="9" spans="1:23" x14ac:dyDescent="0.25">
      <c r="A9" t="s">
        <v>22</v>
      </c>
      <c r="B9" s="4">
        <v>44941</v>
      </c>
      <c r="C9" s="4">
        <v>44956</v>
      </c>
      <c r="D9" t="s">
        <v>646</v>
      </c>
      <c r="E9" t="s">
        <v>651</v>
      </c>
      <c r="F9" t="s">
        <v>669</v>
      </c>
      <c r="G9" t="s">
        <v>702</v>
      </c>
      <c r="H9" t="s">
        <v>708</v>
      </c>
      <c r="I9" t="s">
        <v>719</v>
      </c>
      <c r="J9" t="s">
        <v>728</v>
      </c>
      <c r="K9" t="s">
        <v>741</v>
      </c>
      <c r="L9" s="6">
        <v>28.38</v>
      </c>
      <c r="M9" s="6">
        <v>47.22</v>
      </c>
      <c r="N9" s="8">
        <v>0.19400000000000001</v>
      </c>
      <c r="O9" s="6">
        <v>18</v>
      </c>
      <c r="P9" s="7" t="str">
        <f t="shared" si="1"/>
        <v>Abuja</v>
      </c>
      <c r="Q9" s="7" t="str">
        <f t="shared" si="2"/>
        <v>O. Wang</v>
      </c>
      <c r="R9" s="7" t="str">
        <f t="shared" si="3"/>
        <v>Online</v>
      </c>
      <c r="S9" t="str">
        <f t="shared" si="8"/>
        <v>OK</v>
      </c>
      <c r="T9" s="8" t="str">
        <f t="shared" si="4"/>
        <v>OK</v>
      </c>
      <c r="U9" s="7" t="str">
        <f t="shared" si="5"/>
        <v>OK</v>
      </c>
      <c r="V9">
        <f t="shared" si="6"/>
        <v>15</v>
      </c>
      <c r="W9" s="4">
        <f t="shared" si="7"/>
        <v>44956</v>
      </c>
    </row>
    <row r="10" spans="1:23" hidden="1" x14ac:dyDescent="0.25">
      <c r="A10" t="s">
        <v>23</v>
      </c>
      <c r="B10" s="4">
        <v>45416</v>
      </c>
      <c r="C10" s="4">
        <v>45441</v>
      </c>
      <c r="D10" t="s">
        <v>646</v>
      </c>
      <c r="E10" t="s">
        <v>651</v>
      </c>
      <c r="F10" t="s">
        <v>669</v>
      </c>
      <c r="G10" t="s">
        <v>703</v>
      </c>
      <c r="H10" t="s">
        <v>709</v>
      </c>
      <c r="I10" t="s">
        <v>719</v>
      </c>
      <c r="J10" t="s">
        <v>732</v>
      </c>
      <c r="K10" t="s">
        <v>742</v>
      </c>
      <c r="L10" s="6">
        <v>1295.3399999999999</v>
      </c>
      <c r="M10" s="6">
        <v>2530.81</v>
      </c>
      <c r="N10" s="8">
        <v>3.1E-2</v>
      </c>
      <c r="O10" s="6">
        <v>6</v>
      </c>
      <c r="P10" s="7" t="str">
        <f t="shared" si="1"/>
        <v>Abuja</v>
      </c>
      <c r="Q10" s="7" t="str">
        <f t="shared" si="2"/>
        <v>O. Wang</v>
      </c>
      <c r="R10" s="7" t="str">
        <f t="shared" si="3"/>
        <v>Marketplace</v>
      </c>
      <c r="S10" t="str">
        <f t="shared" si="8"/>
        <v>OK</v>
      </c>
      <c r="T10" s="8" t="str">
        <f t="shared" si="4"/>
        <v>OK</v>
      </c>
      <c r="U10" t="str">
        <f t="shared" si="5"/>
        <v>OK</v>
      </c>
      <c r="V10">
        <f t="shared" si="6"/>
        <v>25</v>
      </c>
      <c r="W10" s="4">
        <f t="shared" si="7"/>
        <v>45441</v>
      </c>
    </row>
    <row r="11" spans="1:23" hidden="1" x14ac:dyDescent="0.25">
      <c r="A11" t="s">
        <v>24</v>
      </c>
      <c r="B11" s="4">
        <v>45798</v>
      </c>
      <c r="C11" s="4">
        <v>45817</v>
      </c>
      <c r="D11" t="s">
        <v>648</v>
      </c>
      <c r="E11" t="s">
        <v>655</v>
      </c>
      <c r="F11" t="s">
        <v>670</v>
      </c>
      <c r="G11" t="s">
        <v>703</v>
      </c>
      <c r="H11" t="s">
        <v>708</v>
      </c>
      <c r="I11" t="s">
        <v>720</v>
      </c>
      <c r="J11" t="s">
        <v>727</v>
      </c>
      <c r="K11" t="s">
        <v>743</v>
      </c>
      <c r="L11" s="6">
        <v>1331.38</v>
      </c>
      <c r="M11" s="6">
        <v>2309.56</v>
      </c>
      <c r="N11" s="8">
        <v>0.14899999999999999</v>
      </c>
      <c r="O11" s="6">
        <v>31</v>
      </c>
      <c r="P11" s="7" t="str">
        <f t="shared" si="1"/>
        <v>São Paulo</v>
      </c>
      <c r="Q11" s="7" t="str">
        <f t="shared" si="2"/>
        <v>A. Patel</v>
      </c>
      <c r="R11" s="7" t="str">
        <f t="shared" si="3"/>
        <v>Online</v>
      </c>
      <c r="S11" t="str">
        <f t="shared" si="8"/>
        <v>OK</v>
      </c>
      <c r="T11" s="8" t="str">
        <f t="shared" si="4"/>
        <v>OK</v>
      </c>
      <c r="U11" t="str">
        <f t="shared" si="5"/>
        <v>OK</v>
      </c>
      <c r="V11">
        <f t="shared" si="6"/>
        <v>19</v>
      </c>
      <c r="W11" s="4">
        <f t="shared" si="7"/>
        <v>45817</v>
      </c>
    </row>
    <row r="12" spans="1:23" hidden="1" x14ac:dyDescent="0.25">
      <c r="A12" t="s">
        <v>25</v>
      </c>
      <c r="B12" s="4">
        <v>45319</v>
      </c>
      <c r="C12" s="4">
        <v>45331</v>
      </c>
      <c r="D12" t="s">
        <v>649</v>
      </c>
      <c r="E12" t="s">
        <v>656</v>
      </c>
      <c r="F12" t="s">
        <v>671</v>
      </c>
      <c r="G12" t="s">
        <v>701</v>
      </c>
      <c r="H12" t="s">
        <v>708</v>
      </c>
      <c r="I12" t="s">
        <v>715</v>
      </c>
      <c r="J12" t="s">
        <v>733</v>
      </c>
      <c r="K12" t="s">
        <v>744</v>
      </c>
      <c r="L12" s="6">
        <v>644.16999999999996</v>
      </c>
      <c r="M12" s="6">
        <v>700.12</v>
      </c>
      <c r="N12" s="8">
        <v>6.0000000000000001E-3</v>
      </c>
      <c r="O12" s="6">
        <v>23</v>
      </c>
      <c r="P12" s="7" t="str">
        <f t="shared" si="1"/>
        <v>Berlin</v>
      </c>
      <c r="Q12" s="7" t="str">
        <f t="shared" si="2"/>
        <v>G. Dubois</v>
      </c>
      <c r="R12" s="7" t="str">
        <f t="shared" si="3"/>
        <v>Online</v>
      </c>
      <c r="S12" t="str">
        <f t="shared" si="8"/>
        <v>OK</v>
      </c>
      <c r="T12" s="8" t="str">
        <f t="shared" si="4"/>
        <v>OK</v>
      </c>
      <c r="U12" t="str">
        <f t="shared" si="5"/>
        <v>OK</v>
      </c>
      <c r="V12">
        <f t="shared" si="6"/>
        <v>12</v>
      </c>
      <c r="W12" s="4">
        <f t="shared" si="7"/>
        <v>45331</v>
      </c>
    </row>
    <row r="13" spans="1:23" hidden="1" x14ac:dyDescent="0.25">
      <c r="A13" t="s">
        <v>26</v>
      </c>
      <c r="B13" s="4">
        <v>45660</v>
      </c>
      <c r="C13" s="4">
        <v>45680</v>
      </c>
      <c r="D13" t="s">
        <v>647</v>
      </c>
      <c r="E13" t="s">
        <v>652</v>
      </c>
      <c r="F13" t="s">
        <v>666</v>
      </c>
      <c r="G13" t="s">
        <v>701</v>
      </c>
      <c r="H13" t="s">
        <v>710</v>
      </c>
      <c r="I13" t="s">
        <v>721</v>
      </c>
      <c r="J13" t="s">
        <v>730</v>
      </c>
      <c r="K13" t="s">
        <v>745</v>
      </c>
      <c r="L13" s="6">
        <v>908.6</v>
      </c>
      <c r="M13" s="6">
        <v>691.37</v>
      </c>
      <c r="N13" s="8">
        <v>0.25</v>
      </c>
      <c r="O13" s="6">
        <v>20</v>
      </c>
      <c r="P13" s="7" t="str">
        <f t="shared" si="1"/>
        <v>Osaka</v>
      </c>
      <c r="Q13" s="7" t="str">
        <f t="shared" si="2"/>
        <v>F. Müller</v>
      </c>
      <c r="R13" s="7" t="str">
        <f t="shared" si="3"/>
        <v>Distributor</v>
      </c>
      <c r="S13" t="str">
        <f t="shared" si="8"/>
        <v>OK</v>
      </c>
      <c r="T13" s="8" t="str">
        <f t="shared" si="4"/>
        <v>OK</v>
      </c>
      <c r="U13" t="str">
        <f t="shared" si="5"/>
        <v>OK</v>
      </c>
      <c r="V13">
        <f t="shared" si="6"/>
        <v>20</v>
      </c>
      <c r="W13" s="4">
        <f t="shared" si="7"/>
        <v>45680</v>
      </c>
    </row>
    <row r="14" spans="1:23" hidden="1" x14ac:dyDescent="0.25">
      <c r="A14" t="s">
        <v>27</v>
      </c>
      <c r="B14" s="4">
        <v>45722</v>
      </c>
      <c r="C14" s="4">
        <v>45747</v>
      </c>
      <c r="D14" t="s">
        <v>648</v>
      </c>
      <c r="E14" t="s">
        <v>655</v>
      </c>
      <c r="F14" t="s">
        <v>672</v>
      </c>
      <c r="G14" t="s">
        <v>703</v>
      </c>
      <c r="H14" t="s">
        <v>708</v>
      </c>
      <c r="I14" t="s">
        <v>713</v>
      </c>
      <c r="J14" t="s">
        <v>727</v>
      </c>
      <c r="K14" t="s">
        <v>746</v>
      </c>
      <c r="L14" s="6">
        <v>331.57</v>
      </c>
      <c r="M14" s="6">
        <v>548.4</v>
      </c>
      <c r="N14" s="8">
        <v>9.4E-2</v>
      </c>
      <c r="O14" s="6">
        <v>10</v>
      </c>
      <c r="P14" s="7" t="str">
        <f t="shared" si="1"/>
        <v>Brasília</v>
      </c>
      <c r="Q14" s="7" t="str">
        <f t="shared" si="2"/>
        <v>J. Njeri</v>
      </c>
      <c r="R14" s="7" t="str">
        <f t="shared" si="3"/>
        <v>Online</v>
      </c>
      <c r="S14" t="str">
        <f t="shared" si="8"/>
        <v>OK</v>
      </c>
      <c r="T14" s="8" t="str">
        <f t="shared" si="4"/>
        <v>OK</v>
      </c>
      <c r="U14" t="str">
        <f t="shared" si="5"/>
        <v>OK</v>
      </c>
      <c r="V14">
        <f t="shared" si="6"/>
        <v>25</v>
      </c>
      <c r="W14" s="4">
        <f t="shared" si="7"/>
        <v>45747</v>
      </c>
    </row>
    <row r="15" spans="1:23" hidden="1" x14ac:dyDescent="0.25">
      <c r="A15" t="s">
        <v>28</v>
      </c>
      <c r="B15" s="4">
        <v>45311</v>
      </c>
      <c r="C15" s="4">
        <v>45335</v>
      </c>
      <c r="D15" t="s">
        <v>649</v>
      </c>
      <c r="E15" t="s">
        <v>657</v>
      </c>
      <c r="F15" t="s">
        <v>673</v>
      </c>
      <c r="G15" t="s">
        <v>701</v>
      </c>
      <c r="H15" t="s">
        <v>707</v>
      </c>
      <c r="I15" t="s">
        <v>722</v>
      </c>
      <c r="J15" t="s">
        <v>728</v>
      </c>
      <c r="K15" t="s">
        <v>747</v>
      </c>
      <c r="L15" s="6">
        <v>643.53</v>
      </c>
      <c r="M15" s="6">
        <v>1439.01</v>
      </c>
      <c r="N15" s="8">
        <v>0</v>
      </c>
      <c r="O15" s="6">
        <v>15</v>
      </c>
      <c r="P15" s="7" t="str">
        <f t="shared" si="1"/>
        <v>Marseille</v>
      </c>
      <c r="Q15" s="7" t="str">
        <f t="shared" si="2"/>
        <v>H. Kim</v>
      </c>
      <c r="R15" s="7" t="str">
        <f t="shared" si="3"/>
        <v>Retail</v>
      </c>
      <c r="S15" t="str">
        <f t="shared" si="8"/>
        <v>OK</v>
      </c>
      <c r="T15" s="8" t="str">
        <f t="shared" si="4"/>
        <v>OK</v>
      </c>
      <c r="U15" t="str">
        <f t="shared" si="5"/>
        <v>OK</v>
      </c>
      <c r="V15">
        <f t="shared" si="6"/>
        <v>24</v>
      </c>
      <c r="W15" s="4">
        <f t="shared" si="7"/>
        <v>45335</v>
      </c>
    </row>
    <row r="16" spans="1:23" hidden="1" x14ac:dyDescent="0.25">
      <c r="A16" t="s">
        <v>29</v>
      </c>
      <c r="B16" s="4">
        <v>45901</v>
      </c>
      <c r="C16" s="4">
        <v>45930</v>
      </c>
      <c r="D16" t="s">
        <v>648</v>
      </c>
      <c r="E16" t="s">
        <v>655</v>
      </c>
      <c r="F16" t="s">
        <v>672</v>
      </c>
      <c r="G16" t="s">
        <v>702</v>
      </c>
      <c r="H16" t="s">
        <v>707</v>
      </c>
      <c r="I16" t="s">
        <v>723</v>
      </c>
      <c r="J16" t="s">
        <v>733</v>
      </c>
      <c r="K16" t="s">
        <v>748</v>
      </c>
      <c r="L16" s="6">
        <v>780.59</v>
      </c>
      <c r="M16" s="6">
        <v>631.57000000000005</v>
      </c>
      <c r="N16" s="8">
        <v>0</v>
      </c>
      <c r="O16" s="6">
        <v>12</v>
      </c>
      <c r="P16" s="7" t="str">
        <f t="shared" si="1"/>
        <v>Brasília</v>
      </c>
      <c r="Q16" s="7" t="str">
        <f t="shared" si="2"/>
        <v>K. Singh</v>
      </c>
      <c r="R16" s="7" t="str">
        <f t="shared" si="3"/>
        <v>Retail</v>
      </c>
      <c r="S16" t="str">
        <f t="shared" si="8"/>
        <v>OK</v>
      </c>
      <c r="T16" s="8" t="str">
        <f t="shared" si="4"/>
        <v>OK</v>
      </c>
      <c r="U16" t="str">
        <f t="shared" si="5"/>
        <v>OK</v>
      </c>
      <c r="V16">
        <f t="shared" si="6"/>
        <v>29</v>
      </c>
      <c r="W16" s="4">
        <f t="shared" si="7"/>
        <v>45930</v>
      </c>
    </row>
    <row r="17" spans="1:23" hidden="1" x14ac:dyDescent="0.25">
      <c r="A17" t="s">
        <v>30</v>
      </c>
      <c r="B17" s="4">
        <v>45039</v>
      </c>
      <c r="C17" s="4">
        <v>45054</v>
      </c>
      <c r="D17" t="s">
        <v>646</v>
      </c>
      <c r="E17" t="s">
        <v>650</v>
      </c>
      <c r="F17" t="s">
        <v>664</v>
      </c>
      <c r="G17" t="s">
        <v>705</v>
      </c>
      <c r="H17" t="s">
        <v>711</v>
      </c>
      <c r="I17" t="s">
        <v>718</v>
      </c>
      <c r="J17" t="s">
        <v>731</v>
      </c>
      <c r="K17" t="s">
        <v>749</v>
      </c>
      <c r="L17" s="6">
        <v>756.51</v>
      </c>
      <c r="M17" s="6">
        <v>850.8</v>
      </c>
      <c r="N17" s="8">
        <v>7.3999999999999996E-2</v>
      </c>
      <c r="O17" s="6">
        <v>9</v>
      </c>
      <c r="P17" s="7" t="str">
        <f t="shared" si="1"/>
        <v>Nairobi</v>
      </c>
      <c r="Q17" s="7" t="str">
        <f t="shared" si="2"/>
        <v>E. Garcia</v>
      </c>
      <c r="R17" s="7" t="str">
        <f t="shared" si="3"/>
        <v>Direct</v>
      </c>
      <c r="S17" t="str">
        <f t="shared" si="8"/>
        <v>OK</v>
      </c>
      <c r="T17" s="8" t="str">
        <f t="shared" si="4"/>
        <v>OK</v>
      </c>
      <c r="U17" t="str">
        <f t="shared" si="5"/>
        <v>OK</v>
      </c>
      <c r="V17">
        <f t="shared" si="6"/>
        <v>15</v>
      </c>
      <c r="W17" s="4">
        <f t="shared" si="7"/>
        <v>45054</v>
      </c>
    </row>
    <row r="18" spans="1:23" hidden="1" x14ac:dyDescent="0.25">
      <c r="A18" t="s">
        <v>31</v>
      </c>
      <c r="B18" s="4">
        <v>45636</v>
      </c>
      <c r="C18" s="4">
        <v>45665</v>
      </c>
      <c r="D18" t="s">
        <v>649</v>
      </c>
      <c r="E18" t="s">
        <v>657</v>
      </c>
      <c r="F18" t="s">
        <v>673</v>
      </c>
      <c r="G18" t="s">
        <v>705</v>
      </c>
      <c r="H18" t="s">
        <v>707</v>
      </c>
      <c r="I18" t="s">
        <v>723</v>
      </c>
      <c r="J18" t="s">
        <v>728</v>
      </c>
      <c r="K18" t="s">
        <v>750</v>
      </c>
      <c r="L18" s="6">
        <v>891.08</v>
      </c>
      <c r="M18" s="6">
        <v>1040.0999999999999</v>
      </c>
      <c r="N18" s="8">
        <v>0.109</v>
      </c>
      <c r="O18" s="6">
        <v>28</v>
      </c>
      <c r="P18" s="7" t="str">
        <f t="shared" si="1"/>
        <v>Marseille</v>
      </c>
      <c r="Q18" s="7" t="str">
        <f t="shared" si="2"/>
        <v>K. Singh</v>
      </c>
      <c r="R18" s="7" t="str">
        <f t="shared" si="3"/>
        <v>Retail</v>
      </c>
      <c r="S18" t="str">
        <f t="shared" si="8"/>
        <v>OK</v>
      </c>
      <c r="T18" s="8" t="str">
        <f t="shared" si="4"/>
        <v>OK</v>
      </c>
      <c r="U18" t="str">
        <f t="shared" si="5"/>
        <v>OK</v>
      </c>
      <c r="V18">
        <f t="shared" si="6"/>
        <v>29</v>
      </c>
      <c r="W18" s="4">
        <f t="shared" si="7"/>
        <v>45665</v>
      </c>
    </row>
    <row r="19" spans="1:23" hidden="1" x14ac:dyDescent="0.25">
      <c r="A19" t="s">
        <v>32</v>
      </c>
      <c r="B19" s="4">
        <v>45908</v>
      </c>
      <c r="C19" s="4">
        <v>45916</v>
      </c>
      <c r="D19" t="s">
        <v>647</v>
      </c>
      <c r="E19" t="s">
        <v>652</v>
      </c>
      <c r="F19" t="s">
        <v>666</v>
      </c>
      <c r="G19" t="s">
        <v>701</v>
      </c>
      <c r="H19" t="s">
        <v>710</v>
      </c>
      <c r="I19" t="s">
        <v>712</v>
      </c>
      <c r="J19" t="s">
        <v>730</v>
      </c>
      <c r="K19" t="s">
        <v>751</v>
      </c>
      <c r="L19" s="6">
        <v>1225.57</v>
      </c>
      <c r="M19" s="6">
        <v>2705.57</v>
      </c>
      <c r="N19" s="8">
        <v>0.183</v>
      </c>
      <c r="O19" s="6">
        <v>16</v>
      </c>
      <c r="P19" s="7" t="str">
        <f t="shared" si="1"/>
        <v>Osaka</v>
      </c>
      <c r="Q19" s="7" t="str">
        <f t="shared" si="2"/>
        <v>C. Otieno</v>
      </c>
      <c r="R19" s="7" t="str">
        <f t="shared" si="3"/>
        <v>Distributor</v>
      </c>
      <c r="S19" t="str">
        <f t="shared" si="8"/>
        <v>OK</v>
      </c>
      <c r="T19" s="8" t="str">
        <f t="shared" si="4"/>
        <v>OK</v>
      </c>
      <c r="U19" t="str">
        <f t="shared" si="5"/>
        <v>OK</v>
      </c>
      <c r="V19">
        <f t="shared" si="6"/>
        <v>8</v>
      </c>
      <c r="W19" s="4">
        <f t="shared" si="7"/>
        <v>45916</v>
      </c>
    </row>
    <row r="20" spans="1:23" hidden="1" x14ac:dyDescent="0.25">
      <c r="A20" t="s">
        <v>33</v>
      </c>
      <c r="B20" s="4">
        <v>45858</v>
      </c>
      <c r="C20" s="4">
        <v>45874</v>
      </c>
      <c r="D20" t="s">
        <v>648</v>
      </c>
      <c r="E20" t="s">
        <v>655</v>
      </c>
      <c r="F20" t="s">
        <v>672</v>
      </c>
      <c r="G20" t="s">
        <v>706</v>
      </c>
      <c r="H20" t="s">
        <v>709</v>
      </c>
      <c r="I20" t="s">
        <v>715</v>
      </c>
      <c r="J20" t="s">
        <v>733</v>
      </c>
      <c r="K20" t="s">
        <v>752</v>
      </c>
      <c r="L20" s="6">
        <v>1068.17</v>
      </c>
      <c r="M20" s="6">
        <v>2375.37</v>
      </c>
      <c r="N20" s="8">
        <v>0.109</v>
      </c>
      <c r="O20" s="6">
        <v>18</v>
      </c>
      <c r="P20" s="7" t="str">
        <f t="shared" si="1"/>
        <v>Brasília</v>
      </c>
      <c r="Q20" s="7" t="str">
        <f t="shared" si="2"/>
        <v>G. Dubois</v>
      </c>
      <c r="R20" s="7" t="str">
        <f t="shared" si="3"/>
        <v>Marketplace</v>
      </c>
      <c r="S20" t="str">
        <f t="shared" si="8"/>
        <v>OK</v>
      </c>
      <c r="T20" s="8" t="str">
        <f t="shared" si="4"/>
        <v>OK</v>
      </c>
      <c r="U20" t="str">
        <f t="shared" si="5"/>
        <v>OK</v>
      </c>
      <c r="V20">
        <f t="shared" si="6"/>
        <v>16</v>
      </c>
      <c r="W20" s="4">
        <f t="shared" si="7"/>
        <v>45874</v>
      </c>
    </row>
    <row r="21" spans="1:23" hidden="1" x14ac:dyDescent="0.25">
      <c r="A21" t="s">
        <v>34</v>
      </c>
      <c r="B21" s="4">
        <v>45798</v>
      </c>
      <c r="C21" s="4">
        <v>45813</v>
      </c>
      <c r="D21" t="s">
        <v>649</v>
      </c>
      <c r="E21" t="s">
        <v>658</v>
      </c>
      <c r="F21" t="s">
        <v>674</v>
      </c>
      <c r="G21" t="s">
        <v>706</v>
      </c>
      <c r="H21" t="s">
        <v>708</v>
      </c>
      <c r="I21" t="s">
        <v>724</v>
      </c>
      <c r="J21" t="s">
        <v>731</v>
      </c>
      <c r="K21" t="s">
        <v>753</v>
      </c>
      <c r="L21" s="6">
        <v>1015.16</v>
      </c>
      <c r="M21" s="6">
        <v>2148.14</v>
      </c>
      <c r="N21" s="8">
        <v>3.7999999999999999E-2</v>
      </c>
      <c r="O21" s="6">
        <v>19</v>
      </c>
      <c r="P21" s="7" t="str">
        <f t="shared" si="1"/>
        <v>Birmingham</v>
      </c>
      <c r="Q21" s="7" t="str">
        <f t="shared" si="2"/>
        <v>M. Rossi</v>
      </c>
      <c r="R21" s="7" t="str">
        <f t="shared" si="3"/>
        <v>Online</v>
      </c>
      <c r="S21" t="str">
        <f t="shared" si="8"/>
        <v>OK</v>
      </c>
      <c r="T21" s="8" t="str">
        <f t="shared" si="4"/>
        <v>OK</v>
      </c>
      <c r="U21" t="str">
        <f t="shared" si="5"/>
        <v>OK</v>
      </c>
      <c r="V21">
        <f t="shared" si="6"/>
        <v>15</v>
      </c>
      <c r="W21" s="4">
        <f t="shared" si="7"/>
        <v>45813</v>
      </c>
    </row>
    <row r="22" spans="1:23" hidden="1" x14ac:dyDescent="0.25">
      <c r="A22" t="s">
        <v>35</v>
      </c>
      <c r="B22" s="4">
        <v>45498</v>
      </c>
      <c r="C22" s="4">
        <v>45513</v>
      </c>
      <c r="D22" t="s">
        <v>646</v>
      </c>
      <c r="E22" t="s">
        <v>650</v>
      </c>
      <c r="F22" t="s">
        <v>675</v>
      </c>
      <c r="G22" t="s">
        <v>703</v>
      </c>
      <c r="H22" t="s">
        <v>711</v>
      </c>
      <c r="I22" t="s">
        <v>713</v>
      </c>
      <c r="J22" t="s">
        <v>731</v>
      </c>
      <c r="K22" t="s">
        <v>754</v>
      </c>
      <c r="L22" s="6">
        <v>1494.4</v>
      </c>
      <c r="M22" s="6">
        <v>3661.07</v>
      </c>
      <c r="N22" s="8">
        <v>7.1999999999999995E-2</v>
      </c>
      <c r="O22" s="6">
        <v>7</v>
      </c>
      <c r="P22" s="7" t="str">
        <f t="shared" si="1"/>
        <v>Mombasa</v>
      </c>
      <c r="Q22" s="7" t="str">
        <f t="shared" si="2"/>
        <v>J. Njeri</v>
      </c>
      <c r="R22" s="7" t="str">
        <f t="shared" si="3"/>
        <v>Direct</v>
      </c>
      <c r="S22" t="str">
        <f t="shared" si="8"/>
        <v>OK</v>
      </c>
      <c r="T22" s="8" t="str">
        <f t="shared" si="4"/>
        <v>OK</v>
      </c>
      <c r="U22" t="str">
        <f t="shared" si="5"/>
        <v>OK</v>
      </c>
      <c r="V22">
        <f t="shared" si="6"/>
        <v>15</v>
      </c>
      <c r="W22" s="4">
        <f t="shared" si="7"/>
        <v>45513</v>
      </c>
    </row>
    <row r="23" spans="1:23" hidden="1" x14ac:dyDescent="0.25">
      <c r="A23" t="s">
        <v>36</v>
      </c>
      <c r="B23" s="4">
        <v>45057</v>
      </c>
      <c r="C23" s="4">
        <v>45074</v>
      </c>
      <c r="D23" t="s">
        <v>647</v>
      </c>
      <c r="E23" t="s">
        <v>659</v>
      </c>
      <c r="F23" t="s">
        <v>676</v>
      </c>
      <c r="G23" t="s">
        <v>706</v>
      </c>
      <c r="H23" t="s">
        <v>709</v>
      </c>
      <c r="I23" t="s">
        <v>718</v>
      </c>
      <c r="J23" t="s">
        <v>729</v>
      </c>
      <c r="K23" t="s">
        <v>755</v>
      </c>
      <c r="L23" s="6">
        <v>1331.19</v>
      </c>
      <c r="M23" s="6">
        <v>2903.09</v>
      </c>
      <c r="N23" s="8">
        <v>0.14299999999999999</v>
      </c>
      <c r="O23" s="6">
        <v>8</v>
      </c>
      <c r="P23" s="7" t="str">
        <f t="shared" si="1"/>
        <v>Shenzhen</v>
      </c>
      <c r="Q23" s="7" t="str">
        <f t="shared" si="2"/>
        <v>E. Garcia</v>
      </c>
      <c r="R23" s="7" t="str">
        <f t="shared" si="3"/>
        <v>Marketplace</v>
      </c>
      <c r="S23" t="str">
        <f t="shared" si="8"/>
        <v>OK</v>
      </c>
      <c r="T23" s="8" t="str">
        <f t="shared" si="4"/>
        <v>OK</v>
      </c>
      <c r="U23" t="str">
        <f t="shared" si="5"/>
        <v>OK</v>
      </c>
      <c r="V23">
        <f t="shared" si="6"/>
        <v>17</v>
      </c>
      <c r="W23" s="4">
        <f t="shared" si="7"/>
        <v>45074</v>
      </c>
    </row>
    <row r="24" spans="1:23" hidden="1" x14ac:dyDescent="0.25">
      <c r="A24" t="s">
        <v>37</v>
      </c>
      <c r="B24" s="4">
        <v>45822</v>
      </c>
      <c r="C24" s="4">
        <v>45837</v>
      </c>
      <c r="D24" t="s">
        <v>646</v>
      </c>
      <c r="E24" t="s">
        <v>651</v>
      </c>
      <c r="F24" t="s">
        <v>663</v>
      </c>
      <c r="G24" t="s">
        <v>704</v>
      </c>
      <c r="H24" t="s">
        <v>709</v>
      </c>
      <c r="I24" t="s">
        <v>724</v>
      </c>
      <c r="J24" t="s">
        <v>733</v>
      </c>
      <c r="K24" t="s">
        <v>756</v>
      </c>
      <c r="L24" s="6">
        <v>730.99</v>
      </c>
      <c r="M24" s="6">
        <v>1242.8399999999999</v>
      </c>
      <c r="N24" s="8">
        <v>0.12</v>
      </c>
      <c r="O24" s="6">
        <v>10</v>
      </c>
      <c r="P24" s="7" t="str">
        <f t="shared" si="1"/>
        <v>Port Harcourt</v>
      </c>
      <c r="Q24" s="7" t="str">
        <f t="shared" si="2"/>
        <v>M. Rossi</v>
      </c>
      <c r="R24" s="7" t="str">
        <f t="shared" si="3"/>
        <v>Marketplace</v>
      </c>
      <c r="S24" t="str">
        <f t="shared" si="8"/>
        <v>OK</v>
      </c>
      <c r="T24" s="8" t="str">
        <f t="shared" si="4"/>
        <v>OK</v>
      </c>
      <c r="U24" t="str">
        <f t="shared" si="5"/>
        <v>OK</v>
      </c>
      <c r="V24">
        <f t="shared" si="6"/>
        <v>15</v>
      </c>
      <c r="W24" s="4">
        <f t="shared" si="7"/>
        <v>45837</v>
      </c>
    </row>
    <row r="25" spans="1:23" hidden="1" x14ac:dyDescent="0.25">
      <c r="A25" t="s">
        <v>38</v>
      </c>
      <c r="B25" s="4">
        <v>45430</v>
      </c>
      <c r="C25" s="4">
        <v>45435</v>
      </c>
      <c r="D25" t="s">
        <v>648</v>
      </c>
      <c r="E25" t="s">
        <v>660</v>
      </c>
      <c r="F25" t="s">
        <v>677</v>
      </c>
      <c r="G25" t="s">
        <v>706</v>
      </c>
      <c r="H25" t="s">
        <v>707</v>
      </c>
      <c r="I25" t="s">
        <v>722</v>
      </c>
      <c r="J25" t="s">
        <v>731</v>
      </c>
      <c r="K25" t="s">
        <v>757</v>
      </c>
      <c r="L25" s="6">
        <v>1274.5899999999999</v>
      </c>
      <c r="M25" s="6">
        <v>2553.69</v>
      </c>
      <c r="N25" s="8">
        <v>0.01</v>
      </c>
      <c r="O25" s="6">
        <v>8</v>
      </c>
      <c r="P25" s="7" t="str">
        <f t="shared" si="1"/>
        <v>Chicago</v>
      </c>
      <c r="Q25" s="7" t="str">
        <f t="shared" si="2"/>
        <v>H. Kim</v>
      </c>
      <c r="R25" s="7" t="str">
        <f t="shared" si="3"/>
        <v>Retail</v>
      </c>
      <c r="S25" t="str">
        <f t="shared" si="8"/>
        <v>OK</v>
      </c>
      <c r="T25" s="8" t="str">
        <f t="shared" si="4"/>
        <v>OK</v>
      </c>
      <c r="U25" t="str">
        <f t="shared" si="5"/>
        <v>OK</v>
      </c>
      <c r="V25">
        <f t="shared" si="6"/>
        <v>5</v>
      </c>
      <c r="W25" s="4">
        <f t="shared" si="7"/>
        <v>45435</v>
      </c>
    </row>
    <row r="26" spans="1:23" hidden="1" x14ac:dyDescent="0.25">
      <c r="A26" t="s">
        <v>39</v>
      </c>
      <c r="B26" s="4">
        <v>44964</v>
      </c>
      <c r="C26" s="4">
        <v>44969</v>
      </c>
      <c r="D26" t="s">
        <v>648</v>
      </c>
      <c r="E26" t="s">
        <v>655</v>
      </c>
      <c r="F26" t="s">
        <v>670</v>
      </c>
      <c r="G26" t="s">
        <v>702</v>
      </c>
      <c r="H26" t="s">
        <v>708</v>
      </c>
      <c r="I26" t="s">
        <v>725</v>
      </c>
      <c r="J26" t="s">
        <v>727</v>
      </c>
      <c r="K26" t="s">
        <v>758</v>
      </c>
      <c r="L26" s="6">
        <v>948.55</v>
      </c>
      <c r="M26" s="6">
        <v>2089.16</v>
      </c>
      <c r="N26" s="8">
        <v>7.0000000000000001E-3</v>
      </c>
      <c r="O26" s="6">
        <v>12</v>
      </c>
      <c r="P26" s="7" t="str">
        <f t="shared" si="1"/>
        <v>São Paulo</v>
      </c>
      <c r="Q26" s="7" t="str">
        <f t="shared" si="2"/>
        <v>N. Brown</v>
      </c>
      <c r="R26" s="7" t="str">
        <f t="shared" si="3"/>
        <v>Online</v>
      </c>
      <c r="S26" t="str">
        <f t="shared" si="8"/>
        <v>OK</v>
      </c>
      <c r="T26" s="8" t="str">
        <f t="shared" si="4"/>
        <v>OK</v>
      </c>
      <c r="U26" t="str">
        <f t="shared" si="5"/>
        <v>OK</v>
      </c>
      <c r="V26">
        <f t="shared" si="6"/>
        <v>5</v>
      </c>
      <c r="W26" s="4">
        <f t="shared" si="7"/>
        <v>44969</v>
      </c>
    </row>
    <row r="27" spans="1:23" hidden="1" x14ac:dyDescent="0.25">
      <c r="A27" t="s">
        <v>40</v>
      </c>
      <c r="B27" s="4">
        <v>45473</v>
      </c>
      <c r="C27" s="4">
        <v>45487</v>
      </c>
      <c r="D27" t="s">
        <v>648</v>
      </c>
      <c r="E27" t="s">
        <v>655</v>
      </c>
      <c r="F27" t="s">
        <v>672</v>
      </c>
      <c r="G27" t="s">
        <v>702</v>
      </c>
      <c r="H27" t="s">
        <v>707</v>
      </c>
      <c r="I27" t="s">
        <v>712</v>
      </c>
      <c r="J27" t="s">
        <v>733</v>
      </c>
      <c r="K27" t="s">
        <v>759</v>
      </c>
      <c r="L27" s="6">
        <v>1491.85</v>
      </c>
      <c r="M27" s="6">
        <v>2583.02</v>
      </c>
      <c r="N27" s="8">
        <v>0.16800000000000001</v>
      </c>
      <c r="O27" s="6">
        <v>4</v>
      </c>
      <c r="P27" s="7" t="str">
        <f t="shared" si="1"/>
        <v>Brasília</v>
      </c>
      <c r="Q27" s="7" t="str">
        <f t="shared" si="2"/>
        <v>C. Otieno</v>
      </c>
      <c r="R27" s="7" t="str">
        <f t="shared" si="3"/>
        <v>Retail</v>
      </c>
      <c r="S27" t="str">
        <f t="shared" si="8"/>
        <v>OK</v>
      </c>
      <c r="T27" s="8" t="str">
        <f t="shared" si="4"/>
        <v>OK</v>
      </c>
      <c r="U27" t="str">
        <f t="shared" si="5"/>
        <v>OK</v>
      </c>
      <c r="V27">
        <f t="shared" si="6"/>
        <v>14</v>
      </c>
      <c r="W27" s="4">
        <f t="shared" si="7"/>
        <v>45487</v>
      </c>
    </row>
    <row r="28" spans="1:23" hidden="1" x14ac:dyDescent="0.25">
      <c r="A28" t="s">
        <v>41</v>
      </c>
      <c r="B28" s="4">
        <v>45626</v>
      </c>
      <c r="C28" s="4">
        <v>45656</v>
      </c>
      <c r="D28" t="s">
        <v>649</v>
      </c>
      <c r="E28" t="s">
        <v>657</v>
      </c>
      <c r="F28" t="s">
        <v>673</v>
      </c>
      <c r="G28" t="s">
        <v>704</v>
      </c>
      <c r="H28" t="s">
        <v>709</v>
      </c>
      <c r="I28" t="s">
        <v>721</v>
      </c>
      <c r="J28" t="s">
        <v>728</v>
      </c>
      <c r="K28" t="s">
        <v>760</v>
      </c>
      <c r="L28" s="6">
        <v>117.64</v>
      </c>
      <c r="M28" s="6">
        <v>175.67</v>
      </c>
      <c r="N28" s="8">
        <v>0</v>
      </c>
      <c r="O28" s="6">
        <v>10</v>
      </c>
      <c r="P28" s="7" t="str">
        <f t="shared" si="1"/>
        <v>Marseille</v>
      </c>
      <c r="Q28" s="7" t="str">
        <f t="shared" si="2"/>
        <v>F. Müller</v>
      </c>
      <c r="R28" s="7" t="str">
        <f t="shared" si="3"/>
        <v>Marketplace</v>
      </c>
      <c r="S28" t="str">
        <f t="shared" si="8"/>
        <v>OK</v>
      </c>
      <c r="T28" s="8" t="str">
        <f t="shared" si="4"/>
        <v>OK</v>
      </c>
      <c r="U28" t="str">
        <f t="shared" si="5"/>
        <v>OK</v>
      </c>
      <c r="V28">
        <f t="shared" si="6"/>
        <v>30</v>
      </c>
      <c r="W28" s="4">
        <f t="shared" si="7"/>
        <v>45656</v>
      </c>
    </row>
    <row r="29" spans="1:23" hidden="1" x14ac:dyDescent="0.25">
      <c r="A29" t="s">
        <v>42</v>
      </c>
      <c r="B29" s="4">
        <v>45492</v>
      </c>
      <c r="C29" s="4">
        <v>45492</v>
      </c>
      <c r="D29" t="s">
        <v>646</v>
      </c>
      <c r="E29" t="s">
        <v>650</v>
      </c>
      <c r="F29" t="s">
        <v>662</v>
      </c>
      <c r="G29" t="s">
        <v>705</v>
      </c>
      <c r="H29" t="s">
        <v>707</v>
      </c>
      <c r="I29" t="s">
        <v>720</v>
      </c>
      <c r="J29" t="s">
        <v>730</v>
      </c>
      <c r="K29" t="s">
        <v>761</v>
      </c>
      <c r="L29" s="6">
        <v>857.24</v>
      </c>
      <c r="M29" s="6">
        <v>758.23</v>
      </c>
      <c r="N29" s="8">
        <v>0.125</v>
      </c>
      <c r="O29" s="6">
        <v>6</v>
      </c>
      <c r="P29" s="7" t="str">
        <f t="shared" si="1"/>
        <v>Kisumu</v>
      </c>
      <c r="Q29" s="7" t="str">
        <f t="shared" si="2"/>
        <v>A. Patel</v>
      </c>
      <c r="R29" s="7" t="str">
        <f t="shared" si="3"/>
        <v>Retail</v>
      </c>
      <c r="S29" t="str">
        <f t="shared" si="8"/>
        <v>OK</v>
      </c>
      <c r="T29" s="8" t="str">
        <f t="shared" si="4"/>
        <v>OK</v>
      </c>
      <c r="U29" t="str">
        <f t="shared" si="5"/>
        <v>OK</v>
      </c>
      <c r="V29">
        <f t="shared" si="6"/>
        <v>0</v>
      </c>
      <c r="W29" s="4">
        <f t="shared" si="7"/>
        <v>45492</v>
      </c>
    </row>
    <row r="30" spans="1:23" hidden="1" x14ac:dyDescent="0.25">
      <c r="A30" t="s">
        <v>43</v>
      </c>
      <c r="B30" s="4">
        <v>45030</v>
      </c>
      <c r="C30" s="4">
        <v>45060</v>
      </c>
      <c r="D30" t="s">
        <v>646</v>
      </c>
      <c r="E30" t="s">
        <v>650</v>
      </c>
      <c r="F30" t="s">
        <v>678</v>
      </c>
      <c r="G30" t="s">
        <v>704</v>
      </c>
      <c r="H30" t="s">
        <v>709</v>
      </c>
      <c r="I30" t="s">
        <v>724</v>
      </c>
      <c r="J30" t="s">
        <v>730</v>
      </c>
      <c r="K30" t="s">
        <v>762</v>
      </c>
      <c r="L30" s="6">
        <v>209.25</v>
      </c>
      <c r="M30" s="6">
        <v>434.8</v>
      </c>
      <c r="N30" s="8">
        <v>0</v>
      </c>
      <c r="O30" s="6">
        <v>9</v>
      </c>
      <c r="P30" s="7" t="str">
        <f t="shared" si="1"/>
        <v>Nakuru</v>
      </c>
      <c r="Q30" s="7" t="str">
        <f t="shared" si="2"/>
        <v>M. Rossi</v>
      </c>
      <c r="R30" s="7" t="str">
        <f t="shared" si="3"/>
        <v>Marketplace</v>
      </c>
      <c r="S30" t="str">
        <f t="shared" si="8"/>
        <v>OK</v>
      </c>
      <c r="T30" s="8" t="str">
        <f t="shared" si="4"/>
        <v>OK</v>
      </c>
      <c r="U30" t="str">
        <f t="shared" si="5"/>
        <v>OK</v>
      </c>
      <c r="V30">
        <f t="shared" si="6"/>
        <v>30</v>
      </c>
      <c r="W30" s="4">
        <f t="shared" si="7"/>
        <v>45060</v>
      </c>
    </row>
    <row r="31" spans="1:23" hidden="1" x14ac:dyDescent="0.25">
      <c r="A31" t="s">
        <v>44</v>
      </c>
      <c r="B31" s="4">
        <v>45754</v>
      </c>
      <c r="C31" s="4">
        <v>45758</v>
      </c>
      <c r="D31" t="s">
        <v>649</v>
      </c>
      <c r="E31" t="s">
        <v>657</v>
      </c>
      <c r="F31" t="s">
        <v>679</v>
      </c>
      <c r="G31" t="s">
        <v>702</v>
      </c>
      <c r="H31" t="s">
        <v>707</v>
      </c>
      <c r="I31" t="s">
        <v>718</v>
      </c>
      <c r="J31" t="s">
        <v>729</v>
      </c>
      <c r="K31" t="s">
        <v>763</v>
      </c>
      <c r="L31" s="6">
        <v>754.77</v>
      </c>
      <c r="M31" s="6">
        <v>1666.18</v>
      </c>
      <c r="N31" s="8">
        <v>0.13900000000000001</v>
      </c>
      <c r="O31" s="6">
        <v>14</v>
      </c>
      <c r="P31" s="7" t="str">
        <f t="shared" si="1"/>
        <v>Lyon</v>
      </c>
      <c r="Q31" s="7" t="str">
        <f t="shared" si="2"/>
        <v>E. Garcia</v>
      </c>
      <c r="R31" s="7" t="str">
        <f t="shared" si="3"/>
        <v>Retail</v>
      </c>
      <c r="S31" t="str">
        <f t="shared" si="8"/>
        <v>OK</v>
      </c>
      <c r="T31" s="8" t="str">
        <f t="shared" si="4"/>
        <v>OK</v>
      </c>
      <c r="U31" t="str">
        <f t="shared" si="5"/>
        <v>OK</v>
      </c>
      <c r="V31">
        <f t="shared" si="6"/>
        <v>4</v>
      </c>
      <c r="W31" s="4">
        <f t="shared" si="7"/>
        <v>45758</v>
      </c>
    </row>
    <row r="32" spans="1:23" hidden="1" x14ac:dyDescent="0.25">
      <c r="A32" t="s">
        <v>45</v>
      </c>
      <c r="B32" s="4">
        <v>45653</v>
      </c>
      <c r="C32" s="4">
        <v>45672</v>
      </c>
      <c r="D32" t="s">
        <v>647</v>
      </c>
      <c r="E32" t="s">
        <v>654</v>
      </c>
      <c r="F32" t="s">
        <v>680</v>
      </c>
      <c r="G32" t="s">
        <v>703</v>
      </c>
      <c r="H32" t="s">
        <v>710</v>
      </c>
      <c r="I32" t="s">
        <v>715</v>
      </c>
      <c r="J32" t="s">
        <v>727</v>
      </c>
      <c r="K32" t="s">
        <v>764</v>
      </c>
      <c r="L32" s="6">
        <v>495.59</v>
      </c>
      <c r="M32" s="6">
        <v>631.78</v>
      </c>
      <c r="N32" s="8">
        <v>8.6999999999999994E-2</v>
      </c>
      <c r="O32" s="6">
        <v>17</v>
      </c>
      <c r="P32" s="7" t="str">
        <f t="shared" si="1"/>
        <v>Delhi</v>
      </c>
      <c r="Q32" s="7" t="str">
        <f t="shared" si="2"/>
        <v>G. Dubois</v>
      </c>
      <c r="R32" s="7" t="str">
        <f t="shared" si="3"/>
        <v>Distributor</v>
      </c>
      <c r="S32" t="str">
        <f t="shared" si="8"/>
        <v>OK</v>
      </c>
      <c r="T32" s="8" t="str">
        <f t="shared" si="4"/>
        <v>OK</v>
      </c>
      <c r="U32" t="str">
        <f t="shared" si="5"/>
        <v>OK</v>
      </c>
      <c r="V32">
        <f t="shared" si="6"/>
        <v>19</v>
      </c>
      <c r="W32" s="4">
        <f t="shared" si="7"/>
        <v>45672</v>
      </c>
    </row>
    <row r="33" spans="1:23" hidden="1" x14ac:dyDescent="0.25">
      <c r="A33" t="s">
        <v>46</v>
      </c>
      <c r="B33" s="4">
        <v>44980</v>
      </c>
      <c r="C33" s="4">
        <v>45010</v>
      </c>
      <c r="D33" t="s">
        <v>648</v>
      </c>
      <c r="E33" t="s">
        <v>653</v>
      </c>
      <c r="F33" t="s">
        <v>681</v>
      </c>
      <c r="G33" t="s">
        <v>706</v>
      </c>
      <c r="H33" t="s">
        <v>708</v>
      </c>
      <c r="I33" t="s">
        <v>726</v>
      </c>
      <c r="J33" t="s">
        <v>730</v>
      </c>
      <c r="K33" t="s">
        <v>765</v>
      </c>
      <c r="L33" s="6">
        <v>1242.6600000000001</v>
      </c>
      <c r="M33" s="6">
        <v>1794.07</v>
      </c>
      <c r="N33" s="8">
        <v>8.8999999999999996E-2</v>
      </c>
      <c r="O33" s="6">
        <v>16</v>
      </c>
      <c r="P33" s="7" t="str">
        <f t="shared" si="1"/>
        <v>Montreal</v>
      </c>
      <c r="Q33" s="7" t="str">
        <f t="shared" si="2"/>
        <v>D. Smith</v>
      </c>
      <c r="R33" s="7" t="str">
        <f t="shared" si="3"/>
        <v>Online</v>
      </c>
      <c r="S33" t="str">
        <f t="shared" si="8"/>
        <v>OK</v>
      </c>
      <c r="T33" s="8" t="str">
        <f t="shared" si="4"/>
        <v>OK</v>
      </c>
      <c r="U33" t="str">
        <f t="shared" si="5"/>
        <v>OK</v>
      </c>
      <c r="V33">
        <f t="shared" si="6"/>
        <v>30</v>
      </c>
      <c r="W33" s="4">
        <f t="shared" si="7"/>
        <v>45010</v>
      </c>
    </row>
    <row r="34" spans="1:23" hidden="1" x14ac:dyDescent="0.25">
      <c r="A34" t="s">
        <v>47</v>
      </c>
      <c r="B34" s="4">
        <v>45862</v>
      </c>
      <c r="C34" s="4">
        <v>45875</v>
      </c>
      <c r="D34" t="s">
        <v>646</v>
      </c>
      <c r="E34" t="s">
        <v>661</v>
      </c>
      <c r="F34" t="s">
        <v>682</v>
      </c>
      <c r="G34" t="s">
        <v>702</v>
      </c>
      <c r="H34" t="s">
        <v>709</v>
      </c>
      <c r="I34" t="s">
        <v>726</v>
      </c>
      <c r="J34" t="s">
        <v>729</v>
      </c>
      <c r="K34" t="s">
        <v>766</v>
      </c>
      <c r="L34" s="6">
        <v>1463.9</v>
      </c>
      <c r="M34" s="6">
        <v>2633.02</v>
      </c>
      <c r="N34" s="8">
        <v>8.4000000000000005E-2</v>
      </c>
      <c r="O34" s="6">
        <v>4</v>
      </c>
      <c r="P34" s="7" t="str">
        <f t="shared" si="1"/>
        <v>Johannesburg</v>
      </c>
      <c r="Q34" s="7" t="str">
        <f t="shared" si="2"/>
        <v>D. Smith</v>
      </c>
      <c r="R34" s="7" t="str">
        <f t="shared" si="3"/>
        <v>Marketplace</v>
      </c>
      <c r="S34" t="str">
        <f t="shared" si="8"/>
        <v>OK</v>
      </c>
      <c r="T34" s="8" t="str">
        <f t="shared" si="4"/>
        <v>OK</v>
      </c>
      <c r="U34" t="str">
        <f t="shared" si="5"/>
        <v>OK</v>
      </c>
      <c r="V34">
        <f t="shared" si="6"/>
        <v>13</v>
      </c>
      <c r="W34" s="4">
        <f t="shared" si="7"/>
        <v>45875</v>
      </c>
    </row>
    <row r="35" spans="1:23" hidden="1" x14ac:dyDescent="0.25">
      <c r="A35" t="s">
        <v>48</v>
      </c>
      <c r="B35" s="4">
        <v>45400</v>
      </c>
      <c r="C35" s="4">
        <v>45420</v>
      </c>
      <c r="D35" t="s">
        <v>649</v>
      </c>
      <c r="E35" t="s">
        <v>658</v>
      </c>
      <c r="F35" t="s">
        <v>683</v>
      </c>
      <c r="G35" t="s">
        <v>703</v>
      </c>
      <c r="H35" t="s">
        <v>1379</v>
      </c>
      <c r="I35" t="s">
        <v>726</v>
      </c>
      <c r="J35" t="s">
        <v>731</v>
      </c>
      <c r="K35" t="s">
        <v>767</v>
      </c>
      <c r="L35" s="6">
        <v>645.33000000000004</v>
      </c>
      <c r="M35" s="6">
        <v>1321.85</v>
      </c>
      <c r="N35" s="8">
        <v>0</v>
      </c>
      <c r="O35" s="6">
        <v>10</v>
      </c>
      <c r="P35" s="7" t="str">
        <f t="shared" si="1"/>
        <v>London</v>
      </c>
      <c r="Q35" s="7" t="str">
        <f t="shared" si="2"/>
        <v>D. Smith</v>
      </c>
      <c r="R35" s="7" t="str">
        <f t="shared" si="3"/>
        <v>Unspecified</v>
      </c>
      <c r="S35" t="str">
        <f t="shared" si="8"/>
        <v>OK</v>
      </c>
      <c r="T35" s="8" t="str">
        <f t="shared" si="4"/>
        <v>OK</v>
      </c>
      <c r="U35" t="str">
        <f t="shared" si="5"/>
        <v>OK</v>
      </c>
      <c r="V35">
        <f t="shared" si="6"/>
        <v>20</v>
      </c>
      <c r="W35" s="4">
        <f t="shared" si="7"/>
        <v>45420</v>
      </c>
    </row>
    <row r="36" spans="1:23" hidden="1" x14ac:dyDescent="0.25">
      <c r="A36" t="s">
        <v>49</v>
      </c>
      <c r="B36" s="4">
        <v>45527</v>
      </c>
      <c r="C36" s="4">
        <v>45542</v>
      </c>
      <c r="D36" t="s">
        <v>646</v>
      </c>
      <c r="E36" t="s">
        <v>661</v>
      </c>
      <c r="F36" t="s">
        <v>682</v>
      </c>
      <c r="G36" t="s">
        <v>702</v>
      </c>
      <c r="H36" t="s">
        <v>707</v>
      </c>
      <c r="I36" t="s">
        <v>718</v>
      </c>
      <c r="J36" t="s">
        <v>727</v>
      </c>
      <c r="K36" t="s">
        <v>768</v>
      </c>
      <c r="L36" s="6">
        <v>1432.52</v>
      </c>
      <c r="M36" s="6">
        <v>3036.87</v>
      </c>
      <c r="N36" s="8">
        <v>0</v>
      </c>
      <c r="O36" s="6">
        <v>9</v>
      </c>
      <c r="P36" s="7" t="str">
        <f t="shared" si="1"/>
        <v>Johannesburg</v>
      </c>
      <c r="Q36" s="7" t="str">
        <f t="shared" si="2"/>
        <v>E. Garcia</v>
      </c>
      <c r="R36" s="7" t="str">
        <f t="shared" si="3"/>
        <v>Retail</v>
      </c>
      <c r="S36" t="str">
        <f t="shared" si="8"/>
        <v>OK</v>
      </c>
      <c r="T36" s="8" t="str">
        <f t="shared" si="4"/>
        <v>OK</v>
      </c>
      <c r="U36" t="str">
        <f t="shared" si="5"/>
        <v>OK</v>
      </c>
      <c r="V36">
        <f t="shared" si="6"/>
        <v>15</v>
      </c>
      <c r="W36" s="4">
        <f t="shared" si="7"/>
        <v>45542</v>
      </c>
    </row>
    <row r="37" spans="1:23" hidden="1" x14ac:dyDescent="0.25">
      <c r="A37" t="s">
        <v>50</v>
      </c>
      <c r="B37" s="4">
        <v>45012</v>
      </c>
      <c r="C37" s="4">
        <v>45038</v>
      </c>
      <c r="D37" t="s">
        <v>647</v>
      </c>
      <c r="E37" t="s">
        <v>654</v>
      </c>
      <c r="F37" t="s">
        <v>680</v>
      </c>
      <c r="G37" t="s">
        <v>703</v>
      </c>
      <c r="H37" t="s">
        <v>709</v>
      </c>
      <c r="I37" t="s">
        <v>713</v>
      </c>
      <c r="J37" t="s">
        <v>728</v>
      </c>
      <c r="K37" t="s">
        <v>769</v>
      </c>
      <c r="L37" s="6">
        <v>178.53</v>
      </c>
      <c r="M37" s="6">
        <v>199.37</v>
      </c>
      <c r="N37" s="8">
        <v>0.10100000000000001</v>
      </c>
      <c r="O37" s="6">
        <v>37</v>
      </c>
      <c r="P37" s="7" t="str">
        <f t="shared" si="1"/>
        <v>Delhi</v>
      </c>
      <c r="Q37" s="7" t="str">
        <f t="shared" si="2"/>
        <v>J. Njeri</v>
      </c>
      <c r="R37" s="7" t="str">
        <f t="shared" si="3"/>
        <v>Marketplace</v>
      </c>
      <c r="S37" t="str">
        <f t="shared" si="8"/>
        <v>OK</v>
      </c>
      <c r="T37" s="8" t="str">
        <f t="shared" si="4"/>
        <v>OK</v>
      </c>
      <c r="U37" t="str">
        <f t="shared" si="5"/>
        <v>OK</v>
      </c>
      <c r="V37">
        <f t="shared" si="6"/>
        <v>26</v>
      </c>
      <c r="W37" s="4">
        <f t="shared" si="7"/>
        <v>45038</v>
      </c>
    </row>
    <row r="38" spans="1:23" hidden="1" x14ac:dyDescent="0.25">
      <c r="A38" t="s">
        <v>51</v>
      </c>
      <c r="B38" s="4">
        <v>45358</v>
      </c>
      <c r="C38" s="4">
        <v>45376</v>
      </c>
      <c r="D38" t="s">
        <v>649</v>
      </c>
      <c r="E38" t="s">
        <v>656</v>
      </c>
      <c r="F38" t="s">
        <v>684</v>
      </c>
      <c r="G38" t="s">
        <v>701</v>
      </c>
      <c r="H38" t="s">
        <v>708</v>
      </c>
      <c r="I38" t="s">
        <v>717</v>
      </c>
      <c r="J38" t="s">
        <v>727</v>
      </c>
      <c r="K38" t="s">
        <v>770</v>
      </c>
      <c r="L38" s="6">
        <v>712.84</v>
      </c>
      <c r="M38" s="6">
        <v>927.51</v>
      </c>
      <c r="N38" s="8">
        <v>0.24299999999999999</v>
      </c>
      <c r="O38" s="6">
        <v>27</v>
      </c>
      <c r="P38" s="7" t="str">
        <f t="shared" si="1"/>
        <v>Munich</v>
      </c>
      <c r="Q38" s="7" t="str">
        <f t="shared" si="2"/>
        <v>B. Chen</v>
      </c>
      <c r="R38" s="7" t="str">
        <f t="shared" si="3"/>
        <v>Online</v>
      </c>
      <c r="S38" t="str">
        <f t="shared" si="8"/>
        <v>OK</v>
      </c>
      <c r="T38" s="8" t="str">
        <f t="shared" si="4"/>
        <v>OK</v>
      </c>
      <c r="U38" t="str">
        <f t="shared" si="5"/>
        <v>OK</v>
      </c>
      <c r="V38">
        <f t="shared" si="6"/>
        <v>18</v>
      </c>
      <c r="W38" s="4">
        <f t="shared" si="7"/>
        <v>45376</v>
      </c>
    </row>
    <row r="39" spans="1:23" hidden="1" x14ac:dyDescent="0.25">
      <c r="A39" t="s">
        <v>52</v>
      </c>
      <c r="B39" s="4">
        <v>45832</v>
      </c>
      <c r="C39" s="4">
        <v>45848</v>
      </c>
      <c r="D39" t="s">
        <v>647</v>
      </c>
      <c r="E39" t="s">
        <v>659</v>
      </c>
      <c r="F39" t="s">
        <v>685</v>
      </c>
      <c r="G39" t="s">
        <v>706</v>
      </c>
      <c r="H39" t="s">
        <v>711</v>
      </c>
      <c r="I39" t="s">
        <v>725</v>
      </c>
      <c r="J39" t="s">
        <v>727</v>
      </c>
      <c r="K39" t="s">
        <v>771</v>
      </c>
      <c r="L39" s="6">
        <v>757.19</v>
      </c>
      <c r="M39" s="6">
        <v>1735.41</v>
      </c>
      <c r="N39" s="8">
        <v>0.13600000000000001</v>
      </c>
      <c r="O39" s="6">
        <v>8</v>
      </c>
      <c r="P39" s="7" t="str">
        <f t="shared" si="1"/>
        <v>Shanghai</v>
      </c>
      <c r="Q39" s="7" t="str">
        <f t="shared" si="2"/>
        <v>N. Brown</v>
      </c>
      <c r="R39" s="7" t="str">
        <f t="shared" si="3"/>
        <v>Direct</v>
      </c>
      <c r="S39" t="str">
        <f t="shared" si="8"/>
        <v>OK</v>
      </c>
      <c r="T39" s="8" t="str">
        <f t="shared" si="4"/>
        <v>OK</v>
      </c>
      <c r="U39" t="str">
        <f t="shared" si="5"/>
        <v>OK</v>
      </c>
      <c r="V39">
        <f t="shared" si="6"/>
        <v>16</v>
      </c>
      <c r="W39" s="4">
        <f t="shared" si="7"/>
        <v>45848</v>
      </c>
    </row>
    <row r="40" spans="1:23" hidden="1" x14ac:dyDescent="0.25">
      <c r="A40" t="s">
        <v>53</v>
      </c>
      <c r="B40" s="4">
        <v>45401</v>
      </c>
      <c r="C40" s="4">
        <v>45418</v>
      </c>
      <c r="D40" t="s">
        <v>646</v>
      </c>
      <c r="E40" t="s">
        <v>651</v>
      </c>
      <c r="F40" t="s">
        <v>663</v>
      </c>
      <c r="G40" t="s">
        <v>703</v>
      </c>
      <c r="H40" t="s">
        <v>708</v>
      </c>
      <c r="I40" t="s">
        <v>720</v>
      </c>
      <c r="J40" t="s">
        <v>728</v>
      </c>
      <c r="K40" t="s">
        <v>772</v>
      </c>
      <c r="L40" s="6">
        <v>865.33</v>
      </c>
      <c r="M40" s="6">
        <v>1395.64</v>
      </c>
      <c r="N40" s="8">
        <v>0.17499999999999999</v>
      </c>
      <c r="O40" s="6">
        <v>13</v>
      </c>
      <c r="P40" s="7" t="str">
        <f t="shared" si="1"/>
        <v>Port Harcourt</v>
      </c>
      <c r="Q40" s="7" t="str">
        <f t="shared" si="2"/>
        <v>A. Patel</v>
      </c>
      <c r="R40" s="7" t="str">
        <f t="shared" si="3"/>
        <v>Online</v>
      </c>
      <c r="S40" t="str">
        <f t="shared" si="8"/>
        <v>OK</v>
      </c>
      <c r="T40" s="8" t="str">
        <f t="shared" si="4"/>
        <v>OK</v>
      </c>
      <c r="U40" t="str">
        <f t="shared" si="5"/>
        <v>OK</v>
      </c>
      <c r="V40">
        <f t="shared" si="6"/>
        <v>17</v>
      </c>
      <c r="W40" s="4">
        <f t="shared" si="7"/>
        <v>45418</v>
      </c>
    </row>
    <row r="41" spans="1:23" hidden="1" x14ac:dyDescent="0.25">
      <c r="A41" t="s">
        <v>54</v>
      </c>
      <c r="B41" s="4">
        <v>45094</v>
      </c>
      <c r="C41" s="4">
        <v>45101</v>
      </c>
      <c r="D41" t="s">
        <v>648</v>
      </c>
      <c r="E41" t="s">
        <v>660</v>
      </c>
      <c r="F41" t="s">
        <v>686</v>
      </c>
      <c r="G41" t="s">
        <v>701</v>
      </c>
      <c r="H41" t="s">
        <v>707</v>
      </c>
      <c r="I41" t="s">
        <v>714</v>
      </c>
      <c r="J41" t="s">
        <v>728</v>
      </c>
      <c r="K41" t="s">
        <v>773</v>
      </c>
      <c r="L41" s="6">
        <v>313.99</v>
      </c>
      <c r="M41" s="6">
        <v>454.42</v>
      </c>
      <c r="N41" s="8">
        <v>0.129</v>
      </c>
      <c r="O41" s="6">
        <v>9</v>
      </c>
      <c r="P41" s="7" t="str">
        <f t="shared" si="1"/>
        <v>San Francisco</v>
      </c>
      <c r="Q41" s="7" t="str">
        <f t="shared" si="2"/>
        <v>I. Johnson</v>
      </c>
      <c r="R41" s="7" t="str">
        <f t="shared" si="3"/>
        <v>Retail</v>
      </c>
      <c r="S41" t="str">
        <f t="shared" si="8"/>
        <v>OK</v>
      </c>
      <c r="T41" s="8" t="str">
        <f t="shared" si="4"/>
        <v>OK</v>
      </c>
      <c r="U41" t="str">
        <f t="shared" si="5"/>
        <v>OK</v>
      </c>
      <c r="V41">
        <f t="shared" si="6"/>
        <v>7</v>
      </c>
      <c r="W41" s="4">
        <f t="shared" si="7"/>
        <v>45101</v>
      </c>
    </row>
    <row r="42" spans="1:23" hidden="1" x14ac:dyDescent="0.25">
      <c r="A42" t="s">
        <v>55</v>
      </c>
      <c r="B42" s="4">
        <v>45531</v>
      </c>
      <c r="C42" s="4">
        <v>45554</v>
      </c>
      <c r="D42" t="s">
        <v>649</v>
      </c>
      <c r="E42" t="s">
        <v>656</v>
      </c>
      <c r="F42" t="s">
        <v>671</v>
      </c>
      <c r="G42" t="s">
        <v>705</v>
      </c>
      <c r="H42" t="s">
        <v>711</v>
      </c>
      <c r="I42" t="s">
        <v>726</v>
      </c>
      <c r="J42" t="s">
        <v>732</v>
      </c>
      <c r="K42" t="s">
        <v>774</v>
      </c>
      <c r="L42" s="6">
        <v>1024.01</v>
      </c>
      <c r="M42" s="6">
        <v>1580.97</v>
      </c>
      <c r="N42" s="8">
        <v>3.6999999999999998E-2</v>
      </c>
      <c r="O42" s="6">
        <v>27</v>
      </c>
      <c r="P42" s="7" t="str">
        <f t="shared" si="1"/>
        <v>Berlin</v>
      </c>
      <c r="Q42" s="7" t="str">
        <f t="shared" si="2"/>
        <v>D. Smith</v>
      </c>
      <c r="R42" s="7" t="str">
        <f t="shared" si="3"/>
        <v>Direct</v>
      </c>
      <c r="S42" t="str">
        <f t="shared" si="8"/>
        <v>OK</v>
      </c>
      <c r="T42" s="8" t="str">
        <f t="shared" si="4"/>
        <v>OK</v>
      </c>
      <c r="U42" t="str">
        <f t="shared" si="5"/>
        <v>OK</v>
      </c>
      <c r="V42">
        <f t="shared" si="6"/>
        <v>23</v>
      </c>
      <c r="W42" s="4">
        <f t="shared" si="7"/>
        <v>45554</v>
      </c>
    </row>
    <row r="43" spans="1:23" hidden="1" x14ac:dyDescent="0.25">
      <c r="A43" t="s">
        <v>56</v>
      </c>
      <c r="B43" s="4">
        <v>45302</v>
      </c>
      <c r="C43" s="4">
        <v>45324</v>
      </c>
      <c r="D43" t="s">
        <v>646</v>
      </c>
      <c r="E43" t="s">
        <v>661</v>
      </c>
      <c r="F43" t="s">
        <v>687</v>
      </c>
      <c r="G43" t="s">
        <v>704</v>
      </c>
      <c r="H43" t="s">
        <v>708</v>
      </c>
      <c r="I43" t="s">
        <v>723</v>
      </c>
      <c r="J43" t="s">
        <v>729</v>
      </c>
      <c r="K43" t="s">
        <v>775</v>
      </c>
      <c r="L43" s="6">
        <v>1206.2</v>
      </c>
      <c r="M43" s="6">
        <v>1759.79</v>
      </c>
      <c r="N43" s="8">
        <v>0</v>
      </c>
      <c r="O43" s="6">
        <v>6</v>
      </c>
      <c r="P43" s="7" t="str">
        <f t="shared" si="1"/>
        <v>Durban</v>
      </c>
      <c r="Q43" s="7" t="str">
        <f t="shared" si="2"/>
        <v>K. Singh</v>
      </c>
      <c r="R43" s="7" t="str">
        <f t="shared" si="3"/>
        <v>Online</v>
      </c>
      <c r="S43" t="str">
        <f t="shared" si="8"/>
        <v>OK</v>
      </c>
      <c r="T43" s="8" t="str">
        <f t="shared" si="4"/>
        <v>OK</v>
      </c>
      <c r="U43" t="str">
        <f t="shared" si="5"/>
        <v>OK</v>
      </c>
      <c r="V43">
        <f t="shared" si="6"/>
        <v>22</v>
      </c>
      <c r="W43" s="4">
        <f t="shared" si="7"/>
        <v>45324</v>
      </c>
    </row>
    <row r="44" spans="1:23" hidden="1" x14ac:dyDescent="0.25">
      <c r="A44" t="s">
        <v>57</v>
      </c>
      <c r="B44" s="4">
        <v>45590</v>
      </c>
      <c r="C44" s="4">
        <v>45610</v>
      </c>
      <c r="D44" t="s">
        <v>646</v>
      </c>
      <c r="E44" t="s">
        <v>650</v>
      </c>
      <c r="F44" t="s">
        <v>675</v>
      </c>
      <c r="G44" t="s">
        <v>701</v>
      </c>
      <c r="H44" t="s">
        <v>711</v>
      </c>
      <c r="I44" t="s">
        <v>722</v>
      </c>
      <c r="J44" t="s">
        <v>728</v>
      </c>
      <c r="K44" t="s">
        <v>776</v>
      </c>
      <c r="L44" s="6">
        <v>1396.48</v>
      </c>
      <c r="M44" s="6">
        <v>3204.5</v>
      </c>
      <c r="N44" s="8">
        <v>0.3</v>
      </c>
      <c r="O44" s="6">
        <v>14</v>
      </c>
      <c r="P44" s="7" t="str">
        <f t="shared" si="1"/>
        <v>Mombasa</v>
      </c>
      <c r="Q44" s="7" t="str">
        <f t="shared" si="2"/>
        <v>H. Kim</v>
      </c>
      <c r="R44" s="7" t="str">
        <f t="shared" si="3"/>
        <v>Direct</v>
      </c>
      <c r="S44" t="str">
        <f t="shared" si="8"/>
        <v>OK</v>
      </c>
      <c r="T44" s="8" t="str">
        <f t="shared" si="4"/>
        <v>OK</v>
      </c>
      <c r="U44" t="str">
        <f t="shared" si="5"/>
        <v>OK</v>
      </c>
      <c r="V44">
        <f t="shared" si="6"/>
        <v>20</v>
      </c>
      <c r="W44" s="4">
        <f t="shared" si="7"/>
        <v>45610</v>
      </c>
    </row>
    <row r="45" spans="1:23" hidden="1" x14ac:dyDescent="0.25">
      <c r="A45" t="s">
        <v>58</v>
      </c>
      <c r="B45" s="4">
        <v>45806</v>
      </c>
      <c r="C45" s="4">
        <v>45828</v>
      </c>
      <c r="D45" t="s">
        <v>649</v>
      </c>
      <c r="E45" t="s">
        <v>656</v>
      </c>
      <c r="F45" t="s">
        <v>671</v>
      </c>
      <c r="G45" t="s">
        <v>701</v>
      </c>
      <c r="H45" t="s">
        <v>711</v>
      </c>
      <c r="I45" t="s">
        <v>720</v>
      </c>
      <c r="J45" t="s">
        <v>728</v>
      </c>
      <c r="K45" t="s">
        <v>777</v>
      </c>
      <c r="L45" s="6">
        <v>483.47</v>
      </c>
      <c r="M45" s="6">
        <v>1135.43</v>
      </c>
      <c r="N45" s="8">
        <v>0.14599999999999999</v>
      </c>
      <c r="O45" s="6">
        <v>11</v>
      </c>
      <c r="P45" s="7" t="str">
        <f t="shared" si="1"/>
        <v>Berlin</v>
      </c>
      <c r="Q45" s="7" t="str">
        <f t="shared" si="2"/>
        <v>A. Patel</v>
      </c>
      <c r="R45" s="7" t="str">
        <f t="shared" si="3"/>
        <v>Direct</v>
      </c>
      <c r="S45" t="str">
        <f t="shared" si="8"/>
        <v>OK</v>
      </c>
      <c r="T45" s="8" t="str">
        <f t="shared" si="4"/>
        <v>OK</v>
      </c>
      <c r="U45" t="str">
        <f t="shared" si="5"/>
        <v>OK</v>
      </c>
      <c r="V45">
        <f t="shared" si="6"/>
        <v>22</v>
      </c>
      <c r="W45" s="4">
        <f t="shared" si="7"/>
        <v>45828</v>
      </c>
    </row>
    <row r="46" spans="1:23" hidden="1" x14ac:dyDescent="0.25">
      <c r="A46" t="s">
        <v>59</v>
      </c>
      <c r="B46" s="4">
        <v>45432</v>
      </c>
      <c r="C46" s="4">
        <v>45445</v>
      </c>
      <c r="D46" t="s">
        <v>648</v>
      </c>
      <c r="E46" t="s">
        <v>653</v>
      </c>
      <c r="F46" t="s">
        <v>688</v>
      </c>
      <c r="G46" t="s">
        <v>706</v>
      </c>
      <c r="H46" t="s">
        <v>709</v>
      </c>
      <c r="I46" t="s">
        <v>723</v>
      </c>
      <c r="J46" t="s">
        <v>727</v>
      </c>
      <c r="K46" t="s">
        <v>778</v>
      </c>
      <c r="L46" s="6">
        <v>675.43</v>
      </c>
      <c r="M46" s="6">
        <v>996.36</v>
      </c>
      <c r="N46" s="8">
        <v>0.182</v>
      </c>
      <c r="O46" s="6">
        <v>22</v>
      </c>
      <c r="P46" s="7" t="str">
        <f t="shared" si="1"/>
        <v>Vancouver</v>
      </c>
      <c r="Q46" s="7" t="str">
        <f t="shared" si="2"/>
        <v>K. Singh</v>
      </c>
      <c r="R46" s="7" t="str">
        <f t="shared" si="3"/>
        <v>Marketplace</v>
      </c>
      <c r="S46" t="str">
        <f t="shared" si="8"/>
        <v>OK</v>
      </c>
      <c r="T46" s="8" t="str">
        <f t="shared" si="4"/>
        <v>OK</v>
      </c>
      <c r="U46" t="str">
        <f t="shared" si="5"/>
        <v>OK</v>
      </c>
      <c r="V46">
        <f t="shared" si="6"/>
        <v>13</v>
      </c>
      <c r="W46" s="4">
        <f t="shared" si="7"/>
        <v>45445</v>
      </c>
    </row>
    <row r="47" spans="1:23" hidden="1" x14ac:dyDescent="0.25">
      <c r="A47" t="s">
        <v>60</v>
      </c>
      <c r="B47" s="4">
        <v>45035</v>
      </c>
      <c r="C47" s="4">
        <v>45046</v>
      </c>
      <c r="D47" t="s">
        <v>647</v>
      </c>
      <c r="E47" t="s">
        <v>654</v>
      </c>
      <c r="F47" t="s">
        <v>680</v>
      </c>
      <c r="G47" t="s">
        <v>705</v>
      </c>
      <c r="H47" t="s">
        <v>707</v>
      </c>
      <c r="I47" t="s">
        <v>720</v>
      </c>
      <c r="J47" t="s">
        <v>729</v>
      </c>
      <c r="K47" t="s">
        <v>779</v>
      </c>
      <c r="L47" s="6">
        <v>826.55</v>
      </c>
      <c r="M47" s="6">
        <v>1397.05</v>
      </c>
      <c r="N47" s="8">
        <v>0.16900000000000001</v>
      </c>
      <c r="O47" s="6">
        <v>28</v>
      </c>
      <c r="P47" s="7" t="str">
        <f t="shared" si="1"/>
        <v>Delhi</v>
      </c>
      <c r="Q47" s="7" t="str">
        <f t="shared" si="2"/>
        <v>A. Patel</v>
      </c>
      <c r="R47" s="7" t="str">
        <f t="shared" si="3"/>
        <v>Retail</v>
      </c>
      <c r="S47" t="str">
        <f t="shared" si="8"/>
        <v>OK</v>
      </c>
      <c r="T47" s="8" t="str">
        <f t="shared" si="4"/>
        <v>OK</v>
      </c>
      <c r="U47" t="str">
        <f t="shared" si="5"/>
        <v>OK</v>
      </c>
      <c r="V47">
        <f t="shared" si="6"/>
        <v>11</v>
      </c>
      <c r="W47" s="4">
        <f t="shared" si="7"/>
        <v>45046</v>
      </c>
    </row>
    <row r="48" spans="1:23" hidden="1" x14ac:dyDescent="0.25">
      <c r="A48" t="s">
        <v>61</v>
      </c>
      <c r="B48" s="4">
        <v>45100</v>
      </c>
      <c r="C48" s="4">
        <v>45110</v>
      </c>
      <c r="D48" t="s">
        <v>646</v>
      </c>
      <c r="E48" t="s">
        <v>651</v>
      </c>
      <c r="F48" t="s">
        <v>669</v>
      </c>
      <c r="G48" t="s">
        <v>704</v>
      </c>
      <c r="H48" t="s">
        <v>708</v>
      </c>
      <c r="I48" t="s">
        <v>713</v>
      </c>
      <c r="J48" t="s">
        <v>728</v>
      </c>
      <c r="K48" t="s">
        <v>780</v>
      </c>
      <c r="L48" s="6">
        <v>337.75</v>
      </c>
      <c r="M48" s="6">
        <v>548.89</v>
      </c>
      <c r="N48" s="8">
        <v>0</v>
      </c>
      <c r="O48" s="6">
        <v>13</v>
      </c>
      <c r="P48" s="7" t="str">
        <f t="shared" si="1"/>
        <v>Abuja</v>
      </c>
      <c r="Q48" s="7" t="str">
        <f t="shared" si="2"/>
        <v>J. Njeri</v>
      </c>
      <c r="R48" s="7" t="str">
        <f t="shared" si="3"/>
        <v>Online</v>
      </c>
      <c r="S48" t="str">
        <f t="shared" si="8"/>
        <v>OK</v>
      </c>
      <c r="T48" s="8" t="str">
        <f t="shared" si="4"/>
        <v>OK</v>
      </c>
      <c r="U48" t="str">
        <f t="shared" si="5"/>
        <v>OK</v>
      </c>
      <c r="V48">
        <f t="shared" si="6"/>
        <v>10</v>
      </c>
      <c r="W48" s="4">
        <f t="shared" si="7"/>
        <v>45110</v>
      </c>
    </row>
    <row r="49" spans="1:23" hidden="1" x14ac:dyDescent="0.25">
      <c r="A49" t="s">
        <v>62</v>
      </c>
      <c r="B49" s="4">
        <v>45426</v>
      </c>
      <c r="C49" s="4">
        <v>45440</v>
      </c>
      <c r="D49" t="s">
        <v>649</v>
      </c>
      <c r="E49" t="s">
        <v>658</v>
      </c>
      <c r="F49" t="s">
        <v>674</v>
      </c>
      <c r="G49" t="s">
        <v>704</v>
      </c>
      <c r="H49" t="s">
        <v>707</v>
      </c>
      <c r="I49" t="s">
        <v>717</v>
      </c>
      <c r="J49" t="s">
        <v>729</v>
      </c>
      <c r="K49" t="s">
        <v>781</v>
      </c>
      <c r="L49" s="6">
        <v>1421.14</v>
      </c>
      <c r="M49" s="6">
        <v>3524</v>
      </c>
      <c r="N49" s="8">
        <v>0</v>
      </c>
      <c r="O49" s="6">
        <v>31</v>
      </c>
      <c r="P49" s="7" t="str">
        <f t="shared" si="1"/>
        <v>Birmingham</v>
      </c>
      <c r="Q49" s="7" t="str">
        <f t="shared" si="2"/>
        <v>B. Chen</v>
      </c>
      <c r="R49" s="7" t="str">
        <f t="shared" si="3"/>
        <v>Retail</v>
      </c>
      <c r="S49" t="str">
        <f t="shared" si="8"/>
        <v>OK</v>
      </c>
      <c r="T49" s="8" t="str">
        <f t="shared" si="4"/>
        <v>OK</v>
      </c>
      <c r="U49" t="str">
        <f t="shared" si="5"/>
        <v>OK</v>
      </c>
      <c r="V49">
        <f t="shared" si="6"/>
        <v>14</v>
      </c>
      <c r="W49" s="4">
        <f t="shared" si="7"/>
        <v>45440</v>
      </c>
    </row>
    <row r="50" spans="1:23" hidden="1" x14ac:dyDescent="0.25">
      <c r="A50" t="s">
        <v>63</v>
      </c>
      <c r="B50" s="4">
        <v>45579</v>
      </c>
      <c r="C50" s="4">
        <v>45604</v>
      </c>
      <c r="D50" t="s">
        <v>646</v>
      </c>
      <c r="E50" t="s">
        <v>651</v>
      </c>
      <c r="F50" t="s">
        <v>665</v>
      </c>
      <c r="G50" t="s">
        <v>706</v>
      </c>
      <c r="H50" t="s">
        <v>708</v>
      </c>
      <c r="I50" t="s">
        <v>719</v>
      </c>
      <c r="J50" t="s">
        <v>729</v>
      </c>
      <c r="K50" t="s">
        <v>782</v>
      </c>
      <c r="L50" s="6">
        <v>859.35</v>
      </c>
      <c r="M50" s="6">
        <v>1825.61</v>
      </c>
      <c r="N50" s="8">
        <v>0.187</v>
      </c>
      <c r="O50" s="6">
        <v>24</v>
      </c>
      <c r="P50" s="7" t="str">
        <f t="shared" si="1"/>
        <v>Lagos</v>
      </c>
      <c r="Q50" s="7" t="str">
        <f t="shared" si="2"/>
        <v>O. Wang</v>
      </c>
      <c r="R50" s="7" t="str">
        <f t="shared" si="3"/>
        <v>Online</v>
      </c>
      <c r="S50" t="str">
        <f t="shared" si="8"/>
        <v>OK</v>
      </c>
      <c r="T50" s="8" t="str">
        <f t="shared" si="4"/>
        <v>OK</v>
      </c>
      <c r="U50" t="str">
        <f t="shared" si="5"/>
        <v>OK</v>
      </c>
      <c r="V50">
        <f t="shared" si="6"/>
        <v>25</v>
      </c>
      <c r="W50" s="4">
        <f t="shared" si="7"/>
        <v>45604</v>
      </c>
    </row>
    <row r="51" spans="1:23" hidden="1" x14ac:dyDescent="0.25">
      <c r="A51" t="s">
        <v>64</v>
      </c>
      <c r="B51" s="4">
        <v>45117</v>
      </c>
      <c r="C51" s="4">
        <v>45139</v>
      </c>
      <c r="D51" t="s">
        <v>649</v>
      </c>
      <c r="E51" t="s">
        <v>657</v>
      </c>
      <c r="F51" t="s">
        <v>673</v>
      </c>
      <c r="G51" t="s">
        <v>704</v>
      </c>
      <c r="H51" t="s">
        <v>709</v>
      </c>
      <c r="I51" t="s">
        <v>717</v>
      </c>
      <c r="J51" t="s">
        <v>728</v>
      </c>
      <c r="K51" t="s">
        <v>783</v>
      </c>
      <c r="L51" s="6">
        <v>1303.56</v>
      </c>
      <c r="M51" s="6">
        <v>1791.37</v>
      </c>
      <c r="N51" s="8">
        <v>0.126</v>
      </c>
      <c r="O51" s="6">
        <v>22</v>
      </c>
      <c r="P51" s="7" t="str">
        <f t="shared" si="1"/>
        <v>Marseille</v>
      </c>
      <c r="Q51" s="7" t="str">
        <f t="shared" si="2"/>
        <v>B. Chen</v>
      </c>
      <c r="R51" s="7" t="str">
        <f t="shared" si="3"/>
        <v>Marketplace</v>
      </c>
      <c r="S51" t="str">
        <f t="shared" si="8"/>
        <v>OK</v>
      </c>
      <c r="T51" s="8" t="str">
        <f t="shared" si="4"/>
        <v>OK</v>
      </c>
      <c r="U51" t="str">
        <f t="shared" si="5"/>
        <v>OK</v>
      </c>
      <c r="V51">
        <f t="shared" si="6"/>
        <v>22</v>
      </c>
      <c r="W51" s="4">
        <f t="shared" si="7"/>
        <v>45139</v>
      </c>
    </row>
    <row r="52" spans="1:23" hidden="1" x14ac:dyDescent="0.25">
      <c r="A52" t="s">
        <v>65</v>
      </c>
      <c r="B52" s="4">
        <v>45602</v>
      </c>
      <c r="C52" s="4">
        <v>45618</v>
      </c>
      <c r="D52" t="s">
        <v>648</v>
      </c>
      <c r="E52" t="s">
        <v>653</v>
      </c>
      <c r="F52" t="s">
        <v>667</v>
      </c>
      <c r="G52" t="s">
        <v>703</v>
      </c>
      <c r="H52" t="s">
        <v>710</v>
      </c>
      <c r="I52" t="s">
        <v>726</v>
      </c>
      <c r="J52" t="s">
        <v>733</v>
      </c>
      <c r="K52" t="s">
        <v>784</v>
      </c>
      <c r="L52" s="6">
        <v>1454.11</v>
      </c>
      <c r="M52" s="6">
        <v>2629.75</v>
      </c>
      <c r="N52" s="8">
        <v>0.29199999999999998</v>
      </c>
      <c r="O52" s="6">
        <v>8</v>
      </c>
      <c r="P52" s="7" t="str">
        <f t="shared" si="1"/>
        <v>Toronto</v>
      </c>
      <c r="Q52" s="7" t="str">
        <f t="shared" si="2"/>
        <v>D. Smith</v>
      </c>
      <c r="R52" s="7" t="str">
        <f t="shared" si="3"/>
        <v>Distributor</v>
      </c>
      <c r="S52" t="str">
        <f t="shared" si="8"/>
        <v>OK</v>
      </c>
      <c r="T52" s="8" t="str">
        <f t="shared" si="4"/>
        <v>OK</v>
      </c>
      <c r="U52" t="str">
        <f t="shared" si="5"/>
        <v>OK</v>
      </c>
      <c r="V52">
        <f t="shared" si="6"/>
        <v>16</v>
      </c>
      <c r="W52" s="4">
        <f t="shared" si="7"/>
        <v>45618</v>
      </c>
    </row>
    <row r="53" spans="1:23" hidden="1" x14ac:dyDescent="0.25">
      <c r="A53" t="s">
        <v>66</v>
      </c>
      <c r="B53" s="4">
        <v>45582</v>
      </c>
      <c r="C53" s="4">
        <v>45602</v>
      </c>
      <c r="D53" t="s">
        <v>647</v>
      </c>
      <c r="E53" t="s">
        <v>654</v>
      </c>
      <c r="F53" t="s">
        <v>668</v>
      </c>
      <c r="G53" t="s">
        <v>706</v>
      </c>
      <c r="H53" t="s">
        <v>710</v>
      </c>
      <c r="I53" t="s">
        <v>719</v>
      </c>
      <c r="J53" t="s">
        <v>732</v>
      </c>
      <c r="K53" t="s">
        <v>785</v>
      </c>
      <c r="L53" s="6">
        <v>72.94</v>
      </c>
      <c r="M53" s="6">
        <v>106.3</v>
      </c>
      <c r="N53" s="8">
        <v>0.29499999999999998</v>
      </c>
      <c r="O53" s="6">
        <v>8</v>
      </c>
      <c r="P53" s="7" t="str">
        <f t="shared" si="1"/>
        <v>Bengaluru</v>
      </c>
      <c r="Q53" s="7" t="str">
        <f t="shared" si="2"/>
        <v>O. Wang</v>
      </c>
      <c r="R53" s="7" t="str">
        <f t="shared" si="3"/>
        <v>Distributor</v>
      </c>
      <c r="S53" t="str">
        <f t="shared" si="8"/>
        <v>OK</v>
      </c>
      <c r="T53" s="8" t="str">
        <f t="shared" si="4"/>
        <v>OK</v>
      </c>
      <c r="U53" t="str">
        <f t="shared" si="5"/>
        <v>OK</v>
      </c>
      <c r="V53">
        <f t="shared" si="6"/>
        <v>20</v>
      </c>
      <c r="W53" s="4">
        <f t="shared" si="7"/>
        <v>45602</v>
      </c>
    </row>
    <row r="54" spans="1:23" hidden="1" x14ac:dyDescent="0.25">
      <c r="A54" t="s">
        <v>67</v>
      </c>
      <c r="B54" s="4">
        <v>45016</v>
      </c>
      <c r="C54" s="4">
        <v>45021</v>
      </c>
      <c r="D54" t="s">
        <v>646</v>
      </c>
      <c r="E54" t="s">
        <v>650</v>
      </c>
      <c r="F54" t="s">
        <v>678</v>
      </c>
      <c r="G54" t="s">
        <v>702</v>
      </c>
      <c r="H54" t="s">
        <v>709</v>
      </c>
      <c r="I54" t="s">
        <v>717</v>
      </c>
      <c r="J54" t="s">
        <v>731</v>
      </c>
      <c r="K54" t="s">
        <v>786</v>
      </c>
      <c r="L54" s="6">
        <v>533.26</v>
      </c>
      <c r="M54" s="6">
        <v>385.72</v>
      </c>
      <c r="N54" s="8">
        <v>0</v>
      </c>
      <c r="O54" s="6">
        <v>15</v>
      </c>
      <c r="P54" s="7" t="str">
        <f t="shared" si="1"/>
        <v>Nakuru</v>
      </c>
      <c r="Q54" s="7" t="str">
        <f t="shared" si="2"/>
        <v>B. Chen</v>
      </c>
      <c r="R54" s="7" t="str">
        <f t="shared" si="3"/>
        <v>Marketplace</v>
      </c>
      <c r="S54" t="str">
        <f t="shared" si="8"/>
        <v>OK</v>
      </c>
      <c r="T54" s="8" t="str">
        <f t="shared" si="4"/>
        <v>OK</v>
      </c>
      <c r="U54" t="str">
        <f t="shared" si="5"/>
        <v>OK</v>
      </c>
      <c r="V54">
        <f t="shared" si="6"/>
        <v>5</v>
      </c>
      <c r="W54" s="4">
        <f t="shared" si="7"/>
        <v>45021</v>
      </c>
    </row>
    <row r="55" spans="1:23" hidden="1" x14ac:dyDescent="0.25">
      <c r="A55" t="s">
        <v>68</v>
      </c>
      <c r="B55" s="4">
        <v>45678</v>
      </c>
      <c r="C55" s="4">
        <v>45704</v>
      </c>
      <c r="D55" t="s">
        <v>649</v>
      </c>
      <c r="E55" t="s">
        <v>657</v>
      </c>
      <c r="F55" t="s">
        <v>679</v>
      </c>
      <c r="G55" t="s">
        <v>701</v>
      </c>
      <c r="H55" t="s">
        <v>710</v>
      </c>
      <c r="I55" t="s">
        <v>719</v>
      </c>
      <c r="J55" t="s">
        <v>731</v>
      </c>
      <c r="K55" t="s">
        <v>787</v>
      </c>
      <c r="L55" s="6">
        <v>204.11</v>
      </c>
      <c r="M55" s="6">
        <v>236.87</v>
      </c>
      <c r="N55" s="8">
        <v>0.182</v>
      </c>
      <c r="O55" s="6">
        <v>13</v>
      </c>
      <c r="P55" s="7" t="str">
        <f t="shared" si="1"/>
        <v>Lyon</v>
      </c>
      <c r="Q55" s="7" t="str">
        <f t="shared" si="2"/>
        <v>O. Wang</v>
      </c>
      <c r="R55" s="7" t="str">
        <f t="shared" si="3"/>
        <v>Distributor</v>
      </c>
      <c r="S55" t="str">
        <f t="shared" si="8"/>
        <v>OK</v>
      </c>
      <c r="T55" s="8" t="str">
        <f t="shared" si="4"/>
        <v>OK</v>
      </c>
      <c r="U55" t="str">
        <f t="shared" si="5"/>
        <v>OK</v>
      </c>
      <c r="V55">
        <f t="shared" si="6"/>
        <v>26</v>
      </c>
      <c r="W55" s="4">
        <f t="shared" si="7"/>
        <v>45704</v>
      </c>
    </row>
    <row r="56" spans="1:23" hidden="1" x14ac:dyDescent="0.25">
      <c r="A56" t="s">
        <v>69</v>
      </c>
      <c r="B56" s="4">
        <v>45168</v>
      </c>
      <c r="C56" s="4">
        <v>45170</v>
      </c>
      <c r="D56" t="s">
        <v>649</v>
      </c>
      <c r="E56" t="s">
        <v>656</v>
      </c>
      <c r="F56" t="s">
        <v>684</v>
      </c>
      <c r="G56" t="s">
        <v>701</v>
      </c>
      <c r="H56" t="s">
        <v>711</v>
      </c>
      <c r="I56" t="s">
        <v>725</v>
      </c>
      <c r="J56" t="s">
        <v>729</v>
      </c>
      <c r="K56" t="s">
        <v>788</v>
      </c>
      <c r="L56" s="6">
        <v>44.42</v>
      </c>
      <c r="M56" s="6">
        <v>41.9</v>
      </c>
      <c r="N56" s="8">
        <v>0.14399999999999999</v>
      </c>
      <c r="O56" s="6">
        <v>6</v>
      </c>
      <c r="P56" s="7" t="str">
        <f t="shared" si="1"/>
        <v>Munich</v>
      </c>
      <c r="Q56" s="7" t="str">
        <f t="shared" si="2"/>
        <v>N. Brown</v>
      </c>
      <c r="R56" s="7" t="str">
        <f t="shared" si="3"/>
        <v>Direct</v>
      </c>
      <c r="S56" t="str">
        <f t="shared" si="8"/>
        <v>OK</v>
      </c>
      <c r="T56" s="8" t="str">
        <f t="shared" si="4"/>
        <v>OK</v>
      </c>
      <c r="U56" t="str">
        <f t="shared" si="5"/>
        <v>OK</v>
      </c>
      <c r="V56">
        <f t="shared" si="6"/>
        <v>2</v>
      </c>
      <c r="W56" s="4">
        <f t="shared" si="7"/>
        <v>45170</v>
      </c>
    </row>
    <row r="57" spans="1:23" hidden="1" x14ac:dyDescent="0.25">
      <c r="A57" t="s">
        <v>70</v>
      </c>
      <c r="B57" s="4">
        <v>45753</v>
      </c>
      <c r="C57" s="4">
        <v>45777</v>
      </c>
      <c r="D57" t="s">
        <v>648</v>
      </c>
      <c r="E57" t="s">
        <v>655</v>
      </c>
      <c r="F57" t="s">
        <v>672</v>
      </c>
      <c r="G57" t="s">
        <v>702</v>
      </c>
      <c r="H57" t="s">
        <v>708</v>
      </c>
      <c r="I57" t="s">
        <v>723</v>
      </c>
      <c r="J57" t="s">
        <v>732</v>
      </c>
      <c r="K57" t="s">
        <v>789</v>
      </c>
      <c r="L57" s="6">
        <v>855.78</v>
      </c>
      <c r="M57" s="6">
        <v>977.38</v>
      </c>
      <c r="N57" s="8">
        <v>0.14699999999999999</v>
      </c>
      <c r="O57" s="6">
        <v>38</v>
      </c>
      <c r="P57" s="7" t="str">
        <f t="shared" si="1"/>
        <v>Brasília</v>
      </c>
      <c r="Q57" s="7" t="str">
        <f t="shared" si="2"/>
        <v>K. Singh</v>
      </c>
      <c r="R57" s="7" t="str">
        <f t="shared" si="3"/>
        <v>Online</v>
      </c>
      <c r="S57" t="str">
        <f t="shared" si="8"/>
        <v>OK</v>
      </c>
      <c r="T57" s="8" t="str">
        <f t="shared" si="4"/>
        <v>OK</v>
      </c>
      <c r="U57" t="str">
        <f t="shared" si="5"/>
        <v>OK</v>
      </c>
      <c r="V57">
        <f t="shared" si="6"/>
        <v>24</v>
      </c>
      <c r="W57" s="4">
        <f t="shared" si="7"/>
        <v>45777</v>
      </c>
    </row>
    <row r="58" spans="1:23" hidden="1" x14ac:dyDescent="0.25">
      <c r="A58" t="s">
        <v>71</v>
      </c>
      <c r="B58" s="4">
        <v>45697</v>
      </c>
      <c r="C58" s="4">
        <v>45717</v>
      </c>
      <c r="D58" t="s">
        <v>648</v>
      </c>
      <c r="E58" t="s">
        <v>655</v>
      </c>
      <c r="F58" t="s">
        <v>670</v>
      </c>
      <c r="G58" t="s">
        <v>701</v>
      </c>
      <c r="H58" t="s">
        <v>710</v>
      </c>
      <c r="I58" t="s">
        <v>717</v>
      </c>
      <c r="J58" t="s">
        <v>731</v>
      </c>
      <c r="K58" t="s">
        <v>790</v>
      </c>
      <c r="L58" s="6">
        <v>1154.6400000000001</v>
      </c>
      <c r="M58" s="6">
        <v>2794.13</v>
      </c>
      <c r="N58" s="8">
        <v>3.5000000000000003E-2</v>
      </c>
      <c r="O58" s="6">
        <v>11</v>
      </c>
      <c r="P58" s="7" t="str">
        <f t="shared" si="1"/>
        <v>São Paulo</v>
      </c>
      <c r="Q58" s="7" t="str">
        <f t="shared" si="2"/>
        <v>B. Chen</v>
      </c>
      <c r="R58" s="7" t="str">
        <f t="shared" si="3"/>
        <v>Distributor</v>
      </c>
      <c r="S58" t="str">
        <f t="shared" si="8"/>
        <v>OK</v>
      </c>
      <c r="T58" s="8" t="str">
        <f t="shared" si="4"/>
        <v>OK</v>
      </c>
      <c r="U58" t="str">
        <f t="shared" si="5"/>
        <v>OK</v>
      </c>
      <c r="V58">
        <f t="shared" si="6"/>
        <v>20</v>
      </c>
      <c r="W58" s="4">
        <f t="shared" si="7"/>
        <v>45717</v>
      </c>
    </row>
    <row r="59" spans="1:23" hidden="1" x14ac:dyDescent="0.25">
      <c r="A59" t="s">
        <v>72</v>
      </c>
      <c r="B59" s="4">
        <v>45643</v>
      </c>
      <c r="C59" s="4">
        <v>45644</v>
      </c>
      <c r="D59" t="s">
        <v>649</v>
      </c>
      <c r="E59" t="s">
        <v>656</v>
      </c>
      <c r="F59" t="s">
        <v>684</v>
      </c>
      <c r="G59" t="s">
        <v>702</v>
      </c>
      <c r="H59" t="s">
        <v>707</v>
      </c>
      <c r="I59" t="s">
        <v>716</v>
      </c>
      <c r="J59" t="s">
        <v>733</v>
      </c>
      <c r="K59" t="s">
        <v>791</v>
      </c>
      <c r="L59" s="6">
        <v>346.82</v>
      </c>
      <c r="M59" s="6">
        <v>701.95</v>
      </c>
      <c r="N59" s="8">
        <v>0.14699999999999999</v>
      </c>
      <c r="O59" s="6">
        <v>8</v>
      </c>
      <c r="P59" s="7" t="str">
        <f t="shared" si="1"/>
        <v>Munich</v>
      </c>
      <c r="Q59" s="7" t="str">
        <f t="shared" si="2"/>
        <v>L. Okafor</v>
      </c>
      <c r="R59" s="7" t="str">
        <f t="shared" si="3"/>
        <v>Retail</v>
      </c>
      <c r="S59" t="str">
        <f t="shared" si="8"/>
        <v>OK</v>
      </c>
      <c r="T59" s="8" t="str">
        <f t="shared" si="4"/>
        <v>OK</v>
      </c>
      <c r="U59" t="str">
        <f t="shared" si="5"/>
        <v>OK</v>
      </c>
      <c r="V59">
        <f t="shared" si="6"/>
        <v>1</v>
      </c>
      <c r="W59" s="4">
        <f t="shared" si="7"/>
        <v>45644</v>
      </c>
    </row>
    <row r="60" spans="1:23" hidden="1" x14ac:dyDescent="0.25">
      <c r="A60" t="s">
        <v>73</v>
      </c>
      <c r="B60" s="4">
        <v>45817</v>
      </c>
      <c r="C60" s="4">
        <v>45826</v>
      </c>
      <c r="D60" t="s">
        <v>649</v>
      </c>
      <c r="E60" t="s">
        <v>657</v>
      </c>
      <c r="F60" t="s">
        <v>673</v>
      </c>
      <c r="G60" t="s">
        <v>705</v>
      </c>
      <c r="H60" t="s">
        <v>709</v>
      </c>
      <c r="I60" t="s">
        <v>722</v>
      </c>
      <c r="J60" t="s">
        <v>733</v>
      </c>
      <c r="K60" t="s">
        <v>792</v>
      </c>
      <c r="L60" s="6">
        <v>1225.5</v>
      </c>
      <c r="M60" s="6">
        <v>5.27</v>
      </c>
      <c r="N60" s="8">
        <v>7.4999999999999997E-2</v>
      </c>
      <c r="O60" s="6">
        <v>56</v>
      </c>
      <c r="P60" s="7" t="str">
        <f t="shared" si="1"/>
        <v>Marseille</v>
      </c>
      <c r="Q60" s="7" t="str">
        <f t="shared" si="2"/>
        <v>H. Kim</v>
      </c>
      <c r="R60" s="7" t="str">
        <f t="shared" si="3"/>
        <v>Marketplace</v>
      </c>
      <c r="S60" s="7" t="str">
        <f>IFERROR(IF(M60&lt;0,"Correct (- Price)","OK"),"Error")</f>
        <v>OK</v>
      </c>
      <c r="T60" s="8" t="str">
        <f t="shared" si="4"/>
        <v>OK</v>
      </c>
      <c r="U60" t="str">
        <f t="shared" si="5"/>
        <v>OK</v>
      </c>
      <c r="V60">
        <f t="shared" si="6"/>
        <v>9</v>
      </c>
      <c r="W60" s="4">
        <f t="shared" si="7"/>
        <v>45826</v>
      </c>
    </row>
    <row r="61" spans="1:23" hidden="1" x14ac:dyDescent="0.25">
      <c r="A61" t="s">
        <v>74</v>
      </c>
      <c r="B61" s="4">
        <v>45779</v>
      </c>
      <c r="C61" s="4">
        <v>45790</v>
      </c>
      <c r="D61" t="s">
        <v>646</v>
      </c>
      <c r="E61" t="s">
        <v>650</v>
      </c>
      <c r="F61" t="s">
        <v>678</v>
      </c>
      <c r="G61" t="s">
        <v>705</v>
      </c>
      <c r="H61" t="s">
        <v>708</v>
      </c>
      <c r="I61" t="s">
        <v>720</v>
      </c>
      <c r="J61" t="s">
        <v>733</v>
      </c>
      <c r="K61" t="s">
        <v>793</v>
      </c>
      <c r="L61" s="6">
        <v>1057.5999999999999</v>
      </c>
      <c r="M61" s="6">
        <v>1437.06</v>
      </c>
      <c r="N61" s="8">
        <v>0.20499999999999999</v>
      </c>
      <c r="O61" s="6">
        <v>4</v>
      </c>
      <c r="P61" s="7" t="str">
        <f t="shared" si="1"/>
        <v>Nakuru</v>
      </c>
      <c r="Q61" s="7" t="str">
        <f t="shared" si="2"/>
        <v>A. Patel</v>
      </c>
      <c r="R61" s="7" t="str">
        <f t="shared" si="3"/>
        <v>Online</v>
      </c>
      <c r="S61" t="str">
        <f t="shared" si="8"/>
        <v>OK</v>
      </c>
      <c r="T61" s="8" t="str">
        <f t="shared" si="4"/>
        <v>OK</v>
      </c>
      <c r="U61" t="str">
        <f t="shared" si="5"/>
        <v>OK</v>
      </c>
      <c r="V61">
        <f t="shared" si="6"/>
        <v>11</v>
      </c>
      <c r="W61" s="4">
        <f t="shared" si="7"/>
        <v>45790</v>
      </c>
    </row>
    <row r="62" spans="1:23" hidden="1" x14ac:dyDescent="0.25">
      <c r="A62" t="s">
        <v>75</v>
      </c>
      <c r="B62" s="4">
        <v>45361</v>
      </c>
      <c r="C62" s="4">
        <v>45391</v>
      </c>
      <c r="D62" t="s">
        <v>649</v>
      </c>
      <c r="E62" t="s">
        <v>657</v>
      </c>
      <c r="F62" t="s">
        <v>679</v>
      </c>
      <c r="G62" t="s">
        <v>701</v>
      </c>
      <c r="H62" t="s">
        <v>711</v>
      </c>
      <c r="I62" t="s">
        <v>714</v>
      </c>
      <c r="J62" t="s">
        <v>727</v>
      </c>
      <c r="K62" t="s">
        <v>794</v>
      </c>
      <c r="L62" s="6">
        <v>1176.56</v>
      </c>
      <c r="M62" s="6">
        <v>1911.89</v>
      </c>
      <c r="N62" s="8">
        <v>0.11899999999999999</v>
      </c>
      <c r="O62" s="6">
        <v>20</v>
      </c>
      <c r="P62" s="7" t="str">
        <f t="shared" si="1"/>
        <v>Lyon</v>
      </c>
      <c r="Q62" s="7" t="str">
        <f t="shared" si="2"/>
        <v>I. Johnson</v>
      </c>
      <c r="R62" s="7" t="str">
        <f t="shared" si="3"/>
        <v>Direct</v>
      </c>
      <c r="S62" t="str">
        <f t="shared" si="8"/>
        <v>OK</v>
      </c>
      <c r="T62" s="8" t="str">
        <f t="shared" si="4"/>
        <v>OK</v>
      </c>
      <c r="U62" t="str">
        <f t="shared" si="5"/>
        <v>OK</v>
      </c>
      <c r="V62">
        <f t="shared" si="6"/>
        <v>30</v>
      </c>
      <c r="W62" s="4">
        <f t="shared" si="7"/>
        <v>45391</v>
      </c>
    </row>
    <row r="63" spans="1:23" hidden="1" x14ac:dyDescent="0.25">
      <c r="A63" t="s">
        <v>76</v>
      </c>
      <c r="B63" s="4">
        <v>45910</v>
      </c>
      <c r="C63" s="4">
        <v>45912</v>
      </c>
      <c r="D63" t="s">
        <v>647</v>
      </c>
      <c r="E63" t="s">
        <v>652</v>
      </c>
      <c r="F63" t="s">
        <v>689</v>
      </c>
      <c r="G63" t="s">
        <v>704</v>
      </c>
      <c r="H63" t="s">
        <v>708</v>
      </c>
      <c r="I63" t="s">
        <v>719</v>
      </c>
      <c r="J63" t="s">
        <v>727</v>
      </c>
      <c r="K63" t="s">
        <v>795</v>
      </c>
      <c r="L63" s="6">
        <v>1470.15</v>
      </c>
      <c r="M63" s="6">
        <v>2593.7800000000002</v>
      </c>
      <c r="N63" s="8">
        <v>0.11</v>
      </c>
      <c r="O63" s="6">
        <v>12</v>
      </c>
      <c r="P63" s="7" t="str">
        <f t="shared" si="1"/>
        <v>Tokyo</v>
      </c>
      <c r="Q63" s="7" t="str">
        <f t="shared" si="2"/>
        <v>O. Wang</v>
      </c>
      <c r="R63" s="7" t="str">
        <f t="shared" si="3"/>
        <v>Online</v>
      </c>
      <c r="S63" t="str">
        <f t="shared" si="8"/>
        <v>OK</v>
      </c>
      <c r="T63" s="8" t="str">
        <f t="shared" si="4"/>
        <v>OK</v>
      </c>
      <c r="U63" t="str">
        <f t="shared" si="5"/>
        <v>OK</v>
      </c>
      <c r="V63">
        <f t="shared" si="6"/>
        <v>2</v>
      </c>
      <c r="W63" s="4">
        <f t="shared" si="7"/>
        <v>45912</v>
      </c>
    </row>
    <row r="64" spans="1:23" hidden="1" x14ac:dyDescent="0.25">
      <c r="A64" t="s">
        <v>77</v>
      </c>
      <c r="B64" s="4">
        <v>45774</v>
      </c>
      <c r="C64" s="4">
        <v>45802</v>
      </c>
      <c r="D64" t="s">
        <v>649</v>
      </c>
      <c r="E64" t="s">
        <v>657</v>
      </c>
      <c r="F64" t="s">
        <v>690</v>
      </c>
      <c r="G64" t="s">
        <v>705</v>
      </c>
      <c r="H64" t="s">
        <v>709</v>
      </c>
      <c r="I64" t="s">
        <v>714</v>
      </c>
      <c r="J64" t="s">
        <v>730</v>
      </c>
      <c r="K64" t="s">
        <v>796</v>
      </c>
      <c r="L64" s="6">
        <v>603.45000000000005</v>
      </c>
      <c r="M64" s="6">
        <v>1244.08</v>
      </c>
      <c r="N64" s="8">
        <v>0.2</v>
      </c>
      <c r="O64" s="6">
        <v>11</v>
      </c>
      <c r="P64" s="7" t="str">
        <f t="shared" si="1"/>
        <v>Paris</v>
      </c>
      <c r="Q64" s="7" t="str">
        <f t="shared" si="2"/>
        <v>I. Johnson</v>
      </c>
      <c r="R64" s="7" t="str">
        <f t="shared" si="3"/>
        <v>Marketplace</v>
      </c>
      <c r="S64" t="str">
        <f t="shared" si="8"/>
        <v>OK</v>
      </c>
      <c r="T64" s="8" t="str">
        <f t="shared" si="4"/>
        <v>OK</v>
      </c>
      <c r="U64" t="str">
        <f t="shared" si="5"/>
        <v>OK</v>
      </c>
      <c r="V64">
        <f t="shared" si="6"/>
        <v>28</v>
      </c>
      <c r="W64" s="4">
        <f t="shared" si="7"/>
        <v>45802</v>
      </c>
    </row>
    <row r="65" spans="1:23" hidden="1" x14ac:dyDescent="0.25">
      <c r="A65" t="s">
        <v>78</v>
      </c>
      <c r="B65" s="4">
        <v>45598</v>
      </c>
      <c r="C65" s="4">
        <v>45614</v>
      </c>
      <c r="D65" t="s">
        <v>647</v>
      </c>
      <c r="E65" t="s">
        <v>654</v>
      </c>
      <c r="F65" t="s">
        <v>691</v>
      </c>
      <c r="G65" t="s">
        <v>705</v>
      </c>
      <c r="H65" t="s">
        <v>710</v>
      </c>
      <c r="I65" t="s">
        <v>719</v>
      </c>
      <c r="J65" t="s">
        <v>732</v>
      </c>
      <c r="K65" t="s">
        <v>797</v>
      </c>
      <c r="L65" s="6">
        <v>1233.58</v>
      </c>
      <c r="M65" s="6">
        <v>1912.51</v>
      </c>
      <c r="N65" s="8">
        <v>0.255</v>
      </c>
      <c r="O65" s="6">
        <v>51</v>
      </c>
      <c r="P65" s="7" t="str">
        <f t="shared" si="1"/>
        <v>Mumbai</v>
      </c>
      <c r="Q65" s="7" t="str">
        <f t="shared" si="2"/>
        <v>O. Wang</v>
      </c>
      <c r="R65" s="7" t="str">
        <f t="shared" si="3"/>
        <v>Distributor</v>
      </c>
      <c r="S65" t="str">
        <f t="shared" si="8"/>
        <v>OK</v>
      </c>
      <c r="T65" s="8" t="str">
        <f t="shared" si="4"/>
        <v>OK</v>
      </c>
      <c r="U65" t="str">
        <f t="shared" si="5"/>
        <v>OK</v>
      </c>
      <c r="V65">
        <f t="shared" si="6"/>
        <v>16</v>
      </c>
      <c r="W65" s="4">
        <f t="shared" si="7"/>
        <v>45614</v>
      </c>
    </row>
    <row r="66" spans="1:23" hidden="1" x14ac:dyDescent="0.25">
      <c r="A66" t="s">
        <v>79</v>
      </c>
      <c r="B66" s="4">
        <v>44972</v>
      </c>
      <c r="C66" s="4">
        <v>44983</v>
      </c>
      <c r="D66" t="s">
        <v>646</v>
      </c>
      <c r="E66" t="s">
        <v>661</v>
      </c>
      <c r="F66" t="s">
        <v>682</v>
      </c>
      <c r="G66" t="s">
        <v>703</v>
      </c>
      <c r="H66" t="s">
        <v>707</v>
      </c>
      <c r="I66" t="s">
        <v>723</v>
      </c>
      <c r="J66" t="s">
        <v>731</v>
      </c>
      <c r="K66" t="s">
        <v>798</v>
      </c>
      <c r="L66" s="6">
        <v>498.5</v>
      </c>
      <c r="M66" s="6">
        <v>755.87</v>
      </c>
      <c r="N66" s="8">
        <v>0.13</v>
      </c>
      <c r="O66" s="6">
        <v>40</v>
      </c>
      <c r="P66" s="7" t="str">
        <f t="shared" si="1"/>
        <v>Johannesburg</v>
      </c>
      <c r="Q66" s="7" t="str">
        <f t="shared" si="2"/>
        <v>K. Singh</v>
      </c>
      <c r="R66" s="7" t="str">
        <f t="shared" si="3"/>
        <v>Retail</v>
      </c>
      <c r="S66" t="str">
        <f t="shared" si="8"/>
        <v>OK</v>
      </c>
      <c r="T66" s="8" t="str">
        <f t="shared" si="4"/>
        <v>OK</v>
      </c>
      <c r="U66" t="str">
        <f t="shared" si="5"/>
        <v>OK</v>
      </c>
      <c r="V66">
        <f t="shared" si="6"/>
        <v>11</v>
      </c>
      <c r="W66" s="4">
        <f t="shared" si="7"/>
        <v>44983</v>
      </c>
    </row>
    <row r="67" spans="1:23" hidden="1" x14ac:dyDescent="0.25">
      <c r="A67" t="s">
        <v>80</v>
      </c>
      <c r="B67" s="4">
        <v>45263</v>
      </c>
      <c r="C67" s="4">
        <v>45286</v>
      </c>
      <c r="D67" t="s">
        <v>648</v>
      </c>
      <c r="E67" t="s">
        <v>655</v>
      </c>
      <c r="F67" t="s">
        <v>692</v>
      </c>
      <c r="G67" t="s">
        <v>702</v>
      </c>
      <c r="H67" t="s">
        <v>707</v>
      </c>
      <c r="I67" t="s">
        <v>719</v>
      </c>
      <c r="J67" t="s">
        <v>730</v>
      </c>
      <c r="K67" t="s">
        <v>799</v>
      </c>
      <c r="L67" s="6">
        <v>1303.1099999999999</v>
      </c>
      <c r="M67" s="6">
        <v>1145.67</v>
      </c>
      <c r="N67" s="8">
        <v>0.184</v>
      </c>
      <c r="O67" s="6">
        <v>13</v>
      </c>
      <c r="P67" s="7" t="str">
        <f t="shared" ref="P67:P130" si="9">IF(OR(F67=" ", ISBLANK(F67)), "Unknown", F67)</f>
        <v>Rio de Janeiro</v>
      </c>
      <c r="Q67" s="7" t="str">
        <f t="shared" ref="Q67:Q130" si="10">IF(OR(I67=" ", ISBLANK(I67)), "Unassigned", I67)</f>
        <v>O. Wang</v>
      </c>
      <c r="R67" s="7" t="str">
        <f t="shared" ref="R67:R130" si="11">IF(OR(H67=" ", ISBLANK(H67)), "Unspecified", H67)</f>
        <v>Retail</v>
      </c>
      <c r="S67" t="str">
        <f t="shared" si="8"/>
        <v>OK</v>
      </c>
      <c r="T67" s="8" t="str">
        <f t="shared" ref="T67:T130" si="12">IFERROR(IF(N67&gt;0.3, "Cap at 30%", "OK"), "Error")</f>
        <v>OK</v>
      </c>
      <c r="U67" t="str">
        <f t="shared" ref="U67:U130" si="13">IFERROR(IF(C67&lt;B67,"Correct", "OK"), "Error")</f>
        <v>OK</v>
      </c>
      <c r="V67">
        <f t="shared" ref="V67:V130" si="14">_xlfn.DAYS(C67,B67)</f>
        <v>23</v>
      </c>
      <c r="W67" s="4">
        <f t="shared" si="7"/>
        <v>45286</v>
      </c>
    </row>
    <row r="68" spans="1:23" hidden="1" x14ac:dyDescent="0.25">
      <c r="A68" t="s">
        <v>81</v>
      </c>
      <c r="B68" s="4">
        <v>45004</v>
      </c>
      <c r="C68" s="4">
        <v>45025</v>
      </c>
      <c r="D68" t="s">
        <v>649</v>
      </c>
      <c r="E68" t="s">
        <v>658</v>
      </c>
      <c r="F68" t="s">
        <v>693</v>
      </c>
      <c r="G68" t="s">
        <v>704</v>
      </c>
      <c r="H68" t="s">
        <v>707</v>
      </c>
      <c r="I68" t="s">
        <v>716</v>
      </c>
      <c r="J68" t="s">
        <v>733</v>
      </c>
      <c r="K68" t="s">
        <v>800</v>
      </c>
      <c r="L68" s="6">
        <v>1082.17</v>
      </c>
      <c r="M68" s="6">
        <v>1234.0999999999999</v>
      </c>
      <c r="N68" s="8">
        <v>0.189</v>
      </c>
      <c r="O68" s="6">
        <v>16</v>
      </c>
      <c r="P68" s="7" t="str">
        <f t="shared" si="9"/>
        <v>Manchester</v>
      </c>
      <c r="Q68" s="7" t="str">
        <f t="shared" si="10"/>
        <v>L. Okafor</v>
      </c>
      <c r="R68" s="7" t="str">
        <f t="shared" si="11"/>
        <v>Retail</v>
      </c>
      <c r="S68" t="str">
        <f t="shared" si="8"/>
        <v>OK</v>
      </c>
      <c r="T68" s="8" t="str">
        <f t="shared" si="12"/>
        <v>OK</v>
      </c>
      <c r="U68" t="str">
        <f t="shared" si="13"/>
        <v>OK</v>
      </c>
      <c r="V68">
        <f t="shared" si="14"/>
        <v>21</v>
      </c>
      <c r="W68" s="4">
        <f t="shared" ref="W68:W131" si="15">IFERROR(IF(C68&lt;B68, B68+15, C68), "Error")</f>
        <v>45025</v>
      </c>
    </row>
    <row r="69" spans="1:23" hidden="1" x14ac:dyDescent="0.25">
      <c r="A69" t="s">
        <v>82</v>
      </c>
      <c r="B69" s="4">
        <v>45434</v>
      </c>
      <c r="C69" s="4">
        <v>45449</v>
      </c>
      <c r="D69" t="s">
        <v>647</v>
      </c>
      <c r="E69" t="s">
        <v>652</v>
      </c>
      <c r="F69" t="s">
        <v>694</v>
      </c>
      <c r="G69" t="s">
        <v>701</v>
      </c>
      <c r="H69" t="s">
        <v>710</v>
      </c>
      <c r="I69" t="s">
        <v>712</v>
      </c>
      <c r="J69" t="s">
        <v>732</v>
      </c>
      <c r="K69" t="s">
        <v>801</v>
      </c>
      <c r="L69" s="6">
        <v>673.88</v>
      </c>
      <c r="M69" s="6">
        <v>1228.01</v>
      </c>
      <c r="N69" s="8">
        <v>0.105</v>
      </c>
      <c r="O69" s="6">
        <v>13</v>
      </c>
      <c r="P69" s="7" t="str">
        <f t="shared" si="9"/>
        <v>Nagoya</v>
      </c>
      <c r="Q69" s="7" t="str">
        <f t="shared" si="10"/>
        <v>C. Otieno</v>
      </c>
      <c r="R69" s="7" t="str">
        <f t="shared" si="11"/>
        <v>Distributor</v>
      </c>
      <c r="S69" t="str">
        <f t="shared" si="8"/>
        <v>OK</v>
      </c>
      <c r="T69" s="8" t="str">
        <f t="shared" si="12"/>
        <v>OK</v>
      </c>
      <c r="U69" t="str">
        <f t="shared" si="13"/>
        <v>OK</v>
      </c>
      <c r="V69">
        <f t="shared" si="14"/>
        <v>15</v>
      </c>
      <c r="W69" s="4">
        <f t="shared" si="15"/>
        <v>45449</v>
      </c>
    </row>
    <row r="70" spans="1:23" hidden="1" x14ac:dyDescent="0.25">
      <c r="A70" t="s">
        <v>83</v>
      </c>
      <c r="B70" s="4">
        <v>45157</v>
      </c>
      <c r="C70" s="4">
        <v>45176</v>
      </c>
      <c r="D70" t="s">
        <v>646</v>
      </c>
      <c r="E70" t="s">
        <v>661</v>
      </c>
      <c r="F70" t="s">
        <v>682</v>
      </c>
      <c r="G70" t="s">
        <v>706</v>
      </c>
      <c r="H70" t="s">
        <v>707</v>
      </c>
      <c r="I70" t="s">
        <v>726</v>
      </c>
      <c r="J70" t="s">
        <v>732</v>
      </c>
      <c r="K70" t="s">
        <v>802</v>
      </c>
      <c r="L70" s="6">
        <v>494.61</v>
      </c>
      <c r="M70" s="6">
        <v>605.23</v>
      </c>
      <c r="N70" s="8">
        <v>0.20399999999999999</v>
      </c>
      <c r="O70" s="6">
        <v>18</v>
      </c>
      <c r="P70" s="7" t="str">
        <f t="shared" si="9"/>
        <v>Johannesburg</v>
      </c>
      <c r="Q70" s="7" t="str">
        <f t="shared" si="10"/>
        <v>D. Smith</v>
      </c>
      <c r="R70" s="7" t="str">
        <f t="shared" si="11"/>
        <v>Retail</v>
      </c>
      <c r="S70" t="str">
        <f t="shared" ref="S70:S133" si="16">IFERROR(IF(M70&lt;0,"Correct (Negative Price)","OK"),"Error")</f>
        <v>OK</v>
      </c>
      <c r="T70" s="8" t="str">
        <f t="shared" si="12"/>
        <v>OK</v>
      </c>
      <c r="U70" t="str">
        <f t="shared" si="13"/>
        <v>OK</v>
      </c>
      <c r="V70">
        <f t="shared" si="14"/>
        <v>19</v>
      </c>
      <c r="W70" s="4">
        <f t="shared" si="15"/>
        <v>45176</v>
      </c>
    </row>
    <row r="71" spans="1:23" hidden="1" x14ac:dyDescent="0.25">
      <c r="A71" t="s">
        <v>84</v>
      </c>
      <c r="B71" s="4">
        <v>45037</v>
      </c>
      <c r="C71" s="4">
        <v>45056</v>
      </c>
      <c r="D71" t="s">
        <v>647</v>
      </c>
      <c r="E71" t="s">
        <v>659</v>
      </c>
      <c r="F71" t="s">
        <v>685</v>
      </c>
      <c r="G71" t="s">
        <v>701</v>
      </c>
      <c r="H71" t="s">
        <v>707</v>
      </c>
      <c r="I71" t="s">
        <v>720</v>
      </c>
      <c r="J71" t="s">
        <v>727</v>
      </c>
      <c r="K71" t="s">
        <v>803</v>
      </c>
      <c r="L71" s="6">
        <v>882.33</v>
      </c>
      <c r="M71" s="6">
        <v>1880.15</v>
      </c>
      <c r="N71" s="8">
        <v>0.05</v>
      </c>
      <c r="O71" s="6">
        <v>5</v>
      </c>
      <c r="P71" s="7" t="str">
        <f t="shared" si="9"/>
        <v>Shanghai</v>
      </c>
      <c r="Q71" s="7" t="str">
        <f t="shared" si="10"/>
        <v>A. Patel</v>
      </c>
      <c r="R71" s="7" t="str">
        <f t="shared" si="11"/>
        <v>Retail</v>
      </c>
      <c r="S71" t="str">
        <f t="shared" si="16"/>
        <v>OK</v>
      </c>
      <c r="T71" s="8" t="str">
        <f t="shared" si="12"/>
        <v>OK</v>
      </c>
      <c r="U71" t="str">
        <f t="shared" si="13"/>
        <v>OK</v>
      </c>
      <c r="V71">
        <f t="shared" si="14"/>
        <v>19</v>
      </c>
      <c r="W71" s="4">
        <f t="shared" si="15"/>
        <v>45056</v>
      </c>
    </row>
    <row r="72" spans="1:23" hidden="1" x14ac:dyDescent="0.25">
      <c r="A72" t="s">
        <v>85</v>
      </c>
      <c r="B72" s="4">
        <v>45369</v>
      </c>
      <c r="C72" s="4">
        <v>45372</v>
      </c>
      <c r="D72" t="s">
        <v>649</v>
      </c>
      <c r="E72" t="s">
        <v>656</v>
      </c>
      <c r="F72" t="s">
        <v>684</v>
      </c>
      <c r="G72" t="s">
        <v>705</v>
      </c>
      <c r="H72" t="s">
        <v>708</v>
      </c>
      <c r="I72" t="s">
        <v>724</v>
      </c>
      <c r="J72" t="s">
        <v>733</v>
      </c>
      <c r="K72" t="s">
        <v>804</v>
      </c>
      <c r="L72" s="6">
        <v>910.63</v>
      </c>
      <c r="M72" s="6">
        <v>1269.4000000000001</v>
      </c>
      <c r="N72" s="8">
        <v>6.8000000000000005E-2</v>
      </c>
      <c r="O72" s="6">
        <v>9</v>
      </c>
      <c r="P72" s="7" t="str">
        <f t="shared" si="9"/>
        <v>Munich</v>
      </c>
      <c r="Q72" s="7" t="str">
        <f t="shared" si="10"/>
        <v>M. Rossi</v>
      </c>
      <c r="R72" s="7" t="str">
        <f t="shared" si="11"/>
        <v>Online</v>
      </c>
      <c r="S72" t="str">
        <f t="shared" si="16"/>
        <v>OK</v>
      </c>
      <c r="T72" s="8" t="str">
        <f t="shared" si="12"/>
        <v>OK</v>
      </c>
      <c r="U72" t="str">
        <f t="shared" si="13"/>
        <v>OK</v>
      </c>
      <c r="V72">
        <f t="shared" si="14"/>
        <v>3</v>
      </c>
      <c r="W72" s="4">
        <f t="shared" si="15"/>
        <v>45372</v>
      </c>
    </row>
    <row r="73" spans="1:23" hidden="1" x14ac:dyDescent="0.25">
      <c r="A73" t="s">
        <v>86</v>
      </c>
      <c r="B73" s="4">
        <v>45756</v>
      </c>
      <c r="C73" s="4">
        <v>45783</v>
      </c>
      <c r="D73" t="s">
        <v>648</v>
      </c>
      <c r="E73" t="s">
        <v>655</v>
      </c>
      <c r="F73" t="s">
        <v>672</v>
      </c>
      <c r="G73" t="s">
        <v>706</v>
      </c>
      <c r="H73" t="s">
        <v>709</v>
      </c>
      <c r="I73" t="s">
        <v>721</v>
      </c>
      <c r="J73" t="s">
        <v>731</v>
      </c>
      <c r="K73" t="s">
        <v>805</v>
      </c>
      <c r="L73" s="6">
        <v>264.19</v>
      </c>
      <c r="M73" s="6">
        <v>620.92999999999995</v>
      </c>
      <c r="N73" s="8">
        <v>0.14199999999999999</v>
      </c>
      <c r="O73" s="6">
        <v>12</v>
      </c>
      <c r="P73" s="7" t="str">
        <f t="shared" si="9"/>
        <v>Brasília</v>
      </c>
      <c r="Q73" s="7" t="str">
        <f t="shared" si="10"/>
        <v>F. Müller</v>
      </c>
      <c r="R73" s="7" t="str">
        <f t="shared" si="11"/>
        <v>Marketplace</v>
      </c>
      <c r="S73" t="str">
        <f t="shared" si="16"/>
        <v>OK</v>
      </c>
      <c r="T73" s="8" t="str">
        <f t="shared" si="12"/>
        <v>OK</v>
      </c>
      <c r="U73" t="str">
        <f t="shared" si="13"/>
        <v>OK</v>
      </c>
      <c r="V73">
        <f t="shared" si="14"/>
        <v>27</v>
      </c>
      <c r="W73" s="4">
        <f t="shared" si="15"/>
        <v>45783</v>
      </c>
    </row>
    <row r="74" spans="1:23" hidden="1" x14ac:dyDescent="0.25">
      <c r="A74" t="s">
        <v>87</v>
      </c>
      <c r="B74" s="4">
        <v>45394</v>
      </c>
      <c r="C74" s="4">
        <v>45419</v>
      </c>
      <c r="D74" t="s">
        <v>646</v>
      </c>
      <c r="E74" t="s">
        <v>661</v>
      </c>
      <c r="F74" t="s">
        <v>682</v>
      </c>
      <c r="G74" t="s">
        <v>702</v>
      </c>
      <c r="H74" t="s">
        <v>710</v>
      </c>
      <c r="I74" t="s">
        <v>720</v>
      </c>
      <c r="J74" t="s">
        <v>731</v>
      </c>
      <c r="K74" t="s">
        <v>806</v>
      </c>
      <c r="L74" s="6">
        <v>1376.51</v>
      </c>
      <c r="M74" s="6">
        <v>1455.91</v>
      </c>
      <c r="N74" s="8">
        <v>0.185</v>
      </c>
      <c r="O74" s="6">
        <v>17</v>
      </c>
      <c r="P74" s="7" t="str">
        <f t="shared" si="9"/>
        <v>Johannesburg</v>
      </c>
      <c r="Q74" s="7" t="str">
        <f t="shared" si="10"/>
        <v>A. Patel</v>
      </c>
      <c r="R74" s="7" t="str">
        <f t="shared" si="11"/>
        <v>Distributor</v>
      </c>
      <c r="S74" t="str">
        <f t="shared" si="16"/>
        <v>OK</v>
      </c>
      <c r="T74" s="8" t="str">
        <f t="shared" si="12"/>
        <v>OK</v>
      </c>
      <c r="U74" t="str">
        <f t="shared" si="13"/>
        <v>OK</v>
      </c>
      <c r="V74">
        <f t="shared" si="14"/>
        <v>25</v>
      </c>
      <c r="W74" s="4">
        <f t="shared" si="15"/>
        <v>45419</v>
      </c>
    </row>
    <row r="75" spans="1:23" hidden="1" x14ac:dyDescent="0.25">
      <c r="A75" t="s">
        <v>88</v>
      </c>
      <c r="B75" s="4">
        <v>45641</v>
      </c>
      <c r="C75" s="4">
        <v>45646</v>
      </c>
      <c r="D75" t="s">
        <v>647</v>
      </c>
      <c r="E75" t="s">
        <v>659</v>
      </c>
      <c r="F75" t="s">
        <v>676</v>
      </c>
      <c r="G75" t="s">
        <v>705</v>
      </c>
      <c r="H75" t="s">
        <v>711</v>
      </c>
      <c r="I75" t="s">
        <v>713</v>
      </c>
      <c r="J75" t="s">
        <v>729</v>
      </c>
      <c r="K75" t="s">
        <v>807</v>
      </c>
      <c r="L75" s="6">
        <v>717.55</v>
      </c>
      <c r="M75" s="6">
        <v>546.42999999999995</v>
      </c>
      <c r="N75" s="8">
        <v>4.7E-2</v>
      </c>
      <c r="O75" s="6">
        <v>18</v>
      </c>
      <c r="P75" s="7" t="str">
        <f t="shared" si="9"/>
        <v>Shenzhen</v>
      </c>
      <c r="Q75" s="7" t="str">
        <f t="shared" si="10"/>
        <v>J. Njeri</v>
      </c>
      <c r="R75" s="7" t="str">
        <f t="shared" si="11"/>
        <v>Direct</v>
      </c>
      <c r="S75" t="str">
        <f t="shared" si="16"/>
        <v>OK</v>
      </c>
      <c r="T75" s="8" t="str">
        <f t="shared" si="12"/>
        <v>OK</v>
      </c>
      <c r="U75" t="str">
        <f t="shared" si="13"/>
        <v>OK</v>
      </c>
      <c r="V75">
        <f t="shared" si="14"/>
        <v>5</v>
      </c>
      <c r="W75" s="4">
        <f t="shared" si="15"/>
        <v>45646</v>
      </c>
    </row>
    <row r="76" spans="1:23" hidden="1" x14ac:dyDescent="0.25">
      <c r="A76" t="s">
        <v>89</v>
      </c>
      <c r="B76" s="4">
        <v>45066</v>
      </c>
      <c r="C76" s="4">
        <v>45081</v>
      </c>
      <c r="D76" t="s">
        <v>646</v>
      </c>
      <c r="E76" t="s">
        <v>661</v>
      </c>
      <c r="F76" t="s">
        <v>687</v>
      </c>
      <c r="G76" t="s">
        <v>701</v>
      </c>
      <c r="H76" t="s">
        <v>710</v>
      </c>
      <c r="I76" t="s">
        <v>720</v>
      </c>
      <c r="J76" t="s">
        <v>727</v>
      </c>
      <c r="K76" t="s">
        <v>808</v>
      </c>
      <c r="L76" s="6">
        <v>917.88</v>
      </c>
      <c r="M76" s="6">
        <v>1347.92</v>
      </c>
      <c r="N76" s="8">
        <v>0.3</v>
      </c>
      <c r="O76" s="6">
        <v>5</v>
      </c>
      <c r="P76" s="7" t="str">
        <f t="shared" si="9"/>
        <v>Durban</v>
      </c>
      <c r="Q76" s="7" t="str">
        <f t="shared" si="10"/>
        <v>A. Patel</v>
      </c>
      <c r="R76" s="7" t="str">
        <f t="shared" si="11"/>
        <v>Distributor</v>
      </c>
      <c r="S76" t="str">
        <f t="shared" si="16"/>
        <v>OK</v>
      </c>
      <c r="T76" s="8" t="str">
        <f t="shared" si="12"/>
        <v>OK</v>
      </c>
      <c r="U76" t="str">
        <f t="shared" si="13"/>
        <v>OK</v>
      </c>
      <c r="V76">
        <f t="shared" si="14"/>
        <v>15</v>
      </c>
      <c r="W76" s="4">
        <f t="shared" si="15"/>
        <v>45081</v>
      </c>
    </row>
    <row r="77" spans="1:23" hidden="1" x14ac:dyDescent="0.25">
      <c r="A77" t="s">
        <v>90</v>
      </c>
      <c r="B77" s="4">
        <v>45187</v>
      </c>
      <c r="C77" s="4">
        <v>45207</v>
      </c>
      <c r="D77" t="s">
        <v>647</v>
      </c>
      <c r="E77" t="s">
        <v>654</v>
      </c>
      <c r="F77" t="s">
        <v>680</v>
      </c>
      <c r="G77" t="s">
        <v>705</v>
      </c>
      <c r="H77" t="s">
        <v>711</v>
      </c>
      <c r="I77" t="s">
        <v>717</v>
      </c>
      <c r="J77" t="s">
        <v>727</v>
      </c>
      <c r="K77" t="s">
        <v>809</v>
      </c>
      <c r="L77" s="6">
        <v>825.64</v>
      </c>
      <c r="M77" s="6">
        <v>1108.43</v>
      </c>
      <c r="N77" s="8">
        <v>0.114</v>
      </c>
      <c r="O77" s="6">
        <v>7</v>
      </c>
      <c r="P77" s="7" t="str">
        <f t="shared" si="9"/>
        <v>Delhi</v>
      </c>
      <c r="Q77" s="7" t="str">
        <f t="shared" si="10"/>
        <v>B. Chen</v>
      </c>
      <c r="R77" s="7" t="str">
        <f t="shared" si="11"/>
        <v>Direct</v>
      </c>
      <c r="S77" t="str">
        <f t="shared" si="16"/>
        <v>OK</v>
      </c>
      <c r="T77" s="8" t="str">
        <f t="shared" si="12"/>
        <v>OK</v>
      </c>
      <c r="U77" t="str">
        <f t="shared" si="13"/>
        <v>OK</v>
      </c>
      <c r="V77">
        <f t="shared" si="14"/>
        <v>20</v>
      </c>
      <c r="W77" s="4">
        <f t="shared" si="15"/>
        <v>45207</v>
      </c>
    </row>
    <row r="78" spans="1:23" hidden="1" x14ac:dyDescent="0.25">
      <c r="A78" t="s">
        <v>91</v>
      </c>
      <c r="B78" s="4">
        <v>45532</v>
      </c>
      <c r="C78" s="4">
        <v>45560</v>
      </c>
      <c r="D78" t="s">
        <v>648</v>
      </c>
      <c r="E78" t="s">
        <v>655</v>
      </c>
      <c r="F78" t="s">
        <v>692</v>
      </c>
      <c r="G78" t="s">
        <v>703</v>
      </c>
      <c r="H78" t="s">
        <v>708</v>
      </c>
      <c r="I78" t="s">
        <v>1368</v>
      </c>
      <c r="J78" t="s">
        <v>733</v>
      </c>
      <c r="K78" t="s">
        <v>810</v>
      </c>
      <c r="L78" s="6">
        <v>1394.65</v>
      </c>
      <c r="M78" s="6">
        <v>3144.1</v>
      </c>
      <c r="N78" s="8">
        <v>0.13400000000000001</v>
      </c>
      <c r="O78" s="6">
        <v>13</v>
      </c>
      <c r="P78" s="7" t="str">
        <f t="shared" si="9"/>
        <v>Rio de Janeiro</v>
      </c>
      <c r="Q78" s="7" t="str">
        <f t="shared" si="10"/>
        <v>Unassigned</v>
      </c>
      <c r="R78" s="7" t="str">
        <f t="shared" si="11"/>
        <v>Online</v>
      </c>
      <c r="S78" t="str">
        <f t="shared" si="16"/>
        <v>OK</v>
      </c>
      <c r="T78" s="8" t="str">
        <f t="shared" si="12"/>
        <v>OK</v>
      </c>
      <c r="U78" t="str">
        <f t="shared" si="13"/>
        <v>OK</v>
      </c>
      <c r="V78">
        <f t="shared" si="14"/>
        <v>28</v>
      </c>
      <c r="W78" s="4">
        <f t="shared" si="15"/>
        <v>45560</v>
      </c>
    </row>
    <row r="79" spans="1:23" hidden="1" x14ac:dyDescent="0.25">
      <c r="A79" t="s">
        <v>92</v>
      </c>
      <c r="B79" s="4">
        <v>45473</v>
      </c>
      <c r="C79" s="4">
        <v>45488</v>
      </c>
      <c r="D79" t="s">
        <v>648</v>
      </c>
      <c r="E79" t="s">
        <v>655</v>
      </c>
      <c r="F79" t="s">
        <v>692</v>
      </c>
      <c r="G79" t="s">
        <v>705</v>
      </c>
      <c r="H79" t="s">
        <v>711</v>
      </c>
      <c r="I79" t="s">
        <v>716</v>
      </c>
      <c r="J79" t="s">
        <v>733</v>
      </c>
      <c r="K79" t="s">
        <v>811</v>
      </c>
      <c r="L79" s="6">
        <v>1112.98</v>
      </c>
      <c r="M79" s="6">
        <v>2095.73</v>
      </c>
      <c r="N79" s="8">
        <v>7.1999999999999995E-2</v>
      </c>
      <c r="O79" s="6">
        <v>17</v>
      </c>
      <c r="P79" s="7" t="str">
        <f t="shared" si="9"/>
        <v>Rio de Janeiro</v>
      </c>
      <c r="Q79" s="7" t="str">
        <f t="shared" si="10"/>
        <v>L. Okafor</v>
      </c>
      <c r="R79" s="7" t="str">
        <f t="shared" si="11"/>
        <v>Direct</v>
      </c>
      <c r="S79" t="str">
        <f t="shared" si="16"/>
        <v>OK</v>
      </c>
      <c r="T79" s="8" t="str">
        <f t="shared" si="12"/>
        <v>OK</v>
      </c>
      <c r="U79" t="str">
        <f t="shared" si="13"/>
        <v>OK</v>
      </c>
      <c r="V79">
        <f t="shared" si="14"/>
        <v>15</v>
      </c>
      <c r="W79" s="4">
        <f t="shared" si="15"/>
        <v>45488</v>
      </c>
    </row>
    <row r="80" spans="1:23" hidden="1" x14ac:dyDescent="0.25">
      <c r="A80" t="s">
        <v>93</v>
      </c>
      <c r="B80" s="4">
        <v>45091</v>
      </c>
      <c r="C80" s="4">
        <v>45093</v>
      </c>
      <c r="D80" t="s">
        <v>649</v>
      </c>
      <c r="E80" t="s">
        <v>658</v>
      </c>
      <c r="F80" t="s">
        <v>693</v>
      </c>
      <c r="G80" t="s">
        <v>703</v>
      </c>
      <c r="H80" t="s">
        <v>711</v>
      </c>
      <c r="I80" t="s">
        <v>723</v>
      </c>
      <c r="J80" t="s">
        <v>727</v>
      </c>
      <c r="K80" t="s">
        <v>812</v>
      </c>
      <c r="L80" s="6">
        <v>357.36</v>
      </c>
      <c r="M80" s="6">
        <v>703.62</v>
      </c>
      <c r="N80" s="8">
        <v>0.25700000000000001</v>
      </c>
      <c r="O80" s="6">
        <v>20</v>
      </c>
      <c r="P80" s="7" t="str">
        <f t="shared" si="9"/>
        <v>Manchester</v>
      </c>
      <c r="Q80" s="7" t="str">
        <f t="shared" si="10"/>
        <v>K. Singh</v>
      </c>
      <c r="R80" s="7" t="str">
        <f t="shared" si="11"/>
        <v>Direct</v>
      </c>
      <c r="S80" t="str">
        <f t="shared" si="16"/>
        <v>OK</v>
      </c>
      <c r="T80" s="8" t="str">
        <f t="shared" si="12"/>
        <v>OK</v>
      </c>
      <c r="U80" t="str">
        <f t="shared" si="13"/>
        <v>OK</v>
      </c>
      <c r="V80">
        <f t="shared" si="14"/>
        <v>2</v>
      </c>
      <c r="W80" s="4">
        <f t="shared" si="15"/>
        <v>45093</v>
      </c>
    </row>
    <row r="81" spans="1:23" hidden="1" x14ac:dyDescent="0.25">
      <c r="A81" t="s">
        <v>94</v>
      </c>
      <c r="B81" s="4">
        <v>45617</v>
      </c>
      <c r="C81" s="4">
        <v>45647</v>
      </c>
      <c r="D81" t="s">
        <v>649</v>
      </c>
      <c r="E81" t="s">
        <v>657</v>
      </c>
      <c r="F81" t="s">
        <v>673</v>
      </c>
      <c r="G81" t="s">
        <v>705</v>
      </c>
      <c r="H81" t="s">
        <v>711</v>
      </c>
      <c r="I81" t="s">
        <v>714</v>
      </c>
      <c r="J81" t="s">
        <v>732</v>
      </c>
      <c r="K81" t="s">
        <v>813</v>
      </c>
      <c r="L81" s="6">
        <v>1122.68</v>
      </c>
      <c r="M81" s="6">
        <v>1997.19</v>
      </c>
      <c r="N81" s="8">
        <v>0.186</v>
      </c>
      <c r="O81" s="6">
        <v>3</v>
      </c>
      <c r="P81" s="7" t="str">
        <f t="shared" si="9"/>
        <v>Marseille</v>
      </c>
      <c r="Q81" s="7" t="str">
        <f t="shared" si="10"/>
        <v>I. Johnson</v>
      </c>
      <c r="R81" s="7" t="str">
        <f t="shared" si="11"/>
        <v>Direct</v>
      </c>
      <c r="S81" t="str">
        <f t="shared" si="16"/>
        <v>OK</v>
      </c>
      <c r="T81" s="8" t="str">
        <f t="shared" si="12"/>
        <v>OK</v>
      </c>
      <c r="U81" t="str">
        <f t="shared" si="13"/>
        <v>OK</v>
      </c>
      <c r="V81">
        <f t="shared" si="14"/>
        <v>30</v>
      </c>
      <c r="W81" s="4">
        <f t="shared" si="15"/>
        <v>45647</v>
      </c>
    </row>
    <row r="82" spans="1:23" hidden="1" x14ac:dyDescent="0.25">
      <c r="A82" t="s">
        <v>95</v>
      </c>
      <c r="B82" s="4">
        <v>44965</v>
      </c>
      <c r="C82" s="4">
        <v>44968</v>
      </c>
      <c r="D82" t="s">
        <v>646</v>
      </c>
      <c r="E82" t="s">
        <v>661</v>
      </c>
      <c r="F82" t="s">
        <v>695</v>
      </c>
      <c r="G82" t="s">
        <v>701</v>
      </c>
      <c r="H82" t="s">
        <v>711</v>
      </c>
      <c r="I82" t="s">
        <v>724</v>
      </c>
      <c r="J82" t="s">
        <v>729</v>
      </c>
      <c r="K82" t="s">
        <v>814</v>
      </c>
      <c r="L82" s="6">
        <v>1410.05</v>
      </c>
      <c r="M82" s="6">
        <v>2763.95</v>
      </c>
      <c r="N82" s="8">
        <v>0.161</v>
      </c>
      <c r="O82" s="6">
        <v>26</v>
      </c>
      <c r="P82" s="7" t="str">
        <f t="shared" si="9"/>
        <v>Cape Town</v>
      </c>
      <c r="Q82" s="7" t="str">
        <f t="shared" si="10"/>
        <v>M. Rossi</v>
      </c>
      <c r="R82" s="7" t="str">
        <f t="shared" si="11"/>
        <v>Direct</v>
      </c>
      <c r="S82" t="str">
        <f t="shared" si="16"/>
        <v>OK</v>
      </c>
      <c r="T82" s="8" t="str">
        <f t="shared" si="12"/>
        <v>OK</v>
      </c>
      <c r="U82" t="str">
        <f t="shared" si="13"/>
        <v>OK</v>
      </c>
      <c r="V82">
        <f t="shared" si="14"/>
        <v>3</v>
      </c>
      <c r="W82" s="4">
        <f t="shared" si="15"/>
        <v>44968</v>
      </c>
    </row>
    <row r="83" spans="1:23" hidden="1" x14ac:dyDescent="0.25">
      <c r="A83" t="s">
        <v>96</v>
      </c>
      <c r="B83" s="4">
        <v>45157</v>
      </c>
      <c r="C83" s="4">
        <v>45181</v>
      </c>
      <c r="D83" t="s">
        <v>648</v>
      </c>
      <c r="E83" t="s">
        <v>653</v>
      </c>
      <c r="F83" t="s">
        <v>688</v>
      </c>
      <c r="G83" t="s">
        <v>706</v>
      </c>
      <c r="H83" t="s">
        <v>707</v>
      </c>
      <c r="I83" t="s">
        <v>714</v>
      </c>
      <c r="J83" t="s">
        <v>728</v>
      </c>
      <c r="K83" t="s">
        <v>815</v>
      </c>
      <c r="L83" s="6">
        <v>1183.95</v>
      </c>
      <c r="M83" s="6">
        <v>1503.53</v>
      </c>
      <c r="N83" s="8">
        <v>0.24099999999999999</v>
      </c>
      <c r="O83" s="6">
        <v>16</v>
      </c>
      <c r="P83" s="7" t="str">
        <f t="shared" si="9"/>
        <v>Vancouver</v>
      </c>
      <c r="Q83" s="7" t="str">
        <f t="shared" si="10"/>
        <v>I. Johnson</v>
      </c>
      <c r="R83" s="7" t="str">
        <f t="shared" si="11"/>
        <v>Retail</v>
      </c>
      <c r="S83" t="str">
        <f t="shared" si="16"/>
        <v>OK</v>
      </c>
      <c r="T83" s="8" t="str">
        <f t="shared" si="12"/>
        <v>OK</v>
      </c>
      <c r="U83" t="str">
        <f t="shared" si="13"/>
        <v>OK</v>
      </c>
      <c r="V83">
        <f t="shared" si="14"/>
        <v>24</v>
      </c>
      <c r="W83" s="4">
        <f t="shared" si="15"/>
        <v>45181</v>
      </c>
    </row>
    <row r="84" spans="1:23" hidden="1" x14ac:dyDescent="0.25">
      <c r="A84" t="s">
        <v>97</v>
      </c>
      <c r="B84" s="4">
        <v>45791</v>
      </c>
      <c r="C84" s="4">
        <v>45801</v>
      </c>
      <c r="D84" t="s">
        <v>649</v>
      </c>
      <c r="E84" t="s">
        <v>657</v>
      </c>
      <c r="F84" t="s">
        <v>690</v>
      </c>
      <c r="G84" t="s">
        <v>705</v>
      </c>
      <c r="H84" t="s">
        <v>709</v>
      </c>
      <c r="I84" t="s">
        <v>723</v>
      </c>
      <c r="J84" t="s">
        <v>727</v>
      </c>
      <c r="K84" t="s">
        <v>816</v>
      </c>
      <c r="L84" s="6">
        <v>170.39</v>
      </c>
      <c r="M84" s="6">
        <v>388.04</v>
      </c>
      <c r="N84" s="8">
        <v>8.4000000000000005E-2</v>
      </c>
      <c r="O84" s="6">
        <v>15</v>
      </c>
      <c r="P84" s="7" t="str">
        <f t="shared" si="9"/>
        <v>Paris</v>
      </c>
      <c r="Q84" s="7" t="str">
        <f t="shared" si="10"/>
        <v>K. Singh</v>
      </c>
      <c r="R84" s="7" t="str">
        <f t="shared" si="11"/>
        <v>Marketplace</v>
      </c>
      <c r="S84" t="str">
        <f t="shared" si="16"/>
        <v>OK</v>
      </c>
      <c r="T84" s="8" t="str">
        <f t="shared" si="12"/>
        <v>OK</v>
      </c>
      <c r="U84" t="str">
        <f t="shared" si="13"/>
        <v>OK</v>
      </c>
      <c r="V84">
        <f t="shared" si="14"/>
        <v>10</v>
      </c>
      <c r="W84" s="4">
        <f t="shared" si="15"/>
        <v>45801</v>
      </c>
    </row>
    <row r="85" spans="1:23" hidden="1" x14ac:dyDescent="0.25">
      <c r="A85" t="s">
        <v>98</v>
      </c>
      <c r="B85" s="4">
        <v>45770</v>
      </c>
      <c r="C85" s="4">
        <v>45785</v>
      </c>
      <c r="D85" t="s">
        <v>648</v>
      </c>
      <c r="E85" t="s">
        <v>660</v>
      </c>
      <c r="F85" t="s">
        <v>686</v>
      </c>
      <c r="G85" t="s">
        <v>703</v>
      </c>
      <c r="H85" t="s">
        <v>710</v>
      </c>
      <c r="I85" t="s">
        <v>726</v>
      </c>
      <c r="J85" t="s">
        <v>732</v>
      </c>
      <c r="K85" t="s">
        <v>817</v>
      </c>
      <c r="L85" s="6">
        <v>23.24</v>
      </c>
      <c r="M85" s="6">
        <v>44.57</v>
      </c>
      <c r="N85" s="8">
        <v>0.215</v>
      </c>
      <c r="O85" s="6">
        <v>15</v>
      </c>
      <c r="P85" s="7" t="str">
        <f t="shared" si="9"/>
        <v>San Francisco</v>
      </c>
      <c r="Q85" s="7" t="str">
        <f t="shared" si="10"/>
        <v>D. Smith</v>
      </c>
      <c r="R85" s="7" t="str">
        <f t="shared" si="11"/>
        <v>Distributor</v>
      </c>
      <c r="S85" t="str">
        <f t="shared" si="16"/>
        <v>OK</v>
      </c>
      <c r="T85" s="8" t="str">
        <f t="shared" si="12"/>
        <v>OK</v>
      </c>
      <c r="U85" t="str">
        <f t="shared" si="13"/>
        <v>OK</v>
      </c>
      <c r="V85">
        <f t="shared" si="14"/>
        <v>15</v>
      </c>
      <c r="W85" s="4">
        <f t="shared" si="15"/>
        <v>45785</v>
      </c>
    </row>
    <row r="86" spans="1:23" hidden="1" x14ac:dyDescent="0.25">
      <c r="A86" t="s">
        <v>99</v>
      </c>
      <c r="B86" s="4">
        <v>45741</v>
      </c>
      <c r="C86" s="4">
        <v>45764</v>
      </c>
      <c r="D86" t="s">
        <v>649</v>
      </c>
      <c r="E86" t="s">
        <v>658</v>
      </c>
      <c r="F86" t="s">
        <v>683</v>
      </c>
      <c r="G86" t="s">
        <v>704</v>
      </c>
      <c r="H86" t="s">
        <v>707</v>
      </c>
      <c r="I86" t="s">
        <v>722</v>
      </c>
      <c r="J86" t="s">
        <v>729</v>
      </c>
      <c r="K86" t="s">
        <v>818</v>
      </c>
      <c r="L86" s="6">
        <v>1421.19</v>
      </c>
      <c r="M86" s="6">
        <v>1808.26</v>
      </c>
      <c r="N86" s="8">
        <v>0.104</v>
      </c>
      <c r="O86" s="6">
        <v>13</v>
      </c>
      <c r="P86" s="7" t="str">
        <f t="shared" si="9"/>
        <v>London</v>
      </c>
      <c r="Q86" s="7" t="str">
        <f t="shared" si="10"/>
        <v>H. Kim</v>
      </c>
      <c r="R86" s="7" t="str">
        <f t="shared" si="11"/>
        <v>Retail</v>
      </c>
      <c r="S86" t="str">
        <f t="shared" si="16"/>
        <v>OK</v>
      </c>
      <c r="T86" s="8" t="str">
        <f t="shared" si="12"/>
        <v>OK</v>
      </c>
      <c r="U86" t="str">
        <f t="shared" si="13"/>
        <v>OK</v>
      </c>
      <c r="V86">
        <f t="shared" si="14"/>
        <v>23</v>
      </c>
      <c r="W86" s="4">
        <f t="shared" si="15"/>
        <v>45764</v>
      </c>
    </row>
    <row r="87" spans="1:23" hidden="1" x14ac:dyDescent="0.25">
      <c r="A87" t="s">
        <v>100</v>
      </c>
      <c r="B87" s="4">
        <v>45282</v>
      </c>
      <c r="C87" s="4">
        <v>45283</v>
      </c>
      <c r="D87" t="s">
        <v>646</v>
      </c>
      <c r="E87" t="s">
        <v>661</v>
      </c>
      <c r="F87" t="s">
        <v>695</v>
      </c>
      <c r="G87" t="s">
        <v>703</v>
      </c>
      <c r="H87" t="s">
        <v>709</v>
      </c>
      <c r="I87" t="s">
        <v>726</v>
      </c>
      <c r="J87" t="s">
        <v>727</v>
      </c>
      <c r="K87" t="s">
        <v>819</v>
      </c>
      <c r="L87" s="6">
        <v>1186.18</v>
      </c>
      <c r="M87" s="6">
        <v>1285.0899999999999</v>
      </c>
      <c r="N87" s="8">
        <v>7.0000000000000007E-2</v>
      </c>
      <c r="O87" s="6">
        <v>11</v>
      </c>
      <c r="P87" s="7" t="str">
        <f t="shared" si="9"/>
        <v>Cape Town</v>
      </c>
      <c r="Q87" s="7" t="str">
        <f t="shared" si="10"/>
        <v>D. Smith</v>
      </c>
      <c r="R87" s="7" t="str">
        <f t="shared" si="11"/>
        <v>Marketplace</v>
      </c>
      <c r="S87" t="str">
        <f t="shared" si="16"/>
        <v>OK</v>
      </c>
      <c r="T87" s="8" t="str">
        <f t="shared" si="12"/>
        <v>OK</v>
      </c>
      <c r="U87" t="str">
        <f t="shared" si="13"/>
        <v>OK</v>
      </c>
      <c r="V87">
        <f t="shared" si="14"/>
        <v>1</v>
      </c>
      <c r="W87" s="4">
        <f t="shared" si="15"/>
        <v>45283</v>
      </c>
    </row>
    <row r="88" spans="1:23" hidden="1" x14ac:dyDescent="0.25">
      <c r="A88" t="s">
        <v>101</v>
      </c>
      <c r="B88" s="4">
        <v>45388</v>
      </c>
      <c r="C88" s="4">
        <v>45407</v>
      </c>
      <c r="D88" t="s">
        <v>647</v>
      </c>
      <c r="E88" t="s">
        <v>659</v>
      </c>
      <c r="F88" t="s">
        <v>685</v>
      </c>
      <c r="G88" t="s">
        <v>701</v>
      </c>
      <c r="H88" t="s">
        <v>707</v>
      </c>
      <c r="I88" t="s">
        <v>723</v>
      </c>
      <c r="J88" t="s">
        <v>727</v>
      </c>
      <c r="K88" t="s">
        <v>820</v>
      </c>
      <c r="L88" s="6">
        <v>1366.48</v>
      </c>
      <c r="M88" s="6">
        <v>1678.14</v>
      </c>
      <c r="N88" s="8">
        <v>0.154</v>
      </c>
      <c r="O88" s="6">
        <v>10</v>
      </c>
      <c r="P88" s="7" t="str">
        <f t="shared" si="9"/>
        <v>Shanghai</v>
      </c>
      <c r="Q88" s="7" t="str">
        <f t="shared" si="10"/>
        <v>K. Singh</v>
      </c>
      <c r="R88" s="7" t="str">
        <f t="shared" si="11"/>
        <v>Retail</v>
      </c>
      <c r="S88" t="str">
        <f t="shared" si="16"/>
        <v>OK</v>
      </c>
      <c r="T88" s="8" t="str">
        <f t="shared" si="12"/>
        <v>OK</v>
      </c>
      <c r="U88" t="str">
        <f t="shared" si="13"/>
        <v>OK</v>
      </c>
      <c r="V88">
        <f t="shared" si="14"/>
        <v>19</v>
      </c>
      <c r="W88" s="4">
        <f t="shared" si="15"/>
        <v>45407</v>
      </c>
    </row>
    <row r="89" spans="1:23" hidden="1" x14ac:dyDescent="0.25">
      <c r="A89" t="s">
        <v>102</v>
      </c>
      <c r="B89" s="4">
        <v>45876</v>
      </c>
      <c r="C89" s="4">
        <v>45888</v>
      </c>
      <c r="D89" t="s">
        <v>646</v>
      </c>
      <c r="E89" t="s">
        <v>650</v>
      </c>
      <c r="F89" t="s">
        <v>678</v>
      </c>
      <c r="G89" t="s">
        <v>701</v>
      </c>
      <c r="H89" t="s">
        <v>1379</v>
      </c>
      <c r="I89" t="s">
        <v>724</v>
      </c>
      <c r="J89" t="s">
        <v>727</v>
      </c>
      <c r="K89" t="s">
        <v>821</v>
      </c>
      <c r="L89" s="6">
        <v>601.51</v>
      </c>
      <c r="M89" s="6">
        <v>679.35</v>
      </c>
      <c r="N89" s="8">
        <v>0.188</v>
      </c>
      <c r="O89" s="6">
        <v>3</v>
      </c>
      <c r="P89" s="7" t="str">
        <f t="shared" si="9"/>
        <v>Nakuru</v>
      </c>
      <c r="Q89" s="7" t="str">
        <f t="shared" si="10"/>
        <v>M. Rossi</v>
      </c>
      <c r="R89" s="7" t="str">
        <f t="shared" si="11"/>
        <v>Unspecified</v>
      </c>
      <c r="S89" t="str">
        <f t="shared" si="16"/>
        <v>OK</v>
      </c>
      <c r="T89" s="8" t="str">
        <f t="shared" si="12"/>
        <v>OK</v>
      </c>
      <c r="U89" t="str">
        <f t="shared" si="13"/>
        <v>OK</v>
      </c>
      <c r="V89">
        <f t="shared" si="14"/>
        <v>12</v>
      </c>
      <c r="W89" s="4">
        <f t="shared" si="15"/>
        <v>45888</v>
      </c>
    </row>
    <row r="90" spans="1:23" hidden="1" x14ac:dyDescent="0.25">
      <c r="A90" t="s">
        <v>103</v>
      </c>
      <c r="B90" s="4">
        <v>45312</v>
      </c>
      <c r="C90" s="4">
        <v>45316</v>
      </c>
      <c r="D90" t="s">
        <v>647</v>
      </c>
      <c r="E90" t="s">
        <v>654</v>
      </c>
      <c r="F90" t="s">
        <v>680</v>
      </c>
      <c r="G90" t="s">
        <v>704</v>
      </c>
      <c r="H90" t="s">
        <v>711</v>
      </c>
      <c r="I90" t="s">
        <v>712</v>
      </c>
      <c r="J90" t="s">
        <v>732</v>
      </c>
      <c r="K90" t="s">
        <v>822</v>
      </c>
      <c r="L90" s="6">
        <v>523.70000000000005</v>
      </c>
      <c r="M90" s="6">
        <v>1109.92</v>
      </c>
      <c r="N90" s="8">
        <v>0.03</v>
      </c>
      <c r="O90" s="6">
        <v>11</v>
      </c>
      <c r="P90" s="7" t="str">
        <f t="shared" si="9"/>
        <v>Delhi</v>
      </c>
      <c r="Q90" s="7" t="str">
        <f t="shared" si="10"/>
        <v>C. Otieno</v>
      </c>
      <c r="R90" s="7" t="str">
        <f t="shared" si="11"/>
        <v>Direct</v>
      </c>
      <c r="S90" t="str">
        <f t="shared" si="16"/>
        <v>OK</v>
      </c>
      <c r="T90" s="8" t="str">
        <f t="shared" si="12"/>
        <v>OK</v>
      </c>
      <c r="U90" t="str">
        <f t="shared" si="13"/>
        <v>OK</v>
      </c>
      <c r="V90">
        <f t="shared" si="14"/>
        <v>4</v>
      </c>
      <c r="W90" s="4">
        <f t="shared" si="15"/>
        <v>45316</v>
      </c>
    </row>
    <row r="91" spans="1:23" hidden="1" x14ac:dyDescent="0.25">
      <c r="A91" t="s">
        <v>104</v>
      </c>
      <c r="B91" s="4">
        <v>45106</v>
      </c>
      <c r="C91" s="4">
        <v>45109</v>
      </c>
      <c r="D91" t="s">
        <v>647</v>
      </c>
      <c r="E91" t="s">
        <v>652</v>
      </c>
      <c r="F91" t="s">
        <v>694</v>
      </c>
      <c r="G91" t="s">
        <v>702</v>
      </c>
      <c r="H91" t="s">
        <v>709</v>
      </c>
      <c r="I91" t="s">
        <v>721</v>
      </c>
      <c r="J91" t="s">
        <v>732</v>
      </c>
      <c r="K91" t="s">
        <v>823</v>
      </c>
      <c r="L91" s="6">
        <v>55.65</v>
      </c>
      <c r="M91" s="6">
        <v>83.57</v>
      </c>
      <c r="N91" s="8">
        <v>6.6000000000000003E-2</v>
      </c>
      <c r="O91" s="6">
        <v>8</v>
      </c>
      <c r="P91" s="7" t="str">
        <f t="shared" si="9"/>
        <v>Nagoya</v>
      </c>
      <c r="Q91" s="7" t="str">
        <f t="shared" si="10"/>
        <v>F. Müller</v>
      </c>
      <c r="R91" s="7" t="str">
        <f t="shared" si="11"/>
        <v>Marketplace</v>
      </c>
      <c r="S91" t="str">
        <f t="shared" si="16"/>
        <v>OK</v>
      </c>
      <c r="T91" s="8" t="str">
        <f t="shared" si="12"/>
        <v>OK</v>
      </c>
      <c r="U91" t="str">
        <f t="shared" si="13"/>
        <v>OK</v>
      </c>
      <c r="V91">
        <f t="shared" si="14"/>
        <v>3</v>
      </c>
      <c r="W91" s="4">
        <f t="shared" si="15"/>
        <v>45109</v>
      </c>
    </row>
    <row r="92" spans="1:23" hidden="1" x14ac:dyDescent="0.25">
      <c r="A92" t="s">
        <v>105</v>
      </c>
      <c r="B92" s="4">
        <v>45775</v>
      </c>
      <c r="C92" s="4">
        <v>45792</v>
      </c>
      <c r="D92" t="s">
        <v>647</v>
      </c>
      <c r="E92" t="s">
        <v>652</v>
      </c>
      <c r="F92" t="s">
        <v>694</v>
      </c>
      <c r="G92" t="s">
        <v>702</v>
      </c>
      <c r="H92" t="s">
        <v>711</v>
      </c>
      <c r="I92" t="s">
        <v>725</v>
      </c>
      <c r="J92" t="s">
        <v>729</v>
      </c>
      <c r="K92" t="s">
        <v>824</v>
      </c>
      <c r="L92" s="6">
        <v>691.19</v>
      </c>
      <c r="M92" s="6">
        <v>1284.3</v>
      </c>
      <c r="N92" s="8">
        <v>7.3999999999999996E-2</v>
      </c>
      <c r="O92" s="6">
        <v>7</v>
      </c>
      <c r="P92" s="7" t="str">
        <f t="shared" si="9"/>
        <v>Nagoya</v>
      </c>
      <c r="Q92" s="7" t="str">
        <f t="shared" si="10"/>
        <v>N. Brown</v>
      </c>
      <c r="R92" s="7" t="str">
        <f t="shared" si="11"/>
        <v>Direct</v>
      </c>
      <c r="S92" t="str">
        <f t="shared" si="16"/>
        <v>OK</v>
      </c>
      <c r="T92" s="8" t="str">
        <f t="shared" si="12"/>
        <v>OK</v>
      </c>
      <c r="U92" t="str">
        <f t="shared" si="13"/>
        <v>OK</v>
      </c>
      <c r="V92">
        <f t="shared" si="14"/>
        <v>17</v>
      </c>
      <c r="W92" s="4">
        <f t="shared" si="15"/>
        <v>45792</v>
      </c>
    </row>
    <row r="93" spans="1:23" hidden="1" x14ac:dyDescent="0.25">
      <c r="A93" t="s">
        <v>106</v>
      </c>
      <c r="B93" s="4">
        <v>45817</v>
      </c>
      <c r="C93" s="4">
        <v>45833</v>
      </c>
      <c r="D93" t="s">
        <v>647</v>
      </c>
      <c r="E93" t="s">
        <v>654</v>
      </c>
      <c r="F93" t="s">
        <v>696</v>
      </c>
      <c r="G93" t="s">
        <v>706</v>
      </c>
      <c r="H93" t="s">
        <v>710</v>
      </c>
      <c r="I93" t="s">
        <v>724</v>
      </c>
      <c r="J93" t="s">
        <v>730</v>
      </c>
      <c r="K93" t="s">
        <v>825</v>
      </c>
      <c r="L93" s="6">
        <v>527.33000000000004</v>
      </c>
      <c r="M93" s="6">
        <v>911.72</v>
      </c>
      <c r="N93" s="8">
        <v>0.14399999999999999</v>
      </c>
      <c r="O93" s="6">
        <v>25</v>
      </c>
      <c r="P93" s="7" t="str">
        <f t="shared" si="9"/>
        <v>Hyderabad</v>
      </c>
      <c r="Q93" s="7" t="str">
        <f t="shared" si="10"/>
        <v>M. Rossi</v>
      </c>
      <c r="R93" s="7" t="str">
        <f t="shared" si="11"/>
        <v>Distributor</v>
      </c>
      <c r="S93" t="str">
        <f t="shared" si="16"/>
        <v>OK</v>
      </c>
      <c r="T93" s="8" t="str">
        <f t="shared" si="12"/>
        <v>OK</v>
      </c>
      <c r="U93" t="str">
        <f t="shared" si="13"/>
        <v>OK</v>
      </c>
      <c r="V93">
        <f t="shared" si="14"/>
        <v>16</v>
      </c>
      <c r="W93" s="4">
        <f t="shared" si="15"/>
        <v>45833</v>
      </c>
    </row>
    <row r="94" spans="1:23" hidden="1" x14ac:dyDescent="0.25">
      <c r="A94" t="s">
        <v>107</v>
      </c>
      <c r="B94" s="4">
        <v>45101</v>
      </c>
      <c r="C94" s="4">
        <v>45116</v>
      </c>
      <c r="D94" t="s">
        <v>648</v>
      </c>
      <c r="E94" t="s">
        <v>655</v>
      </c>
      <c r="F94" t="s">
        <v>692</v>
      </c>
      <c r="G94" t="s">
        <v>703</v>
      </c>
      <c r="H94" t="s">
        <v>707</v>
      </c>
      <c r="I94" t="s">
        <v>718</v>
      </c>
      <c r="J94" t="s">
        <v>728</v>
      </c>
      <c r="K94" t="s">
        <v>826</v>
      </c>
      <c r="L94" s="6">
        <v>804.01</v>
      </c>
      <c r="M94" s="6">
        <v>1405.07</v>
      </c>
      <c r="N94" s="8">
        <v>9.6000000000000002E-2</v>
      </c>
      <c r="O94" s="6">
        <v>8</v>
      </c>
      <c r="P94" s="7" t="str">
        <f t="shared" si="9"/>
        <v>Rio de Janeiro</v>
      </c>
      <c r="Q94" s="7" t="str">
        <f t="shared" si="10"/>
        <v>E. Garcia</v>
      </c>
      <c r="R94" s="7" t="str">
        <f t="shared" si="11"/>
        <v>Retail</v>
      </c>
      <c r="S94" t="str">
        <f t="shared" si="16"/>
        <v>OK</v>
      </c>
      <c r="T94" s="8" t="str">
        <f t="shared" si="12"/>
        <v>OK</v>
      </c>
      <c r="U94" t="str">
        <f t="shared" si="13"/>
        <v>OK</v>
      </c>
      <c r="V94">
        <f t="shared" si="14"/>
        <v>15</v>
      </c>
      <c r="W94" s="4">
        <f t="shared" si="15"/>
        <v>45116</v>
      </c>
    </row>
    <row r="95" spans="1:23" hidden="1" x14ac:dyDescent="0.25">
      <c r="A95" t="s">
        <v>108</v>
      </c>
      <c r="B95" s="4">
        <v>45569</v>
      </c>
      <c r="C95" s="4">
        <v>45598</v>
      </c>
      <c r="D95" t="s">
        <v>646</v>
      </c>
      <c r="E95" t="s">
        <v>651</v>
      </c>
      <c r="F95" t="s">
        <v>669</v>
      </c>
      <c r="G95" t="s">
        <v>701</v>
      </c>
      <c r="H95" t="s">
        <v>710</v>
      </c>
      <c r="I95" t="s">
        <v>721</v>
      </c>
      <c r="J95" t="s">
        <v>733</v>
      </c>
      <c r="K95" t="s">
        <v>827</v>
      </c>
      <c r="L95" s="6">
        <v>412.09</v>
      </c>
      <c r="M95" s="6">
        <v>968.94</v>
      </c>
      <c r="N95" s="8">
        <v>9.9000000000000005E-2</v>
      </c>
      <c r="O95" s="6">
        <v>23</v>
      </c>
      <c r="P95" s="7" t="str">
        <f t="shared" si="9"/>
        <v>Abuja</v>
      </c>
      <c r="Q95" s="7" t="str">
        <f t="shared" si="10"/>
        <v>F. Müller</v>
      </c>
      <c r="R95" s="7" t="str">
        <f t="shared" si="11"/>
        <v>Distributor</v>
      </c>
      <c r="S95" t="str">
        <f t="shared" si="16"/>
        <v>OK</v>
      </c>
      <c r="T95" s="8" t="str">
        <f t="shared" si="12"/>
        <v>OK</v>
      </c>
      <c r="U95" t="str">
        <f t="shared" si="13"/>
        <v>OK</v>
      </c>
      <c r="V95">
        <f t="shared" si="14"/>
        <v>29</v>
      </c>
      <c r="W95" s="4">
        <f t="shared" si="15"/>
        <v>45598</v>
      </c>
    </row>
    <row r="96" spans="1:23" hidden="1" x14ac:dyDescent="0.25">
      <c r="A96" t="s">
        <v>109</v>
      </c>
      <c r="B96" s="4">
        <v>45910</v>
      </c>
      <c r="C96" s="4">
        <v>45930</v>
      </c>
      <c r="D96" t="s">
        <v>646</v>
      </c>
      <c r="E96" t="s">
        <v>650</v>
      </c>
      <c r="F96" t="s">
        <v>675</v>
      </c>
      <c r="G96" t="s">
        <v>701</v>
      </c>
      <c r="H96" t="s">
        <v>711</v>
      </c>
      <c r="I96" t="s">
        <v>716</v>
      </c>
      <c r="J96" t="s">
        <v>730</v>
      </c>
      <c r="K96" t="s">
        <v>828</v>
      </c>
      <c r="L96" s="6">
        <v>1009.48</v>
      </c>
      <c r="M96" s="6">
        <v>1088.81</v>
      </c>
      <c r="N96" s="8">
        <v>0.16</v>
      </c>
      <c r="O96" s="6">
        <v>6</v>
      </c>
      <c r="P96" s="7" t="str">
        <f t="shared" si="9"/>
        <v>Mombasa</v>
      </c>
      <c r="Q96" s="7" t="str">
        <f t="shared" si="10"/>
        <v>L. Okafor</v>
      </c>
      <c r="R96" s="7" t="str">
        <f t="shared" si="11"/>
        <v>Direct</v>
      </c>
      <c r="S96" t="str">
        <f t="shared" si="16"/>
        <v>OK</v>
      </c>
      <c r="T96" s="8" t="str">
        <f t="shared" si="12"/>
        <v>OK</v>
      </c>
      <c r="U96" t="str">
        <f t="shared" si="13"/>
        <v>OK</v>
      </c>
      <c r="V96">
        <f t="shared" si="14"/>
        <v>20</v>
      </c>
      <c r="W96" s="4">
        <f t="shared" si="15"/>
        <v>45930</v>
      </c>
    </row>
    <row r="97" spans="1:23" hidden="1" x14ac:dyDescent="0.25">
      <c r="A97" t="s">
        <v>110</v>
      </c>
      <c r="B97" s="4">
        <v>45022</v>
      </c>
      <c r="C97" s="4">
        <v>45043</v>
      </c>
      <c r="D97" t="s">
        <v>649</v>
      </c>
      <c r="E97" t="s">
        <v>658</v>
      </c>
      <c r="F97" t="s">
        <v>693</v>
      </c>
      <c r="G97" t="s">
        <v>706</v>
      </c>
      <c r="H97" t="s">
        <v>710</v>
      </c>
      <c r="I97" t="s">
        <v>714</v>
      </c>
      <c r="J97" t="s">
        <v>728</v>
      </c>
      <c r="K97" t="s">
        <v>829</v>
      </c>
      <c r="L97" s="6">
        <v>1084.79</v>
      </c>
      <c r="M97" s="6">
        <v>2484.9899999999998</v>
      </c>
      <c r="N97" s="8">
        <v>3.4000000000000002E-2</v>
      </c>
      <c r="O97" s="6">
        <v>18</v>
      </c>
      <c r="P97" s="7" t="str">
        <f t="shared" si="9"/>
        <v>Manchester</v>
      </c>
      <c r="Q97" s="7" t="str">
        <f t="shared" si="10"/>
        <v>I. Johnson</v>
      </c>
      <c r="R97" s="7" t="str">
        <f t="shared" si="11"/>
        <v>Distributor</v>
      </c>
      <c r="S97" t="str">
        <f t="shared" si="16"/>
        <v>OK</v>
      </c>
      <c r="T97" s="8" t="str">
        <f t="shared" si="12"/>
        <v>OK</v>
      </c>
      <c r="U97" t="str">
        <f t="shared" si="13"/>
        <v>OK</v>
      </c>
      <c r="V97">
        <f t="shared" si="14"/>
        <v>21</v>
      </c>
      <c r="W97" s="4">
        <f t="shared" si="15"/>
        <v>45043</v>
      </c>
    </row>
    <row r="98" spans="1:23" hidden="1" x14ac:dyDescent="0.25">
      <c r="A98" t="s">
        <v>111</v>
      </c>
      <c r="B98" s="4">
        <v>45870</v>
      </c>
      <c r="C98" s="4">
        <v>45885</v>
      </c>
      <c r="D98" t="s">
        <v>647</v>
      </c>
      <c r="E98" t="s">
        <v>654</v>
      </c>
      <c r="F98" t="s">
        <v>1367</v>
      </c>
      <c r="G98" t="s">
        <v>706</v>
      </c>
      <c r="H98" t="s">
        <v>711</v>
      </c>
      <c r="I98" t="s">
        <v>719</v>
      </c>
      <c r="J98" t="s">
        <v>732</v>
      </c>
      <c r="K98" t="s">
        <v>830</v>
      </c>
      <c r="L98" s="6">
        <v>24.44</v>
      </c>
      <c r="M98" s="6">
        <v>28.69</v>
      </c>
      <c r="N98" s="8">
        <v>0.14599999999999999</v>
      </c>
      <c r="O98" s="6">
        <v>6</v>
      </c>
      <c r="P98" s="7" t="str">
        <f t="shared" si="9"/>
        <v>Unknown</v>
      </c>
      <c r="Q98" s="7" t="str">
        <f t="shared" si="10"/>
        <v>O. Wang</v>
      </c>
      <c r="R98" s="7" t="str">
        <f t="shared" si="11"/>
        <v>Direct</v>
      </c>
      <c r="S98" t="str">
        <f t="shared" si="16"/>
        <v>OK</v>
      </c>
      <c r="T98" s="8" t="str">
        <f t="shared" si="12"/>
        <v>OK</v>
      </c>
      <c r="U98" t="str">
        <f t="shared" si="13"/>
        <v>OK</v>
      </c>
      <c r="V98">
        <f t="shared" si="14"/>
        <v>15</v>
      </c>
      <c r="W98" s="4">
        <f t="shared" si="15"/>
        <v>45885</v>
      </c>
    </row>
    <row r="99" spans="1:23" hidden="1" x14ac:dyDescent="0.25">
      <c r="A99" t="s">
        <v>112</v>
      </c>
      <c r="B99" s="4">
        <v>45440</v>
      </c>
      <c r="C99" s="4">
        <v>45455</v>
      </c>
      <c r="D99" t="s">
        <v>646</v>
      </c>
      <c r="E99" t="s">
        <v>651</v>
      </c>
      <c r="F99" t="s">
        <v>669</v>
      </c>
      <c r="G99" t="s">
        <v>706</v>
      </c>
      <c r="H99" t="s">
        <v>708</v>
      </c>
      <c r="I99" t="s">
        <v>721</v>
      </c>
      <c r="J99" t="s">
        <v>733</v>
      </c>
      <c r="K99" t="s">
        <v>831</v>
      </c>
      <c r="L99" s="6">
        <v>1227.08</v>
      </c>
      <c r="M99" s="6">
        <v>1896.62</v>
      </c>
      <c r="N99" s="8">
        <v>0</v>
      </c>
      <c r="O99" s="6">
        <v>18</v>
      </c>
      <c r="P99" s="7" t="str">
        <f t="shared" si="9"/>
        <v>Abuja</v>
      </c>
      <c r="Q99" s="7" t="str">
        <f t="shared" si="10"/>
        <v>F. Müller</v>
      </c>
      <c r="R99" s="7" t="str">
        <f t="shared" si="11"/>
        <v>Online</v>
      </c>
      <c r="S99" t="str">
        <f t="shared" si="16"/>
        <v>OK</v>
      </c>
      <c r="T99" s="8" t="str">
        <f t="shared" si="12"/>
        <v>OK</v>
      </c>
      <c r="U99" t="str">
        <f t="shared" si="13"/>
        <v>OK</v>
      </c>
      <c r="V99">
        <f t="shared" si="14"/>
        <v>15</v>
      </c>
      <c r="W99" s="4">
        <f t="shared" si="15"/>
        <v>45455</v>
      </c>
    </row>
    <row r="100" spans="1:23" hidden="1" x14ac:dyDescent="0.25">
      <c r="A100" t="s">
        <v>113</v>
      </c>
      <c r="B100" s="4">
        <v>45860</v>
      </c>
      <c r="C100" s="4">
        <v>45887</v>
      </c>
      <c r="D100" t="s">
        <v>647</v>
      </c>
      <c r="E100" t="s">
        <v>659</v>
      </c>
      <c r="F100" t="s">
        <v>676</v>
      </c>
      <c r="G100" t="s">
        <v>703</v>
      </c>
      <c r="H100" t="s">
        <v>709</v>
      </c>
      <c r="I100" t="s">
        <v>724</v>
      </c>
      <c r="J100" t="s">
        <v>729</v>
      </c>
      <c r="K100" t="s">
        <v>832</v>
      </c>
      <c r="L100" s="6">
        <v>547.32000000000005</v>
      </c>
      <c r="M100" s="6">
        <v>419.17</v>
      </c>
      <c r="N100" s="8">
        <v>9.1999999999999998E-2</v>
      </c>
      <c r="O100" s="6">
        <v>14</v>
      </c>
      <c r="P100" s="7" t="str">
        <f t="shared" si="9"/>
        <v>Shenzhen</v>
      </c>
      <c r="Q100" s="7" t="str">
        <f t="shared" si="10"/>
        <v>M. Rossi</v>
      </c>
      <c r="R100" s="7" t="str">
        <f t="shared" si="11"/>
        <v>Marketplace</v>
      </c>
      <c r="S100" t="str">
        <f t="shared" si="16"/>
        <v>OK</v>
      </c>
      <c r="T100" s="8" t="str">
        <f t="shared" si="12"/>
        <v>OK</v>
      </c>
      <c r="U100" t="str">
        <f t="shared" si="13"/>
        <v>OK</v>
      </c>
      <c r="V100">
        <f t="shared" si="14"/>
        <v>27</v>
      </c>
      <c r="W100" s="4">
        <f t="shared" si="15"/>
        <v>45887</v>
      </c>
    </row>
    <row r="101" spans="1:23" hidden="1" x14ac:dyDescent="0.25">
      <c r="A101" t="s">
        <v>114</v>
      </c>
      <c r="B101" s="4">
        <v>44985</v>
      </c>
      <c r="C101" s="4">
        <v>45005</v>
      </c>
      <c r="D101" t="s">
        <v>649</v>
      </c>
      <c r="E101" t="s">
        <v>656</v>
      </c>
      <c r="F101" t="s">
        <v>671</v>
      </c>
      <c r="G101" t="s">
        <v>705</v>
      </c>
      <c r="H101" t="s">
        <v>711</v>
      </c>
      <c r="I101" t="s">
        <v>722</v>
      </c>
      <c r="J101" t="s">
        <v>731</v>
      </c>
      <c r="K101" t="s">
        <v>833</v>
      </c>
      <c r="L101" s="6">
        <v>1200.78</v>
      </c>
      <c r="M101" s="6">
        <v>2001.17</v>
      </c>
      <c r="N101" s="8">
        <v>0.29199999999999998</v>
      </c>
      <c r="O101" s="6">
        <v>18</v>
      </c>
      <c r="P101" s="7" t="str">
        <f t="shared" si="9"/>
        <v>Berlin</v>
      </c>
      <c r="Q101" s="7" t="str">
        <f t="shared" si="10"/>
        <v>H. Kim</v>
      </c>
      <c r="R101" s="7" t="str">
        <f t="shared" si="11"/>
        <v>Direct</v>
      </c>
      <c r="S101" t="str">
        <f t="shared" si="16"/>
        <v>OK</v>
      </c>
      <c r="T101" s="8" t="str">
        <f t="shared" si="12"/>
        <v>OK</v>
      </c>
      <c r="U101" t="str">
        <f t="shared" si="13"/>
        <v>OK</v>
      </c>
      <c r="V101">
        <f t="shared" si="14"/>
        <v>20</v>
      </c>
      <c r="W101" s="4">
        <f t="shared" si="15"/>
        <v>45005</v>
      </c>
    </row>
    <row r="102" spans="1:23" hidden="1" x14ac:dyDescent="0.25">
      <c r="A102" t="s">
        <v>115</v>
      </c>
      <c r="B102" s="4">
        <v>45684</v>
      </c>
      <c r="C102" s="4">
        <v>45703</v>
      </c>
      <c r="D102" t="s">
        <v>647</v>
      </c>
      <c r="E102" t="s">
        <v>659</v>
      </c>
      <c r="F102" t="s">
        <v>676</v>
      </c>
      <c r="G102" t="s">
        <v>703</v>
      </c>
      <c r="H102" t="s">
        <v>711</v>
      </c>
      <c r="I102" t="s">
        <v>716</v>
      </c>
      <c r="J102" t="s">
        <v>730</v>
      </c>
      <c r="K102" t="s">
        <v>834</v>
      </c>
      <c r="L102" s="6">
        <v>1253.22</v>
      </c>
      <c r="M102" s="6">
        <v>3104.71</v>
      </c>
      <c r="N102" s="8">
        <v>0</v>
      </c>
      <c r="O102" s="6">
        <v>17</v>
      </c>
      <c r="P102" s="7" t="str">
        <f t="shared" si="9"/>
        <v>Shenzhen</v>
      </c>
      <c r="Q102" s="7" t="str">
        <f t="shared" si="10"/>
        <v>L. Okafor</v>
      </c>
      <c r="R102" s="7" t="str">
        <f t="shared" si="11"/>
        <v>Direct</v>
      </c>
      <c r="S102" t="str">
        <f t="shared" si="16"/>
        <v>OK</v>
      </c>
      <c r="T102" s="8" t="str">
        <f t="shared" si="12"/>
        <v>OK</v>
      </c>
      <c r="U102" t="str">
        <f t="shared" si="13"/>
        <v>OK</v>
      </c>
      <c r="V102">
        <f t="shared" si="14"/>
        <v>19</v>
      </c>
      <c r="W102" s="4">
        <f t="shared" si="15"/>
        <v>45703</v>
      </c>
    </row>
    <row r="103" spans="1:23" hidden="1" x14ac:dyDescent="0.25">
      <c r="A103" t="s">
        <v>116</v>
      </c>
      <c r="B103" s="4">
        <v>45304</v>
      </c>
      <c r="C103" s="4">
        <v>45313</v>
      </c>
      <c r="D103" t="s">
        <v>647</v>
      </c>
      <c r="E103" t="s">
        <v>654</v>
      </c>
      <c r="F103" t="s">
        <v>691</v>
      </c>
      <c r="G103" t="s">
        <v>706</v>
      </c>
      <c r="H103" t="s">
        <v>709</v>
      </c>
      <c r="I103" t="s">
        <v>713</v>
      </c>
      <c r="J103" t="s">
        <v>727</v>
      </c>
      <c r="K103" t="s">
        <v>835</v>
      </c>
      <c r="L103" s="6">
        <v>313.60000000000002</v>
      </c>
      <c r="M103" s="6">
        <v>334.28</v>
      </c>
      <c r="N103" s="8">
        <v>0.14000000000000001</v>
      </c>
      <c r="O103" s="6">
        <v>22</v>
      </c>
      <c r="P103" s="7" t="str">
        <f t="shared" si="9"/>
        <v>Mumbai</v>
      </c>
      <c r="Q103" s="7" t="str">
        <f t="shared" si="10"/>
        <v>J. Njeri</v>
      </c>
      <c r="R103" s="7" t="str">
        <f t="shared" si="11"/>
        <v>Marketplace</v>
      </c>
      <c r="S103" t="str">
        <f t="shared" si="16"/>
        <v>OK</v>
      </c>
      <c r="T103" s="8" t="str">
        <f t="shared" si="12"/>
        <v>OK</v>
      </c>
      <c r="U103" t="str">
        <f t="shared" si="13"/>
        <v>OK</v>
      </c>
      <c r="V103">
        <f t="shared" si="14"/>
        <v>9</v>
      </c>
      <c r="W103" s="4">
        <f t="shared" si="15"/>
        <v>45313</v>
      </c>
    </row>
    <row r="104" spans="1:23" hidden="1" x14ac:dyDescent="0.25">
      <c r="A104" t="s">
        <v>117</v>
      </c>
      <c r="B104" s="4">
        <v>45747</v>
      </c>
      <c r="C104" s="4">
        <v>45751</v>
      </c>
      <c r="D104" t="s">
        <v>646</v>
      </c>
      <c r="E104" t="s">
        <v>650</v>
      </c>
      <c r="F104" t="s">
        <v>678</v>
      </c>
      <c r="G104" t="s">
        <v>701</v>
      </c>
      <c r="H104" t="s">
        <v>711</v>
      </c>
      <c r="I104" t="s">
        <v>712</v>
      </c>
      <c r="J104" t="s">
        <v>731</v>
      </c>
      <c r="K104" t="s">
        <v>836</v>
      </c>
      <c r="L104" s="6">
        <v>862.08</v>
      </c>
      <c r="M104" s="6">
        <v>1952.83</v>
      </c>
      <c r="N104" s="8">
        <v>0</v>
      </c>
      <c r="O104" s="6">
        <v>7</v>
      </c>
      <c r="P104" s="7" t="str">
        <f t="shared" si="9"/>
        <v>Nakuru</v>
      </c>
      <c r="Q104" s="7" t="str">
        <f t="shared" si="10"/>
        <v>C. Otieno</v>
      </c>
      <c r="R104" s="7" t="str">
        <f t="shared" si="11"/>
        <v>Direct</v>
      </c>
      <c r="S104" t="str">
        <f t="shared" si="16"/>
        <v>OK</v>
      </c>
      <c r="T104" s="8" t="str">
        <f t="shared" si="12"/>
        <v>OK</v>
      </c>
      <c r="U104" t="str">
        <f t="shared" si="13"/>
        <v>OK</v>
      </c>
      <c r="V104">
        <f t="shared" si="14"/>
        <v>4</v>
      </c>
      <c r="W104" s="4">
        <f t="shared" si="15"/>
        <v>45751</v>
      </c>
    </row>
    <row r="105" spans="1:23" hidden="1" x14ac:dyDescent="0.25">
      <c r="A105" t="s">
        <v>118</v>
      </c>
      <c r="B105" s="4">
        <v>45631</v>
      </c>
      <c r="C105" s="4">
        <v>45654</v>
      </c>
      <c r="D105" t="s">
        <v>648</v>
      </c>
      <c r="E105" t="s">
        <v>653</v>
      </c>
      <c r="F105" t="s">
        <v>688</v>
      </c>
      <c r="G105" t="s">
        <v>701</v>
      </c>
      <c r="H105" t="s">
        <v>711</v>
      </c>
      <c r="I105" t="s">
        <v>721</v>
      </c>
      <c r="J105" t="s">
        <v>733</v>
      </c>
      <c r="K105" t="s">
        <v>837</v>
      </c>
      <c r="L105" s="6">
        <v>107.03</v>
      </c>
      <c r="M105" s="6">
        <v>242.29</v>
      </c>
      <c r="N105" s="8">
        <v>0.18</v>
      </c>
      <c r="O105" s="6">
        <v>30</v>
      </c>
      <c r="P105" s="7" t="str">
        <f t="shared" si="9"/>
        <v>Vancouver</v>
      </c>
      <c r="Q105" s="7" t="str">
        <f t="shared" si="10"/>
        <v>F. Müller</v>
      </c>
      <c r="R105" s="7" t="str">
        <f t="shared" si="11"/>
        <v>Direct</v>
      </c>
      <c r="S105" t="str">
        <f t="shared" si="16"/>
        <v>OK</v>
      </c>
      <c r="T105" s="8" t="str">
        <f t="shared" si="12"/>
        <v>OK</v>
      </c>
      <c r="U105" t="str">
        <f t="shared" si="13"/>
        <v>OK</v>
      </c>
      <c r="V105">
        <f t="shared" si="14"/>
        <v>23</v>
      </c>
      <c r="W105" s="4">
        <f t="shared" si="15"/>
        <v>45654</v>
      </c>
    </row>
    <row r="106" spans="1:23" hidden="1" x14ac:dyDescent="0.25">
      <c r="A106" t="s">
        <v>119</v>
      </c>
      <c r="B106" s="4">
        <v>45549</v>
      </c>
      <c r="C106" s="4">
        <v>45570</v>
      </c>
      <c r="D106" t="s">
        <v>647</v>
      </c>
      <c r="E106" t="s">
        <v>659</v>
      </c>
      <c r="F106" t="s">
        <v>685</v>
      </c>
      <c r="G106" t="s">
        <v>705</v>
      </c>
      <c r="H106" t="s">
        <v>708</v>
      </c>
      <c r="I106" t="s">
        <v>722</v>
      </c>
      <c r="J106" t="s">
        <v>731</v>
      </c>
      <c r="K106" t="s">
        <v>838</v>
      </c>
      <c r="L106" s="6">
        <v>1405.56</v>
      </c>
      <c r="M106" s="6">
        <v>2968.87</v>
      </c>
      <c r="N106" s="8">
        <v>0.16900000000000001</v>
      </c>
      <c r="O106" s="6">
        <v>5</v>
      </c>
      <c r="P106" s="7" t="str">
        <f t="shared" si="9"/>
        <v>Shanghai</v>
      </c>
      <c r="Q106" s="7" t="str">
        <f t="shared" si="10"/>
        <v>H. Kim</v>
      </c>
      <c r="R106" s="7" t="str">
        <f t="shared" si="11"/>
        <v>Online</v>
      </c>
      <c r="S106" t="str">
        <f t="shared" si="16"/>
        <v>OK</v>
      </c>
      <c r="T106" s="8" t="str">
        <f t="shared" si="12"/>
        <v>OK</v>
      </c>
      <c r="U106" t="str">
        <f t="shared" si="13"/>
        <v>OK</v>
      </c>
      <c r="V106">
        <f t="shared" si="14"/>
        <v>21</v>
      </c>
      <c r="W106" s="4">
        <f t="shared" si="15"/>
        <v>45570</v>
      </c>
    </row>
    <row r="107" spans="1:23" hidden="1" x14ac:dyDescent="0.25">
      <c r="A107" t="s">
        <v>120</v>
      </c>
      <c r="B107" s="4">
        <v>45433</v>
      </c>
      <c r="C107" s="4">
        <v>45439</v>
      </c>
      <c r="D107" t="s">
        <v>646</v>
      </c>
      <c r="E107" t="s">
        <v>661</v>
      </c>
      <c r="F107" t="s">
        <v>682</v>
      </c>
      <c r="G107" t="s">
        <v>703</v>
      </c>
      <c r="H107" t="s">
        <v>708</v>
      </c>
      <c r="I107" t="s">
        <v>724</v>
      </c>
      <c r="J107" t="s">
        <v>727</v>
      </c>
      <c r="K107" t="s">
        <v>839</v>
      </c>
      <c r="L107" s="6">
        <v>1157.51</v>
      </c>
      <c r="M107" s="6">
        <v>1394.3</v>
      </c>
      <c r="N107" s="8">
        <v>0.27800000000000002</v>
      </c>
      <c r="O107" s="6">
        <v>12</v>
      </c>
      <c r="P107" s="7" t="str">
        <f t="shared" si="9"/>
        <v>Johannesburg</v>
      </c>
      <c r="Q107" s="7" t="str">
        <f t="shared" si="10"/>
        <v>M. Rossi</v>
      </c>
      <c r="R107" s="7" t="str">
        <f t="shared" si="11"/>
        <v>Online</v>
      </c>
      <c r="S107" t="str">
        <f t="shared" si="16"/>
        <v>OK</v>
      </c>
      <c r="T107" s="8" t="str">
        <f t="shared" si="12"/>
        <v>OK</v>
      </c>
      <c r="U107" t="str">
        <f t="shared" si="13"/>
        <v>OK</v>
      </c>
      <c r="V107">
        <f t="shared" si="14"/>
        <v>6</v>
      </c>
      <c r="W107" s="4">
        <f t="shared" si="15"/>
        <v>45439</v>
      </c>
    </row>
    <row r="108" spans="1:23" hidden="1" x14ac:dyDescent="0.25">
      <c r="A108" t="s">
        <v>121</v>
      </c>
      <c r="B108" s="4">
        <v>45057</v>
      </c>
      <c r="C108" s="4">
        <v>45084</v>
      </c>
      <c r="D108" t="s">
        <v>646</v>
      </c>
      <c r="E108" t="s">
        <v>650</v>
      </c>
      <c r="F108" t="s">
        <v>675</v>
      </c>
      <c r="G108" t="s">
        <v>701</v>
      </c>
      <c r="H108" t="s">
        <v>708</v>
      </c>
      <c r="I108" t="s">
        <v>713</v>
      </c>
      <c r="J108" t="s">
        <v>730</v>
      </c>
      <c r="K108" t="s">
        <v>840</v>
      </c>
      <c r="L108" s="6">
        <v>12.85</v>
      </c>
      <c r="M108" s="6">
        <v>15.41</v>
      </c>
      <c r="N108" s="8">
        <v>0.13700000000000001</v>
      </c>
      <c r="O108" s="6">
        <v>39</v>
      </c>
      <c r="P108" s="7" t="str">
        <f t="shared" si="9"/>
        <v>Mombasa</v>
      </c>
      <c r="Q108" s="7" t="str">
        <f t="shared" si="10"/>
        <v>J. Njeri</v>
      </c>
      <c r="R108" s="7" t="str">
        <f t="shared" si="11"/>
        <v>Online</v>
      </c>
      <c r="S108" t="str">
        <f t="shared" si="16"/>
        <v>OK</v>
      </c>
      <c r="T108" s="8" t="str">
        <f t="shared" si="12"/>
        <v>OK</v>
      </c>
      <c r="U108" t="str">
        <f t="shared" si="13"/>
        <v>OK</v>
      </c>
      <c r="V108">
        <f t="shared" si="14"/>
        <v>27</v>
      </c>
      <c r="W108" s="4">
        <f t="shared" si="15"/>
        <v>45084</v>
      </c>
    </row>
    <row r="109" spans="1:23" hidden="1" x14ac:dyDescent="0.25">
      <c r="A109" t="s">
        <v>122</v>
      </c>
      <c r="B109" s="4">
        <v>45518</v>
      </c>
      <c r="C109" s="4">
        <v>45539</v>
      </c>
      <c r="D109" t="s">
        <v>649</v>
      </c>
      <c r="E109" t="s">
        <v>658</v>
      </c>
      <c r="F109" t="s">
        <v>693</v>
      </c>
      <c r="G109" t="s">
        <v>703</v>
      </c>
      <c r="H109" t="s">
        <v>708</v>
      </c>
      <c r="I109" t="s">
        <v>713</v>
      </c>
      <c r="J109" t="s">
        <v>730</v>
      </c>
      <c r="K109" t="s">
        <v>841</v>
      </c>
      <c r="L109" s="6">
        <v>1138.8</v>
      </c>
      <c r="M109" s="6">
        <v>2250.81</v>
      </c>
      <c r="N109" s="8">
        <v>0.123</v>
      </c>
      <c r="O109" s="6">
        <v>12</v>
      </c>
      <c r="P109" s="7" t="str">
        <f t="shared" si="9"/>
        <v>Manchester</v>
      </c>
      <c r="Q109" s="7" t="str">
        <f t="shared" si="10"/>
        <v>J. Njeri</v>
      </c>
      <c r="R109" s="7" t="str">
        <f t="shared" si="11"/>
        <v>Online</v>
      </c>
      <c r="S109" t="str">
        <f t="shared" si="16"/>
        <v>OK</v>
      </c>
      <c r="T109" s="8" t="str">
        <f t="shared" si="12"/>
        <v>OK</v>
      </c>
      <c r="U109" t="str">
        <f t="shared" si="13"/>
        <v>OK</v>
      </c>
      <c r="V109">
        <f t="shared" si="14"/>
        <v>21</v>
      </c>
      <c r="W109" s="4">
        <f t="shared" si="15"/>
        <v>45539</v>
      </c>
    </row>
    <row r="110" spans="1:23" hidden="1" x14ac:dyDescent="0.25">
      <c r="A110" t="s">
        <v>123</v>
      </c>
      <c r="B110" s="4">
        <v>45581</v>
      </c>
      <c r="C110" s="4">
        <v>45604</v>
      </c>
      <c r="D110" t="s">
        <v>647</v>
      </c>
      <c r="E110" t="s">
        <v>652</v>
      </c>
      <c r="F110" t="s">
        <v>666</v>
      </c>
      <c r="G110" t="s">
        <v>705</v>
      </c>
      <c r="H110" t="s">
        <v>707</v>
      </c>
      <c r="I110" t="s">
        <v>713</v>
      </c>
      <c r="J110" t="s">
        <v>729</v>
      </c>
      <c r="K110" t="s">
        <v>842</v>
      </c>
      <c r="L110" s="6">
        <v>82.14</v>
      </c>
      <c r="M110" s="6">
        <v>166.04</v>
      </c>
      <c r="N110" s="8">
        <v>0</v>
      </c>
      <c r="O110" s="6">
        <v>10</v>
      </c>
      <c r="P110" s="7" t="str">
        <f t="shared" si="9"/>
        <v>Osaka</v>
      </c>
      <c r="Q110" s="7" t="str">
        <f t="shared" si="10"/>
        <v>J. Njeri</v>
      </c>
      <c r="R110" s="7" t="str">
        <f t="shared" si="11"/>
        <v>Retail</v>
      </c>
      <c r="S110" t="str">
        <f t="shared" si="16"/>
        <v>OK</v>
      </c>
      <c r="T110" s="8" t="str">
        <f t="shared" si="12"/>
        <v>OK</v>
      </c>
      <c r="U110" t="str">
        <f t="shared" si="13"/>
        <v>OK</v>
      </c>
      <c r="V110">
        <f t="shared" si="14"/>
        <v>23</v>
      </c>
      <c r="W110" s="4">
        <f t="shared" si="15"/>
        <v>45604</v>
      </c>
    </row>
    <row r="111" spans="1:23" hidden="1" x14ac:dyDescent="0.25">
      <c r="A111" t="s">
        <v>124</v>
      </c>
      <c r="B111" s="4">
        <v>45445</v>
      </c>
      <c r="C111" s="4">
        <v>45451</v>
      </c>
      <c r="D111" t="s">
        <v>646</v>
      </c>
      <c r="E111" t="s">
        <v>650</v>
      </c>
      <c r="F111" t="s">
        <v>662</v>
      </c>
      <c r="G111" t="s">
        <v>704</v>
      </c>
      <c r="H111" t="s">
        <v>709</v>
      </c>
      <c r="I111" t="s">
        <v>720</v>
      </c>
      <c r="J111" t="s">
        <v>733</v>
      </c>
      <c r="K111" t="s">
        <v>843</v>
      </c>
      <c r="L111" s="6">
        <v>292.94</v>
      </c>
      <c r="M111" s="6">
        <v>356.55</v>
      </c>
      <c r="N111" s="8">
        <v>0.22900000000000001</v>
      </c>
      <c r="O111" s="6">
        <v>2</v>
      </c>
      <c r="P111" s="7" t="str">
        <f t="shared" si="9"/>
        <v>Kisumu</v>
      </c>
      <c r="Q111" s="7" t="str">
        <f t="shared" si="10"/>
        <v>A. Patel</v>
      </c>
      <c r="R111" s="7" t="str">
        <f t="shared" si="11"/>
        <v>Marketplace</v>
      </c>
      <c r="S111" t="str">
        <f t="shared" si="16"/>
        <v>OK</v>
      </c>
      <c r="T111" s="8" t="str">
        <f t="shared" si="12"/>
        <v>OK</v>
      </c>
      <c r="U111" t="str">
        <f t="shared" si="13"/>
        <v>OK</v>
      </c>
      <c r="V111">
        <f t="shared" si="14"/>
        <v>6</v>
      </c>
      <c r="W111" s="4">
        <f t="shared" si="15"/>
        <v>45451</v>
      </c>
    </row>
    <row r="112" spans="1:23" hidden="1" x14ac:dyDescent="0.25">
      <c r="A112" t="s">
        <v>125</v>
      </c>
      <c r="B112" s="4">
        <v>45452</v>
      </c>
      <c r="C112" s="4">
        <v>45480</v>
      </c>
      <c r="D112" t="s">
        <v>647</v>
      </c>
      <c r="E112" t="s">
        <v>659</v>
      </c>
      <c r="F112" t="s">
        <v>676</v>
      </c>
      <c r="G112" t="s">
        <v>701</v>
      </c>
      <c r="H112" t="s">
        <v>708</v>
      </c>
      <c r="I112" t="s">
        <v>713</v>
      </c>
      <c r="J112" t="s">
        <v>727</v>
      </c>
      <c r="K112" t="s">
        <v>844</v>
      </c>
      <c r="L112" s="6">
        <v>550.22</v>
      </c>
      <c r="M112" s="6">
        <v>1025.05</v>
      </c>
      <c r="N112" s="8">
        <v>0</v>
      </c>
      <c r="O112" s="6">
        <v>27</v>
      </c>
      <c r="P112" s="7" t="str">
        <f t="shared" si="9"/>
        <v>Shenzhen</v>
      </c>
      <c r="Q112" s="7" t="str">
        <f t="shared" si="10"/>
        <v>J. Njeri</v>
      </c>
      <c r="R112" s="7" t="str">
        <f t="shared" si="11"/>
        <v>Online</v>
      </c>
      <c r="S112" t="str">
        <f t="shared" si="16"/>
        <v>OK</v>
      </c>
      <c r="T112" s="8" t="str">
        <f t="shared" si="12"/>
        <v>OK</v>
      </c>
      <c r="U112" t="str">
        <f t="shared" si="13"/>
        <v>OK</v>
      </c>
      <c r="V112">
        <f t="shared" si="14"/>
        <v>28</v>
      </c>
      <c r="W112" s="4">
        <f t="shared" si="15"/>
        <v>45480</v>
      </c>
    </row>
    <row r="113" spans="1:23" hidden="1" x14ac:dyDescent="0.25">
      <c r="A113" t="s">
        <v>126</v>
      </c>
      <c r="B113" s="4">
        <v>45453</v>
      </c>
      <c r="C113" s="4">
        <v>45454</v>
      </c>
      <c r="D113" t="s">
        <v>649</v>
      </c>
      <c r="E113" t="s">
        <v>658</v>
      </c>
      <c r="F113" t="s">
        <v>674</v>
      </c>
      <c r="G113" t="s">
        <v>705</v>
      </c>
      <c r="H113" t="s">
        <v>709</v>
      </c>
      <c r="I113" t="s">
        <v>724</v>
      </c>
      <c r="J113" t="s">
        <v>731</v>
      </c>
      <c r="K113" t="s">
        <v>845</v>
      </c>
      <c r="L113" s="6">
        <v>1187.1300000000001</v>
      </c>
      <c r="M113" s="6">
        <v>1795.17</v>
      </c>
      <c r="N113" s="8">
        <v>1.2E-2</v>
      </c>
      <c r="O113" s="6">
        <v>17</v>
      </c>
      <c r="P113" s="7" t="str">
        <f t="shared" si="9"/>
        <v>Birmingham</v>
      </c>
      <c r="Q113" s="7" t="str">
        <f t="shared" si="10"/>
        <v>M. Rossi</v>
      </c>
      <c r="R113" s="7" t="str">
        <f t="shared" si="11"/>
        <v>Marketplace</v>
      </c>
      <c r="S113" t="str">
        <f t="shared" si="16"/>
        <v>OK</v>
      </c>
      <c r="T113" s="8" t="str">
        <f t="shared" si="12"/>
        <v>OK</v>
      </c>
      <c r="U113" t="str">
        <f t="shared" si="13"/>
        <v>OK</v>
      </c>
      <c r="V113">
        <f t="shared" si="14"/>
        <v>1</v>
      </c>
      <c r="W113" s="4">
        <f t="shared" si="15"/>
        <v>45454</v>
      </c>
    </row>
    <row r="114" spans="1:23" hidden="1" x14ac:dyDescent="0.25">
      <c r="A114" t="s">
        <v>127</v>
      </c>
      <c r="B114" s="4">
        <v>45472</v>
      </c>
      <c r="C114" s="4">
        <v>45499</v>
      </c>
      <c r="D114" t="s">
        <v>646</v>
      </c>
      <c r="E114" t="s">
        <v>661</v>
      </c>
      <c r="F114" t="s">
        <v>687</v>
      </c>
      <c r="G114" t="s">
        <v>706</v>
      </c>
      <c r="H114" t="s">
        <v>710</v>
      </c>
      <c r="I114" t="s">
        <v>717</v>
      </c>
      <c r="J114" t="s">
        <v>729</v>
      </c>
      <c r="K114" t="s">
        <v>846</v>
      </c>
      <c r="L114" s="6">
        <v>5.36</v>
      </c>
      <c r="M114" s="6">
        <v>4.37</v>
      </c>
      <c r="N114" s="8">
        <v>0.11799999999999999</v>
      </c>
      <c r="O114" s="6">
        <v>9</v>
      </c>
      <c r="P114" s="7" t="str">
        <f t="shared" si="9"/>
        <v>Durban</v>
      </c>
      <c r="Q114" s="7" t="str">
        <f t="shared" si="10"/>
        <v>B. Chen</v>
      </c>
      <c r="R114" s="7" t="str">
        <f t="shared" si="11"/>
        <v>Distributor</v>
      </c>
      <c r="S114" t="str">
        <f t="shared" si="16"/>
        <v>OK</v>
      </c>
      <c r="T114" s="8" t="str">
        <f t="shared" si="12"/>
        <v>OK</v>
      </c>
      <c r="U114" t="str">
        <f t="shared" si="13"/>
        <v>OK</v>
      </c>
      <c r="V114">
        <f t="shared" si="14"/>
        <v>27</v>
      </c>
      <c r="W114" s="4">
        <f t="shared" si="15"/>
        <v>45499</v>
      </c>
    </row>
    <row r="115" spans="1:23" hidden="1" x14ac:dyDescent="0.25">
      <c r="A115" t="s">
        <v>128</v>
      </c>
      <c r="B115" s="4">
        <v>45674</v>
      </c>
      <c r="C115" s="4">
        <v>45681</v>
      </c>
      <c r="D115" t="s">
        <v>648</v>
      </c>
      <c r="E115" t="s">
        <v>660</v>
      </c>
      <c r="F115" t="s">
        <v>697</v>
      </c>
      <c r="G115" t="s">
        <v>706</v>
      </c>
      <c r="H115" t="s">
        <v>708</v>
      </c>
      <c r="I115" t="s">
        <v>715</v>
      </c>
      <c r="J115" t="s">
        <v>733</v>
      </c>
      <c r="K115" t="s">
        <v>847</v>
      </c>
      <c r="L115" s="6">
        <v>142.09</v>
      </c>
      <c r="M115" s="6">
        <v>218.5</v>
      </c>
      <c r="N115" s="8">
        <v>0.11899999999999999</v>
      </c>
      <c r="O115" s="6">
        <v>11</v>
      </c>
      <c r="P115" s="7" t="str">
        <f t="shared" si="9"/>
        <v>Austin</v>
      </c>
      <c r="Q115" s="7" t="str">
        <f t="shared" si="10"/>
        <v>G. Dubois</v>
      </c>
      <c r="R115" s="7" t="str">
        <f t="shared" si="11"/>
        <v>Online</v>
      </c>
      <c r="S115" t="str">
        <f t="shared" si="16"/>
        <v>OK</v>
      </c>
      <c r="T115" s="8" t="str">
        <f t="shared" si="12"/>
        <v>OK</v>
      </c>
      <c r="U115" t="str">
        <f t="shared" si="13"/>
        <v>OK</v>
      </c>
      <c r="V115">
        <f t="shared" si="14"/>
        <v>7</v>
      </c>
      <c r="W115" s="4">
        <f t="shared" si="15"/>
        <v>45681</v>
      </c>
    </row>
    <row r="116" spans="1:23" hidden="1" x14ac:dyDescent="0.25">
      <c r="A116" t="s">
        <v>129</v>
      </c>
      <c r="B116" s="4">
        <v>45250</v>
      </c>
      <c r="C116" s="4">
        <v>45265</v>
      </c>
      <c r="D116" t="s">
        <v>647</v>
      </c>
      <c r="E116" t="s">
        <v>652</v>
      </c>
      <c r="F116" t="s">
        <v>689</v>
      </c>
      <c r="G116" t="s">
        <v>706</v>
      </c>
      <c r="H116" t="s">
        <v>707</v>
      </c>
      <c r="I116" t="s">
        <v>716</v>
      </c>
      <c r="J116" t="s">
        <v>729</v>
      </c>
      <c r="K116" t="s">
        <v>848</v>
      </c>
      <c r="L116" s="6">
        <v>354.24</v>
      </c>
      <c r="M116" s="6">
        <v>249.87</v>
      </c>
      <c r="N116" s="8">
        <v>0</v>
      </c>
      <c r="O116" s="6">
        <v>6</v>
      </c>
      <c r="P116" s="7" t="str">
        <f t="shared" si="9"/>
        <v>Tokyo</v>
      </c>
      <c r="Q116" s="7" t="str">
        <f t="shared" si="10"/>
        <v>L. Okafor</v>
      </c>
      <c r="R116" s="7" t="str">
        <f t="shared" si="11"/>
        <v>Retail</v>
      </c>
      <c r="S116" t="str">
        <f t="shared" si="16"/>
        <v>OK</v>
      </c>
      <c r="T116" s="8" t="str">
        <f t="shared" si="12"/>
        <v>OK</v>
      </c>
      <c r="U116" t="str">
        <f t="shared" si="13"/>
        <v>OK</v>
      </c>
      <c r="V116">
        <f t="shared" si="14"/>
        <v>15</v>
      </c>
      <c r="W116" s="4">
        <f t="shared" si="15"/>
        <v>45265</v>
      </c>
    </row>
    <row r="117" spans="1:23" hidden="1" x14ac:dyDescent="0.25">
      <c r="A117" t="s">
        <v>130</v>
      </c>
      <c r="B117" s="4">
        <v>44987</v>
      </c>
      <c r="C117" s="4">
        <v>44990</v>
      </c>
      <c r="D117" t="s">
        <v>648</v>
      </c>
      <c r="E117" t="s">
        <v>655</v>
      </c>
      <c r="F117" t="s">
        <v>672</v>
      </c>
      <c r="G117" t="s">
        <v>706</v>
      </c>
      <c r="H117" t="s">
        <v>711</v>
      </c>
      <c r="I117" t="s">
        <v>715</v>
      </c>
      <c r="J117" t="s">
        <v>732</v>
      </c>
      <c r="K117" t="s">
        <v>849</v>
      </c>
      <c r="L117" s="6">
        <v>1473.58</v>
      </c>
      <c r="M117" s="6">
        <v>3436.52</v>
      </c>
      <c r="N117" s="8">
        <v>0.108</v>
      </c>
      <c r="O117" s="6">
        <v>8</v>
      </c>
      <c r="P117" s="7" t="str">
        <f t="shared" si="9"/>
        <v>Brasília</v>
      </c>
      <c r="Q117" s="7" t="str">
        <f t="shared" si="10"/>
        <v>G. Dubois</v>
      </c>
      <c r="R117" s="7" t="str">
        <f t="shared" si="11"/>
        <v>Direct</v>
      </c>
      <c r="S117" t="str">
        <f t="shared" si="16"/>
        <v>OK</v>
      </c>
      <c r="T117" s="8" t="str">
        <f t="shared" si="12"/>
        <v>OK</v>
      </c>
      <c r="U117" t="str">
        <f t="shared" si="13"/>
        <v>OK</v>
      </c>
      <c r="V117">
        <f t="shared" si="14"/>
        <v>3</v>
      </c>
      <c r="W117" s="4">
        <f t="shared" si="15"/>
        <v>44990</v>
      </c>
    </row>
    <row r="118" spans="1:23" hidden="1" x14ac:dyDescent="0.25">
      <c r="A118" t="s">
        <v>131</v>
      </c>
      <c r="B118" s="4">
        <v>45811</v>
      </c>
      <c r="C118" s="4">
        <v>45818</v>
      </c>
      <c r="D118" t="s">
        <v>648</v>
      </c>
      <c r="E118" t="s">
        <v>653</v>
      </c>
      <c r="F118" t="s">
        <v>667</v>
      </c>
      <c r="G118" t="s">
        <v>704</v>
      </c>
      <c r="H118" t="s">
        <v>710</v>
      </c>
      <c r="I118" t="s">
        <v>719</v>
      </c>
      <c r="J118" t="s">
        <v>728</v>
      </c>
      <c r="K118" t="s">
        <v>850</v>
      </c>
      <c r="L118" s="6">
        <v>75.180000000000007</v>
      </c>
      <c r="M118" s="6">
        <v>53.45</v>
      </c>
      <c r="N118" s="8">
        <v>0.157</v>
      </c>
      <c r="O118" s="6">
        <v>17</v>
      </c>
      <c r="P118" s="7" t="str">
        <f t="shared" si="9"/>
        <v>Toronto</v>
      </c>
      <c r="Q118" s="7" t="str">
        <f t="shared" si="10"/>
        <v>O. Wang</v>
      </c>
      <c r="R118" s="7" t="str">
        <f t="shared" si="11"/>
        <v>Distributor</v>
      </c>
      <c r="S118" t="str">
        <f t="shared" si="16"/>
        <v>OK</v>
      </c>
      <c r="T118" s="8" t="str">
        <f t="shared" si="12"/>
        <v>OK</v>
      </c>
      <c r="U118" t="str">
        <f t="shared" si="13"/>
        <v>OK</v>
      </c>
      <c r="V118">
        <f t="shared" si="14"/>
        <v>7</v>
      </c>
      <c r="W118" s="4">
        <f t="shared" si="15"/>
        <v>45818</v>
      </c>
    </row>
    <row r="119" spans="1:23" hidden="1" x14ac:dyDescent="0.25">
      <c r="A119" t="s">
        <v>132</v>
      </c>
      <c r="B119" s="4">
        <v>45653</v>
      </c>
      <c r="C119" s="4">
        <v>45659</v>
      </c>
      <c r="D119" t="s">
        <v>649</v>
      </c>
      <c r="E119" t="s">
        <v>656</v>
      </c>
      <c r="F119" t="s">
        <v>698</v>
      </c>
      <c r="G119" t="s">
        <v>702</v>
      </c>
      <c r="H119" t="s">
        <v>711</v>
      </c>
      <c r="I119" t="s">
        <v>721</v>
      </c>
      <c r="J119" t="s">
        <v>731</v>
      </c>
      <c r="K119" t="s">
        <v>851</v>
      </c>
      <c r="L119" s="6">
        <v>1391.99</v>
      </c>
      <c r="M119" s="6">
        <v>3469.7</v>
      </c>
      <c r="N119" s="8">
        <v>0.184</v>
      </c>
      <c r="O119" s="6">
        <v>23</v>
      </c>
      <c r="P119" s="7" t="str">
        <f t="shared" si="9"/>
        <v>Frankfurt</v>
      </c>
      <c r="Q119" s="7" t="str">
        <f t="shared" si="10"/>
        <v>F. Müller</v>
      </c>
      <c r="R119" s="7" t="str">
        <f t="shared" si="11"/>
        <v>Direct</v>
      </c>
      <c r="S119" t="str">
        <f t="shared" si="16"/>
        <v>OK</v>
      </c>
      <c r="T119" s="8" t="str">
        <f t="shared" si="12"/>
        <v>OK</v>
      </c>
      <c r="U119" t="str">
        <f t="shared" si="13"/>
        <v>OK</v>
      </c>
      <c r="V119">
        <f t="shared" si="14"/>
        <v>6</v>
      </c>
      <c r="W119" s="4">
        <f t="shared" si="15"/>
        <v>45659</v>
      </c>
    </row>
    <row r="120" spans="1:23" hidden="1" x14ac:dyDescent="0.25">
      <c r="A120" t="s">
        <v>133</v>
      </c>
      <c r="B120" s="4">
        <v>45086</v>
      </c>
      <c r="C120" s="4">
        <v>45096</v>
      </c>
      <c r="D120" t="s">
        <v>647</v>
      </c>
      <c r="E120" t="s">
        <v>659</v>
      </c>
      <c r="F120" t="s">
        <v>699</v>
      </c>
      <c r="G120" t="s">
        <v>706</v>
      </c>
      <c r="H120" t="s">
        <v>707</v>
      </c>
      <c r="I120" t="s">
        <v>721</v>
      </c>
      <c r="J120" t="s">
        <v>732</v>
      </c>
      <c r="K120" t="s">
        <v>852</v>
      </c>
      <c r="L120" s="6">
        <v>339.61</v>
      </c>
      <c r="M120" s="6">
        <v>621.02</v>
      </c>
      <c r="N120" s="8">
        <v>7.0999999999999994E-2</v>
      </c>
      <c r="O120" s="6">
        <v>10</v>
      </c>
      <c r="P120" s="7" t="str">
        <f t="shared" si="9"/>
        <v>Beijing</v>
      </c>
      <c r="Q120" s="7" t="str">
        <f t="shared" si="10"/>
        <v>F. Müller</v>
      </c>
      <c r="R120" s="7" t="str">
        <f t="shared" si="11"/>
        <v>Retail</v>
      </c>
      <c r="S120" t="str">
        <f t="shared" si="16"/>
        <v>OK</v>
      </c>
      <c r="T120" s="8" t="str">
        <f t="shared" si="12"/>
        <v>OK</v>
      </c>
      <c r="U120" t="str">
        <f t="shared" si="13"/>
        <v>OK</v>
      </c>
      <c r="V120">
        <f t="shared" si="14"/>
        <v>10</v>
      </c>
      <c r="W120" s="4">
        <f t="shared" si="15"/>
        <v>45096</v>
      </c>
    </row>
    <row r="121" spans="1:23" hidden="1" x14ac:dyDescent="0.25">
      <c r="A121" t="s">
        <v>134</v>
      </c>
      <c r="B121" s="4">
        <v>45847</v>
      </c>
      <c r="C121" s="4">
        <v>45856</v>
      </c>
      <c r="D121" t="s">
        <v>648</v>
      </c>
      <c r="E121" t="s">
        <v>653</v>
      </c>
      <c r="F121" t="s">
        <v>688</v>
      </c>
      <c r="G121" t="s">
        <v>702</v>
      </c>
      <c r="H121" t="s">
        <v>710</v>
      </c>
      <c r="I121" t="s">
        <v>714</v>
      </c>
      <c r="J121" t="s">
        <v>731</v>
      </c>
      <c r="K121" t="s">
        <v>853</v>
      </c>
      <c r="L121" s="6">
        <v>57.96</v>
      </c>
      <c r="M121" s="6">
        <v>88.51</v>
      </c>
      <c r="N121" s="8">
        <v>4.2999999999999997E-2</v>
      </c>
      <c r="O121" s="6">
        <v>7</v>
      </c>
      <c r="P121" s="7" t="str">
        <f t="shared" si="9"/>
        <v>Vancouver</v>
      </c>
      <c r="Q121" s="7" t="str">
        <f t="shared" si="10"/>
        <v>I. Johnson</v>
      </c>
      <c r="R121" s="7" t="str">
        <f t="shared" si="11"/>
        <v>Distributor</v>
      </c>
      <c r="S121" t="str">
        <f t="shared" si="16"/>
        <v>OK</v>
      </c>
      <c r="T121" s="8" t="str">
        <f t="shared" si="12"/>
        <v>OK</v>
      </c>
      <c r="U121" t="str">
        <f t="shared" si="13"/>
        <v>OK</v>
      </c>
      <c r="V121">
        <f t="shared" si="14"/>
        <v>9</v>
      </c>
      <c r="W121" s="4">
        <f t="shared" si="15"/>
        <v>45856</v>
      </c>
    </row>
    <row r="122" spans="1:23" hidden="1" x14ac:dyDescent="0.25">
      <c r="A122" t="s">
        <v>135</v>
      </c>
      <c r="B122" s="4">
        <v>45827</v>
      </c>
      <c r="C122" s="4">
        <v>45850</v>
      </c>
      <c r="D122" t="s">
        <v>649</v>
      </c>
      <c r="E122" t="s">
        <v>658</v>
      </c>
      <c r="F122" t="s">
        <v>1367</v>
      </c>
      <c r="G122" t="s">
        <v>703</v>
      </c>
      <c r="H122" t="s">
        <v>711</v>
      </c>
      <c r="I122" t="s">
        <v>1368</v>
      </c>
      <c r="J122" t="s">
        <v>729</v>
      </c>
      <c r="K122" t="s">
        <v>854</v>
      </c>
      <c r="L122" s="6">
        <v>801.24</v>
      </c>
      <c r="M122" s="6">
        <v>1959.09</v>
      </c>
      <c r="N122" s="8">
        <v>0.123</v>
      </c>
      <c r="O122" s="6">
        <v>23</v>
      </c>
      <c r="P122" s="7" t="str">
        <f t="shared" si="9"/>
        <v>Unknown</v>
      </c>
      <c r="Q122" s="7" t="str">
        <f t="shared" si="10"/>
        <v>Unassigned</v>
      </c>
      <c r="R122" s="7" t="str">
        <f t="shared" si="11"/>
        <v>Direct</v>
      </c>
      <c r="S122" t="str">
        <f t="shared" si="16"/>
        <v>OK</v>
      </c>
      <c r="T122" s="8" t="str">
        <f t="shared" si="12"/>
        <v>OK</v>
      </c>
      <c r="U122" t="str">
        <f t="shared" si="13"/>
        <v>OK</v>
      </c>
      <c r="V122">
        <f t="shared" si="14"/>
        <v>23</v>
      </c>
      <c r="W122" s="4">
        <f t="shared" si="15"/>
        <v>45850</v>
      </c>
    </row>
    <row r="123" spans="1:23" hidden="1" x14ac:dyDescent="0.25">
      <c r="A123" t="s">
        <v>136</v>
      </c>
      <c r="B123" s="4">
        <v>45249</v>
      </c>
      <c r="C123" s="4">
        <v>45273</v>
      </c>
      <c r="D123" t="s">
        <v>649</v>
      </c>
      <c r="E123" t="s">
        <v>657</v>
      </c>
      <c r="F123" t="s">
        <v>679</v>
      </c>
      <c r="G123" t="s">
        <v>703</v>
      </c>
      <c r="H123" t="s">
        <v>711</v>
      </c>
      <c r="I123" t="s">
        <v>722</v>
      </c>
      <c r="J123" t="s">
        <v>732</v>
      </c>
      <c r="K123" t="s">
        <v>855</v>
      </c>
      <c r="L123" s="6">
        <v>1297.42</v>
      </c>
      <c r="M123" s="6">
        <v>2742.97</v>
      </c>
      <c r="N123" s="8">
        <v>6.9000000000000006E-2</v>
      </c>
      <c r="O123" s="6">
        <v>9</v>
      </c>
      <c r="P123" s="7" t="str">
        <f t="shared" si="9"/>
        <v>Lyon</v>
      </c>
      <c r="Q123" s="7" t="str">
        <f t="shared" si="10"/>
        <v>H. Kim</v>
      </c>
      <c r="R123" s="7" t="str">
        <f t="shared" si="11"/>
        <v>Direct</v>
      </c>
      <c r="S123" t="str">
        <f t="shared" si="16"/>
        <v>OK</v>
      </c>
      <c r="T123" s="8" t="str">
        <f t="shared" si="12"/>
        <v>OK</v>
      </c>
      <c r="U123" t="str">
        <f t="shared" si="13"/>
        <v>OK</v>
      </c>
      <c r="V123">
        <f t="shared" si="14"/>
        <v>24</v>
      </c>
      <c r="W123" s="4">
        <f t="shared" si="15"/>
        <v>45273</v>
      </c>
    </row>
    <row r="124" spans="1:23" hidden="1" x14ac:dyDescent="0.25">
      <c r="A124" t="s">
        <v>137</v>
      </c>
      <c r="B124" s="4">
        <v>45289</v>
      </c>
      <c r="C124" s="4">
        <v>45311</v>
      </c>
      <c r="D124" t="s">
        <v>646</v>
      </c>
      <c r="E124" t="s">
        <v>650</v>
      </c>
      <c r="F124" t="s">
        <v>662</v>
      </c>
      <c r="G124" t="s">
        <v>701</v>
      </c>
      <c r="H124" t="s">
        <v>711</v>
      </c>
      <c r="I124" t="s">
        <v>716</v>
      </c>
      <c r="J124" t="s">
        <v>730</v>
      </c>
      <c r="K124" t="s">
        <v>856</v>
      </c>
      <c r="L124" s="6">
        <v>1395.49</v>
      </c>
      <c r="M124" s="6">
        <v>1679.42</v>
      </c>
      <c r="N124" s="8">
        <v>0.20300000000000001</v>
      </c>
      <c r="O124" s="6">
        <v>12</v>
      </c>
      <c r="P124" s="7" t="str">
        <f t="shared" si="9"/>
        <v>Kisumu</v>
      </c>
      <c r="Q124" s="7" t="str">
        <f t="shared" si="10"/>
        <v>L. Okafor</v>
      </c>
      <c r="R124" s="7" t="str">
        <f t="shared" si="11"/>
        <v>Direct</v>
      </c>
      <c r="S124" t="str">
        <f t="shared" si="16"/>
        <v>OK</v>
      </c>
      <c r="T124" s="8" t="str">
        <f t="shared" si="12"/>
        <v>OK</v>
      </c>
      <c r="U124" t="str">
        <f t="shared" si="13"/>
        <v>OK</v>
      </c>
      <c r="V124">
        <f t="shared" si="14"/>
        <v>22</v>
      </c>
      <c r="W124" s="4">
        <f t="shared" si="15"/>
        <v>45311</v>
      </c>
    </row>
    <row r="125" spans="1:23" hidden="1" x14ac:dyDescent="0.25">
      <c r="A125" t="s">
        <v>138</v>
      </c>
      <c r="B125" s="4">
        <v>45598</v>
      </c>
      <c r="C125" s="4">
        <v>45625</v>
      </c>
      <c r="D125" t="s">
        <v>648</v>
      </c>
      <c r="E125" t="s">
        <v>655</v>
      </c>
      <c r="F125" t="s">
        <v>672</v>
      </c>
      <c r="G125" t="s">
        <v>705</v>
      </c>
      <c r="H125" t="s">
        <v>711</v>
      </c>
      <c r="I125" t="s">
        <v>714</v>
      </c>
      <c r="J125" t="s">
        <v>729</v>
      </c>
      <c r="K125" t="s">
        <v>857</v>
      </c>
      <c r="L125" s="6">
        <v>1363.51</v>
      </c>
      <c r="M125" s="6">
        <v>1433.9</v>
      </c>
      <c r="N125" s="8">
        <v>5.7000000000000002E-2</v>
      </c>
      <c r="O125" s="6">
        <v>8</v>
      </c>
      <c r="P125" s="7" t="str">
        <f t="shared" si="9"/>
        <v>Brasília</v>
      </c>
      <c r="Q125" s="7" t="str">
        <f t="shared" si="10"/>
        <v>I. Johnson</v>
      </c>
      <c r="R125" s="7" t="str">
        <f t="shared" si="11"/>
        <v>Direct</v>
      </c>
      <c r="S125" t="str">
        <f t="shared" si="16"/>
        <v>OK</v>
      </c>
      <c r="T125" s="8" t="str">
        <f t="shared" si="12"/>
        <v>OK</v>
      </c>
      <c r="U125" t="str">
        <f t="shared" si="13"/>
        <v>OK</v>
      </c>
      <c r="V125">
        <f t="shared" si="14"/>
        <v>27</v>
      </c>
      <c r="W125" s="4">
        <f t="shared" si="15"/>
        <v>45625</v>
      </c>
    </row>
    <row r="126" spans="1:23" hidden="1" x14ac:dyDescent="0.25">
      <c r="A126" t="s">
        <v>139</v>
      </c>
      <c r="B126" s="4">
        <v>45159</v>
      </c>
      <c r="C126" s="4">
        <v>45173</v>
      </c>
      <c r="D126" t="s">
        <v>648</v>
      </c>
      <c r="E126" t="s">
        <v>653</v>
      </c>
      <c r="F126" t="s">
        <v>681</v>
      </c>
      <c r="G126" t="s">
        <v>702</v>
      </c>
      <c r="H126" t="s">
        <v>710</v>
      </c>
      <c r="I126" t="s">
        <v>721</v>
      </c>
      <c r="J126" t="s">
        <v>727</v>
      </c>
      <c r="K126" t="s">
        <v>858</v>
      </c>
      <c r="L126" s="6">
        <v>178.19</v>
      </c>
      <c r="M126" s="6">
        <v>284.43</v>
      </c>
      <c r="N126" s="8">
        <v>8.8999999999999996E-2</v>
      </c>
      <c r="O126" s="6">
        <v>8</v>
      </c>
      <c r="P126" s="7" t="str">
        <f t="shared" si="9"/>
        <v>Montreal</v>
      </c>
      <c r="Q126" s="7" t="str">
        <f t="shared" si="10"/>
        <v>F. Müller</v>
      </c>
      <c r="R126" s="7" t="str">
        <f t="shared" si="11"/>
        <v>Distributor</v>
      </c>
      <c r="S126" t="str">
        <f t="shared" si="16"/>
        <v>OK</v>
      </c>
      <c r="T126" s="8" t="str">
        <f t="shared" si="12"/>
        <v>OK</v>
      </c>
      <c r="U126" t="str">
        <f t="shared" si="13"/>
        <v>OK</v>
      </c>
      <c r="V126">
        <f t="shared" si="14"/>
        <v>14</v>
      </c>
      <c r="W126" s="4">
        <f t="shared" si="15"/>
        <v>45173</v>
      </c>
    </row>
    <row r="127" spans="1:23" hidden="1" x14ac:dyDescent="0.25">
      <c r="A127" t="s">
        <v>140</v>
      </c>
      <c r="B127" s="4">
        <v>45150</v>
      </c>
      <c r="C127" s="4">
        <v>45175</v>
      </c>
      <c r="D127" t="s">
        <v>647</v>
      </c>
      <c r="E127" t="s">
        <v>659</v>
      </c>
      <c r="F127" t="s">
        <v>685</v>
      </c>
      <c r="G127" t="s">
        <v>705</v>
      </c>
      <c r="H127" t="s">
        <v>707</v>
      </c>
      <c r="I127" t="s">
        <v>717</v>
      </c>
      <c r="J127" t="s">
        <v>727</v>
      </c>
      <c r="K127" t="s">
        <v>859</v>
      </c>
      <c r="L127" s="6">
        <v>950.77</v>
      </c>
      <c r="M127" s="6">
        <v>694.78</v>
      </c>
      <c r="N127" s="8">
        <v>8.4000000000000005E-2</v>
      </c>
      <c r="O127" s="6">
        <v>14</v>
      </c>
      <c r="P127" s="7" t="str">
        <f t="shared" si="9"/>
        <v>Shanghai</v>
      </c>
      <c r="Q127" s="7" t="str">
        <f t="shared" si="10"/>
        <v>B. Chen</v>
      </c>
      <c r="R127" s="7" t="str">
        <f t="shared" si="11"/>
        <v>Retail</v>
      </c>
      <c r="S127" t="str">
        <f t="shared" si="16"/>
        <v>OK</v>
      </c>
      <c r="T127" s="8" t="str">
        <f t="shared" si="12"/>
        <v>OK</v>
      </c>
      <c r="U127" t="str">
        <f t="shared" si="13"/>
        <v>OK</v>
      </c>
      <c r="V127">
        <f t="shared" si="14"/>
        <v>25</v>
      </c>
      <c r="W127" s="4">
        <f t="shared" si="15"/>
        <v>45175</v>
      </c>
    </row>
    <row r="128" spans="1:23" hidden="1" x14ac:dyDescent="0.25">
      <c r="A128" t="s">
        <v>141</v>
      </c>
      <c r="B128" s="4">
        <v>45450</v>
      </c>
      <c r="C128" s="4">
        <v>45469</v>
      </c>
      <c r="D128" t="s">
        <v>649</v>
      </c>
      <c r="E128" t="s">
        <v>656</v>
      </c>
      <c r="F128" t="s">
        <v>671</v>
      </c>
      <c r="G128" t="s">
        <v>703</v>
      </c>
      <c r="H128" t="s">
        <v>709</v>
      </c>
      <c r="I128" t="s">
        <v>724</v>
      </c>
      <c r="J128" t="s">
        <v>727</v>
      </c>
      <c r="K128" t="s">
        <v>860</v>
      </c>
      <c r="L128" s="6">
        <v>1064.32</v>
      </c>
      <c r="M128" s="6">
        <v>1848.39</v>
      </c>
      <c r="N128" s="8">
        <v>7.2999999999999995E-2</v>
      </c>
      <c r="O128" s="6">
        <v>38</v>
      </c>
      <c r="P128" s="7" t="str">
        <f t="shared" si="9"/>
        <v>Berlin</v>
      </c>
      <c r="Q128" s="7" t="str">
        <f t="shared" si="10"/>
        <v>M. Rossi</v>
      </c>
      <c r="R128" s="7" t="str">
        <f t="shared" si="11"/>
        <v>Marketplace</v>
      </c>
      <c r="S128" t="str">
        <f t="shared" si="16"/>
        <v>OK</v>
      </c>
      <c r="T128" s="8" t="str">
        <f t="shared" si="12"/>
        <v>OK</v>
      </c>
      <c r="U128" t="str">
        <f t="shared" si="13"/>
        <v>OK</v>
      </c>
      <c r="V128">
        <f t="shared" si="14"/>
        <v>19</v>
      </c>
      <c r="W128" s="4">
        <f t="shared" si="15"/>
        <v>45469</v>
      </c>
    </row>
    <row r="129" spans="1:23" hidden="1" x14ac:dyDescent="0.25">
      <c r="A129" t="s">
        <v>142</v>
      </c>
      <c r="B129" s="4">
        <v>45874</v>
      </c>
      <c r="C129" s="4">
        <v>45883</v>
      </c>
      <c r="D129" t="s">
        <v>649</v>
      </c>
      <c r="E129" t="s">
        <v>658</v>
      </c>
      <c r="F129" t="s">
        <v>683</v>
      </c>
      <c r="G129" t="s">
        <v>703</v>
      </c>
      <c r="H129" t="s">
        <v>711</v>
      </c>
      <c r="I129" t="s">
        <v>718</v>
      </c>
      <c r="J129" t="s">
        <v>727</v>
      </c>
      <c r="K129" t="s">
        <v>861</v>
      </c>
      <c r="L129" s="6">
        <v>41.76</v>
      </c>
      <c r="M129" s="6">
        <v>45.19</v>
      </c>
      <c r="N129" s="8">
        <v>0.17899999999999999</v>
      </c>
      <c r="O129" s="6">
        <v>23</v>
      </c>
      <c r="P129" s="7" t="str">
        <f t="shared" si="9"/>
        <v>London</v>
      </c>
      <c r="Q129" s="7" t="str">
        <f t="shared" si="10"/>
        <v>E. Garcia</v>
      </c>
      <c r="R129" s="7" t="str">
        <f t="shared" si="11"/>
        <v>Direct</v>
      </c>
      <c r="S129" t="str">
        <f t="shared" si="16"/>
        <v>OK</v>
      </c>
      <c r="T129" s="8" t="str">
        <f t="shared" si="12"/>
        <v>OK</v>
      </c>
      <c r="U129" t="str">
        <f t="shared" si="13"/>
        <v>OK</v>
      </c>
      <c r="V129">
        <f t="shared" si="14"/>
        <v>9</v>
      </c>
      <c r="W129" s="4">
        <f t="shared" si="15"/>
        <v>45883</v>
      </c>
    </row>
    <row r="130" spans="1:23" hidden="1" x14ac:dyDescent="0.25">
      <c r="A130" t="s">
        <v>143</v>
      </c>
      <c r="B130" s="4">
        <v>45442</v>
      </c>
      <c r="C130" s="4">
        <v>45456</v>
      </c>
      <c r="D130" t="s">
        <v>648</v>
      </c>
      <c r="E130" t="s">
        <v>660</v>
      </c>
      <c r="F130" t="s">
        <v>686</v>
      </c>
      <c r="G130" t="s">
        <v>705</v>
      </c>
      <c r="H130" t="s">
        <v>707</v>
      </c>
      <c r="I130" t="s">
        <v>721</v>
      </c>
      <c r="J130" t="s">
        <v>730</v>
      </c>
      <c r="K130" t="s">
        <v>862</v>
      </c>
      <c r="L130" s="6">
        <v>157.78</v>
      </c>
      <c r="M130" s="6">
        <v>361.1</v>
      </c>
      <c r="N130" s="8">
        <v>0.187</v>
      </c>
      <c r="O130" s="6">
        <v>9</v>
      </c>
      <c r="P130" s="7" t="str">
        <f t="shared" si="9"/>
        <v>San Francisco</v>
      </c>
      <c r="Q130" s="7" t="str">
        <f t="shared" si="10"/>
        <v>F. Müller</v>
      </c>
      <c r="R130" s="7" t="str">
        <f t="shared" si="11"/>
        <v>Retail</v>
      </c>
      <c r="S130" t="str">
        <f t="shared" si="16"/>
        <v>OK</v>
      </c>
      <c r="T130" s="8" t="str">
        <f t="shared" si="12"/>
        <v>OK</v>
      </c>
      <c r="U130" t="str">
        <f t="shared" si="13"/>
        <v>OK</v>
      </c>
      <c r="V130">
        <f t="shared" si="14"/>
        <v>14</v>
      </c>
      <c r="W130" s="4">
        <f t="shared" si="15"/>
        <v>45456</v>
      </c>
    </row>
    <row r="131" spans="1:23" hidden="1" x14ac:dyDescent="0.25">
      <c r="A131" t="s">
        <v>144</v>
      </c>
      <c r="B131" s="4">
        <v>44948</v>
      </c>
      <c r="C131" s="4">
        <v>44956</v>
      </c>
      <c r="D131" t="s">
        <v>648</v>
      </c>
      <c r="E131" t="s">
        <v>660</v>
      </c>
      <c r="F131" t="s">
        <v>686</v>
      </c>
      <c r="G131" t="s">
        <v>705</v>
      </c>
      <c r="H131" t="s">
        <v>708</v>
      </c>
      <c r="I131" t="s">
        <v>720</v>
      </c>
      <c r="J131" t="s">
        <v>729</v>
      </c>
      <c r="K131" t="s">
        <v>863</v>
      </c>
      <c r="L131" s="6">
        <v>413.52</v>
      </c>
      <c r="M131" s="6">
        <v>1004.34</v>
      </c>
      <c r="N131" s="8">
        <v>0.111</v>
      </c>
      <c r="O131" s="6">
        <v>18</v>
      </c>
      <c r="P131" s="7" t="str">
        <f t="shared" ref="P131:P194" si="17">IF(OR(F131=" ", ISBLANK(F131)), "Unknown", F131)</f>
        <v>San Francisco</v>
      </c>
      <c r="Q131" s="7" t="str">
        <f t="shared" ref="Q131:Q194" si="18">IF(OR(I131=" ", ISBLANK(I131)), "Unassigned", I131)</f>
        <v>A. Patel</v>
      </c>
      <c r="R131" s="7" t="str">
        <f t="shared" ref="R131:R194" si="19">IF(OR(H131=" ", ISBLANK(H131)), "Unspecified", H131)</f>
        <v>Online</v>
      </c>
      <c r="S131" t="str">
        <f t="shared" si="16"/>
        <v>OK</v>
      </c>
      <c r="T131" s="8" t="str">
        <f t="shared" ref="T131:T194" si="20">IFERROR(IF(N131&gt;0.3, "Cap at 30%", "OK"), "Error")</f>
        <v>OK</v>
      </c>
      <c r="U131" t="str">
        <f t="shared" ref="U131:U194" si="21">IFERROR(IF(C131&lt;B131,"Correct", "OK"), "Error")</f>
        <v>OK</v>
      </c>
      <c r="V131">
        <f t="shared" ref="V131:V194" si="22">_xlfn.DAYS(C131,B131)</f>
        <v>8</v>
      </c>
      <c r="W131" s="4">
        <f t="shared" si="15"/>
        <v>44956</v>
      </c>
    </row>
    <row r="132" spans="1:23" hidden="1" x14ac:dyDescent="0.25">
      <c r="A132" t="s">
        <v>145</v>
      </c>
      <c r="B132" s="4">
        <v>45700</v>
      </c>
      <c r="C132" s="4">
        <v>45716</v>
      </c>
      <c r="D132" t="s">
        <v>648</v>
      </c>
      <c r="E132" t="s">
        <v>655</v>
      </c>
      <c r="F132" t="s">
        <v>670</v>
      </c>
      <c r="G132" t="s">
        <v>703</v>
      </c>
      <c r="H132" t="s">
        <v>711</v>
      </c>
      <c r="I132" t="s">
        <v>717</v>
      </c>
      <c r="J132" t="s">
        <v>732</v>
      </c>
      <c r="K132" t="s">
        <v>864</v>
      </c>
      <c r="L132" s="6">
        <v>414.95</v>
      </c>
      <c r="M132" s="6">
        <v>1027.73</v>
      </c>
      <c r="N132" s="8">
        <v>6.3E-2</v>
      </c>
      <c r="O132" s="6">
        <v>8</v>
      </c>
      <c r="P132" s="7" t="str">
        <f t="shared" si="17"/>
        <v>São Paulo</v>
      </c>
      <c r="Q132" s="7" t="str">
        <f t="shared" si="18"/>
        <v>B. Chen</v>
      </c>
      <c r="R132" s="7" t="str">
        <f t="shared" si="19"/>
        <v>Direct</v>
      </c>
      <c r="S132" t="str">
        <f t="shared" si="16"/>
        <v>OK</v>
      </c>
      <c r="T132" s="8" t="str">
        <f t="shared" si="20"/>
        <v>OK</v>
      </c>
      <c r="U132" t="str">
        <f t="shared" si="21"/>
        <v>OK</v>
      </c>
      <c r="V132">
        <f t="shared" si="22"/>
        <v>16</v>
      </c>
      <c r="W132" s="4">
        <f t="shared" ref="W132:W195" si="23">IFERROR(IF(C132&lt;B132, B132+15, C132), "Error")</f>
        <v>45716</v>
      </c>
    </row>
    <row r="133" spans="1:23" hidden="1" x14ac:dyDescent="0.25">
      <c r="A133" t="s">
        <v>146</v>
      </c>
      <c r="B133" s="4">
        <v>45719</v>
      </c>
      <c r="C133" s="4">
        <v>45740</v>
      </c>
      <c r="D133" t="s">
        <v>646</v>
      </c>
      <c r="E133" t="s">
        <v>651</v>
      </c>
      <c r="F133" t="s">
        <v>669</v>
      </c>
      <c r="G133" t="s">
        <v>706</v>
      </c>
      <c r="H133" t="s">
        <v>711</v>
      </c>
      <c r="I133" t="s">
        <v>722</v>
      </c>
      <c r="J133" t="s">
        <v>733</v>
      </c>
      <c r="K133" t="s">
        <v>865</v>
      </c>
      <c r="L133" s="6">
        <v>555.95000000000005</v>
      </c>
      <c r="M133" s="6">
        <v>468.09</v>
      </c>
      <c r="N133" s="8">
        <v>0.14199999999999999</v>
      </c>
      <c r="O133" s="6">
        <v>11</v>
      </c>
      <c r="P133" s="7" t="str">
        <f t="shared" si="17"/>
        <v>Abuja</v>
      </c>
      <c r="Q133" s="7" t="str">
        <f t="shared" si="18"/>
        <v>H. Kim</v>
      </c>
      <c r="R133" s="7" t="str">
        <f t="shared" si="19"/>
        <v>Direct</v>
      </c>
      <c r="S133" t="str">
        <f t="shared" si="16"/>
        <v>OK</v>
      </c>
      <c r="T133" s="8" t="str">
        <f t="shared" si="20"/>
        <v>OK</v>
      </c>
      <c r="U133" t="str">
        <f t="shared" si="21"/>
        <v>OK</v>
      </c>
      <c r="V133">
        <f t="shared" si="22"/>
        <v>21</v>
      </c>
      <c r="W133" s="4">
        <f t="shared" si="23"/>
        <v>45740</v>
      </c>
    </row>
    <row r="134" spans="1:23" hidden="1" x14ac:dyDescent="0.25">
      <c r="A134" t="s">
        <v>147</v>
      </c>
      <c r="B134" s="4">
        <v>44953</v>
      </c>
      <c r="C134" s="4">
        <v>44957</v>
      </c>
      <c r="D134" t="s">
        <v>649</v>
      </c>
      <c r="E134" t="s">
        <v>658</v>
      </c>
      <c r="F134" t="s">
        <v>693</v>
      </c>
      <c r="G134" t="s">
        <v>706</v>
      </c>
      <c r="H134" t="s">
        <v>708</v>
      </c>
      <c r="I134" t="s">
        <v>725</v>
      </c>
      <c r="J134" t="s">
        <v>731</v>
      </c>
      <c r="K134" t="s">
        <v>866</v>
      </c>
      <c r="L134" s="6">
        <v>941.2</v>
      </c>
      <c r="M134" s="6">
        <v>668.02</v>
      </c>
      <c r="N134" s="8">
        <v>0.22</v>
      </c>
      <c r="O134" s="6">
        <v>16</v>
      </c>
      <c r="P134" s="7" t="str">
        <f t="shared" si="17"/>
        <v>Manchester</v>
      </c>
      <c r="Q134" s="7" t="str">
        <f t="shared" si="18"/>
        <v>N. Brown</v>
      </c>
      <c r="R134" s="7" t="str">
        <f t="shared" si="19"/>
        <v>Online</v>
      </c>
      <c r="S134" t="str">
        <f t="shared" ref="S134:S197" si="24">IFERROR(IF(M134&lt;0,"Correct (Negative Price)","OK"),"Error")</f>
        <v>OK</v>
      </c>
      <c r="T134" s="8" t="str">
        <f t="shared" si="20"/>
        <v>OK</v>
      </c>
      <c r="U134" t="str">
        <f t="shared" si="21"/>
        <v>OK</v>
      </c>
      <c r="V134">
        <f t="shared" si="22"/>
        <v>4</v>
      </c>
      <c r="W134" s="4">
        <f t="shared" si="23"/>
        <v>44957</v>
      </c>
    </row>
    <row r="135" spans="1:23" hidden="1" x14ac:dyDescent="0.25">
      <c r="A135" t="s">
        <v>148</v>
      </c>
      <c r="B135" s="4">
        <v>45666</v>
      </c>
      <c r="C135" s="4">
        <v>45672</v>
      </c>
      <c r="D135" t="s">
        <v>647</v>
      </c>
      <c r="E135" t="s">
        <v>659</v>
      </c>
      <c r="F135" t="s">
        <v>699</v>
      </c>
      <c r="G135" t="s">
        <v>702</v>
      </c>
      <c r="H135" t="s">
        <v>708</v>
      </c>
      <c r="I135" t="s">
        <v>712</v>
      </c>
      <c r="J135" t="s">
        <v>730</v>
      </c>
      <c r="K135" t="s">
        <v>867</v>
      </c>
      <c r="L135" s="6">
        <v>304.77999999999997</v>
      </c>
      <c r="M135" s="6">
        <v>537.27</v>
      </c>
      <c r="N135" s="8">
        <v>0.187</v>
      </c>
      <c r="O135" s="6">
        <v>8</v>
      </c>
      <c r="P135" s="7" t="str">
        <f t="shared" si="17"/>
        <v>Beijing</v>
      </c>
      <c r="Q135" s="7" t="str">
        <f t="shared" si="18"/>
        <v>C. Otieno</v>
      </c>
      <c r="R135" s="7" t="str">
        <f t="shared" si="19"/>
        <v>Online</v>
      </c>
      <c r="S135" t="str">
        <f t="shared" si="24"/>
        <v>OK</v>
      </c>
      <c r="T135" s="8" t="str">
        <f t="shared" si="20"/>
        <v>OK</v>
      </c>
      <c r="U135" t="str">
        <f t="shared" si="21"/>
        <v>OK</v>
      </c>
      <c r="V135">
        <f t="shared" si="22"/>
        <v>6</v>
      </c>
      <c r="W135" s="4">
        <f t="shared" si="23"/>
        <v>45672</v>
      </c>
    </row>
    <row r="136" spans="1:23" hidden="1" x14ac:dyDescent="0.25">
      <c r="A136" t="s">
        <v>149</v>
      </c>
      <c r="B136" s="4">
        <v>45647</v>
      </c>
      <c r="C136" s="4">
        <v>45652</v>
      </c>
      <c r="D136" t="s">
        <v>648</v>
      </c>
      <c r="E136" t="s">
        <v>660</v>
      </c>
      <c r="F136" t="s">
        <v>686</v>
      </c>
      <c r="G136" t="s">
        <v>704</v>
      </c>
      <c r="H136" t="s">
        <v>709</v>
      </c>
      <c r="I136" t="s">
        <v>724</v>
      </c>
      <c r="J136" t="s">
        <v>728</v>
      </c>
      <c r="K136" t="s">
        <v>868</v>
      </c>
      <c r="L136" s="6">
        <v>699.57</v>
      </c>
      <c r="M136" s="6">
        <v>572.71</v>
      </c>
      <c r="N136" s="8">
        <v>0.192</v>
      </c>
      <c r="O136" s="6">
        <v>26</v>
      </c>
      <c r="P136" s="7" t="str">
        <f t="shared" si="17"/>
        <v>San Francisco</v>
      </c>
      <c r="Q136" s="7" t="str">
        <f t="shared" si="18"/>
        <v>M. Rossi</v>
      </c>
      <c r="R136" s="7" t="str">
        <f t="shared" si="19"/>
        <v>Marketplace</v>
      </c>
      <c r="S136" t="str">
        <f t="shared" si="24"/>
        <v>OK</v>
      </c>
      <c r="T136" s="8" t="str">
        <f t="shared" si="20"/>
        <v>OK</v>
      </c>
      <c r="U136" t="str">
        <f t="shared" si="21"/>
        <v>OK</v>
      </c>
      <c r="V136">
        <f t="shared" si="22"/>
        <v>5</v>
      </c>
      <c r="W136" s="4">
        <f t="shared" si="23"/>
        <v>45652</v>
      </c>
    </row>
    <row r="137" spans="1:23" hidden="1" x14ac:dyDescent="0.25">
      <c r="A137" t="s">
        <v>150</v>
      </c>
      <c r="B137" s="4">
        <v>45028</v>
      </c>
      <c r="C137" s="4">
        <v>45033</v>
      </c>
      <c r="D137" t="s">
        <v>649</v>
      </c>
      <c r="E137" t="s">
        <v>657</v>
      </c>
      <c r="F137" t="s">
        <v>679</v>
      </c>
      <c r="G137" t="s">
        <v>706</v>
      </c>
      <c r="H137" t="s">
        <v>711</v>
      </c>
      <c r="I137" t="s">
        <v>718</v>
      </c>
      <c r="J137" t="s">
        <v>732</v>
      </c>
      <c r="K137" t="s">
        <v>869</v>
      </c>
      <c r="L137" s="6">
        <v>1087.81</v>
      </c>
      <c r="M137" s="6">
        <v>2323.87</v>
      </c>
      <c r="N137" s="8">
        <v>9.4E-2</v>
      </c>
      <c r="O137" s="6">
        <v>13</v>
      </c>
      <c r="P137" s="7" t="str">
        <f t="shared" si="17"/>
        <v>Lyon</v>
      </c>
      <c r="Q137" s="7" t="str">
        <f t="shared" si="18"/>
        <v>E. Garcia</v>
      </c>
      <c r="R137" s="7" t="str">
        <f t="shared" si="19"/>
        <v>Direct</v>
      </c>
      <c r="S137" t="str">
        <f t="shared" si="24"/>
        <v>OK</v>
      </c>
      <c r="T137" s="8" t="str">
        <f t="shared" si="20"/>
        <v>OK</v>
      </c>
      <c r="U137" t="str">
        <f t="shared" si="21"/>
        <v>OK</v>
      </c>
      <c r="V137">
        <f t="shared" si="22"/>
        <v>5</v>
      </c>
      <c r="W137" s="4">
        <f t="shared" si="23"/>
        <v>45033</v>
      </c>
    </row>
    <row r="138" spans="1:23" hidden="1" x14ac:dyDescent="0.25">
      <c r="A138" t="s">
        <v>151</v>
      </c>
      <c r="B138" s="4">
        <v>45640</v>
      </c>
      <c r="C138" s="4">
        <v>45669</v>
      </c>
      <c r="D138" t="s">
        <v>647</v>
      </c>
      <c r="E138" t="s">
        <v>659</v>
      </c>
      <c r="F138" t="s">
        <v>676</v>
      </c>
      <c r="G138" t="s">
        <v>702</v>
      </c>
      <c r="H138" t="s">
        <v>708</v>
      </c>
      <c r="I138" t="s">
        <v>713</v>
      </c>
      <c r="J138" t="s">
        <v>727</v>
      </c>
      <c r="K138" t="s">
        <v>870</v>
      </c>
      <c r="L138" s="6">
        <v>1412.15</v>
      </c>
      <c r="M138" s="6">
        <v>1631.04</v>
      </c>
      <c r="N138" s="8">
        <v>8.9999999999999993E-3</v>
      </c>
      <c r="O138" s="6">
        <v>6</v>
      </c>
      <c r="P138" s="7" t="str">
        <f t="shared" si="17"/>
        <v>Shenzhen</v>
      </c>
      <c r="Q138" s="7" t="str">
        <f t="shared" si="18"/>
        <v>J. Njeri</v>
      </c>
      <c r="R138" s="7" t="str">
        <f t="shared" si="19"/>
        <v>Online</v>
      </c>
      <c r="S138" t="str">
        <f t="shared" si="24"/>
        <v>OK</v>
      </c>
      <c r="T138" s="8" t="str">
        <f t="shared" si="20"/>
        <v>OK</v>
      </c>
      <c r="U138" t="str">
        <f t="shared" si="21"/>
        <v>OK</v>
      </c>
      <c r="V138">
        <f t="shared" si="22"/>
        <v>29</v>
      </c>
      <c r="W138" s="4">
        <f t="shared" si="23"/>
        <v>45669</v>
      </c>
    </row>
    <row r="139" spans="1:23" hidden="1" x14ac:dyDescent="0.25">
      <c r="A139" t="s">
        <v>152</v>
      </c>
      <c r="B139" s="4">
        <v>45016</v>
      </c>
      <c r="C139" s="4">
        <v>45028</v>
      </c>
      <c r="D139" t="s">
        <v>646</v>
      </c>
      <c r="E139" t="s">
        <v>650</v>
      </c>
      <c r="F139" t="s">
        <v>675</v>
      </c>
      <c r="G139" t="s">
        <v>705</v>
      </c>
      <c r="H139" t="s">
        <v>708</v>
      </c>
      <c r="I139" t="s">
        <v>712</v>
      </c>
      <c r="J139" t="s">
        <v>730</v>
      </c>
      <c r="K139" t="s">
        <v>871</v>
      </c>
      <c r="L139" s="6">
        <v>304.22000000000003</v>
      </c>
      <c r="M139" s="6">
        <v>393.31</v>
      </c>
      <c r="N139" s="8">
        <v>0.26500000000000001</v>
      </c>
      <c r="O139" s="6">
        <v>15</v>
      </c>
      <c r="P139" s="7" t="str">
        <f t="shared" si="17"/>
        <v>Mombasa</v>
      </c>
      <c r="Q139" s="7" t="str">
        <f t="shared" si="18"/>
        <v>C. Otieno</v>
      </c>
      <c r="R139" s="7" t="str">
        <f t="shared" si="19"/>
        <v>Online</v>
      </c>
      <c r="S139" t="str">
        <f t="shared" si="24"/>
        <v>OK</v>
      </c>
      <c r="T139" s="8" t="str">
        <f t="shared" si="20"/>
        <v>OK</v>
      </c>
      <c r="U139" t="str">
        <f t="shared" si="21"/>
        <v>OK</v>
      </c>
      <c r="V139">
        <f t="shared" si="22"/>
        <v>12</v>
      </c>
      <c r="W139" s="4">
        <f t="shared" si="23"/>
        <v>45028</v>
      </c>
    </row>
    <row r="140" spans="1:23" hidden="1" x14ac:dyDescent="0.25">
      <c r="A140" t="s">
        <v>153</v>
      </c>
      <c r="B140" s="4">
        <v>45616</v>
      </c>
      <c r="C140" s="4">
        <v>45641</v>
      </c>
      <c r="D140" t="s">
        <v>649</v>
      </c>
      <c r="E140" t="s">
        <v>657</v>
      </c>
      <c r="F140" t="s">
        <v>690</v>
      </c>
      <c r="G140" t="s">
        <v>701</v>
      </c>
      <c r="H140" t="s">
        <v>708</v>
      </c>
      <c r="I140" t="s">
        <v>715</v>
      </c>
      <c r="J140" t="s">
        <v>728</v>
      </c>
      <c r="K140" t="s">
        <v>872</v>
      </c>
      <c r="L140" s="6">
        <v>1203.58</v>
      </c>
      <c r="M140" s="6">
        <v>1856.16</v>
      </c>
      <c r="N140" s="8">
        <v>0.129</v>
      </c>
      <c r="O140" s="6">
        <v>22</v>
      </c>
      <c r="P140" s="7" t="str">
        <f t="shared" si="17"/>
        <v>Paris</v>
      </c>
      <c r="Q140" s="7" t="str">
        <f t="shared" si="18"/>
        <v>G. Dubois</v>
      </c>
      <c r="R140" s="7" t="str">
        <f t="shared" si="19"/>
        <v>Online</v>
      </c>
      <c r="S140" t="str">
        <f t="shared" si="24"/>
        <v>OK</v>
      </c>
      <c r="T140" s="8" t="str">
        <f t="shared" si="20"/>
        <v>OK</v>
      </c>
      <c r="U140" t="str">
        <f t="shared" si="21"/>
        <v>OK</v>
      </c>
      <c r="V140">
        <f t="shared" si="22"/>
        <v>25</v>
      </c>
      <c r="W140" s="4">
        <f t="shared" si="23"/>
        <v>45641</v>
      </c>
    </row>
    <row r="141" spans="1:23" hidden="1" x14ac:dyDescent="0.25">
      <c r="A141" t="s">
        <v>154</v>
      </c>
      <c r="B141" s="4">
        <v>45336</v>
      </c>
      <c r="C141" s="4">
        <v>45336</v>
      </c>
      <c r="D141" t="s">
        <v>647</v>
      </c>
      <c r="E141" t="s">
        <v>659</v>
      </c>
      <c r="F141" t="s">
        <v>699</v>
      </c>
      <c r="G141" t="s">
        <v>701</v>
      </c>
      <c r="H141" t="s">
        <v>710</v>
      </c>
      <c r="I141" t="s">
        <v>716</v>
      </c>
      <c r="J141" t="s">
        <v>733</v>
      </c>
      <c r="K141" t="s">
        <v>873</v>
      </c>
      <c r="L141" s="6">
        <v>65.930000000000007</v>
      </c>
      <c r="M141" s="6">
        <v>84.9</v>
      </c>
      <c r="N141" s="8">
        <v>0.25900000000000001</v>
      </c>
      <c r="O141" s="6">
        <v>23</v>
      </c>
      <c r="P141" s="7" t="str">
        <f t="shared" si="17"/>
        <v>Beijing</v>
      </c>
      <c r="Q141" s="7" t="str">
        <f t="shared" si="18"/>
        <v>L. Okafor</v>
      </c>
      <c r="R141" s="7" t="str">
        <f t="shared" si="19"/>
        <v>Distributor</v>
      </c>
      <c r="S141" t="str">
        <f t="shared" si="24"/>
        <v>OK</v>
      </c>
      <c r="T141" s="8" t="str">
        <f t="shared" si="20"/>
        <v>OK</v>
      </c>
      <c r="U141" t="str">
        <f t="shared" si="21"/>
        <v>OK</v>
      </c>
      <c r="V141">
        <f t="shared" si="22"/>
        <v>0</v>
      </c>
      <c r="W141" s="4">
        <f t="shared" si="23"/>
        <v>45336</v>
      </c>
    </row>
    <row r="142" spans="1:23" hidden="1" x14ac:dyDescent="0.25">
      <c r="A142" t="s">
        <v>155</v>
      </c>
      <c r="B142" s="4">
        <v>45048</v>
      </c>
      <c r="C142" s="4">
        <v>45064</v>
      </c>
      <c r="D142" t="s">
        <v>647</v>
      </c>
      <c r="E142" t="s">
        <v>654</v>
      </c>
      <c r="F142" t="s">
        <v>680</v>
      </c>
      <c r="G142" t="s">
        <v>705</v>
      </c>
      <c r="H142" t="s">
        <v>709</v>
      </c>
      <c r="I142" t="s">
        <v>723</v>
      </c>
      <c r="J142" t="s">
        <v>732</v>
      </c>
      <c r="K142" t="s">
        <v>874</v>
      </c>
      <c r="L142" s="6">
        <v>1463.92</v>
      </c>
      <c r="M142" s="6">
        <v>2252.2399999999998</v>
      </c>
      <c r="N142" s="8">
        <v>0.11799999999999999</v>
      </c>
      <c r="O142" s="6">
        <v>44</v>
      </c>
      <c r="P142" s="7" t="str">
        <f t="shared" si="17"/>
        <v>Delhi</v>
      </c>
      <c r="Q142" s="7" t="str">
        <f t="shared" si="18"/>
        <v>K. Singh</v>
      </c>
      <c r="R142" s="7" t="str">
        <f t="shared" si="19"/>
        <v>Marketplace</v>
      </c>
      <c r="S142" t="str">
        <f t="shared" si="24"/>
        <v>OK</v>
      </c>
      <c r="T142" s="8" t="str">
        <f t="shared" si="20"/>
        <v>OK</v>
      </c>
      <c r="U142" t="str">
        <f t="shared" si="21"/>
        <v>OK</v>
      </c>
      <c r="V142">
        <f t="shared" si="22"/>
        <v>16</v>
      </c>
      <c r="W142" s="4">
        <f t="shared" si="23"/>
        <v>45064</v>
      </c>
    </row>
    <row r="143" spans="1:23" hidden="1" x14ac:dyDescent="0.25">
      <c r="A143" t="s">
        <v>156</v>
      </c>
      <c r="B143" s="4">
        <v>45649</v>
      </c>
      <c r="C143" s="4">
        <v>45668</v>
      </c>
      <c r="D143" t="s">
        <v>649</v>
      </c>
      <c r="E143" t="s">
        <v>656</v>
      </c>
      <c r="F143" t="s">
        <v>671</v>
      </c>
      <c r="G143" t="s">
        <v>702</v>
      </c>
      <c r="H143" t="s">
        <v>707</v>
      </c>
      <c r="I143" t="s">
        <v>723</v>
      </c>
      <c r="J143" t="s">
        <v>730</v>
      </c>
      <c r="K143" t="s">
        <v>875</v>
      </c>
      <c r="L143" s="6">
        <v>501.81</v>
      </c>
      <c r="M143" s="6">
        <v>921.62</v>
      </c>
      <c r="N143" s="8">
        <v>0.01</v>
      </c>
      <c r="O143" s="6">
        <v>9</v>
      </c>
      <c r="P143" s="7" t="str">
        <f t="shared" si="17"/>
        <v>Berlin</v>
      </c>
      <c r="Q143" s="7" t="str">
        <f t="shared" si="18"/>
        <v>K. Singh</v>
      </c>
      <c r="R143" s="7" t="str">
        <f t="shared" si="19"/>
        <v>Retail</v>
      </c>
      <c r="S143" t="str">
        <f t="shared" si="24"/>
        <v>OK</v>
      </c>
      <c r="T143" s="8" t="str">
        <f t="shared" si="20"/>
        <v>OK</v>
      </c>
      <c r="U143" t="str">
        <f t="shared" si="21"/>
        <v>OK</v>
      </c>
      <c r="V143">
        <f t="shared" si="22"/>
        <v>19</v>
      </c>
      <c r="W143" s="4">
        <f t="shared" si="23"/>
        <v>45668</v>
      </c>
    </row>
    <row r="144" spans="1:23" hidden="1" x14ac:dyDescent="0.25">
      <c r="A144" t="s">
        <v>157</v>
      </c>
      <c r="B144" s="4">
        <v>45133</v>
      </c>
      <c r="C144" s="4">
        <v>45163</v>
      </c>
      <c r="D144" t="s">
        <v>648</v>
      </c>
      <c r="E144" t="s">
        <v>660</v>
      </c>
      <c r="F144" t="s">
        <v>700</v>
      </c>
      <c r="G144" t="s">
        <v>704</v>
      </c>
      <c r="H144" t="s">
        <v>707</v>
      </c>
      <c r="I144" t="s">
        <v>724</v>
      </c>
      <c r="J144" t="s">
        <v>733</v>
      </c>
      <c r="K144" t="s">
        <v>876</v>
      </c>
      <c r="L144" s="6">
        <v>1261.48</v>
      </c>
      <c r="M144" s="6">
        <v>1643.18</v>
      </c>
      <c r="N144" s="8">
        <v>0.151</v>
      </c>
      <c r="O144" s="6">
        <v>23</v>
      </c>
      <c r="P144" s="7" t="str">
        <f t="shared" si="17"/>
        <v>New York</v>
      </c>
      <c r="Q144" s="7" t="str">
        <f t="shared" si="18"/>
        <v>M. Rossi</v>
      </c>
      <c r="R144" s="7" t="str">
        <f t="shared" si="19"/>
        <v>Retail</v>
      </c>
      <c r="S144" t="str">
        <f t="shared" si="24"/>
        <v>OK</v>
      </c>
      <c r="T144" s="8" t="str">
        <f t="shared" si="20"/>
        <v>OK</v>
      </c>
      <c r="U144" t="str">
        <f t="shared" si="21"/>
        <v>OK</v>
      </c>
      <c r="V144">
        <f t="shared" si="22"/>
        <v>30</v>
      </c>
      <c r="W144" s="4">
        <f t="shared" si="23"/>
        <v>45163</v>
      </c>
    </row>
    <row r="145" spans="1:23" hidden="1" x14ac:dyDescent="0.25">
      <c r="A145" t="s">
        <v>158</v>
      </c>
      <c r="B145" s="4">
        <v>45458</v>
      </c>
      <c r="C145" s="4">
        <v>45479</v>
      </c>
      <c r="D145" t="s">
        <v>648</v>
      </c>
      <c r="E145" t="s">
        <v>653</v>
      </c>
      <c r="F145" t="s">
        <v>667</v>
      </c>
      <c r="G145" t="s">
        <v>706</v>
      </c>
      <c r="H145" t="s">
        <v>710</v>
      </c>
      <c r="I145" t="s">
        <v>716</v>
      </c>
      <c r="J145" t="s">
        <v>728</v>
      </c>
      <c r="K145" t="s">
        <v>877</v>
      </c>
      <c r="L145" s="6">
        <v>817.23</v>
      </c>
      <c r="M145" s="6">
        <v>1467.17</v>
      </c>
      <c r="N145" s="8">
        <v>0.245</v>
      </c>
      <c r="O145" s="6">
        <v>9</v>
      </c>
      <c r="P145" s="7" t="str">
        <f t="shared" si="17"/>
        <v>Toronto</v>
      </c>
      <c r="Q145" s="7" t="str">
        <f t="shared" si="18"/>
        <v>L. Okafor</v>
      </c>
      <c r="R145" s="7" t="str">
        <f t="shared" si="19"/>
        <v>Distributor</v>
      </c>
      <c r="S145" t="str">
        <f t="shared" si="24"/>
        <v>OK</v>
      </c>
      <c r="T145" s="8" t="str">
        <f t="shared" si="20"/>
        <v>OK</v>
      </c>
      <c r="U145" t="str">
        <f t="shared" si="21"/>
        <v>OK</v>
      </c>
      <c r="V145">
        <f t="shared" si="22"/>
        <v>21</v>
      </c>
      <c r="W145" s="4">
        <f t="shared" si="23"/>
        <v>45479</v>
      </c>
    </row>
    <row r="146" spans="1:23" hidden="1" x14ac:dyDescent="0.25">
      <c r="A146" t="s">
        <v>159</v>
      </c>
      <c r="B146" s="4">
        <v>45112</v>
      </c>
      <c r="C146" s="4">
        <v>45121</v>
      </c>
      <c r="D146" t="s">
        <v>648</v>
      </c>
      <c r="E146" t="s">
        <v>655</v>
      </c>
      <c r="F146" t="s">
        <v>672</v>
      </c>
      <c r="G146" t="s">
        <v>706</v>
      </c>
      <c r="H146" t="s">
        <v>711</v>
      </c>
      <c r="I146" t="s">
        <v>717</v>
      </c>
      <c r="J146" t="s">
        <v>729</v>
      </c>
      <c r="K146" t="s">
        <v>878</v>
      </c>
      <c r="L146" s="6">
        <v>578.85</v>
      </c>
      <c r="M146" s="6">
        <v>998.76</v>
      </c>
      <c r="N146" s="8">
        <v>8.2000000000000003E-2</v>
      </c>
      <c r="O146" s="6">
        <v>28</v>
      </c>
      <c r="P146" s="7" t="str">
        <f t="shared" si="17"/>
        <v>Brasília</v>
      </c>
      <c r="Q146" s="7" t="str">
        <f t="shared" si="18"/>
        <v>B. Chen</v>
      </c>
      <c r="R146" s="7" t="str">
        <f t="shared" si="19"/>
        <v>Direct</v>
      </c>
      <c r="S146" t="str">
        <f t="shared" si="24"/>
        <v>OK</v>
      </c>
      <c r="T146" s="8" t="str">
        <f t="shared" si="20"/>
        <v>OK</v>
      </c>
      <c r="U146" t="str">
        <f t="shared" si="21"/>
        <v>OK</v>
      </c>
      <c r="V146">
        <f t="shared" si="22"/>
        <v>9</v>
      </c>
      <c r="W146" s="4">
        <f t="shared" si="23"/>
        <v>45121</v>
      </c>
    </row>
    <row r="147" spans="1:23" hidden="1" x14ac:dyDescent="0.25">
      <c r="A147" t="s">
        <v>160</v>
      </c>
      <c r="B147" s="4">
        <v>45260</v>
      </c>
      <c r="C147" s="4">
        <v>45275</v>
      </c>
      <c r="D147" t="s">
        <v>646</v>
      </c>
      <c r="E147" t="s">
        <v>661</v>
      </c>
      <c r="F147" t="s">
        <v>687</v>
      </c>
      <c r="G147" t="s">
        <v>705</v>
      </c>
      <c r="H147" t="s">
        <v>709</v>
      </c>
      <c r="I147" t="s">
        <v>718</v>
      </c>
      <c r="J147" t="s">
        <v>731</v>
      </c>
      <c r="K147" t="s">
        <v>879</v>
      </c>
      <c r="L147" s="6">
        <v>275.56</v>
      </c>
      <c r="M147" s="6">
        <v>630.72</v>
      </c>
      <c r="N147" s="8">
        <v>0.107</v>
      </c>
      <c r="O147" s="6">
        <v>23</v>
      </c>
      <c r="P147" s="7" t="str">
        <f t="shared" si="17"/>
        <v>Durban</v>
      </c>
      <c r="Q147" s="7" t="str">
        <f t="shared" si="18"/>
        <v>E. Garcia</v>
      </c>
      <c r="R147" s="7" t="str">
        <f t="shared" si="19"/>
        <v>Marketplace</v>
      </c>
      <c r="S147" t="str">
        <f t="shared" si="24"/>
        <v>OK</v>
      </c>
      <c r="T147" s="8" t="str">
        <f t="shared" si="20"/>
        <v>OK</v>
      </c>
      <c r="U147" t="str">
        <f t="shared" si="21"/>
        <v>OK</v>
      </c>
      <c r="V147">
        <f t="shared" si="22"/>
        <v>15</v>
      </c>
      <c r="W147" s="4">
        <f t="shared" si="23"/>
        <v>45275</v>
      </c>
    </row>
    <row r="148" spans="1:23" hidden="1" x14ac:dyDescent="0.25">
      <c r="A148" t="s">
        <v>161</v>
      </c>
      <c r="B148" s="4">
        <v>45911</v>
      </c>
      <c r="C148" s="4">
        <v>45928</v>
      </c>
      <c r="D148" t="s">
        <v>646</v>
      </c>
      <c r="E148" t="s">
        <v>650</v>
      </c>
      <c r="F148" t="s">
        <v>664</v>
      </c>
      <c r="G148" t="s">
        <v>703</v>
      </c>
      <c r="H148" t="s">
        <v>710</v>
      </c>
      <c r="I148" t="s">
        <v>713</v>
      </c>
      <c r="J148" t="s">
        <v>731</v>
      </c>
      <c r="K148" t="s">
        <v>880</v>
      </c>
      <c r="L148" s="6">
        <v>891.46</v>
      </c>
      <c r="M148" s="6">
        <v>728.61</v>
      </c>
      <c r="N148" s="8">
        <v>0.185</v>
      </c>
      <c r="O148" s="6">
        <v>6</v>
      </c>
      <c r="P148" s="7" t="str">
        <f t="shared" si="17"/>
        <v>Nairobi</v>
      </c>
      <c r="Q148" s="7" t="str">
        <f t="shared" si="18"/>
        <v>J. Njeri</v>
      </c>
      <c r="R148" s="7" t="str">
        <f t="shared" si="19"/>
        <v>Distributor</v>
      </c>
      <c r="S148" t="str">
        <f t="shared" si="24"/>
        <v>OK</v>
      </c>
      <c r="T148" s="8" t="str">
        <f t="shared" si="20"/>
        <v>OK</v>
      </c>
      <c r="U148" t="str">
        <f t="shared" si="21"/>
        <v>OK</v>
      </c>
      <c r="V148">
        <f t="shared" si="22"/>
        <v>17</v>
      </c>
      <c r="W148" s="4">
        <f t="shared" si="23"/>
        <v>45928</v>
      </c>
    </row>
    <row r="149" spans="1:23" hidden="1" x14ac:dyDescent="0.25">
      <c r="A149" t="s">
        <v>162</v>
      </c>
      <c r="B149" s="4">
        <v>45386</v>
      </c>
      <c r="C149" s="4">
        <v>45406</v>
      </c>
      <c r="D149" t="s">
        <v>649</v>
      </c>
      <c r="E149" t="s">
        <v>656</v>
      </c>
      <c r="F149" t="s">
        <v>698</v>
      </c>
      <c r="G149" t="s">
        <v>703</v>
      </c>
      <c r="H149" t="s">
        <v>711</v>
      </c>
      <c r="I149" t="s">
        <v>719</v>
      </c>
      <c r="J149" t="s">
        <v>733</v>
      </c>
      <c r="K149" t="s">
        <v>881</v>
      </c>
      <c r="L149" s="6">
        <v>683.42</v>
      </c>
      <c r="M149" s="6">
        <v>951.51</v>
      </c>
      <c r="N149" s="8">
        <v>0</v>
      </c>
      <c r="O149" s="6">
        <v>14</v>
      </c>
      <c r="P149" s="7" t="str">
        <f t="shared" si="17"/>
        <v>Frankfurt</v>
      </c>
      <c r="Q149" s="7" t="str">
        <f t="shared" si="18"/>
        <v>O. Wang</v>
      </c>
      <c r="R149" s="7" t="str">
        <f t="shared" si="19"/>
        <v>Direct</v>
      </c>
      <c r="S149" t="str">
        <f t="shared" si="24"/>
        <v>OK</v>
      </c>
      <c r="T149" s="8" t="str">
        <f t="shared" si="20"/>
        <v>OK</v>
      </c>
      <c r="U149" t="str">
        <f t="shared" si="21"/>
        <v>OK</v>
      </c>
      <c r="V149">
        <f t="shared" si="22"/>
        <v>20</v>
      </c>
      <c r="W149" s="4">
        <f t="shared" si="23"/>
        <v>45406</v>
      </c>
    </row>
    <row r="150" spans="1:23" hidden="1" x14ac:dyDescent="0.25">
      <c r="A150" t="s">
        <v>163</v>
      </c>
      <c r="B150" s="4">
        <v>45183</v>
      </c>
      <c r="C150" s="4">
        <v>45185</v>
      </c>
      <c r="D150" t="s">
        <v>649</v>
      </c>
      <c r="E150" t="s">
        <v>657</v>
      </c>
      <c r="F150" t="s">
        <v>679</v>
      </c>
      <c r="G150" t="s">
        <v>703</v>
      </c>
      <c r="H150" t="s">
        <v>711</v>
      </c>
      <c r="I150" t="s">
        <v>717</v>
      </c>
      <c r="J150" t="s">
        <v>728</v>
      </c>
      <c r="K150" t="s">
        <v>882</v>
      </c>
      <c r="L150" s="6">
        <v>376.83</v>
      </c>
      <c r="M150" s="6">
        <v>732.88</v>
      </c>
      <c r="N150" s="8">
        <v>0.188</v>
      </c>
      <c r="O150" s="6">
        <v>25</v>
      </c>
      <c r="P150" s="7" t="str">
        <f t="shared" si="17"/>
        <v>Lyon</v>
      </c>
      <c r="Q150" s="7" t="str">
        <f t="shared" si="18"/>
        <v>B. Chen</v>
      </c>
      <c r="R150" s="7" t="str">
        <f t="shared" si="19"/>
        <v>Direct</v>
      </c>
      <c r="S150" t="str">
        <f t="shared" si="24"/>
        <v>OK</v>
      </c>
      <c r="T150" s="8" t="str">
        <f t="shared" si="20"/>
        <v>OK</v>
      </c>
      <c r="U150" t="str">
        <f t="shared" si="21"/>
        <v>OK</v>
      </c>
      <c r="V150">
        <f t="shared" si="22"/>
        <v>2</v>
      </c>
      <c r="W150" s="4">
        <f t="shared" si="23"/>
        <v>45185</v>
      </c>
    </row>
    <row r="151" spans="1:23" hidden="1" x14ac:dyDescent="0.25">
      <c r="A151" t="s">
        <v>164</v>
      </c>
      <c r="B151" s="4">
        <v>45558</v>
      </c>
      <c r="C151" s="4">
        <v>45583</v>
      </c>
      <c r="D151" t="s">
        <v>648</v>
      </c>
      <c r="E151" t="s">
        <v>653</v>
      </c>
      <c r="F151" t="s">
        <v>688</v>
      </c>
      <c r="G151" t="s">
        <v>705</v>
      </c>
      <c r="H151" t="s">
        <v>708</v>
      </c>
      <c r="I151" t="s">
        <v>725</v>
      </c>
      <c r="J151" t="s">
        <v>730</v>
      </c>
      <c r="K151" t="s">
        <v>883</v>
      </c>
      <c r="L151" s="6">
        <v>1297</v>
      </c>
      <c r="M151" s="6">
        <v>2411.52</v>
      </c>
      <c r="N151" s="8">
        <v>2.1000000000000001E-2</v>
      </c>
      <c r="O151" s="6">
        <v>18</v>
      </c>
      <c r="P151" s="7" t="str">
        <f t="shared" si="17"/>
        <v>Vancouver</v>
      </c>
      <c r="Q151" s="7" t="str">
        <f t="shared" si="18"/>
        <v>N. Brown</v>
      </c>
      <c r="R151" s="7" t="str">
        <f t="shared" si="19"/>
        <v>Online</v>
      </c>
      <c r="S151" t="str">
        <f t="shared" si="24"/>
        <v>OK</v>
      </c>
      <c r="T151" s="8" t="str">
        <f t="shared" si="20"/>
        <v>OK</v>
      </c>
      <c r="U151" t="str">
        <f t="shared" si="21"/>
        <v>OK</v>
      </c>
      <c r="V151">
        <f t="shared" si="22"/>
        <v>25</v>
      </c>
      <c r="W151" s="4">
        <f t="shared" si="23"/>
        <v>45583</v>
      </c>
    </row>
    <row r="152" spans="1:23" hidden="1" x14ac:dyDescent="0.25">
      <c r="A152" t="s">
        <v>165</v>
      </c>
      <c r="B152" s="4">
        <v>45763</v>
      </c>
      <c r="C152" s="4">
        <v>45793</v>
      </c>
      <c r="D152" t="s">
        <v>648</v>
      </c>
      <c r="E152" t="s">
        <v>653</v>
      </c>
      <c r="F152" t="s">
        <v>681</v>
      </c>
      <c r="G152" t="s">
        <v>706</v>
      </c>
      <c r="H152" t="s">
        <v>710</v>
      </c>
      <c r="I152" t="s">
        <v>723</v>
      </c>
      <c r="J152" t="s">
        <v>728</v>
      </c>
      <c r="K152" t="s">
        <v>884</v>
      </c>
      <c r="L152" s="6">
        <v>763.32</v>
      </c>
      <c r="M152" s="6">
        <v>568.29</v>
      </c>
      <c r="N152" s="8">
        <v>0.13100000000000001</v>
      </c>
      <c r="O152" s="6">
        <v>16</v>
      </c>
      <c r="P152" s="7" t="str">
        <f t="shared" si="17"/>
        <v>Montreal</v>
      </c>
      <c r="Q152" s="7" t="str">
        <f t="shared" si="18"/>
        <v>K. Singh</v>
      </c>
      <c r="R152" s="7" t="str">
        <f t="shared" si="19"/>
        <v>Distributor</v>
      </c>
      <c r="S152" t="str">
        <f t="shared" si="24"/>
        <v>OK</v>
      </c>
      <c r="T152" s="8" t="str">
        <f t="shared" si="20"/>
        <v>OK</v>
      </c>
      <c r="U152" t="str">
        <f t="shared" si="21"/>
        <v>OK</v>
      </c>
      <c r="V152">
        <f t="shared" si="22"/>
        <v>30</v>
      </c>
      <c r="W152" s="4">
        <f t="shared" si="23"/>
        <v>45793</v>
      </c>
    </row>
    <row r="153" spans="1:23" hidden="1" x14ac:dyDescent="0.25">
      <c r="A153" t="s">
        <v>166</v>
      </c>
      <c r="B153" s="4">
        <v>45110</v>
      </c>
      <c r="C153" s="4">
        <v>45130</v>
      </c>
      <c r="D153" t="s">
        <v>646</v>
      </c>
      <c r="E153" t="s">
        <v>661</v>
      </c>
      <c r="F153" t="s">
        <v>682</v>
      </c>
      <c r="G153" t="s">
        <v>705</v>
      </c>
      <c r="H153" t="s">
        <v>710</v>
      </c>
      <c r="I153" t="s">
        <v>721</v>
      </c>
      <c r="J153" t="s">
        <v>731</v>
      </c>
      <c r="K153" t="s">
        <v>885</v>
      </c>
      <c r="L153" s="6">
        <v>1001.96</v>
      </c>
      <c r="M153" s="6">
        <v>1254.95</v>
      </c>
      <c r="N153" s="8">
        <v>4.4999999999999998E-2</v>
      </c>
      <c r="O153" s="6">
        <v>18</v>
      </c>
      <c r="P153" s="7" t="str">
        <f t="shared" si="17"/>
        <v>Johannesburg</v>
      </c>
      <c r="Q153" s="7" t="str">
        <f t="shared" si="18"/>
        <v>F. Müller</v>
      </c>
      <c r="R153" s="7" t="str">
        <f t="shared" si="19"/>
        <v>Distributor</v>
      </c>
      <c r="S153" t="str">
        <f t="shared" si="24"/>
        <v>OK</v>
      </c>
      <c r="T153" s="8" t="str">
        <f t="shared" si="20"/>
        <v>OK</v>
      </c>
      <c r="U153" t="str">
        <f t="shared" si="21"/>
        <v>OK</v>
      </c>
      <c r="V153">
        <f t="shared" si="22"/>
        <v>20</v>
      </c>
      <c r="W153" s="4">
        <f t="shared" si="23"/>
        <v>45130</v>
      </c>
    </row>
    <row r="154" spans="1:23" hidden="1" x14ac:dyDescent="0.25">
      <c r="A154" t="s">
        <v>167</v>
      </c>
      <c r="B154" s="4">
        <v>45267</v>
      </c>
      <c r="C154" s="4">
        <v>45282</v>
      </c>
      <c r="D154" t="s">
        <v>647</v>
      </c>
      <c r="E154" t="s">
        <v>652</v>
      </c>
      <c r="F154" t="s">
        <v>689</v>
      </c>
      <c r="G154" t="s">
        <v>703</v>
      </c>
      <c r="H154" t="s">
        <v>709</v>
      </c>
      <c r="I154" t="s">
        <v>722</v>
      </c>
      <c r="J154" t="s">
        <v>728</v>
      </c>
      <c r="K154" t="s">
        <v>886</v>
      </c>
      <c r="L154" s="6">
        <v>1097.5899999999999</v>
      </c>
      <c r="M154" s="6">
        <v>845.55</v>
      </c>
      <c r="N154" s="8">
        <v>0.184</v>
      </c>
      <c r="O154" s="6">
        <v>6</v>
      </c>
      <c r="P154" s="7" t="str">
        <f t="shared" si="17"/>
        <v>Tokyo</v>
      </c>
      <c r="Q154" s="7" t="str">
        <f t="shared" si="18"/>
        <v>H. Kim</v>
      </c>
      <c r="R154" s="7" t="str">
        <f t="shared" si="19"/>
        <v>Marketplace</v>
      </c>
      <c r="S154" t="str">
        <f t="shared" si="24"/>
        <v>OK</v>
      </c>
      <c r="T154" s="8" t="str">
        <f t="shared" si="20"/>
        <v>OK</v>
      </c>
      <c r="U154" t="str">
        <f t="shared" si="21"/>
        <v>OK</v>
      </c>
      <c r="V154">
        <f t="shared" si="22"/>
        <v>15</v>
      </c>
      <c r="W154" s="4">
        <f t="shared" si="23"/>
        <v>45282</v>
      </c>
    </row>
    <row r="155" spans="1:23" hidden="1" x14ac:dyDescent="0.25">
      <c r="A155" t="s">
        <v>168</v>
      </c>
      <c r="B155" s="4">
        <v>45340</v>
      </c>
      <c r="C155" s="4">
        <v>45355</v>
      </c>
      <c r="D155" t="s">
        <v>646</v>
      </c>
      <c r="E155" t="s">
        <v>650</v>
      </c>
      <c r="F155" t="s">
        <v>662</v>
      </c>
      <c r="G155" t="s">
        <v>702</v>
      </c>
      <c r="H155" t="s">
        <v>711</v>
      </c>
      <c r="I155" t="s">
        <v>723</v>
      </c>
      <c r="J155" t="s">
        <v>728</v>
      </c>
      <c r="K155" t="s">
        <v>887</v>
      </c>
      <c r="L155" s="6">
        <v>928.68</v>
      </c>
      <c r="M155" s="6">
        <v>2145.17</v>
      </c>
      <c r="N155" s="8">
        <v>0.13600000000000001</v>
      </c>
      <c r="O155" s="6">
        <v>16</v>
      </c>
      <c r="P155" s="7" t="str">
        <f t="shared" si="17"/>
        <v>Kisumu</v>
      </c>
      <c r="Q155" s="7" t="str">
        <f t="shared" si="18"/>
        <v>K. Singh</v>
      </c>
      <c r="R155" s="7" t="str">
        <f t="shared" si="19"/>
        <v>Direct</v>
      </c>
      <c r="S155" t="str">
        <f t="shared" si="24"/>
        <v>OK</v>
      </c>
      <c r="T155" s="8" t="str">
        <f t="shared" si="20"/>
        <v>OK</v>
      </c>
      <c r="U155" t="str">
        <f t="shared" si="21"/>
        <v>OK</v>
      </c>
      <c r="V155">
        <f t="shared" si="22"/>
        <v>15</v>
      </c>
      <c r="W155" s="4">
        <f t="shared" si="23"/>
        <v>45355</v>
      </c>
    </row>
    <row r="156" spans="1:23" hidden="1" x14ac:dyDescent="0.25">
      <c r="A156" t="s">
        <v>169</v>
      </c>
      <c r="B156" s="4">
        <v>45230</v>
      </c>
      <c r="C156" s="4">
        <v>45232</v>
      </c>
      <c r="D156" t="s">
        <v>646</v>
      </c>
      <c r="E156" t="s">
        <v>650</v>
      </c>
      <c r="F156" t="s">
        <v>662</v>
      </c>
      <c r="G156" t="s">
        <v>702</v>
      </c>
      <c r="H156" t="s">
        <v>707</v>
      </c>
      <c r="I156" t="s">
        <v>719</v>
      </c>
      <c r="J156" t="s">
        <v>733</v>
      </c>
      <c r="K156" t="s">
        <v>888</v>
      </c>
      <c r="L156" s="6">
        <v>867.89</v>
      </c>
      <c r="M156" s="6">
        <v>1349.94</v>
      </c>
      <c r="N156" s="8">
        <v>0.184</v>
      </c>
      <c r="O156" s="6">
        <v>10</v>
      </c>
      <c r="P156" s="7" t="str">
        <f t="shared" si="17"/>
        <v>Kisumu</v>
      </c>
      <c r="Q156" s="7" t="str">
        <f t="shared" si="18"/>
        <v>O. Wang</v>
      </c>
      <c r="R156" s="7" t="str">
        <f t="shared" si="19"/>
        <v>Retail</v>
      </c>
      <c r="S156" t="str">
        <f t="shared" si="24"/>
        <v>OK</v>
      </c>
      <c r="T156" s="8" t="str">
        <f t="shared" si="20"/>
        <v>OK</v>
      </c>
      <c r="U156" t="str">
        <f t="shared" si="21"/>
        <v>OK</v>
      </c>
      <c r="V156">
        <f t="shared" si="22"/>
        <v>2</v>
      </c>
      <c r="W156" s="4">
        <f t="shared" si="23"/>
        <v>45232</v>
      </c>
    </row>
    <row r="157" spans="1:23" hidden="1" x14ac:dyDescent="0.25">
      <c r="A157" t="s">
        <v>170</v>
      </c>
      <c r="B157" s="4">
        <v>45511</v>
      </c>
      <c r="C157" s="4">
        <v>45521</v>
      </c>
      <c r="D157" t="s">
        <v>647</v>
      </c>
      <c r="E157" t="s">
        <v>652</v>
      </c>
      <c r="F157" t="s">
        <v>666</v>
      </c>
      <c r="G157" t="s">
        <v>704</v>
      </c>
      <c r="H157" t="s">
        <v>708</v>
      </c>
      <c r="I157" t="s">
        <v>723</v>
      </c>
      <c r="J157" t="s">
        <v>729</v>
      </c>
      <c r="K157" t="s">
        <v>889</v>
      </c>
      <c r="L157" s="6">
        <v>436.58</v>
      </c>
      <c r="M157" s="6">
        <v>527.48</v>
      </c>
      <c r="N157" s="8">
        <v>0.111</v>
      </c>
      <c r="O157" s="6">
        <v>19</v>
      </c>
      <c r="P157" s="7" t="str">
        <f t="shared" si="17"/>
        <v>Osaka</v>
      </c>
      <c r="Q157" s="7" t="str">
        <f t="shared" si="18"/>
        <v>K. Singh</v>
      </c>
      <c r="R157" s="7" t="str">
        <f t="shared" si="19"/>
        <v>Online</v>
      </c>
      <c r="S157" t="str">
        <f t="shared" si="24"/>
        <v>OK</v>
      </c>
      <c r="T157" s="8" t="str">
        <f t="shared" si="20"/>
        <v>OK</v>
      </c>
      <c r="U157" t="str">
        <f t="shared" si="21"/>
        <v>OK</v>
      </c>
      <c r="V157">
        <f t="shared" si="22"/>
        <v>10</v>
      </c>
      <c r="W157" s="4">
        <f t="shared" si="23"/>
        <v>45521</v>
      </c>
    </row>
    <row r="158" spans="1:23" hidden="1" x14ac:dyDescent="0.25">
      <c r="A158" t="s">
        <v>171</v>
      </c>
      <c r="B158" s="4">
        <v>45323</v>
      </c>
      <c r="C158" s="4">
        <v>45343</v>
      </c>
      <c r="D158" t="s">
        <v>649</v>
      </c>
      <c r="E158" t="s">
        <v>657</v>
      </c>
      <c r="F158" t="s">
        <v>690</v>
      </c>
      <c r="G158" t="s">
        <v>705</v>
      </c>
      <c r="H158" t="s">
        <v>709</v>
      </c>
      <c r="I158" t="s">
        <v>720</v>
      </c>
      <c r="J158" t="s">
        <v>729</v>
      </c>
      <c r="K158" t="s">
        <v>890</v>
      </c>
      <c r="L158" s="6">
        <v>656.2</v>
      </c>
      <c r="M158" s="6">
        <v>1467.17</v>
      </c>
      <c r="N158" s="8">
        <v>1.7999999999999999E-2</v>
      </c>
      <c r="O158" s="6">
        <v>5</v>
      </c>
      <c r="P158" s="7" t="str">
        <f t="shared" si="17"/>
        <v>Paris</v>
      </c>
      <c r="Q158" s="7" t="str">
        <f t="shared" si="18"/>
        <v>A. Patel</v>
      </c>
      <c r="R158" s="7" t="str">
        <f t="shared" si="19"/>
        <v>Marketplace</v>
      </c>
      <c r="S158" t="str">
        <f t="shared" si="24"/>
        <v>OK</v>
      </c>
      <c r="T158" s="8" t="str">
        <f t="shared" si="20"/>
        <v>OK</v>
      </c>
      <c r="U158" t="str">
        <f t="shared" si="21"/>
        <v>OK</v>
      </c>
      <c r="V158">
        <f t="shared" si="22"/>
        <v>20</v>
      </c>
      <c r="W158" s="4">
        <f t="shared" si="23"/>
        <v>45343</v>
      </c>
    </row>
    <row r="159" spans="1:23" hidden="1" x14ac:dyDescent="0.25">
      <c r="A159" t="s">
        <v>172</v>
      </c>
      <c r="B159" s="4">
        <v>45531</v>
      </c>
      <c r="C159" s="4">
        <v>45553</v>
      </c>
      <c r="D159" t="s">
        <v>647</v>
      </c>
      <c r="E159" t="s">
        <v>654</v>
      </c>
      <c r="F159" t="s">
        <v>680</v>
      </c>
      <c r="G159" t="s">
        <v>704</v>
      </c>
      <c r="H159" t="s">
        <v>711</v>
      </c>
      <c r="I159" t="s">
        <v>717</v>
      </c>
      <c r="J159" t="s">
        <v>727</v>
      </c>
      <c r="K159" t="s">
        <v>891</v>
      </c>
      <c r="L159" s="6">
        <v>896.75</v>
      </c>
      <c r="M159" s="6">
        <v>1651.14</v>
      </c>
      <c r="N159" s="8">
        <v>2.5000000000000001E-2</v>
      </c>
      <c r="O159" s="6">
        <v>15</v>
      </c>
      <c r="P159" s="7" t="str">
        <f t="shared" si="17"/>
        <v>Delhi</v>
      </c>
      <c r="Q159" s="7" t="str">
        <f t="shared" si="18"/>
        <v>B. Chen</v>
      </c>
      <c r="R159" s="7" t="str">
        <f t="shared" si="19"/>
        <v>Direct</v>
      </c>
      <c r="S159" t="str">
        <f t="shared" si="24"/>
        <v>OK</v>
      </c>
      <c r="T159" s="8" t="str">
        <f t="shared" si="20"/>
        <v>OK</v>
      </c>
      <c r="U159" t="str">
        <f t="shared" si="21"/>
        <v>OK</v>
      </c>
      <c r="V159">
        <f t="shared" si="22"/>
        <v>22</v>
      </c>
      <c r="W159" s="4">
        <f t="shared" si="23"/>
        <v>45553</v>
      </c>
    </row>
    <row r="160" spans="1:23" hidden="1" x14ac:dyDescent="0.25">
      <c r="A160" t="s">
        <v>173</v>
      </c>
      <c r="B160" s="4">
        <v>45703</v>
      </c>
      <c r="C160" s="4">
        <v>45703</v>
      </c>
      <c r="D160" t="s">
        <v>649</v>
      </c>
      <c r="E160" t="s">
        <v>656</v>
      </c>
      <c r="F160" t="s">
        <v>698</v>
      </c>
      <c r="G160" t="s">
        <v>705</v>
      </c>
      <c r="H160" t="s">
        <v>709</v>
      </c>
      <c r="I160" t="s">
        <v>716</v>
      </c>
      <c r="J160" t="s">
        <v>733</v>
      </c>
      <c r="K160" t="s">
        <v>892</v>
      </c>
      <c r="L160" s="6">
        <v>815.83</v>
      </c>
      <c r="M160" s="6">
        <v>1982.18</v>
      </c>
      <c r="N160" s="8">
        <v>0.127</v>
      </c>
      <c r="O160" s="6">
        <v>6</v>
      </c>
      <c r="P160" s="7" t="str">
        <f t="shared" si="17"/>
        <v>Frankfurt</v>
      </c>
      <c r="Q160" s="7" t="str">
        <f t="shared" si="18"/>
        <v>L. Okafor</v>
      </c>
      <c r="R160" s="7" t="str">
        <f t="shared" si="19"/>
        <v>Marketplace</v>
      </c>
      <c r="S160" t="str">
        <f t="shared" si="24"/>
        <v>OK</v>
      </c>
      <c r="T160" s="8" t="str">
        <f t="shared" si="20"/>
        <v>OK</v>
      </c>
      <c r="U160" t="str">
        <f t="shared" si="21"/>
        <v>OK</v>
      </c>
      <c r="V160">
        <f t="shared" si="22"/>
        <v>0</v>
      </c>
      <c r="W160" s="4">
        <f t="shared" si="23"/>
        <v>45703</v>
      </c>
    </row>
    <row r="161" spans="1:23" hidden="1" x14ac:dyDescent="0.25">
      <c r="A161" t="s">
        <v>174</v>
      </c>
      <c r="B161" s="4">
        <v>45870</v>
      </c>
      <c r="C161" s="4">
        <v>45890</v>
      </c>
      <c r="D161" t="s">
        <v>647</v>
      </c>
      <c r="E161" t="s">
        <v>659</v>
      </c>
      <c r="F161" t="s">
        <v>685</v>
      </c>
      <c r="G161" t="s">
        <v>701</v>
      </c>
      <c r="H161" t="s">
        <v>711</v>
      </c>
      <c r="I161" t="s">
        <v>714</v>
      </c>
      <c r="J161" t="s">
        <v>730</v>
      </c>
      <c r="K161" t="s">
        <v>893</v>
      </c>
      <c r="L161" s="6">
        <v>1220.4100000000001</v>
      </c>
      <c r="M161" s="6">
        <v>2552.2199999999998</v>
      </c>
      <c r="N161" s="8">
        <v>0.18099999999999999</v>
      </c>
      <c r="O161" s="6">
        <v>14</v>
      </c>
      <c r="P161" s="7" t="str">
        <f t="shared" si="17"/>
        <v>Shanghai</v>
      </c>
      <c r="Q161" s="7" t="str">
        <f t="shared" si="18"/>
        <v>I. Johnson</v>
      </c>
      <c r="R161" s="7" t="str">
        <f t="shared" si="19"/>
        <v>Direct</v>
      </c>
      <c r="S161" t="str">
        <f t="shared" si="24"/>
        <v>OK</v>
      </c>
      <c r="T161" s="8" t="str">
        <f t="shared" si="20"/>
        <v>OK</v>
      </c>
      <c r="U161" t="str">
        <f t="shared" si="21"/>
        <v>OK</v>
      </c>
      <c r="V161">
        <f t="shared" si="22"/>
        <v>20</v>
      </c>
      <c r="W161" s="4">
        <f t="shared" si="23"/>
        <v>45890</v>
      </c>
    </row>
    <row r="162" spans="1:23" hidden="1" x14ac:dyDescent="0.25">
      <c r="A162" t="s">
        <v>175</v>
      </c>
      <c r="B162" s="4">
        <v>44977</v>
      </c>
      <c r="C162" s="4">
        <v>44989</v>
      </c>
      <c r="D162" t="s">
        <v>647</v>
      </c>
      <c r="E162" t="s">
        <v>654</v>
      </c>
      <c r="F162" t="s">
        <v>680</v>
      </c>
      <c r="G162" t="s">
        <v>704</v>
      </c>
      <c r="H162" t="s">
        <v>710</v>
      </c>
      <c r="I162" t="s">
        <v>724</v>
      </c>
      <c r="J162" t="s">
        <v>732</v>
      </c>
      <c r="K162" t="s">
        <v>894</v>
      </c>
      <c r="L162" s="6">
        <v>299.75</v>
      </c>
      <c r="M162" s="6">
        <v>523.01</v>
      </c>
      <c r="N162" s="8">
        <v>0.157</v>
      </c>
      <c r="O162" s="6">
        <v>50</v>
      </c>
      <c r="P162" s="7" t="str">
        <f t="shared" si="17"/>
        <v>Delhi</v>
      </c>
      <c r="Q162" s="7" t="str">
        <f t="shared" si="18"/>
        <v>M. Rossi</v>
      </c>
      <c r="R162" s="7" t="str">
        <f t="shared" si="19"/>
        <v>Distributor</v>
      </c>
      <c r="S162" t="str">
        <f t="shared" si="24"/>
        <v>OK</v>
      </c>
      <c r="T162" s="8" t="str">
        <f t="shared" si="20"/>
        <v>OK</v>
      </c>
      <c r="U162" t="str">
        <f t="shared" si="21"/>
        <v>OK</v>
      </c>
      <c r="V162">
        <f t="shared" si="22"/>
        <v>12</v>
      </c>
      <c r="W162" s="4">
        <f t="shared" si="23"/>
        <v>44989</v>
      </c>
    </row>
    <row r="163" spans="1:23" hidden="1" x14ac:dyDescent="0.25">
      <c r="A163" t="s">
        <v>176</v>
      </c>
      <c r="B163" s="4">
        <v>45595</v>
      </c>
      <c r="C163" s="4">
        <v>45620</v>
      </c>
      <c r="D163" t="s">
        <v>647</v>
      </c>
      <c r="E163" t="s">
        <v>659</v>
      </c>
      <c r="F163" t="s">
        <v>676</v>
      </c>
      <c r="G163" t="s">
        <v>705</v>
      </c>
      <c r="H163" t="s">
        <v>708</v>
      </c>
      <c r="I163" t="s">
        <v>718</v>
      </c>
      <c r="J163" t="s">
        <v>727</v>
      </c>
      <c r="K163" t="s">
        <v>895</v>
      </c>
      <c r="L163" s="6">
        <v>811.05</v>
      </c>
      <c r="M163" s="6">
        <v>1217.71</v>
      </c>
      <c r="N163" s="8">
        <v>7.1999999999999995E-2</v>
      </c>
      <c r="O163" s="6">
        <v>5</v>
      </c>
      <c r="P163" s="7" t="str">
        <f t="shared" si="17"/>
        <v>Shenzhen</v>
      </c>
      <c r="Q163" s="7" t="str">
        <f t="shared" si="18"/>
        <v>E. Garcia</v>
      </c>
      <c r="R163" s="7" t="str">
        <f t="shared" si="19"/>
        <v>Online</v>
      </c>
      <c r="S163" t="str">
        <f t="shared" si="24"/>
        <v>OK</v>
      </c>
      <c r="T163" s="8" t="str">
        <f t="shared" si="20"/>
        <v>OK</v>
      </c>
      <c r="U163" t="str">
        <f t="shared" si="21"/>
        <v>OK</v>
      </c>
      <c r="V163">
        <f t="shared" si="22"/>
        <v>25</v>
      </c>
      <c r="W163" s="4">
        <f t="shared" si="23"/>
        <v>45620</v>
      </c>
    </row>
    <row r="164" spans="1:23" hidden="1" x14ac:dyDescent="0.25">
      <c r="A164" t="s">
        <v>177</v>
      </c>
      <c r="B164" s="4">
        <v>45385</v>
      </c>
      <c r="C164" s="4">
        <v>45389</v>
      </c>
      <c r="D164" t="s">
        <v>648</v>
      </c>
      <c r="E164" t="s">
        <v>655</v>
      </c>
      <c r="F164" t="s">
        <v>672</v>
      </c>
      <c r="G164" t="s">
        <v>703</v>
      </c>
      <c r="H164" t="s">
        <v>711</v>
      </c>
      <c r="I164" t="s">
        <v>725</v>
      </c>
      <c r="J164" t="s">
        <v>730</v>
      </c>
      <c r="K164" t="s">
        <v>896</v>
      </c>
      <c r="L164" s="6">
        <v>1023.27</v>
      </c>
      <c r="M164" s="6">
        <v>1343.64</v>
      </c>
      <c r="N164" s="8">
        <v>0.13300000000000001</v>
      </c>
      <c r="O164" s="6">
        <v>7</v>
      </c>
      <c r="P164" s="7" t="str">
        <f t="shared" si="17"/>
        <v>Brasília</v>
      </c>
      <c r="Q164" s="7" t="str">
        <f t="shared" si="18"/>
        <v>N. Brown</v>
      </c>
      <c r="R164" s="7" t="str">
        <f t="shared" si="19"/>
        <v>Direct</v>
      </c>
      <c r="S164" t="str">
        <f t="shared" si="24"/>
        <v>OK</v>
      </c>
      <c r="T164" s="8" t="str">
        <f t="shared" si="20"/>
        <v>OK</v>
      </c>
      <c r="U164" t="str">
        <f t="shared" si="21"/>
        <v>OK</v>
      </c>
      <c r="V164">
        <f t="shared" si="22"/>
        <v>4</v>
      </c>
      <c r="W164" s="4">
        <f t="shared" si="23"/>
        <v>45389</v>
      </c>
    </row>
    <row r="165" spans="1:23" hidden="1" x14ac:dyDescent="0.25">
      <c r="A165" t="s">
        <v>178</v>
      </c>
      <c r="B165" s="4">
        <v>45010</v>
      </c>
      <c r="C165" s="4">
        <v>45011</v>
      </c>
      <c r="D165" t="s">
        <v>647</v>
      </c>
      <c r="E165" t="s">
        <v>652</v>
      </c>
      <c r="F165" t="s">
        <v>666</v>
      </c>
      <c r="G165" t="s">
        <v>705</v>
      </c>
      <c r="H165" t="s">
        <v>710</v>
      </c>
      <c r="I165" t="s">
        <v>714</v>
      </c>
      <c r="J165" t="s">
        <v>732</v>
      </c>
      <c r="K165" t="s">
        <v>897</v>
      </c>
      <c r="L165" s="6">
        <v>135.12</v>
      </c>
      <c r="M165" s="6">
        <v>301.7</v>
      </c>
      <c r="N165" s="8">
        <v>0.14000000000000001</v>
      </c>
      <c r="O165" s="6">
        <v>47</v>
      </c>
      <c r="P165" s="7" t="str">
        <f t="shared" si="17"/>
        <v>Osaka</v>
      </c>
      <c r="Q165" s="7" t="str">
        <f t="shared" si="18"/>
        <v>I. Johnson</v>
      </c>
      <c r="R165" s="7" t="str">
        <f t="shared" si="19"/>
        <v>Distributor</v>
      </c>
      <c r="S165" t="str">
        <f t="shared" si="24"/>
        <v>OK</v>
      </c>
      <c r="T165" s="8" t="str">
        <f t="shared" si="20"/>
        <v>OK</v>
      </c>
      <c r="U165" t="str">
        <f t="shared" si="21"/>
        <v>OK</v>
      </c>
      <c r="V165">
        <f t="shared" si="22"/>
        <v>1</v>
      </c>
      <c r="W165" s="4">
        <f t="shared" si="23"/>
        <v>45011</v>
      </c>
    </row>
    <row r="166" spans="1:23" hidden="1" x14ac:dyDescent="0.25">
      <c r="A166" t="s">
        <v>179</v>
      </c>
      <c r="B166" s="4">
        <v>45447</v>
      </c>
      <c r="C166" s="4">
        <v>45459</v>
      </c>
      <c r="D166" t="s">
        <v>647</v>
      </c>
      <c r="E166" t="s">
        <v>659</v>
      </c>
      <c r="F166" t="s">
        <v>685</v>
      </c>
      <c r="G166" t="s">
        <v>701</v>
      </c>
      <c r="H166" t="s">
        <v>707</v>
      </c>
      <c r="I166" t="s">
        <v>713</v>
      </c>
      <c r="J166" t="s">
        <v>728</v>
      </c>
      <c r="K166" t="s">
        <v>898</v>
      </c>
      <c r="L166" s="6">
        <v>918.42</v>
      </c>
      <c r="M166" s="6">
        <v>1511.71</v>
      </c>
      <c r="N166" s="8">
        <v>0.02</v>
      </c>
      <c r="O166" s="6">
        <v>8</v>
      </c>
      <c r="P166" s="7" t="str">
        <f t="shared" si="17"/>
        <v>Shanghai</v>
      </c>
      <c r="Q166" s="7" t="str">
        <f t="shared" si="18"/>
        <v>J. Njeri</v>
      </c>
      <c r="R166" s="7" t="str">
        <f t="shared" si="19"/>
        <v>Retail</v>
      </c>
      <c r="S166" t="str">
        <f t="shared" si="24"/>
        <v>OK</v>
      </c>
      <c r="T166" s="8" t="str">
        <f t="shared" si="20"/>
        <v>OK</v>
      </c>
      <c r="U166" t="str">
        <f t="shared" si="21"/>
        <v>OK</v>
      </c>
      <c r="V166">
        <f t="shared" si="22"/>
        <v>12</v>
      </c>
      <c r="W166" s="4">
        <f t="shared" si="23"/>
        <v>45459</v>
      </c>
    </row>
    <row r="167" spans="1:23" hidden="1" x14ac:dyDescent="0.25">
      <c r="A167" t="s">
        <v>180</v>
      </c>
      <c r="B167" s="4">
        <v>44976</v>
      </c>
      <c r="C167" s="4">
        <v>44997</v>
      </c>
      <c r="D167" t="s">
        <v>649</v>
      </c>
      <c r="E167" t="s">
        <v>656</v>
      </c>
      <c r="F167" t="s">
        <v>671</v>
      </c>
      <c r="G167" t="s">
        <v>705</v>
      </c>
      <c r="H167" t="s">
        <v>711</v>
      </c>
      <c r="I167" t="s">
        <v>716</v>
      </c>
      <c r="J167" t="s">
        <v>732</v>
      </c>
      <c r="K167" t="s">
        <v>899</v>
      </c>
      <c r="L167" s="6">
        <v>1234.81</v>
      </c>
      <c r="M167" s="6">
        <v>2055.2399999999998</v>
      </c>
      <c r="N167" s="8">
        <v>5.2999999999999999E-2</v>
      </c>
      <c r="O167" s="6">
        <v>44</v>
      </c>
      <c r="P167" s="7" t="str">
        <f t="shared" si="17"/>
        <v>Berlin</v>
      </c>
      <c r="Q167" s="7" t="str">
        <f t="shared" si="18"/>
        <v>L. Okafor</v>
      </c>
      <c r="R167" s="7" t="str">
        <f t="shared" si="19"/>
        <v>Direct</v>
      </c>
      <c r="S167" t="str">
        <f t="shared" si="24"/>
        <v>OK</v>
      </c>
      <c r="T167" s="8" t="str">
        <f t="shared" si="20"/>
        <v>OK</v>
      </c>
      <c r="U167" t="str">
        <f t="shared" si="21"/>
        <v>OK</v>
      </c>
      <c r="V167">
        <f t="shared" si="22"/>
        <v>21</v>
      </c>
      <c r="W167" s="4">
        <f t="shared" si="23"/>
        <v>44997</v>
      </c>
    </row>
    <row r="168" spans="1:23" hidden="1" x14ac:dyDescent="0.25">
      <c r="A168" t="s">
        <v>181</v>
      </c>
      <c r="B168" s="4">
        <v>45034</v>
      </c>
      <c r="C168" s="4">
        <v>45064</v>
      </c>
      <c r="D168" t="s">
        <v>647</v>
      </c>
      <c r="E168" t="s">
        <v>659</v>
      </c>
      <c r="F168" t="s">
        <v>676</v>
      </c>
      <c r="G168" t="s">
        <v>703</v>
      </c>
      <c r="H168" t="s">
        <v>707</v>
      </c>
      <c r="I168" t="s">
        <v>722</v>
      </c>
      <c r="J168" t="s">
        <v>731</v>
      </c>
      <c r="K168" t="s">
        <v>900</v>
      </c>
      <c r="L168" s="6">
        <v>329.03</v>
      </c>
      <c r="M168" s="6">
        <v>391.15</v>
      </c>
      <c r="N168" s="8">
        <v>0.19700000000000001</v>
      </c>
      <c r="O168" s="6">
        <v>46</v>
      </c>
      <c r="P168" s="7" t="str">
        <f t="shared" si="17"/>
        <v>Shenzhen</v>
      </c>
      <c r="Q168" s="7" t="str">
        <f t="shared" si="18"/>
        <v>H. Kim</v>
      </c>
      <c r="R168" s="7" t="str">
        <f t="shared" si="19"/>
        <v>Retail</v>
      </c>
      <c r="S168" t="str">
        <f t="shared" si="24"/>
        <v>OK</v>
      </c>
      <c r="T168" s="8" t="str">
        <f t="shared" si="20"/>
        <v>OK</v>
      </c>
      <c r="U168" t="str">
        <f t="shared" si="21"/>
        <v>OK</v>
      </c>
      <c r="V168">
        <f t="shared" si="22"/>
        <v>30</v>
      </c>
      <c r="W168" s="4">
        <f t="shared" si="23"/>
        <v>45064</v>
      </c>
    </row>
    <row r="169" spans="1:23" hidden="1" x14ac:dyDescent="0.25">
      <c r="A169" t="s">
        <v>182</v>
      </c>
      <c r="B169" s="4">
        <v>45435</v>
      </c>
      <c r="C169" s="4">
        <v>45457</v>
      </c>
      <c r="D169" t="s">
        <v>649</v>
      </c>
      <c r="E169" t="s">
        <v>657</v>
      </c>
      <c r="F169" t="s">
        <v>673</v>
      </c>
      <c r="G169" t="s">
        <v>705</v>
      </c>
      <c r="H169" t="s">
        <v>708</v>
      </c>
      <c r="I169" t="s">
        <v>725</v>
      </c>
      <c r="J169" t="s">
        <v>732</v>
      </c>
      <c r="K169" t="s">
        <v>901</v>
      </c>
      <c r="L169" s="6">
        <v>1481.74</v>
      </c>
      <c r="M169" s="6">
        <v>1848.97</v>
      </c>
      <c r="N169" s="8">
        <v>0.254</v>
      </c>
      <c r="O169" s="6">
        <v>9</v>
      </c>
      <c r="P169" s="7" t="str">
        <f t="shared" si="17"/>
        <v>Marseille</v>
      </c>
      <c r="Q169" s="7" t="str">
        <f t="shared" si="18"/>
        <v>N. Brown</v>
      </c>
      <c r="R169" s="7" t="str">
        <f t="shared" si="19"/>
        <v>Online</v>
      </c>
      <c r="S169" t="str">
        <f t="shared" si="24"/>
        <v>OK</v>
      </c>
      <c r="T169" s="8" t="str">
        <f t="shared" si="20"/>
        <v>OK</v>
      </c>
      <c r="U169" t="str">
        <f t="shared" si="21"/>
        <v>OK</v>
      </c>
      <c r="V169">
        <f t="shared" si="22"/>
        <v>22</v>
      </c>
      <c r="W169" s="4">
        <f t="shared" si="23"/>
        <v>45457</v>
      </c>
    </row>
    <row r="170" spans="1:23" hidden="1" x14ac:dyDescent="0.25">
      <c r="A170" t="s">
        <v>183</v>
      </c>
      <c r="B170" s="4">
        <v>45206</v>
      </c>
      <c r="C170" s="4">
        <v>45222</v>
      </c>
      <c r="D170" t="s">
        <v>647</v>
      </c>
      <c r="E170" t="s">
        <v>654</v>
      </c>
      <c r="F170" t="s">
        <v>696</v>
      </c>
      <c r="G170" t="s">
        <v>704</v>
      </c>
      <c r="H170" t="s">
        <v>707</v>
      </c>
      <c r="I170" t="s">
        <v>715</v>
      </c>
      <c r="J170" t="s">
        <v>732</v>
      </c>
      <c r="K170" t="s">
        <v>902</v>
      </c>
      <c r="L170" s="6">
        <v>906.81</v>
      </c>
      <c r="M170" s="6">
        <v>1395.56</v>
      </c>
      <c r="N170" s="8">
        <v>0.185</v>
      </c>
      <c r="O170" s="6">
        <v>6</v>
      </c>
      <c r="P170" s="7" t="str">
        <f t="shared" si="17"/>
        <v>Hyderabad</v>
      </c>
      <c r="Q170" s="7" t="str">
        <f t="shared" si="18"/>
        <v>G. Dubois</v>
      </c>
      <c r="R170" s="7" t="str">
        <f t="shared" si="19"/>
        <v>Retail</v>
      </c>
      <c r="S170" t="str">
        <f t="shared" si="24"/>
        <v>OK</v>
      </c>
      <c r="T170" s="8" t="str">
        <f t="shared" si="20"/>
        <v>OK</v>
      </c>
      <c r="U170" t="str">
        <f t="shared" si="21"/>
        <v>OK</v>
      </c>
      <c r="V170">
        <f t="shared" si="22"/>
        <v>16</v>
      </c>
      <c r="W170" s="4">
        <f t="shared" si="23"/>
        <v>45222</v>
      </c>
    </row>
    <row r="171" spans="1:23" hidden="1" x14ac:dyDescent="0.25">
      <c r="A171" t="s">
        <v>184</v>
      </c>
      <c r="B171" s="4">
        <v>45574</v>
      </c>
      <c r="C171" s="4">
        <v>45604</v>
      </c>
      <c r="D171" t="s">
        <v>649</v>
      </c>
      <c r="E171" t="s">
        <v>658</v>
      </c>
      <c r="F171" t="s">
        <v>693</v>
      </c>
      <c r="G171" t="s">
        <v>705</v>
      </c>
      <c r="H171" t="s">
        <v>710</v>
      </c>
      <c r="I171" t="s">
        <v>713</v>
      </c>
      <c r="J171" t="s">
        <v>727</v>
      </c>
      <c r="K171" t="s">
        <v>903</v>
      </c>
      <c r="L171" s="6">
        <v>343.85</v>
      </c>
      <c r="M171" s="6">
        <v>538.04</v>
      </c>
      <c r="N171" s="8">
        <v>0.13900000000000001</v>
      </c>
      <c r="O171" s="6">
        <v>5</v>
      </c>
      <c r="P171" s="7" t="str">
        <f t="shared" si="17"/>
        <v>Manchester</v>
      </c>
      <c r="Q171" s="7" t="str">
        <f t="shared" si="18"/>
        <v>J. Njeri</v>
      </c>
      <c r="R171" s="7" t="str">
        <f t="shared" si="19"/>
        <v>Distributor</v>
      </c>
      <c r="S171" t="str">
        <f t="shared" si="24"/>
        <v>OK</v>
      </c>
      <c r="T171" s="8" t="str">
        <f t="shared" si="20"/>
        <v>OK</v>
      </c>
      <c r="U171" t="str">
        <f t="shared" si="21"/>
        <v>OK</v>
      </c>
      <c r="V171">
        <f t="shared" si="22"/>
        <v>30</v>
      </c>
      <c r="W171" s="4">
        <f t="shared" si="23"/>
        <v>45604</v>
      </c>
    </row>
    <row r="172" spans="1:23" hidden="1" x14ac:dyDescent="0.25">
      <c r="A172" t="s">
        <v>185</v>
      </c>
      <c r="B172" s="4">
        <v>45488</v>
      </c>
      <c r="C172" s="4">
        <v>45488</v>
      </c>
      <c r="D172" t="s">
        <v>647</v>
      </c>
      <c r="E172" t="s">
        <v>652</v>
      </c>
      <c r="F172" t="s">
        <v>689</v>
      </c>
      <c r="G172" t="s">
        <v>705</v>
      </c>
      <c r="H172" t="s">
        <v>709</v>
      </c>
      <c r="I172" t="s">
        <v>715</v>
      </c>
      <c r="J172" t="s">
        <v>733</v>
      </c>
      <c r="K172" t="s">
        <v>904</v>
      </c>
      <c r="L172" s="6">
        <v>801.77</v>
      </c>
      <c r="M172" s="6">
        <v>1218.92</v>
      </c>
      <c r="N172" s="8">
        <v>0.254</v>
      </c>
      <c r="O172" s="6">
        <v>16</v>
      </c>
      <c r="P172" s="7" t="str">
        <f t="shared" si="17"/>
        <v>Tokyo</v>
      </c>
      <c r="Q172" s="7" t="str">
        <f t="shared" si="18"/>
        <v>G. Dubois</v>
      </c>
      <c r="R172" s="7" t="str">
        <f t="shared" si="19"/>
        <v>Marketplace</v>
      </c>
      <c r="S172" t="str">
        <f t="shared" si="24"/>
        <v>OK</v>
      </c>
      <c r="T172" s="8" t="str">
        <f t="shared" si="20"/>
        <v>OK</v>
      </c>
      <c r="U172" t="str">
        <f t="shared" si="21"/>
        <v>OK</v>
      </c>
      <c r="V172">
        <f t="shared" si="22"/>
        <v>0</v>
      </c>
      <c r="W172" s="4">
        <f t="shared" si="23"/>
        <v>45488</v>
      </c>
    </row>
    <row r="173" spans="1:23" hidden="1" x14ac:dyDescent="0.25">
      <c r="A173" t="s">
        <v>186</v>
      </c>
      <c r="B173" s="4">
        <v>45190</v>
      </c>
      <c r="C173" s="4">
        <v>45209</v>
      </c>
      <c r="D173" t="s">
        <v>647</v>
      </c>
      <c r="E173" t="s">
        <v>652</v>
      </c>
      <c r="F173" t="s">
        <v>689</v>
      </c>
      <c r="G173" t="s">
        <v>702</v>
      </c>
      <c r="H173" t="s">
        <v>708</v>
      </c>
      <c r="I173" t="s">
        <v>726</v>
      </c>
      <c r="J173" t="s">
        <v>727</v>
      </c>
      <c r="K173" t="s">
        <v>905</v>
      </c>
      <c r="L173" s="6">
        <v>845.63</v>
      </c>
      <c r="M173" s="6">
        <v>2062.12</v>
      </c>
      <c r="N173" s="8">
        <v>0.13400000000000001</v>
      </c>
      <c r="O173" s="6">
        <v>5</v>
      </c>
      <c r="P173" s="7" t="str">
        <f t="shared" si="17"/>
        <v>Tokyo</v>
      </c>
      <c r="Q173" s="7" t="str">
        <f t="shared" si="18"/>
        <v>D. Smith</v>
      </c>
      <c r="R173" s="7" t="str">
        <f t="shared" si="19"/>
        <v>Online</v>
      </c>
      <c r="S173" t="str">
        <f t="shared" si="24"/>
        <v>OK</v>
      </c>
      <c r="T173" s="8" t="str">
        <f t="shared" si="20"/>
        <v>OK</v>
      </c>
      <c r="U173" t="str">
        <f t="shared" si="21"/>
        <v>OK</v>
      </c>
      <c r="V173">
        <f t="shared" si="22"/>
        <v>19</v>
      </c>
      <c r="W173" s="4">
        <f t="shared" si="23"/>
        <v>45209</v>
      </c>
    </row>
    <row r="174" spans="1:23" hidden="1" x14ac:dyDescent="0.25">
      <c r="A174" t="s">
        <v>187</v>
      </c>
      <c r="B174" s="4">
        <v>44981</v>
      </c>
      <c r="C174" s="4">
        <v>44994</v>
      </c>
      <c r="D174" t="s">
        <v>648</v>
      </c>
      <c r="E174" t="s">
        <v>660</v>
      </c>
      <c r="F174" t="s">
        <v>700</v>
      </c>
      <c r="G174" t="s">
        <v>706</v>
      </c>
      <c r="H174" t="s">
        <v>708</v>
      </c>
      <c r="I174" t="s">
        <v>724</v>
      </c>
      <c r="J174" t="s">
        <v>727</v>
      </c>
      <c r="K174" t="s">
        <v>906</v>
      </c>
      <c r="L174" s="6">
        <v>6.85</v>
      </c>
      <c r="M174" s="6">
        <v>10.18</v>
      </c>
      <c r="N174" s="8">
        <v>4.7E-2</v>
      </c>
      <c r="O174" s="6">
        <v>10</v>
      </c>
      <c r="P174" s="7" t="str">
        <f t="shared" si="17"/>
        <v>New York</v>
      </c>
      <c r="Q174" s="7" t="str">
        <f t="shared" si="18"/>
        <v>M. Rossi</v>
      </c>
      <c r="R174" s="7" t="str">
        <f t="shared" si="19"/>
        <v>Online</v>
      </c>
      <c r="S174" t="str">
        <f t="shared" si="24"/>
        <v>OK</v>
      </c>
      <c r="T174" s="8" t="str">
        <f t="shared" si="20"/>
        <v>OK</v>
      </c>
      <c r="U174" t="str">
        <f t="shared" si="21"/>
        <v>OK</v>
      </c>
      <c r="V174">
        <f t="shared" si="22"/>
        <v>13</v>
      </c>
      <c r="W174" s="4">
        <f t="shared" si="23"/>
        <v>44994</v>
      </c>
    </row>
    <row r="175" spans="1:23" hidden="1" x14ac:dyDescent="0.25">
      <c r="A175" t="s">
        <v>188</v>
      </c>
      <c r="B175" s="4">
        <v>45798</v>
      </c>
      <c r="C175" s="4">
        <v>45813</v>
      </c>
      <c r="D175" t="s">
        <v>646</v>
      </c>
      <c r="E175" t="s">
        <v>661</v>
      </c>
      <c r="F175" t="s">
        <v>682</v>
      </c>
      <c r="G175" t="s">
        <v>703</v>
      </c>
      <c r="H175" t="s">
        <v>710</v>
      </c>
      <c r="I175" t="s">
        <v>719</v>
      </c>
      <c r="J175" t="s">
        <v>731</v>
      </c>
      <c r="K175" t="s">
        <v>907</v>
      </c>
      <c r="L175" s="6">
        <v>1263.8399999999999</v>
      </c>
      <c r="M175" s="6">
        <v>2281.7199999999998</v>
      </c>
      <c r="N175" s="8">
        <v>7.8E-2</v>
      </c>
      <c r="O175" s="6">
        <v>15</v>
      </c>
      <c r="P175" s="7" t="str">
        <f t="shared" si="17"/>
        <v>Johannesburg</v>
      </c>
      <c r="Q175" s="7" t="str">
        <f t="shared" si="18"/>
        <v>O. Wang</v>
      </c>
      <c r="R175" s="7" t="str">
        <f t="shared" si="19"/>
        <v>Distributor</v>
      </c>
      <c r="S175" t="str">
        <f t="shared" si="24"/>
        <v>OK</v>
      </c>
      <c r="T175" s="8" t="str">
        <f t="shared" si="20"/>
        <v>OK</v>
      </c>
      <c r="U175" t="str">
        <f t="shared" si="21"/>
        <v>OK</v>
      </c>
      <c r="V175">
        <f t="shared" si="22"/>
        <v>15</v>
      </c>
      <c r="W175" s="4">
        <f t="shared" si="23"/>
        <v>45813</v>
      </c>
    </row>
    <row r="176" spans="1:23" hidden="1" x14ac:dyDescent="0.25">
      <c r="A176" t="s">
        <v>189</v>
      </c>
      <c r="B176" s="4">
        <v>45435</v>
      </c>
      <c r="C176" s="4">
        <v>45446</v>
      </c>
      <c r="D176" t="s">
        <v>646</v>
      </c>
      <c r="E176" t="s">
        <v>661</v>
      </c>
      <c r="F176" t="s">
        <v>682</v>
      </c>
      <c r="G176" t="s">
        <v>705</v>
      </c>
      <c r="H176" t="s">
        <v>710</v>
      </c>
      <c r="I176" t="s">
        <v>721</v>
      </c>
      <c r="J176" t="s">
        <v>728</v>
      </c>
      <c r="K176" t="s">
        <v>908</v>
      </c>
      <c r="L176" s="6">
        <v>180.89</v>
      </c>
      <c r="M176" s="6">
        <v>249.57</v>
      </c>
      <c r="N176" s="8">
        <v>2.1999999999999999E-2</v>
      </c>
      <c r="O176" s="6">
        <v>8</v>
      </c>
      <c r="P176" s="7" t="str">
        <f t="shared" si="17"/>
        <v>Johannesburg</v>
      </c>
      <c r="Q176" s="7" t="str">
        <f t="shared" si="18"/>
        <v>F. Müller</v>
      </c>
      <c r="R176" s="7" t="str">
        <f t="shared" si="19"/>
        <v>Distributor</v>
      </c>
      <c r="S176" t="str">
        <f t="shared" si="24"/>
        <v>OK</v>
      </c>
      <c r="T176" s="8" t="str">
        <f t="shared" si="20"/>
        <v>OK</v>
      </c>
      <c r="U176" t="str">
        <f t="shared" si="21"/>
        <v>OK</v>
      </c>
      <c r="V176">
        <f t="shared" si="22"/>
        <v>11</v>
      </c>
      <c r="W176" s="4">
        <f t="shared" si="23"/>
        <v>45446</v>
      </c>
    </row>
    <row r="177" spans="1:23" hidden="1" x14ac:dyDescent="0.25">
      <c r="A177" t="s">
        <v>190</v>
      </c>
      <c r="B177" s="4">
        <v>45761</v>
      </c>
      <c r="C177" s="4">
        <v>45781</v>
      </c>
      <c r="D177" t="s">
        <v>649</v>
      </c>
      <c r="E177" t="s">
        <v>658</v>
      </c>
      <c r="F177" t="s">
        <v>674</v>
      </c>
      <c r="G177" t="s">
        <v>706</v>
      </c>
      <c r="H177" t="s">
        <v>709</v>
      </c>
      <c r="I177" t="s">
        <v>723</v>
      </c>
      <c r="J177" t="s">
        <v>732</v>
      </c>
      <c r="K177" t="s">
        <v>909</v>
      </c>
      <c r="L177" s="6">
        <v>1413.87</v>
      </c>
      <c r="M177" s="6">
        <v>3275</v>
      </c>
      <c r="N177" s="8">
        <v>0.255</v>
      </c>
      <c r="O177" s="6">
        <v>38</v>
      </c>
      <c r="P177" s="7" t="str">
        <f t="shared" si="17"/>
        <v>Birmingham</v>
      </c>
      <c r="Q177" s="7" t="str">
        <f t="shared" si="18"/>
        <v>K. Singh</v>
      </c>
      <c r="R177" s="7" t="str">
        <f t="shared" si="19"/>
        <v>Marketplace</v>
      </c>
      <c r="S177" t="str">
        <f t="shared" si="24"/>
        <v>OK</v>
      </c>
      <c r="T177" s="8" t="str">
        <f t="shared" si="20"/>
        <v>OK</v>
      </c>
      <c r="U177" t="str">
        <f t="shared" si="21"/>
        <v>OK</v>
      </c>
      <c r="V177">
        <f t="shared" si="22"/>
        <v>20</v>
      </c>
      <c r="W177" s="4">
        <f t="shared" si="23"/>
        <v>45781</v>
      </c>
    </row>
    <row r="178" spans="1:23" hidden="1" x14ac:dyDescent="0.25">
      <c r="A178" t="s">
        <v>191</v>
      </c>
      <c r="B178" s="4">
        <v>45165</v>
      </c>
      <c r="C178" s="4">
        <v>45180</v>
      </c>
      <c r="D178" t="s">
        <v>649</v>
      </c>
      <c r="E178" t="s">
        <v>658</v>
      </c>
      <c r="F178" t="s">
        <v>683</v>
      </c>
      <c r="G178" t="s">
        <v>704</v>
      </c>
      <c r="H178" t="s">
        <v>709</v>
      </c>
      <c r="I178" t="s">
        <v>725</v>
      </c>
      <c r="J178" t="s">
        <v>728</v>
      </c>
      <c r="K178" t="s">
        <v>910</v>
      </c>
      <c r="L178" s="6">
        <v>943.79</v>
      </c>
      <c r="M178" s="6">
        <v>1913.76</v>
      </c>
      <c r="N178" s="8">
        <v>9.0999999999999998E-2</v>
      </c>
      <c r="O178" s="6">
        <v>9</v>
      </c>
      <c r="P178" s="7" t="str">
        <f t="shared" si="17"/>
        <v>London</v>
      </c>
      <c r="Q178" s="7" t="str">
        <f t="shared" si="18"/>
        <v>N. Brown</v>
      </c>
      <c r="R178" s="7" t="str">
        <f t="shared" si="19"/>
        <v>Marketplace</v>
      </c>
      <c r="S178" t="str">
        <f t="shared" si="24"/>
        <v>OK</v>
      </c>
      <c r="T178" s="8" t="str">
        <f t="shared" si="20"/>
        <v>OK</v>
      </c>
      <c r="U178" t="str">
        <f t="shared" si="21"/>
        <v>OK</v>
      </c>
      <c r="V178">
        <f t="shared" si="22"/>
        <v>15</v>
      </c>
      <c r="W178" s="4">
        <f t="shared" si="23"/>
        <v>45180</v>
      </c>
    </row>
    <row r="179" spans="1:23" hidden="1" x14ac:dyDescent="0.25">
      <c r="A179" t="s">
        <v>192</v>
      </c>
      <c r="B179" s="4">
        <v>45325</v>
      </c>
      <c r="C179" s="4">
        <v>45343</v>
      </c>
      <c r="D179" t="s">
        <v>649</v>
      </c>
      <c r="E179" t="s">
        <v>656</v>
      </c>
      <c r="F179" t="s">
        <v>698</v>
      </c>
      <c r="G179" t="s">
        <v>701</v>
      </c>
      <c r="H179" t="s">
        <v>707</v>
      </c>
      <c r="I179" t="s">
        <v>722</v>
      </c>
      <c r="J179" t="s">
        <v>727</v>
      </c>
      <c r="K179" t="s">
        <v>911</v>
      </c>
      <c r="L179" s="6">
        <v>39.229999999999997</v>
      </c>
      <c r="M179" s="6">
        <v>30.09</v>
      </c>
      <c r="N179" s="8">
        <v>0.17699999999999999</v>
      </c>
      <c r="O179" s="6">
        <v>13</v>
      </c>
      <c r="P179" s="7" t="str">
        <f t="shared" si="17"/>
        <v>Frankfurt</v>
      </c>
      <c r="Q179" s="7" t="str">
        <f t="shared" si="18"/>
        <v>H. Kim</v>
      </c>
      <c r="R179" s="7" t="str">
        <f t="shared" si="19"/>
        <v>Retail</v>
      </c>
      <c r="S179" t="str">
        <f t="shared" si="24"/>
        <v>OK</v>
      </c>
      <c r="T179" s="8" t="str">
        <f t="shared" si="20"/>
        <v>OK</v>
      </c>
      <c r="U179" t="str">
        <f t="shared" si="21"/>
        <v>OK</v>
      </c>
      <c r="V179">
        <f t="shared" si="22"/>
        <v>18</v>
      </c>
      <c r="W179" s="4">
        <f t="shared" si="23"/>
        <v>45343</v>
      </c>
    </row>
    <row r="180" spans="1:23" hidden="1" x14ac:dyDescent="0.25">
      <c r="A180" t="s">
        <v>193</v>
      </c>
      <c r="B180" s="4">
        <v>45021</v>
      </c>
      <c r="C180" s="4">
        <v>45032</v>
      </c>
      <c r="D180" t="s">
        <v>648</v>
      </c>
      <c r="E180" t="s">
        <v>653</v>
      </c>
      <c r="F180" t="s">
        <v>688</v>
      </c>
      <c r="G180" t="s">
        <v>703</v>
      </c>
      <c r="H180" t="s">
        <v>708</v>
      </c>
      <c r="I180" t="s">
        <v>719</v>
      </c>
      <c r="J180" t="s">
        <v>732</v>
      </c>
      <c r="K180" t="s">
        <v>912</v>
      </c>
      <c r="L180" s="6">
        <v>213.1</v>
      </c>
      <c r="M180" s="6">
        <v>501.31</v>
      </c>
      <c r="N180" s="8">
        <v>5.6000000000000001E-2</v>
      </c>
      <c r="O180" s="6">
        <v>15</v>
      </c>
      <c r="P180" s="7" t="str">
        <f t="shared" si="17"/>
        <v>Vancouver</v>
      </c>
      <c r="Q180" s="7" t="str">
        <f t="shared" si="18"/>
        <v>O. Wang</v>
      </c>
      <c r="R180" s="7" t="str">
        <f t="shared" si="19"/>
        <v>Online</v>
      </c>
      <c r="S180" t="str">
        <f t="shared" si="24"/>
        <v>OK</v>
      </c>
      <c r="T180" s="8" t="str">
        <f t="shared" si="20"/>
        <v>OK</v>
      </c>
      <c r="U180" t="str">
        <f t="shared" si="21"/>
        <v>OK</v>
      </c>
      <c r="V180">
        <f t="shared" si="22"/>
        <v>11</v>
      </c>
      <c r="W180" s="4">
        <f t="shared" si="23"/>
        <v>45032</v>
      </c>
    </row>
    <row r="181" spans="1:23" hidden="1" x14ac:dyDescent="0.25">
      <c r="A181" t="s">
        <v>194</v>
      </c>
      <c r="B181" s="4">
        <v>45890</v>
      </c>
      <c r="C181" s="4">
        <v>45912</v>
      </c>
      <c r="D181" t="s">
        <v>647</v>
      </c>
      <c r="E181" t="s">
        <v>659</v>
      </c>
      <c r="F181" t="s">
        <v>676</v>
      </c>
      <c r="G181" t="s">
        <v>702</v>
      </c>
      <c r="H181" t="s">
        <v>707</v>
      </c>
      <c r="I181" t="s">
        <v>717</v>
      </c>
      <c r="J181" t="s">
        <v>728</v>
      </c>
      <c r="K181" t="s">
        <v>913</v>
      </c>
      <c r="L181" s="6">
        <v>352.66</v>
      </c>
      <c r="M181" s="6">
        <v>411.18</v>
      </c>
      <c r="N181" s="8">
        <v>0.17299999999999999</v>
      </c>
      <c r="O181" s="6">
        <v>13</v>
      </c>
      <c r="P181" s="7" t="str">
        <f t="shared" si="17"/>
        <v>Shenzhen</v>
      </c>
      <c r="Q181" s="7" t="str">
        <f t="shared" si="18"/>
        <v>B. Chen</v>
      </c>
      <c r="R181" s="7" t="str">
        <f t="shared" si="19"/>
        <v>Retail</v>
      </c>
      <c r="S181" t="str">
        <f t="shared" si="24"/>
        <v>OK</v>
      </c>
      <c r="T181" s="8" t="str">
        <f t="shared" si="20"/>
        <v>OK</v>
      </c>
      <c r="U181" t="str">
        <f t="shared" si="21"/>
        <v>OK</v>
      </c>
      <c r="V181">
        <f t="shared" si="22"/>
        <v>22</v>
      </c>
      <c r="W181" s="4">
        <f t="shared" si="23"/>
        <v>45912</v>
      </c>
    </row>
    <row r="182" spans="1:23" hidden="1" x14ac:dyDescent="0.25">
      <c r="A182" t="s">
        <v>195</v>
      </c>
      <c r="B182" s="4">
        <v>45915</v>
      </c>
      <c r="C182" s="4">
        <v>45918</v>
      </c>
      <c r="D182" t="s">
        <v>648</v>
      </c>
      <c r="E182" t="s">
        <v>655</v>
      </c>
      <c r="F182" t="s">
        <v>692</v>
      </c>
      <c r="G182" t="s">
        <v>703</v>
      </c>
      <c r="H182" t="s">
        <v>711</v>
      </c>
      <c r="I182" t="s">
        <v>716</v>
      </c>
      <c r="J182" t="s">
        <v>733</v>
      </c>
      <c r="K182" t="s">
        <v>914</v>
      </c>
      <c r="L182" s="6">
        <v>5.5</v>
      </c>
      <c r="M182" s="6">
        <v>5.92</v>
      </c>
      <c r="N182" s="8">
        <v>0.21199999999999999</v>
      </c>
      <c r="O182" s="6">
        <v>4</v>
      </c>
      <c r="P182" s="7" t="str">
        <f t="shared" si="17"/>
        <v>Rio de Janeiro</v>
      </c>
      <c r="Q182" s="7" t="str">
        <f t="shared" si="18"/>
        <v>L. Okafor</v>
      </c>
      <c r="R182" s="7" t="str">
        <f t="shared" si="19"/>
        <v>Direct</v>
      </c>
      <c r="S182" t="str">
        <f t="shared" si="24"/>
        <v>OK</v>
      </c>
      <c r="T182" s="8" t="str">
        <f t="shared" si="20"/>
        <v>OK</v>
      </c>
      <c r="U182" t="str">
        <f t="shared" si="21"/>
        <v>OK</v>
      </c>
      <c r="V182">
        <f t="shared" si="22"/>
        <v>3</v>
      </c>
      <c r="W182" s="4">
        <f t="shared" si="23"/>
        <v>45918</v>
      </c>
    </row>
    <row r="183" spans="1:23" hidden="1" x14ac:dyDescent="0.25">
      <c r="A183" t="s">
        <v>196</v>
      </c>
      <c r="B183" s="4">
        <v>45568</v>
      </c>
      <c r="C183" s="4">
        <v>45576</v>
      </c>
      <c r="D183" t="s">
        <v>647</v>
      </c>
      <c r="E183" t="s">
        <v>659</v>
      </c>
      <c r="F183" t="s">
        <v>699</v>
      </c>
      <c r="G183" t="s">
        <v>706</v>
      </c>
      <c r="H183" t="s">
        <v>711</v>
      </c>
      <c r="I183" t="s">
        <v>717</v>
      </c>
      <c r="J183" t="s">
        <v>730</v>
      </c>
      <c r="K183" t="s">
        <v>915</v>
      </c>
      <c r="L183" s="6">
        <v>1132.6099999999999</v>
      </c>
      <c r="M183" s="6">
        <v>2206.63</v>
      </c>
      <c r="N183" s="8">
        <v>6.3E-2</v>
      </c>
      <c r="O183" s="6">
        <v>20</v>
      </c>
      <c r="P183" s="7" t="str">
        <f t="shared" si="17"/>
        <v>Beijing</v>
      </c>
      <c r="Q183" s="7" t="str">
        <f t="shared" si="18"/>
        <v>B. Chen</v>
      </c>
      <c r="R183" s="7" t="str">
        <f t="shared" si="19"/>
        <v>Direct</v>
      </c>
      <c r="S183" t="str">
        <f t="shared" si="24"/>
        <v>OK</v>
      </c>
      <c r="T183" s="8" t="str">
        <f t="shared" si="20"/>
        <v>OK</v>
      </c>
      <c r="U183" t="str">
        <f t="shared" si="21"/>
        <v>OK</v>
      </c>
      <c r="V183">
        <f t="shared" si="22"/>
        <v>8</v>
      </c>
      <c r="W183" s="4">
        <f t="shared" si="23"/>
        <v>45576</v>
      </c>
    </row>
    <row r="184" spans="1:23" hidden="1" x14ac:dyDescent="0.25">
      <c r="A184" t="s">
        <v>197</v>
      </c>
      <c r="B184" s="4">
        <v>45690</v>
      </c>
      <c r="C184" s="4">
        <v>45720</v>
      </c>
      <c r="D184" t="s">
        <v>647</v>
      </c>
      <c r="E184" t="s">
        <v>652</v>
      </c>
      <c r="F184" t="s">
        <v>666</v>
      </c>
      <c r="G184" t="s">
        <v>702</v>
      </c>
      <c r="H184" t="s">
        <v>710</v>
      </c>
      <c r="I184" t="s">
        <v>716</v>
      </c>
      <c r="J184" t="s">
        <v>733</v>
      </c>
      <c r="K184" t="s">
        <v>916</v>
      </c>
      <c r="L184" s="6">
        <v>766.59</v>
      </c>
      <c r="M184" s="6">
        <v>1912.8</v>
      </c>
      <c r="N184" s="8">
        <v>0.19600000000000001</v>
      </c>
      <c r="O184" s="6">
        <v>5</v>
      </c>
      <c r="P184" s="7" t="str">
        <f t="shared" si="17"/>
        <v>Osaka</v>
      </c>
      <c r="Q184" s="7" t="str">
        <f t="shared" si="18"/>
        <v>L. Okafor</v>
      </c>
      <c r="R184" s="7" t="str">
        <f t="shared" si="19"/>
        <v>Distributor</v>
      </c>
      <c r="S184" t="str">
        <f t="shared" si="24"/>
        <v>OK</v>
      </c>
      <c r="T184" s="8" t="str">
        <f t="shared" si="20"/>
        <v>OK</v>
      </c>
      <c r="U184" t="str">
        <f t="shared" si="21"/>
        <v>OK</v>
      </c>
      <c r="V184">
        <f t="shared" si="22"/>
        <v>30</v>
      </c>
      <c r="W184" s="4">
        <f t="shared" si="23"/>
        <v>45720</v>
      </c>
    </row>
    <row r="185" spans="1:23" hidden="1" x14ac:dyDescent="0.25">
      <c r="A185" t="s">
        <v>198</v>
      </c>
      <c r="B185" s="4">
        <v>45157</v>
      </c>
      <c r="C185" s="4">
        <v>45161</v>
      </c>
      <c r="D185" t="s">
        <v>646</v>
      </c>
      <c r="E185" t="s">
        <v>651</v>
      </c>
      <c r="F185" t="s">
        <v>669</v>
      </c>
      <c r="G185" t="s">
        <v>705</v>
      </c>
      <c r="H185" t="s">
        <v>708</v>
      </c>
      <c r="I185" t="s">
        <v>713</v>
      </c>
      <c r="J185" t="s">
        <v>732</v>
      </c>
      <c r="K185" t="s">
        <v>917</v>
      </c>
      <c r="L185" s="6">
        <v>790.63</v>
      </c>
      <c r="M185" s="6">
        <v>1382.31</v>
      </c>
      <c r="N185" s="8">
        <v>0.10100000000000001</v>
      </c>
      <c r="O185" s="6">
        <v>7</v>
      </c>
      <c r="P185" s="7" t="str">
        <f t="shared" si="17"/>
        <v>Abuja</v>
      </c>
      <c r="Q185" s="7" t="str">
        <f t="shared" si="18"/>
        <v>J. Njeri</v>
      </c>
      <c r="R185" s="7" t="str">
        <f t="shared" si="19"/>
        <v>Online</v>
      </c>
      <c r="S185" t="str">
        <f t="shared" si="24"/>
        <v>OK</v>
      </c>
      <c r="T185" s="8" t="str">
        <f t="shared" si="20"/>
        <v>OK</v>
      </c>
      <c r="U185" t="str">
        <f t="shared" si="21"/>
        <v>OK</v>
      </c>
      <c r="V185">
        <f t="shared" si="22"/>
        <v>4</v>
      </c>
      <c r="W185" s="4">
        <f t="shared" si="23"/>
        <v>45161</v>
      </c>
    </row>
    <row r="186" spans="1:23" hidden="1" x14ac:dyDescent="0.25">
      <c r="A186" t="s">
        <v>199</v>
      </c>
      <c r="B186" s="4">
        <v>45587</v>
      </c>
      <c r="C186" s="4">
        <v>45594</v>
      </c>
      <c r="D186" t="s">
        <v>646</v>
      </c>
      <c r="E186" t="s">
        <v>651</v>
      </c>
      <c r="F186" t="s">
        <v>663</v>
      </c>
      <c r="G186" t="s">
        <v>706</v>
      </c>
      <c r="H186" t="s">
        <v>710</v>
      </c>
      <c r="I186" t="s">
        <v>724</v>
      </c>
      <c r="J186" t="s">
        <v>732</v>
      </c>
      <c r="K186" t="s">
        <v>918</v>
      </c>
      <c r="L186" s="6">
        <v>1023.06</v>
      </c>
      <c r="M186" s="6">
        <v>1355.61</v>
      </c>
      <c r="N186" s="8">
        <v>0.153</v>
      </c>
      <c r="O186" s="6">
        <v>23</v>
      </c>
      <c r="P186" s="7" t="str">
        <f t="shared" si="17"/>
        <v>Port Harcourt</v>
      </c>
      <c r="Q186" s="7" t="str">
        <f t="shared" si="18"/>
        <v>M. Rossi</v>
      </c>
      <c r="R186" s="7" t="str">
        <f t="shared" si="19"/>
        <v>Distributor</v>
      </c>
      <c r="S186" t="str">
        <f t="shared" si="24"/>
        <v>OK</v>
      </c>
      <c r="T186" s="8" t="str">
        <f t="shared" si="20"/>
        <v>OK</v>
      </c>
      <c r="U186" t="str">
        <f t="shared" si="21"/>
        <v>OK</v>
      </c>
      <c r="V186">
        <f t="shared" si="22"/>
        <v>7</v>
      </c>
      <c r="W186" s="4">
        <f t="shared" si="23"/>
        <v>45594</v>
      </c>
    </row>
    <row r="187" spans="1:23" hidden="1" x14ac:dyDescent="0.25">
      <c r="A187" t="s">
        <v>200</v>
      </c>
      <c r="B187" s="4">
        <v>45099</v>
      </c>
      <c r="C187" s="4">
        <v>45128</v>
      </c>
      <c r="D187" t="s">
        <v>649</v>
      </c>
      <c r="E187" t="s">
        <v>657</v>
      </c>
      <c r="F187" t="s">
        <v>679</v>
      </c>
      <c r="G187" t="s">
        <v>701</v>
      </c>
      <c r="H187" t="s">
        <v>707</v>
      </c>
      <c r="I187" t="s">
        <v>713</v>
      </c>
      <c r="J187" t="s">
        <v>733</v>
      </c>
      <c r="K187" t="s">
        <v>919</v>
      </c>
      <c r="L187" s="6">
        <v>734.34</v>
      </c>
      <c r="M187" s="6">
        <v>887.9</v>
      </c>
      <c r="N187" s="8">
        <v>2.5000000000000001E-2</v>
      </c>
      <c r="O187" s="6">
        <v>12</v>
      </c>
      <c r="P187" s="7" t="str">
        <f t="shared" si="17"/>
        <v>Lyon</v>
      </c>
      <c r="Q187" s="7" t="str">
        <f t="shared" si="18"/>
        <v>J. Njeri</v>
      </c>
      <c r="R187" s="7" t="str">
        <f t="shared" si="19"/>
        <v>Retail</v>
      </c>
      <c r="S187" t="str">
        <f t="shared" si="24"/>
        <v>OK</v>
      </c>
      <c r="T187" s="8" t="str">
        <f t="shared" si="20"/>
        <v>OK</v>
      </c>
      <c r="U187" t="str">
        <f t="shared" si="21"/>
        <v>OK</v>
      </c>
      <c r="V187">
        <f t="shared" si="22"/>
        <v>29</v>
      </c>
      <c r="W187" s="4">
        <f t="shared" si="23"/>
        <v>45128</v>
      </c>
    </row>
    <row r="188" spans="1:23" hidden="1" x14ac:dyDescent="0.25">
      <c r="A188" t="s">
        <v>201</v>
      </c>
      <c r="B188" s="4">
        <v>45670</v>
      </c>
      <c r="C188" s="4">
        <v>45696</v>
      </c>
      <c r="D188" t="s">
        <v>649</v>
      </c>
      <c r="E188" t="s">
        <v>657</v>
      </c>
      <c r="F188" t="s">
        <v>690</v>
      </c>
      <c r="G188" t="s">
        <v>703</v>
      </c>
      <c r="H188" t="s">
        <v>1379</v>
      </c>
      <c r="I188" t="s">
        <v>718</v>
      </c>
      <c r="J188" t="s">
        <v>732</v>
      </c>
      <c r="K188" t="s">
        <v>920</v>
      </c>
      <c r="L188" s="6">
        <v>594.74</v>
      </c>
      <c r="M188" s="6">
        <v>1020.69</v>
      </c>
      <c r="N188" s="8">
        <v>0.21099999999999999</v>
      </c>
      <c r="O188" s="6">
        <v>6</v>
      </c>
      <c r="P188" s="7" t="str">
        <f t="shared" si="17"/>
        <v>Paris</v>
      </c>
      <c r="Q188" s="7" t="str">
        <f t="shared" si="18"/>
        <v>E. Garcia</v>
      </c>
      <c r="R188" s="7" t="str">
        <f t="shared" si="19"/>
        <v>Unspecified</v>
      </c>
      <c r="S188" t="str">
        <f t="shared" si="24"/>
        <v>OK</v>
      </c>
      <c r="T188" s="8" t="str">
        <f t="shared" si="20"/>
        <v>OK</v>
      </c>
      <c r="U188" t="str">
        <f t="shared" si="21"/>
        <v>OK</v>
      </c>
      <c r="V188">
        <f t="shared" si="22"/>
        <v>26</v>
      </c>
      <c r="W188" s="4">
        <f t="shared" si="23"/>
        <v>45696</v>
      </c>
    </row>
    <row r="189" spans="1:23" hidden="1" x14ac:dyDescent="0.25">
      <c r="A189" t="s">
        <v>202</v>
      </c>
      <c r="B189" s="4">
        <v>45126</v>
      </c>
      <c r="C189" s="4">
        <v>45138</v>
      </c>
      <c r="D189" t="s">
        <v>648</v>
      </c>
      <c r="E189" t="s">
        <v>655</v>
      </c>
      <c r="F189" t="s">
        <v>692</v>
      </c>
      <c r="G189" t="s">
        <v>701</v>
      </c>
      <c r="H189" t="s">
        <v>707</v>
      </c>
      <c r="I189" t="s">
        <v>712</v>
      </c>
      <c r="J189" t="s">
        <v>732</v>
      </c>
      <c r="K189" t="s">
        <v>922</v>
      </c>
      <c r="L189" s="6">
        <v>1334.64</v>
      </c>
      <c r="M189" s="6">
        <v>2273.42</v>
      </c>
      <c r="N189" s="8">
        <v>0.11799999999999999</v>
      </c>
      <c r="O189" s="6">
        <v>14</v>
      </c>
      <c r="P189" s="7" t="str">
        <f t="shared" si="17"/>
        <v>Rio de Janeiro</v>
      </c>
      <c r="Q189" s="7" t="str">
        <f t="shared" si="18"/>
        <v>C. Otieno</v>
      </c>
      <c r="R189" s="7" t="str">
        <f t="shared" si="19"/>
        <v>Retail</v>
      </c>
      <c r="S189" t="str">
        <f t="shared" si="24"/>
        <v>OK</v>
      </c>
      <c r="T189" s="8" t="str">
        <f t="shared" si="20"/>
        <v>OK</v>
      </c>
      <c r="U189" t="str">
        <f t="shared" si="21"/>
        <v>OK</v>
      </c>
      <c r="V189">
        <f t="shared" si="22"/>
        <v>12</v>
      </c>
      <c r="W189" s="4">
        <f t="shared" si="23"/>
        <v>45138</v>
      </c>
    </row>
    <row r="190" spans="1:23" hidden="1" x14ac:dyDescent="0.25">
      <c r="A190" t="s">
        <v>203</v>
      </c>
      <c r="B190" s="4">
        <v>45431</v>
      </c>
      <c r="C190" s="4">
        <v>45451</v>
      </c>
      <c r="D190" t="s">
        <v>648</v>
      </c>
      <c r="E190" t="s">
        <v>655</v>
      </c>
      <c r="F190" t="s">
        <v>672</v>
      </c>
      <c r="G190" t="s">
        <v>705</v>
      </c>
      <c r="H190" t="s">
        <v>707</v>
      </c>
      <c r="I190" t="s">
        <v>718</v>
      </c>
      <c r="J190" t="s">
        <v>732</v>
      </c>
      <c r="K190" t="s">
        <v>923</v>
      </c>
      <c r="L190" s="6">
        <v>1075.9000000000001</v>
      </c>
      <c r="M190" s="6">
        <v>1242.1500000000001</v>
      </c>
      <c r="N190" s="8">
        <v>1.2E-2</v>
      </c>
      <c r="O190" s="6">
        <v>7</v>
      </c>
      <c r="P190" s="7" t="str">
        <f t="shared" si="17"/>
        <v>Brasília</v>
      </c>
      <c r="Q190" s="7" t="str">
        <f t="shared" si="18"/>
        <v>E. Garcia</v>
      </c>
      <c r="R190" s="7" t="str">
        <f t="shared" si="19"/>
        <v>Retail</v>
      </c>
      <c r="S190" t="str">
        <f t="shared" si="24"/>
        <v>OK</v>
      </c>
      <c r="T190" s="8" t="str">
        <f t="shared" si="20"/>
        <v>OK</v>
      </c>
      <c r="U190" t="str">
        <f t="shared" si="21"/>
        <v>OK</v>
      </c>
      <c r="V190">
        <f t="shared" si="22"/>
        <v>20</v>
      </c>
      <c r="W190" s="4">
        <f t="shared" si="23"/>
        <v>45451</v>
      </c>
    </row>
    <row r="191" spans="1:23" hidden="1" x14ac:dyDescent="0.25">
      <c r="A191" t="s">
        <v>204</v>
      </c>
      <c r="B191" s="4">
        <v>45325</v>
      </c>
      <c r="C191" s="4">
        <v>45341</v>
      </c>
      <c r="D191" t="s">
        <v>647</v>
      </c>
      <c r="E191" t="s">
        <v>659</v>
      </c>
      <c r="F191" t="s">
        <v>676</v>
      </c>
      <c r="G191" t="s">
        <v>705</v>
      </c>
      <c r="H191" t="s">
        <v>708</v>
      </c>
      <c r="I191" t="s">
        <v>722</v>
      </c>
      <c r="J191" t="s">
        <v>731</v>
      </c>
      <c r="K191" t="s">
        <v>924</v>
      </c>
      <c r="L191" s="6">
        <v>993.75</v>
      </c>
      <c r="M191" s="6">
        <v>1310.29</v>
      </c>
      <c r="N191" s="8">
        <v>0.215</v>
      </c>
      <c r="O191" s="6">
        <v>19</v>
      </c>
      <c r="P191" s="7" t="str">
        <f t="shared" si="17"/>
        <v>Shenzhen</v>
      </c>
      <c r="Q191" s="7" t="str">
        <f t="shared" si="18"/>
        <v>H. Kim</v>
      </c>
      <c r="R191" s="7" t="str">
        <f t="shared" si="19"/>
        <v>Online</v>
      </c>
      <c r="S191" t="str">
        <f t="shared" si="24"/>
        <v>OK</v>
      </c>
      <c r="T191" s="8" t="str">
        <f t="shared" si="20"/>
        <v>OK</v>
      </c>
      <c r="U191" t="str">
        <f t="shared" si="21"/>
        <v>OK</v>
      </c>
      <c r="V191">
        <f t="shared" si="22"/>
        <v>16</v>
      </c>
      <c r="W191" s="4">
        <f t="shared" si="23"/>
        <v>45341</v>
      </c>
    </row>
    <row r="192" spans="1:23" hidden="1" x14ac:dyDescent="0.25">
      <c r="A192" t="s">
        <v>205</v>
      </c>
      <c r="B192" s="4">
        <v>45146</v>
      </c>
      <c r="C192" s="4">
        <v>45160</v>
      </c>
      <c r="D192" t="s">
        <v>649</v>
      </c>
      <c r="E192" t="s">
        <v>658</v>
      </c>
      <c r="F192" t="s">
        <v>674</v>
      </c>
      <c r="G192" t="s">
        <v>703</v>
      </c>
      <c r="H192" t="s">
        <v>711</v>
      </c>
      <c r="I192" t="s">
        <v>725</v>
      </c>
      <c r="J192" t="s">
        <v>732</v>
      </c>
      <c r="K192" t="s">
        <v>925</v>
      </c>
      <c r="L192" s="6">
        <v>446.69</v>
      </c>
      <c r="M192" s="6">
        <v>967.25</v>
      </c>
      <c r="N192" s="8">
        <v>9.4E-2</v>
      </c>
      <c r="O192" s="6">
        <v>10</v>
      </c>
      <c r="P192" s="7" t="str">
        <f t="shared" si="17"/>
        <v>Birmingham</v>
      </c>
      <c r="Q192" s="7" t="str">
        <f t="shared" si="18"/>
        <v>N. Brown</v>
      </c>
      <c r="R192" s="7" t="str">
        <f t="shared" si="19"/>
        <v>Direct</v>
      </c>
      <c r="S192" t="str">
        <f t="shared" si="24"/>
        <v>OK</v>
      </c>
      <c r="T192" s="8" t="str">
        <f t="shared" si="20"/>
        <v>OK</v>
      </c>
      <c r="U192" t="str">
        <f t="shared" si="21"/>
        <v>OK</v>
      </c>
      <c r="V192">
        <f t="shared" si="22"/>
        <v>14</v>
      </c>
      <c r="W192" s="4">
        <f t="shared" si="23"/>
        <v>45160</v>
      </c>
    </row>
    <row r="193" spans="1:23" hidden="1" x14ac:dyDescent="0.25">
      <c r="A193" t="s">
        <v>206</v>
      </c>
      <c r="B193" s="4">
        <v>45516</v>
      </c>
      <c r="C193" s="4">
        <v>45538</v>
      </c>
      <c r="D193" t="s">
        <v>648</v>
      </c>
      <c r="E193" t="s">
        <v>660</v>
      </c>
      <c r="F193" t="s">
        <v>697</v>
      </c>
      <c r="G193" t="s">
        <v>704</v>
      </c>
      <c r="H193" t="s">
        <v>710</v>
      </c>
      <c r="I193" t="s">
        <v>714</v>
      </c>
      <c r="J193" t="s">
        <v>731</v>
      </c>
      <c r="K193" t="s">
        <v>926</v>
      </c>
      <c r="L193" s="6">
        <v>797.8</v>
      </c>
      <c r="M193" s="6">
        <v>886.22</v>
      </c>
      <c r="N193" s="8">
        <v>0.23599999999999999</v>
      </c>
      <c r="O193" s="6">
        <v>36</v>
      </c>
      <c r="P193" s="7" t="str">
        <f t="shared" si="17"/>
        <v>Austin</v>
      </c>
      <c r="Q193" s="7" t="str">
        <f t="shared" si="18"/>
        <v>I. Johnson</v>
      </c>
      <c r="R193" s="7" t="str">
        <f t="shared" si="19"/>
        <v>Distributor</v>
      </c>
      <c r="S193" t="str">
        <f t="shared" si="24"/>
        <v>OK</v>
      </c>
      <c r="T193" s="8" t="str">
        <f t="shared" si="20"/>
        <v>OK</v>
      </c>
      <c r="U193" t="str">
        <f t="shared" si="21"/>
        <v>OK</v>
      </c>
      <c r="V193">
        <f t="shared" si="22"/>
        <v>22</v>
      </c>
      <c r="W193" s="4">
        <f t="shared" si="23"/>
        <v>45538</v>
      </c>
    </row>
    <row r="194" spans="1:23" hidden="1" x14ac:dyDescent="0.25">
      <c r="A194" t="s">
        <v>207</v>
      </c>
      <c r="B194" s="4">
        <v>45214</v>
      </c>
      <c r="C194" s="4">
        <v>45243</v>
      </c>
      <c r="D194" t="s">
        <v>647</v>
      </c>
      <c r="E194" t="s">
        <v>659</v>
      </c>
      <c r="F194" t="s">
        <v>676</v>
      </c>
      <c r="G194" t="s">
        <v>703</v>
      </c>
      <c r="H194" t="s">
        <v>710</v>
      </c>
      <c r="I194" t="s">
        <v>713</v>
      </c>
      <c r="J194" t="s">
        <v>728</v>
      </c>
      <c r="K194" t="s">
        <v>927</v>
      </c>
      <c r="L194" s="6">
        <v>986.44</v>
      </c>
      <c r="M194" s="6">
        <v>790.61</v>
      </c>
      <c r="N194" s="8">
        <v>7.1999999999999995E-2</v>
      </c>
      <c r="O194" s="6">
        <v>6</v>
      </c>
      <c r="P194" s="7" t="str">
        <f t="shared" si="17"/>
        <v>Shenzhen</v>
      </c>
      <c r="Q194" s="7" t="str">
        <f t="shared" si="18"/>
        <v>J. Njeri</v>
      </c>
      <c r="R194" s="7" t="str">
        <f t="shared" si="19"/>
        <v>Distributor</v>
      </c>
      <c r="S194" t="str">
        <f t="shared" si="24"/>
        <v>OK</v>
      </c>
      <c r="T194" s="8" t="str">
        <f t="shared" si="20"/>
        <v>OK</v>
      </c>
      <c r="U194" t="str">
        <f t="shared" si="21"/>
        <v>OK</v>
      </c>
      <c r="V194">
        <f t="shared" si="22"/>
        <v>29</v>
      </c>
      <c r="W194" s="4">
        <f t="shared" si="23"/>
        <v>45243</v>
      </c>
    </row>
    <row r="195" spans="1:23" hidden="1" x14ac:dyDescent="0.25">
      <c r="A195" t="s">
        <v>208</v>
      </c>
      <c r="B195" s="4">
        <v>45050</v>
      </c>
      <c r="C195" s="4">
        <v>45072</v>
      </c>
      <c r="D195" t="s">
        <v>648</v>
      </c>
      <c r="E195" t="s">
        <v>660</v>
      </c>
      <c r="F195" t="s">
        <v>686</v>
      </c>
      <c r="G195" t="s">
        <v>706</v>
      </c>
      <c r="H195" t="s">
        <v>708</v>
      </c>
      <c r="I195" t="s">
        <v>713</v>
      </c>
      <c r="J195" t="s">
        <v>729</v>
      </c>
      <c r="K195" t="s">
        <v>928</v>
      </c>
      <c r="L195" s="6">
        <v>249.71</v>
      </c>
      <c r="M195" s="6">
        <v>361.33</v>
      </c>
      <c r="N195" s="8">
        <v>9.4E-2</v>
      </c>
      <c r="O195" s="6">
        <v>12</v>
      </c>
      <c r="P195" s="7" t="str">
        <f t="shared" ref="P195:P258" si="25">IF(OR(F195=" ", ISBLANK(F195)), "Unknown", F195)</f>
        <v>San Francisco</v>
      </c>
      <c r="Q195" s="7" t="str">
        <f t="shared" ref="Q195:Q258" si="26">IF(OR(I195=" ", ISBLANK(I195)), "Unassigned", I195)</f>
        <v>J. Njeri</v>
      </c>
      <c r="R195" s="7" t="str">
        <f t="shared" ref="R195:R258" si="27">IF(OR(H195=" ", ISBLANK(H195)), "Unspecified", H195)</f>
        <v>Online</v>
      </c>
      <c r="S195" t="str">
        <f t="shared" si="24"/>
        <v>OK</v>
      </c>
      <c r="T195" s="8" t="str">
        <f t="shared" ref="T195:T258" si="28">IFERROR(IF(N195&gt;0.3, "Cap at 30%", "OK"), "Error")</f>
        <v>OK</v>
      </c>
      <c r="U195" t="str">
        <f t="shared" ref="U195:U258" si="29">IFERROR(IF(C195&lt;B195,"Correct", "OK"), "Error")</f>
        <v>OK</v>
      </c>
      <c r="V195">
        <f t="shared" ref="V195:V258" si="30">_xlfn.DAYS(C195,B195)</f>
        <v>22</v>
      </c>
      <c r="W195" s="4">
        <f t="shared" si="23"/>
        <v>45072</v>
      </c>
    </row>
    <row r="196" spans="1:23" hidden="1" x14ac:dyDescent="0.25">
      <c r="A196" t="s">
        <v>209</v>
      </c>
      <c r="B196" s="4">
        <v>45557</v>
      </c>
      <c r="C196" s="4">
        <v>45566</v>
      </c>
      <c r="D196" t="s">
        <v>648</v>
      </c>
      <c r="E196" t="s">
        <v>655</v>
      </c>
      <c r="F196" t="s">
        <v>670</v>
      </c>
      <c r="G196" t="s">
        <v>703</v>
      </c>
      <c r="H196" t="s">
        <v>708</v>
      </c>
      <c r="I196" t="s">
        <v>723</v>
      </c>
      <c r="J196" t="s">
        <v>732</v>
      </c>
      <c r="K196" t="s">
        <v>929</v>
      </c>
      <c r="L196" s="6">
        <v>1378.8</v>
      </c>
      <c r="M196" s="6">
        <v>1952.04</v>
      </c>
      <c r="N196" s="8">
        <v>0.159</v>
      </c>
      <c r="O196" s="6">
        <v>19</v>
      </c>
      <c r="P196" s="7" t="str">
        <f t="shared" si="25"/>
        <v>São Paulo</v>
      </c>
      <c r="Q196" s="7" t="str">
        <f t="shared" si="26"/>
        <v>K. Singh</v>
      </c>
      <c r="R196" s="7" t="str">
        <f t="shared" si="27"/>
        <v>Online</v>
      </c>
      <c r="S196" t="str">
        <f t="shared" si="24"/>
        <v>OK</v>
      </c>
      <c r="T196" s="8" t="str">
        <f t="shared" si="28"/>
        <v>OK</v>
      </c>
      <c r="U196" t="str">
        <f t="shared" si="29"/>
        <v>OK</v>
      </c>
      <c r="V196">
        <f t="shared" si="30"/>
        <v>9</v>
      </c>
      <c r="W196" s="4">
        <f t="shared" ref="W196:W259" si="31">IFERROR(IF(C196&lt;B196, B196+15, C196), "Error")</f>
        <v>45566</v>
      </c>
    </row>
    <row r="197" spans="1:23" hidden="1" x14ac:dyDescent="0.25">
      <c r="A197" t="s">
        <v>210</v>
      </c>
      <c r="B197" s="4">
        <v>45588</v>
      </c>
      <c r="C197" s="4">
        <v>45610</v>
      </c>
      <c r="D197" t="s">
        <v>647</v>
      </c>
      <c r="E197" t="s">
        <v>652</v>
      </c>
      <c r="F197" t="s">
        <v>666</v>
      </c>
      <c r="G197" t="s">
        <v>703</v>
      </c>
      <c r="H197" t="s">
        <v>711</v>
      </c>
      <c r="I197" t="s">
        <v>717</v>
      </c>
      <c r="J197" t="s">
        <v>730</v>
      </c>
      <c r="K197" t="s">
        <v>930</v>
      </c>
      <c r="L197" s="6">
        <v>1406.4</v>
      </c>
      <c r="M197" s="6">
        <v>1564.76</v>
      </c>
      <c r="N197" s="8">
        <v>0.185</v>
      </c>
      <c r="O197" s="6">
        <v>17</v>
      </c>
      <c r="P197" s="7" t="str">
        <f t="shared" si="25"/>
        <v>Osaka</v>
      </c>
      <c r="Q197" s="7" t="str">
        <f t="shared" si="26"/>
        <v>B. Chen</v>
      </c>
      <c r="R197" s="7" t="str">
        <f t="shared" si="27"/>
        <v>Direct</v>
      </c>
      <c r="S197" t="str">
        <f t="shared" si="24"/>
        <v>OK</v>
      </c>
      <c r="T197" s="8" t="str">
        <f t="shared" si="28"/>
        <v>OK</v>
      </c>
      <c r="U197" t="str">
        <f t="shared" si="29"/>
        <v>OK</v>
      </c>
      <c r="V197">
        <f t="shared" si="30"/>
        <v>22</v>
      </c>
      <c r="W197" s="4">
        <f t="shared" si="31"/>
        <v>45610</v>
      </c>
    </row>
    <row r="198" spans="1:23" hidden="1" x14ac:dyDescent="0.25">
      <c r="A198" t="s">
        <v>211</v>
      </c>
      <c r="B198" s="4">
        <v>45333</v>
      </c>
      <c r="C198" s="4">
        <v>45354</v>
      </c>
      <c r="D198" t="s">
        <v>646</v>
      </c>
      <c r="E198" t="s">
        <v>650</v>
      </c>
      <c r="F198" t="s">
        <v>662</v>
      </c>
      <c r="G198" t="s">
        <v>706</v>
      </c>
      <c r="H198" t="s">
        <v>708</v>
      </c>
      <c r="I198" t="s">
        <v>717</v>
      </c>
      <c r="J198" t="s">
        <v>730</v>
      </c>
      <c r="K198" t="s">
        <v>931</v>
      </c>
      <c r="L198" s="6">
        <v>516.86</v>
      </c>
      <c r="M198" s="6">
        <v>852.54</v>
      </c>
      <c r="N198" s="8">
        <v>5.0999999999999997E-2</v>
      </c>
      <c r="O198" s="6">
        <v>14</v>
      </c>
      <c r="P198" s="7" t="str">
        <f t="shared" si="25"/>
        <v>Kisumu</v>
      </c>
      <c r="Q198" s="7" t="str">
        <f t="shared" si="26"/>
        <v>B. Chen</v>
      </c>
      <c r="R198" s="7" t="str">
        <f t="shared" si="27"/>
        <v>Online</v>
      </c>
      <c r="S198" t="str">
        <f t="shared" ref="S198:S261" si="32">IFERROR(IF(M198&lt;0,"Correct (Negative Price)","OK"),"Error")</f>
        <v>OK</v>
      </c>
      <c r="T198" s="8" t="str">
        <f t="shared" si="28"/>
        <v>OK</v>
      </c>
      <c r="U198" t="str">
        <f t="shared" si="29"/>
        <v>OK</v>
      </c>
      <c r="V198">
        <f t="shared" si="30"/>
        <v>21</v>
      </c>
      <c r="W198" s="4">
        <f t="shared" si="31"/>
        <v>45354</v>
      </c>
    </row>
    <row r="199" spans="1:23" hidden="1" x14ac:dyDescent="0.25">
      <c r="A199" t="s">
        <v>212</v>
      </c>
      <c r="B199" s="4">
        <v>44956</v>
      </c>
      <c r="C199" s="4">
        <v>44978</v>
      </c>
      <c r="D199" t="s">
        <v>649</v>
      </c>
      <c r="E199" t="s">
        <v>656</v>
      </c>
      <c r="F199" t="s">
        <v>684</v>
      </c>
      <c r="G199" t="s">
        <v>705</v>
      </c>
      <c r="H199" t="s">
        <v>709</v>
      </c>
      <c r="I199" t="s">
        <v>715</v>
      </c>
      <c r="J199" t="s">
        <v>729</v>
      </c>
      <c r="K199" t="s">
        <v>932</v>
      </c>
      <c r="L199" s="6">
        <v>1142.8800000000001</v>
      </c>
      <c r="M199" s="6">
        <v>1465.29</v>
      </c>
      <c r="N199" s="8">
        <v>0.186</v>
      </c>
      <c r="O199" s="6">
        <v>7</v>
      </c>
      <c r="P199" s="7" t="str">
        <f t="shared" si="25"/>
        <v>Munich</v>
      </c>
      <c r="Q199" s="7" t="str">
        <f t="shared" si="26"/>
        <v>G. Dubois</v>
      </c>
      <c r="R199" s="7" t="str">
        <f t="shared" si="27"/>
        <v>Marketplace</v>
      </c>
      <c r="S199" t="str">
        <f t="shared" si="32"/>
        <v>OK</v>
      </c>
      <c r="T199" s="8" t="str">
        <f t="shared" si="28"/>
        <v>OK</v>
      </c>
      <c r="U199" t="str">
        <f t="shared" si="29"/>
        <v>OK</v>
      </c>
      <c r="V199">
        <f t="shared" si="30"/>
        <v>22</v>
      </c>
      <c r="W199" s="4">
        <f t="shared" si="31"/>
        <v>44978</v>
      </c>
    </row>
    <row r="200" spans="1:23" hidden="1" x14ac:dyDescent="0.25">
      <c r="A200" t="s">
        <v>213</v>
      </c>
      <c r="B200" s="4">
        <v>45030</v>
      </c>
      <c r="C200" s="4">
        <v>45059</v>
      </c>
      <c r="D200" t="s">
        <v>649</v>
      </c>
      <c r="E200" t="s">
        <v>656</v>
      </c>
      <c r="F200" t="s">
        <v>698</v>
      </c>
      <c r="G200" t="s">
        <v>704</v>
      </c>
      <c r="H200" t="s">
        <v>711</v>
      </c>
      <c r="I200" t="s">
        <v>713</v>
      </c>
      <c r="J200" t="s">
        <v>728</v>
      </c>
      <c r="K200" t="s">
        <v>933</v>
      </c>
      <c r="L200" s="6">
        <v>1320.33</v>
      </c>
      <c r="M200" s="6">
        <v>2645.23</v>
      </c>
      <c r="N200" s="8">
        <v>0.155</v>
      </c>
      <c r="O200" s="6">
        <v>25</v>
      </c>
      <c r="P200" s="7" t="str">
        <f t="shared" si="25"/>
        <v>Frankfurt</v>
      </c>
      <c r="Q200" s="7" t="str">
        <f t="shared" si="26"/>
        <v>J. Njeri</v>
      </c>
      <c r="R200" s="7" t="str">
        <f t="shared" si="27"/>
        <v>Direct</v>
      </c>
      <c r="S200" t="str">
        <f t="shared" si="32"/>
        <v>OK</v>
      </c>
      <c r="T200" s="8" t="str">
        <f t="shared" si="28"/>
        <v>OK</v>
      </c>
      <c r="U200" t="str">
        <f t="shared" si="29"/>
        <v>OK</v>
      </c>
      <c r="V200">
        <f t="shared" si="30"/>
        <v>29</v>
      </c>
      <c r="W200" s="4">
        <f t="shared" si="31"/>
        <v>45059</v>
      </c>
    </row>
    <row r="201" spans="1:23" hidden="1" x14ac:dyDescent="0.25">
      <c r="A201" t="s">
        <v>214</v>
      </c>
      <c r="B201" s="4">
        <v>44939</v>
      </c>
      <c r="C201" s="4">
        <v>44945</v>
      </c>
      <c r="D201" t="s">
        <v>648</v>
      </c>
      <c r="E201" t="s">
        <v>660</v>
      </c>
      <c r="F201" t="s">
        <v>677</v>
      </c>
      <c r="G201" t="s">
        <v>701</v>
      </c>
      <c r="H201" t="s">
        <v>711</v>
      </c>
      <c r="I201" t="s">
        <v>722</v>
      </c>
      <c r="J201" t="s">
        <v>730</v>
      </c>
      <c r="K201" t="s">
        <v>934</v>
      </c>
      <c r="L201" s="6">
        <v>833.57</v>
      </c>
      <c r="M201" s="6">
        <v>881.57</v>
      </c>
      <c r="N201" s="8">
        <v>5.7000000000000002E-2</v>
      </c>
      <c r="O201" s="6">
        <v>18</v>
      </c>
      <c r="P201" s="7" t="str">
        <f t="shared" si="25"/>
        <v>Chicago</v>
      </c>
      <c r="Q201" s="7" t="str">
        <f t="shared" si="26"/>
        <v>H. Kim</v>
      </c>
      <c r="R201" s="7" t="str">
        <f t="shared" si="27"/>
        <v>Direct</v>
      </c>
      <c r="S201" t="str">
        <f t="shared" si="32"/>
        <v>OK</v>
      </c>
      <c r="T201" s="8" t="str">
        <f t="shared" si="28"/>
        <v>OK</v>
      </c>
      <c r="U201" t="str">
        <f t="shared" si="29"/>
        <v>OK</v>
      </c>
      <c r="V201">
        <f t="shared" si="30"/>
        <v>6</v>
      </c>
      <c r="W201" s="4">
        <f t="shared" si="31"/>
        <v>44945</v>
      </c>
    </row>
    <row r="202" spans="1:23" hidden="1" x14ac:dyDescent="0.25">
      <c r="A202" t="s">
        <v>215</v>
      </c>
      <c r="B202" s="4">
        <v>45303</v>
      </c>
      <c r="C202" s="4">
        <v>45320</v>
      </c>
      <c r="D202" t="s">
        <v>648</v>
      </c>
      <c r="E202" t="s">
        <v>660</v>
      </c>
      <c r="F202" t="s">
        <v>677</v>
      </c>
      <c r="G202" t="s">
        <v>702</v>
      </c>
      <c r="H202" t="s">
        <v>710</v>
      </c>
      <c r="I202" t="s">
        <v>720</v>
      </c>
      <c r="J202" t="s">
        <v>728</v>
      </c>
      <c r="K202" t="s">
        <v>935</v>
      </c>
      <c r="L202" s="6">
        <v>493.76</v>
      </c>
      <c r="M202" s="6">
        <v>625.04</v>
      </c>
      <c r="N202" s="8">
        <v>0.25800000000000001</v>
      </c>
      <c r="O202" s="6">
        <v>10</v>
      </c>
      <c r="P202" s="7" t="str">
        <f t="shared" si="25"/>
        <v>Chicago</v>
      </c>
      <c r="Q202" s="7" t="str">
        <f t="shared" si="26"/>
        <v>A. Patel</v>
      </c>
      <c r="R202" s="7" t="str">
        <f t="shared" si="27"/>
        <v>Distributor</v>
      </c>
      <c r="S202" t="str">
        <f t="shared" si="32"/>
        <v>OK</v>
      </c>
      <c r="T202" s="8" t="str">
        <f t="shared" si="28"/>
        <v>OK</v>
      </c>
      <c r="U202" t="str">
        <f t="shared" si="29"/>
        <v>OK</v>
      </c>
      <c r="V202">
        <f t="shared" si="30"/>
        <v>17</v>
      </c>
      <c r="W202" s="4">
        <f t="shared" si="31"/>
        <v>45320</v>
      </c>
    </row>
    <row r="203" spans="1:23" hidden="1" x14ac:dyDescent="0.25">
      <c r="A203" t="s">
        <v>216</v>
      </c>
      <c r="B203" s="4">
        <v>45153</v>
      </c>
      <c r="C203" s="4">
        <v>45176</v>
      </c>
      <c r="D203" t="s">
        <v>648</v>
      </c>
      <c r="E203" t="s">
        <v>660</v>
      </c>
      <c r="F203" t="s">
        <v>700</v>
      </c>
      <c r="G203" t="s">
        <v>706</v>
      </c>
      <c r="H203" t="s">
        <v>708</v>
      </c>
      <c r="I203" t="s">
        <v>723</v>
      </c>
      <c r="J203" t="s">
        <v>730</v>
      </c>
      <c r="K203" t="s">
        <v>936</v>
      </c>
      <c r="L203" s="6">
        <v>590.33000000000004</v>
      </c>
      <c r="M203" s="6">
        <v>973.04</v>
      </c>
      <c r="N203" s="8">
        <v>0</v>
      </c>
      <c r="O203" s="6">
        <v>26</v>
      </c>
      <c r="P203" s="7" t="str">
        <f t="shared" si="25"/>
        <v>New York</v>
      </c>
      <c r="Q203" s="7" t="str">
        <f t="shared" si="26"/>
        <v>K. Singh</v>
      </c>
      <c r="R203" s="7" t="str">
        <f t="shared" si="27"/>
        <v>Online</v>
      </c>
      <c r="S203" t="str">
        <f t="shared" si="32"/>
        <v>OK</v>
      </c>
      <c r="T203" s="8" t="str">
        <f t="shared" si="28"/>
        <v>OK</v>
      </c>
      <c r="U203" t="str">
        <f t="shared" si="29"/>
        <v>OK</v>
      </c>
      <c r="V203">
        <f t="shared" si="30"/>
        <v>23</v>
      </c>
      <c r="W203" s="4">
        <f t="shared" si="31"/>
        <v>45176</v>
      </c>
    </row>
    <row r="204" spans="1:23" hidden="1" x14ac:dyDescent="0.25">
      <c r="A204" t="s">
        <v>217</v>
      </c>
      <c r="B204" s="4">
        <v>44946</v>
      </c>
      <c r="C204" s="4">
        <v>44960</v>
      </c>
      <c r="D204" t="s">
        <v>646</v>
      </c>
      <c r="E204" t="s">
        <v>650</v>
      </c>
      <c r="F204" t="s">
        <v>662</v>
      </c>
      <c r="G204" t="s">
        <v>701</v>
      </c>
      <c r="H204" t="s">
        <v>707</v>
      </c>
      <c r="I204" t="s">
        <v>724</v>
      </c>
      <c r="J204" t="s">
        <v>729</v>
      </c>
      <c r="K204" t="s">
        <v>937</v>
      </c>
      <c r="L204" s="6">
        <v>884.36</v>
      </c>
      <c r="M204" s="6">
        <v>1545.34</v>
      </c>
      <c r="N204" s="8">
        <v>0.24299999999999999</v>
      </c>
      <c r="O204" s="6">
        <v>41</v>
      </c>
      <c r="P204" s="7" t="str">
        <f t="shared" si="25"/>
        <v>Kisumu</v>
      </c>
      <c r="Q204" s="7" t="str">
        <f t="shared" si="26"/>
        <v>M. Rossi</v>
      </c>
      <c r="R204" s="7" t="str">
        <f t="shared" si="27"/>
        <v>Retail</v>
      </c>
      <c r="S204" t="str">
        <f t="shared" si="32"/>
        <v>OK</v>
      </c>
      <c r="T204" s="8" t="str">
        <f t="shared" si="28"/>
        <v>OK</v>
      </c>
      <c r="U204" t="str">
        <f t="shared" si="29"/>
        <v>OK</v>
      </c>
      <c r="V204">
        <f t="shared" si="30"/>
        <v>14</v>
      </c>
      <c r="W204" s="4">
        <f t="shared" si="31"/>
        <v>44960</v>
      </c>
    </row>
    <row r="205" spans="1:23" hidden="1" x14ac:dyDescent="0.25">
      <c r="A205" t="s">
        <v>218</v>
      </c>
      <c r="B205" s="4">
        <v>45692</v>
      </c>
      <c r="C205" s="4">
        <v>45713</v>
      </c>
      <c r="D205" t="s">
        <v>649</v>
      </c>
      <c r="E205" t="s">
        <v>658</v>
      </c>
      <c r="F205" t="s">
        <v>674</v>
      </c>
      <c r="G205" t="s">
        <v>701</v>
      </c>
      <c r="H205" t="s">
        <v>709</v>
      </c>
      <c r="I205" t="s">
        <v>726</v>
      </c>
      <c r="J205" t="s">
        <v>732</v>
      </c>
      <c r="K205" t="s">
        <v>938</v>
      </c>
      <c r="L205" s="6">
        <v>1016.32</v>
      </c>
      <c r="M205" s="6">
        <v>2253.42</v>
      </c>
      <c r="N205" s="8">
        <v>5.5E-2</v>
      </c>
      <c r="O205" s="6">
        <v>12</v>
      </c>
      <c r="P205" s="7" t="str">
        <f t="shared" si="25"/>
        <v>Birmingham</v>
      </c>
      <c r="Q205" s="7" t="str">
        <f t="shared" si="26"/>
        <v>D. Smith</v>
      </c>
      <c r="R205" s="7" t="str">
        <f t="shared" si="27"/>
        <v>Marketplace</v>
      </c>
      <c r="S205" t="str">
        <f t="shared" si="32"/>
        <v>OK</v>
      </c>
      <c r="T205" s="8" t="str">
        <f t="shared" si="28"/>
        <v>OK</v>
      </c>
      <c r="U205" t="str">
        <f t="shared" si="29"/>
        <v>OK</v>
      </c>
      <c r="V205">
        <f t="shared" si="30"/>
        <v>21</v>
      </c>
      <c r="W205" s="4">
        <f t="shared" si="31"/>
        <v>45713</v>
      </c>
    </row>
    <row r="206" spans="1:23" hidden="1" x14ac:dyDescent="0.25">
      <c r="A206" t="s">
        <v>219</v>
      </c>
      <c r="B206" s="4">
        <v>45035</v>
      </c>
      <c r="C206" s="4">
        <v>45044</v>
      </c>
      <c r="D206" t="s">
        <v>649</v>
      </c>
      <c r="E206" t="s">
        <v>656</v>
      </c>
      <c r="F206" t="s">
        <v>671</v>
      </c>
      <c r="G206" t="s">
        <v>702</v>
      </c>
      <c r="H206" t="s">
        <v>708</v>
      </c>
      <c r="I206" t="s">
        <v>718</v>
      </c>
      <c r="J206" t="s">
        <v>732</v>
      </c>
      <c r="K206" t="s">
        <v>939</v>
      </c>
      <c r="L206" s="6">
        <v>1178.42</v>
      </c>
      <c r="M206" s="6">
        <v>2446.56</v>
      </c>
      <c r="N206" s="8">
        <v>2.9000000000000001E-2</v>
      </c>
      <c r="O206" s="6">
        <v>11</v>
      </c>
      <c r="P206" s="7" t="str">
        <f t="shared" si="25"/>
        <v>Berlin</v>
      </c>
      <c r="Q206" s="7" t="str">
        <f t="shared" si="26"/>
        <v>E. Garcia</v>
      </c>
      <c r="R206" s="7" t="str">
        <f t="shared" si="27"/>
        <v>Online</v>
      </c>
      <c r="S206" t="str">
        <f t="shared" si="32"/>
        <v>OK</v>
      </c>
      <c r="T206" s="8" t="str">
        <f t="shared" si="28"/>
        <v>OK</v>
      </c>
      <c r="U206" t="str">
        <f t="shared" si="29"/>
        <v>OK</v>
      </c>
      <c r="V206">
        <f t="shared" si="30"/>
        <v>9</v>
      </c>
      <c r="W206" s="4">
        <f t="shared" si="31"/>
        <v>45044</v>
      </c>
    </row>
    <row r="207" spans="1:23" hidden="1" x14ac:dyDescent="0.25">
      <c r="A207" t="s">
        <v>220</v>
      </c>
      <c r="B207" s="4">
        <v>45109</v>
      </c>
      <c r="C207" s="4">
        <v>45139</v>
      </c>
      <c r="D207" t="s">
        <v>649</v>
      </c>
      <c r="E207" t="s">
        <v>658</v>
      </c>
      <c r="F207" t="s">
        <v>674</v>
      </c>
      <c r="G207" t="s">
        <v>705</v>
      </c>
      <c r="H207" t="s">
        <v>707</v>
      </c>
      <c r="I207" t="s">
        <v>717</v>
      </c>
      <c r="J207" t="s">
        <v>727</v>
      </c>
      <c r="K207" t="s">
        <v>940</v>
      </c>
      <c r="L207" s="6">
        <v>137.46</v>
      </c>
      <c r="M207" s="6">
        <v>188.3</v>
      </c>
      <c r="N207" s="8">
        <v>3.7999999999999999E-2</v>
      </c>
      <c r="O207" s="6">
        <v>37</v>
      </c>
      <c r="P207" s="7" t="str">
        <f t="shared" si="25"/>
        <v>Birmingham</v>
      </c>
      <c r="Q207" s="7" t="str">
        <f t="shared" si="26"/>
        <v>B. Chen</v>
      </c>
      <c r="R207" s="7" t="str">
        <f t="shared" si="27"/>
        <v>Retail</v>
      </c>
      <c r="S207" t="str">
        <f t="shared" si="32"/>
        <v>OK</v>
      </c>
      <c r="T207" s="8" t="str">
        <f t="shared" si="28"/>
        <v>OK</v>
      </c>
      <c r="U207" t="str">
        <f t="shared" si="29"/>
        <v>OK</v>
      </c>
      <c r="V207">
        <f t="shared" si="30"/>
        <v>30</v>
      </c>
      <c r="W207" s="4">
        <f t="shared" si="31"/>
        <v>45139</v>
      </c>
    </row>
    <row r="208" spans="1:23" hidden="1" x14ac:dyDescent="0.25">
      <c r="A208" t="s">
        <v>221</v>
      </c>
      <c r="B208" s="4">
        <v>45678</v>
      </c>
      <c r="C208" s="4">
        <v>45702</v>
      </c>
      <c r="D208" t="s">
        <v>646</v>
      </c>
      <c r="E208" t="s">
        <v>650</v>
      </c>
      <c r="F208" t="s">
        <v>664</v>
      </c>
      <c r="G208" t="s">
        <v>705</v>
      </c>
      <c r="H208" t="s">
        <v>707</v>
      </c>
      <c r="I208" t="s">
        <v>713</v>
      </c>
      <c r="J208" t="s">
        <v>733</v>
      </c>
      <c r="K208" t="s">
        <v>941</v>
      </c>
      <c r="L208" s="6">
        <v>1030.44</v>
      </c>
      <c r="M208" s="6">
        <v>2562.84</v>
      </c>
      <c r="N208" s="8">
        <v>0.14799999999999999</v>
      </c>
      <c r="O208" s="6">
        <v>13</v>
      </c>
      <c r="P208" s="7" t="str">
        <f t="shared" si="25"/>
        <v>Nairobi</v>
      </c>
      <c r="Q208" s="7" t="str">
        <f t="shared" si="26"/>
        <v>J. Njeri</v>
      </c>
      <c r="R208" s="7" t="str">
        <f t="shared" si="27"/>
        <v>Retail</v>
      </c>
      <c r="S208" t="str">
        <f t="shared" si="32"/>
        <v>OK</v>
      </c>
      <c r="T208" s="8" t="str">
        <f t="shared" si="28"/>
        <v>OK</v>
      </c>
      <c r="U208" t="str">
        <f t="shared" si="29"/>
        <v>OK</v>
      </c>
      <c r="V208">
        <f t="shared" si="30"/>
        <v>24</v>
      </c>
      <c r="W208" s="4">
        <f t="shared" si="31"/>
        <v>45702</v>
      </c>
    </row>
    <row r="209" spans="1:23" hidden="1" x14ac:dyDescent="0.25">
      <c r="A209" t="s">
        <v>222</v>
      </c>
      <c r="B209" s="4">
        <v>45545</v>
      </c>
      <c r="C209" s="4">
        <v>45572</v>
      </c>
      <c r="D209" t="s">
        <v>646</v>
      </c>
      <c r="E209" t="s">
        <v>650</v>
      </c>
      <c r="F209" t="s">
        <v>662</v>
      </c>
      <c r="G209" t="s">
        <v>704</v>
      </c>
      <c r="H209" t="s">
        <v>707</v>
      </c>
      <c r="I209" t="s">
        <v>716</v>
      </c>
      <c r="J209" t="s">
        <v>728</v>
      </c>
      <c r="K209" t="s">
        <v>942</v>
      </c>
      <c r="L209" s="6">
        <v>1248.3900000000001</v>
      </c>
      <c r="M209" s="6">
        <v>1805.11</v>
      </c>
      <c r="N209" s="8">
        <v>0.20300000000000001</v>
      </c>
      <c r="O209" s="6">
        <v>11</v>
      </c>
      <c r="P209" s="7" t="str">
        <f t="shared" si="25"/>
        <v>Kisumu</v>
      </c>
      <c r="Q209" s="7" t="str">
        <f t="shared" si="26"/>
        <v>L. Okafor</v>
      </c>
      <c r="R209" s="7" t="str">
        <f t="shared" si="27"/>
        <v>Retail</v>
      </c>
      <c r="S209" t="str">
        <f t="shared" si="32"/>
        <v>OK</v>
      </c>
      <c r="T209" s="8" t="str">
        <f t="shared" si="28"/>
        <v>OK</v>
      </c>
      <c r="U209" t="str">
        <f t="shared" si="29"/>
        <v>OK</v>
      </c>
      <c r="V209">
        <f t="shared" si="30"/>
        <v>27</v>
      </c>
      <c r="W209" s="4">
        <f t="shared" si="31"/>
        <v>45572</v>
      </c>
    </row>
    <row r="210" spans="1:23" hidden="1" x14ac:dyDescent="0.25">
      <c r="A210" t="s">
        <v>223</v>
      </c>
      <c r="B210" s="4">
        <v>45859</v>
      </c>
      <c r="C210" s="4">
        <v>45876</v>
      </c>
      <c r="D210" t="s">
        <v>646</v>
      </c>
      <c r="E210" t="s">
        <v>651</v>
      </c>
      <c r="F210" t="s">
        <v>665</v>
      </c>
      <c r="G210" t="s">
        <v>706</v>
      </c>
      <c r="H210" t="s">
        <v>711</v>
      </c>
      <c r="I210" t="s">
        <v>724</v>
      </c>
      <c r="J210" t="s">
        <v>733</v>
      </c>
      <c r="K210" t="s">
        <v>943</v>
      </c>
      <c r="L210" s="6">
        <v>1204.95</v>
      </c>
      <c r="M210" s="6">
        <v>2065.73</v>
      </c>
      <c r="N210" s="8">
        <v>0.13600000000000001</v>
      </c>
      <c r="O210" s="6">
        <v>10</v>
      </c>
      <c r="P210" s="7" t="str">
        <f t="shared" si="25"/>
        <v>Lagos</v>
      </c>
      <c r="Q210" s="7" t="str">
        <f t="shared" si="26"/>
        <v>M. Rossi</v>
      </c>
      <c r="R210" s="7" t="str">
        <f t="shared" si="27"/>
        <v>Direct</v>
      </c>
      <c r="S210" t="str">
        <f t="shared" si="32"/>
        <v>OK</v>
      </c>
      <c r="T210" s="8" t="str">
        <f t="shared" si="28"/>
        <v>OK</v>
      </c>
      <c r="U210" t="str">
        <f t="shared" si="29"/>
        <v>OK</v>
      </c>
      <c r="V210">
        <f t="shared" si="30"/>
        <v>17</v>
      </c>
      <c r="W210" s="4">
        <f t="shared" si="31"/>
        <v>45876</v>
      </c>
    </row>
    <row r="211" spans="1:23" hidden="1" x14ac:dyDescent="0.25">
      <c r="A211" t="s">
        <v>224</v>
      </c>
      <c r="B211" s="4">
        <v>45567</v>
      </c>
      <c r="C211" s="4">
        <v>45588</v>
      </c>
      <c r="D211" t="s">
        <v>646</v>
      </c>
      <c r="E211" t="s">
        <v>661</v>
      </c>
      <c r="F211" t="s">
        <v>687</v>
      </c>
      <c r="G211" t="s">
        <v>701</v>
      </c>
      <c r="H211" t="s">
        <v>709</v>
      </c>
      <c r="I211" t="s">
        <v>720</v>
      </c>
      <c r="J211" t="s">
        <v>727</v>
      </c>
      <c r="K211" t="s">
        <v>944</v>
      </c>
      <c r="L211" s="6">
        <v>1095.6099999999999</v>
      </c>
      <c r="M211" s="6">
        <v>2366.5100000000002</v>
      </c>
      <c r="N211" s="8">
        <v>0.152</v>
      </c>
      <c r="O211" s="6">
        <v>9</v>
      </c>
      <c r="P211" s="7" t="str">
        <f t="shared" si="25"/>
        <v>Durban</v>
      </c>
      <c r="Q211" s="7" t="str">
        <f t="shared" si="26"/>
        <v>A. Patel</v>
      </c>
      <c r="R211" s="7" t="str">
        <f t="shared" si="27"/>
        <v>Marketplace</v>
      </c>
      <c r="S211" t="str">
        <f t="shared" si="32"/>
        <v>OK</v>
      </c>
      <c r="T211" s="8" t="str">
        <f t="shared" si="28"/>
        <v>OK</v>
      </c>
      <c r="U211" t="str">
        <f t="shared" si="29"/>
        <v>OK</v>
      </c>
      <c r="V211">
        <f t="shared" si="30"/>
        <v>21</v>
      </c>
      <c r="W211" s="4">
        <f t="shared" si="31"/>
        <v>45588</v>
      </c>
    </row>
    <row r="212" spans="1:23" hidden="1" x14ac:dyDescent="0.25">
      <c r="A212" t="s">
        <v>225</v>
      </c>
      <c r="B212" s="4">
        <v>45852</v>
      </c>
      <c r="C212" s="4">
        <v>45873</v>
      </c>
      <c r="D212" t="s">
        <v>648</v>
      </c>
      <c r="E212" t="s">
        <v>653</v>
      </c>
      <c r="F212" t="s">
        <v>681</v>
      </c>
      <c r="G212" t="s">
        <v>704</v>
      </c>
      <c r="H212" t="s">
        <v>708</v>
      </c>
      <c r="I212" t="s">
        <v>722</v>
      </c>
      <c r="J212" t="s">
        <v>732</v>
      </c>
      <c r="K212" t="s">
        <v>945</v>
      </c>
      <c r="L212" s="6">
        <v>90.3</v>
      </c>
      <c r="M212" s="6">
        <v>131.76</v>
      </c>
      <c r="N212" s="8">
        <v>0.10199999999999999</v>
      </c>
      <c r="O212" s="6">
        <v>15</v>
      </c>
      <c r="P212" s="7" t="str">
        <f t="shared" si="25"/>
        <v>Montreal</v>
      </c>
      <c r="Q212" s="7" t="str">
        <f t="shared" si="26"/>
        <v>H. Kim</v>
      </c>
      <c r="R212" s="7" t="str">
        <f t="shared" si="27"/>
        <v>Online</v>
      </c>
      <c r="S212" t="str">
        <f t="shared" si="32"/>
        <v>OK</v>
      </c>
      <c r="T212" s="8" t="str">
        <f t="shared" si="28"/>
        <v>OK</v>
      </c>
      <c r="U212" t="str">
        <f t="shared" si="29"/>
        <v>OK</v>
      </c>
      <c r="V212">
        <f t="shared" si="30"/>
        <v>21</v>
      </c>
      <c r="W212" s="4">
        <f t="shared" si="31"/>
        <v>45873</v>
      </c>
    </row>
    <row r="213" spans="1:23" hidden="1" x14ac:dyDescent="0.25">
      <c r="A213" t="s">
        <v>226</v>
      </c>
      <c r="B213" s="4">
        <v>45544</v>
      </c>
      <c r="C213" s="4">
        <v>45566</v>
      </c>
      <c r="D213" t="s">
        <v>647</v>
      </c>
      <c r="E213" t="s">
        <v>659</v>
      </c>
      <c r="F213" t="s">
        <v>676</v>
      </c>
      <c r="G213" t="s">
        <v>704</v>
      </c>
      <c r="H213" t="s">
        <v>711</v>
      </c>
      <c r="I213" t="s">
        <v>716</v>
      </c>
      <c r="J213" t="s">
        <v>728</v>
      </c>
      <c r="K213" t="s">
        <v>946</v>
      </c>
      <c r="L213" s="6">
        <v>1166.18</v>
      </c>
      <c r="M213" s="6">
        <v>1335.02</v>
      </c>
      <c r="N213" s="8">
        <v>0.128</v>
      </c>
      <c r="O213" s="6">
        <v>6</v>
      </c>
      <c r="P213" s="7" t="str">
        <f t="shared" si="25"/>
        <v>Shenzhen</v>
      </c>
      <c r="Q213" s="7" t="str">
        <f t="shared" si="26"/>
        <v>L. Okafor</v>
      </c>
      <c r="R213" s="7" t="str">
        <f t="shared" si="27"/>
        <v>Direct</v>
      </c>
      <c r="S213" t="str">
        <f t="shared" si="32"/>
        <v>OK</v>
      </c>
      <c r="T213" s="8" t="str">
        <f t="shared" si="28"/>
        <v>OK</v>
      </c>
      <c r="U213" t="str">
        <f t="shared" si="29"/>
        <v>OK</v>
      </c>
      <c r="V213">
        <f t="shared" si="30"/>
        <v>22</v>
      </c>
      <c r="W213" s="4">
        <f t="shared" si="31"/>
        <v>45566</v>
      </c>
    </row>
    <row r="214" spans="1:23" hidden="1" x14ac:dyDescent="0.25">
      <c r="A214" t="s">
        <v>227</v>
      </c>
      <c r="B214" s="4">
        <v>45686</v>
      </c>
      <c r="C214" s="4">
        <v>45694</v>
      </c>
      <c r="D214" t="s">
        <v>646</v>
      </c>
      <c r="E214" t="s">
        <v>650</v>
      </c>
      <c r="F214" t="s">
        <v>662</v>
      </c>
      <c r="G214" t="s">
        <v>702</v>
      </c>
      <c r="H214" t="s">
        <v>707</v>
      </c>
      <c r="I214" t="s">
        <v>717</v>
      </c>
      <c r="J214" t="s">
        <v>730</v>
      </c>
      <c r="K214" t="s">
        <v>947</v>
      </c>
      <c r="L214" s="6">
        <v>1445.27</v>
      </c>
      <c r="M214" s="6">
        <v>2691.45</v>
      </c>
      <c r="N214" s="8">
        <v>0</v>
      </c>
      <c r="O214" s="6">
        <v>9</v>
      </c>
      <c r="P214" s="7" t="str">
        <f t="shared" si="25"/>
        <v>Kisumu</v>
      </c>
      <c r="Q214" s="7" t="str">
        <f t="shared" si="26"/>
        <v>B. Chen</v>
      </c>
      <c r="R214" s="7" t="str">
        <f t="shared" si="27"/>
        <v>Retail</v>
      </c>
      <c r="S214" t="str">
        <f t="shared" si="32"/>
        <v>OK</v>
      </c>
      <c r="T214" s="8" t="str">
        <f t="shared" si="28"/>
        <v>OK</v>
      </c>
      <c r="U214" t="str">
        <f t="shared" si="29"/>
        <v>OK</v>
      </c>
      <c r="V214">
        <f t="shared" si="30"/>
        <v>8</v>
      </c>
      <c r="W214" s="4">
        <f t="shared" si="31"/>
        <v>45694</v>
      </c>
    </row>
    <row r="215" spans="1:23" hidden="1" x14ac:dyDescent="0.25">
      <c r="A215" t="s">
        <v>228</v>
      </c>
      <c r="B215" s="4">
        <v>45240</v>
      </c>
      <c r="C215" s="4">
        <v>45258</v>
      </c>
      <c r="D215" t="s">
        <v>648</v>
      </c>
      <c r="E215" t="s">
        <v>655</v>
      </c>
      <c r="F215" t="s">
        <v>672</v>
      </c>
      <c r="G215" t="s">
        <v>702</v>
      </c>
      <c r="H215" t="s">
        <v>709</v>
      </c>
      <c r="I215" t="s">
        <v>716</v>
      </c>
      <c r="J215" t="s">
        <v>733</v>
      </c>
      <c r="K215" t="s">
        <v>948</v>
      </c>
      <c r="L215" s="6">
        <v>388.51</v>
      </c>
      <c r="M215" s="6">
        <v>776.46</v>
      </c>
      <c r="N215" s="8">
        <v>0.157</v>
      </c>
      <c r="O215" s="6">
        <v>12</v>
      </c>
      <c r="P215" s="7" t="str">
        <f t="shared" si="25"/>
        <v>Brasília</v>
      </c>
      <c r="Q215" s="7" t="str">
        <f t="shared" si="26"/>
        <v>L. Okafor</v>
      </c>
      <c r="R215" s="7" t="str">
        <f t="shared" si="27"/>
        <v>Marketplace</v>
      </c>
      <c r="S215" t="str">
        <f t="shared" si="32"/>
        <v>OK</v>
      </c>
      <c r="T215" s="8" t="str">
        <f t="shared" si="28"/>
        <v>OK</v>
      </c>
      <c r="U215" t="str">
        <f t="shared" si="29"/>
        <v>OK</v>
      </c>
      <c r="V215">
        <f t="shared" si="30"/>
        <v>18</v>
      </c>
      <c r="W215" s="4">
        <f t="shared" si="31"/>
        <v>45258</v>
      </c>
    </row>
    <row r="216" spans="1:23" hidden="1" x14ac:dyDescent="0.25">
      <c r="A216" t="s">
        <v>229</v>
      </c>
      <c r="B216" s="4">
        <v>45351</v>
      </c>
      <c r="C216" s="4">
        <v>45381</v>
      </c>
      <c r="D216" t="s">
        <v>647</v>
      </c>
      <c r="E216" t="s">
        <v>652</v>
      </c>
      <c r="F216" t="s">
        <v>694</v>
      </c>
      <c r="G216" t="s">
        <v>705</v>
      </c>
      <c r="H216" t="s">
        <v>711</v>
      </c>
      <c r="I216" t="s">
        <v>714</v>
      </c>
      <c r="J216" t="s">
        <v>729</v>
      </c>
      <c r="K216" t="s">
        <v>949</v>
      </c>
      <c r="L216" s="6">
        <v>231.11</v>
      </c>
      <c r="M216" s="6">
        <v>318.17</v>
      </c>
      <c r="N216" s="8">
        <v>0.20100000000000001</v>
      </c>
      <c r="O216" s="6">
        <v>60</v>
      </c>
      <c r="P216" s="7" t="str">
        <f t="shared" si="25"/>
        <v>Nagoya</v>
      </c>
      <c r="Q216" s="7" t="str">
        <f t="shared" si="26"/>
        <v>I. Johnson</v>
      </c>
      <c r="R216" s="7" t="str">
        <f t="shared" si="27"/>
        <v>Direct</v>
      </c>
      <c r="S216" t="str">
        <f t="shared" si="32"/>
        <v>OK</v>
      </c>
      <c r="T216" s="8" t="str">
        <f t="shared" si="28"/>
        <v>OK</v>
      </c>
      <c r="U216" t="str">
        <f t="shared" si="29"/>
        <v>OK</v>
      </c>
      <c r="V216">
        <f t="shared" si="30"/>
        <v>30</v>
      </c>
      <c r="W216" s="4">
        <f t="shared" si="31"/>
        <v>45381</v>
      </c>
    </row>
    <row r="217" spans="1:23" hidden="1" x14ac:dyDescent="0.25">
      <c r="A217" t="s">
        <v>230</v>
      </c>
      <c r="B217" s="4">
        <v>45280</v>
      </c>
      <c r="C217" s="4">
        <v>45305</v>
      </c>
      <c r="D217" t="s">
        <v>647</v>
      </c>
      <c r="E217" t="s">
        <v>654</v>
      </c>
      <c r="F217" t="s">
        <v>691</v>
      </c>
      <c r="G217" t="s">
        <v>703</v>
      </c>
      <c r="H217" t="s">
        <v>709</v>
      </c>
      <c r="I217" t="s">
        <v>716</v>
      </c>
      <c r="J217" t="s">
        <v>732</v>
      </c>
      <c r="K217" t="s">
        <v>950</v>
      </c>
      <c r="L217" s="6">
        <v>1085.6099999999999</v>
      </c>
      <c r="M217" s="6">
        <v>1246.4100000000001</v>
      </c>
      <c r="N217" s="8">
        <v>0.113</v>
      </c>
      <c r="O217" s="6">
        <v>7</v>
      </c>
      <c r="P217" s="7" t="str">
        <f t="shared" si="25"/>
        <v>Mumbai</v>
      </c>
      <c r="Q217" s="7" t="str">
        <f t="shared" si="26"/>
        <v>L. Okafor</v>
      </c>
      <c r="R217" s="7" t="str">
        <f t="shared" si="27"/>
        <v>Marketplace</v>
      </c>
      <c r="S217" t="str">
        <f t="shared" si="32"/>
        <v>OK</v>
      </c>
      <c r="T217" s="8" t="str">
        <f t="shared" si="28"/>
        <v>OK</v>
      </c>
      <c r="U217" t="str">
        <f t="shared" si="29"/>
        <v>OK</v>
      </c>
      <c r="V217">
        <f t="shared" si="30"/>
        <v>25</v>
      </c>
      <c r="W217" s="4">
        <f t="shared" si="31"/>
        <v>45305</v>
      </c>
    </row>
    <row r="218" spans="1:23" hidden="1" x14ac:dyDescent="0.25">
      <c r="A218" t="s">
        <v>231</v>
      </c>
      <c r="B218" s="4">
        <v>44948</v>
      </c>
      <c r="C218" s="4">
        <v>44963</v>
      </c>
      <c r="D218" t="s">
        <v>649</v>
      </c>
      <c r="E218" t="s">
        <v>656</v>
      </c>
      <c r="F218" t="s">
        <v>684</v>
      </c>
      <c r="G218" t="s">
        <v>701</v>
      </c>
      <c r="H218" t="s">
        <v>711</v>
      </c>
      <c r="I218" t="s">
        <v>721</v>
      </c>
      <c r="J218" t="s">
        <v>732</v>
      </c>
      <c r="K218" t="s">
        <v>951</v>
      </c>
      <c r="L218" s="6">
        <v>150.86000000000001</v>
      </c>
      <c r="M218" s="6">
        <v>346.96</v>
      </c>
      <c r="N218" s="8">
        <v>0.19600000000000001</v>
      </c>
      <c r="O218" s="6">
        <v>8</v>
      </c>
      <c r="P218" s="7" t="str">
        <f t="shared" si="25"/>
        <v>Munich</v>
      </c>
      <c r="Q218" s="7" t="str">
        <f t="shared" si="26"/>
        <v>F. Müller</v>
      </c>
      <c r="R218" s="7" t="str">
        <f t="shared" si="27"/>
        <v>Direct</v>
      </c>
      <c r="S218" t="str">
        <f t="shared" si="32"/>
        <v>OK</v>
      </c>
      <c r="T218" s="8" t="str">
        <f t="shared" si="28"/>
        <v>OK</v>
      </c>
      <c r="U218" t="str">
        <f t="shared" si="29"/>
        <v>OK</v>
      </c>
      <c r="V218">
        <f t="shared" si="30"/>
        <v>15</v>
      </c>
      <c r="W218" s="4">
        <f t="shared" si="31"/>
        <v>44963</v>
      </c>
    </row>
    <row r="219" spans="1:23" hidden="1" x14ac:dyDescent="0.25">
      <c r="A219" t="s">
        <v>232</v>
      </c>
      <c r="B219" s="4">
        <v>45576</v>
      </c>
      <c r="C219" s="4">
        <v>45605</v>
      </c>
      <c r="D219" t="s">
        <v>647</v>
      </c>
      <c r="E219" t="s">
        <v>659</v>
      </c>
      <c r="F219" t="s">
        <v>685</v>
      </c>
      <c r="G219" t="s">
        <v>703</v>
      </c>
      <c r="H219" t="s">
        <v>708</v>
      </c>
      <c r="I219" t="s">
        <v>721</v>
      </c>
      <c r="J219" t="s">
        <v>728</v>
      </c>
      <c r="K219" t="s">
        <v>952</v>
      </c>
      <c r="L219" s="6">
        <v>391.64</v>
      </c>
      <c r="M219" s="6">
        <v>504.76</v>
      </c>
      <c r="N219" s="8">
        <v>4.0000000000000001E-3</v>
      </c>
      <c r="O219" s="6">
        <v>13</v>
      </c>
      <c r="P219" s="7" t="str">
        <f t="shared" si="25"/>
        <v>Shanghai</v>
      </c>
      <c r="Q219" s="7" t="str">
        <f t="shared" si="26"/>
        <v>F. Müller</v>
      </c>
      <c r="R219" s="7" t="str">
        <f t="shared" si="27"/>
        <v>Online</v>
      </c>
      <c r="S219" t="str">
        <f t="shared" si="32"/>
        <v>OK</v>
      </c>
      <c r="T219" s="8" t="str">
        <f t="shared" si="28"/>
        <v>OK</v>
      </c>
      <c r="U219" t="str">
        <f t="shared" si="29"/>
        <v>OK</v>
      </c>
      <c r="V219">
        <f t="shared" si="30"/>
        <v>29</v>
      </c>
      <c r="W219" s="4">
        <f t="shared" si="31"/>
        <v>45605</v>
      </c>
    </row>
    <row r="220" spans="1:23" hidden="1" x14ac:dyDescent="0.25">
      <c r="A220" t="s">
        <v>233</v>
      </c>
      <c r="B220" s="4">
        <v>45554</v>
      </c>
      <c r="C220" s="4">
        <v>45579</v>
      </c>
      <c r="D220" t="s">
        <v>648</v>
      </c>
      <c r="E220" t="s">
        <v>655</v>
      </c>
      <c r="F220" t="s">
        <v>692</v>
      </c>
      <c r="G220" t="s">
        <v>705</v>
      </c>
      <c r="H220" t="s">
        <v>707</v>
      </c>
      <c r="I220" t="s">
        <v>723</v>
      </c>
      <c r="J220" t="s">
        <v>728</v>
      </c>
      <c r="K220" t="s">
        <v>953</v>
      </c>
      <c r="L220" s="6">
        <v>386.96</v>
      </c>
      <c r="M220" s="6">
        <v>937.46</v>
      </c>
      <c r="N220" s="8">
        <v>0.26600000000000001</v>
      </c>
      <c r="O220" s="6">
        <v>41</v>
      </c>
      <c r="P220" s="7" t="str">
        <f t="shared" si="25"/>
        <v>Rio de Janeiro</v>
      </c>
      <c r="Q220" s="7" t="str">
        <f t="shared" si="26"/>
        <v>K. Singh</v>
      </c>
      <c r="R220" s="7" t="str">
        <f t="shared" si="27"/>
        <v>Retail</v>
      </c>
      <c r="S220" t="str">
        <f t="shared" si="32"/>
        <v>OK</v>
      </c>
      <c r="T220" s="8" t="str">
        <f t="shared" si="28"/>
        <v>OK</v>
      </c>
      <c r="U220" t="str">
        <f t="shared" si="29"/>
        <v>OK</v>
      </c>
      <c r="V220">
        <f t="shared" si="30"/>
        <v>25</v>
      </c>
      <c r="W220" s="4">
        <f t="shared" si="31"/>
        <v>45579</v>
      </c>
    </row>
    <row r="221" spans="1:23" hidden="1" x14ac:dyDescent="0.25">
      <c r="A221" t="s">
        <v>234</v>
      </c>
      <c r="B221" s="4">
        <v>45894</v>
      </c>
      <c r="C221" s="4">
        <v>45924</v>
      </c>
      <c r="D221" t="s">
        <v>646</v>
      </c>
      <c r="E221" t="s">
        <v>650</v>
      </c>
      <c r="F221" t="s">
        <v>664</v>
      </c>
      <c r="G221" t="s">
        <v>704</v>
      </c>
      <c r="H221" t="s">
        <v>711</v>
      </c>
      <c r="I221" t="s">
        <v>717</v>
      </c>
      <c r="J221" t="s">
        <v>727</v>
      </c>
      <c r="K221" t="s">
        <v>954</v>
      </c>
      <c r="L221" s="6">
        <v>589.14</v>
      </c>
      <c r="M221" s="6">
        <v>1300.58</v>
      </c>
      <c r="N221" s="8">
        <v>5.5E-2</v>
      </c>
      <c r="O221" s="6">
        <v>11</v>
      </c>
      <c r="P221" s="7" t="str">
        <f t="shared" si="25"/>
        <v>Nairobi</v>
      </c>
      <c r="Q221" s="7" t="str">
        <f t="shared" si="26"/>
        <v>B. Chen</v>
      </c>
      <c r="R221" s="7" t="str">
        <f t="shared" si="27"/>
        <v>Direct</v>
      </c>
      <c r="S221" t="str">
        <f t="shared" si="32"/>
        <v>OK</v>
      </c>
      <c r="T221" s="8" t="str">
        <f t="shared" si="28"/>
        <v>OK</v>
      </c>
      <c r="U221" t="str">
        <f t="shared" si="29"/>
        <v>OK</v>
      </c>
      <c r="V221">
        <f t="shared" si="30"/>
        <v>30</v>
      </c>
      <c r="W221" s="4">
        <f t="shared" si="31"/>
        <v>45924</v>
      </c>
    </row>
    <row r="222" spans="1:23" hidden="1" x14ac:dyDescent="0.25">
      <c r="A222" t="s">
        <v>235</v>
      </c>
      <c r="B222" s="4">
        <v>45194</v>
      </c>
      <c r="C222" s="4">
        <v>45201</v>
      </c>
      <c r="D222" t="s">
        <v>648</v>
      </c>
      <c r="E222" t="s">
        <v>660</v>
      </c>
      <c r="F222" t="s">
        <v>700</v>
      </c>
      <c r="G222" t="s">
        <v>702</v>
      </c>
      <c r="H222" t="s">
        <v>709</v>
      </c>
      <c r="I222" t="s">
        <v>714</v>
      </c>
      <c r="J222" t="s">
        <v>733</v>
      </c>
      <c r="K222" t="s">
        <v>955</v>
      </c>
      <c r="L222" s="6">
        <v>145.58000000000001</v>
      </c>
      <c r="M222" s="6">
        <v>228.15</v>
      </c>
      <c r="N222" s="8">
        <v>0.20399999999999999</v>
      </c>
      <c r="O222" s="6">
        <v>5</v>
      </c>
      <c r="P222" s="7" t="str">
        <f t="shared" si="25"/>
        <v>New York</v>
      </c>
      <c r="Q222" s="7" t="str">
        <f t="shared" si="26"/>
        <v>I. Johnson</v>
      </c>
      <c r="R222" s="7" t="str">
        <f t="shared" si="27"/>
        <v>Marketplace</v>
      </c>
      <c r="S222" t="str">
        <f t="shared" si="32"/>
        <v>OK</v>
      </c>
      <c r="T222" s="8" t="str">
        <f t="shared" si="28"/>
        <v>OK</v>
      </c>
      <c r="U222" t="str">
        <f t="shared" si="29"/>
        <v>OK</v>
      </c>
      <c r="V222">
        <f t="shared" si="30"/>
        <v>7</v>
      </c>
      <c r="W222" s="4">
        <f t="shared" si="31"/>
        <v>45201</v>
      </c>
    </row>
    <row r="223" spans="1:23" hidden="1" x14ac:dyDescent="0.25">
      <c r="A223" t="s">
        <v>236</v>
      </c>
      <c r="B223" s="4">
        <v>45164</v>
      </c>
      <c r="C223" s="4">
        <v>45179</v>
      </c>
      <c r="D223" t="s">
        <v>646</v>
      </c>
      <c r="E223" t="s">
        <v>661</v>
      </c>
      <c r="F223" t="s">
        <v>695</v>
      </c>
      <c r="G223" t="s">
        <v>703</v>
      </c>
      <c r="H223" t="s">
        <v>711</v>
      </c>
      <c r="I223" t="s">
        <v>725</v>
      </c>
      <c r="J223" t="s">
        <v>727</v>
      </c>
      <c r="K223" t="s">
        <v>956</v>
      </c>
      <c r="L223" s="6">
        <v>241.14</v>
      </c>
      <c r="M223" s="6">
        <v>496.52</v>
      </c>
      <c r="N223" s="8">
        <v>9.2999999999999999E-2</v>
      </c>
      <c r="O223" s="6">
        <v>10</v>
      </c>
      <c r="P223" s="7" t="str">
        <f t="shared" si="25"/>
        <v>Cape Town</v>
      </c>
      <c r="Q223" s="7" t="str">
        <f t="shared" si="26"/>
        <v>N. Brown</v>
      </c>
      <c r="R223" s="7" t="str">
        <f t="shared" si="27"/>
        <v>Direct</v>
      </c>
      <c r="S223" t="str">
        <f t="shared" si="32"/>
        <v>OK</v>
      </c>
      <c r="T223" s="8" t="str">
        <f t="shared" si="28"/>
        <v>OK</v>
      </c>
      <c r="U223" t="str">
        <f t="shared" si="29"/>
        <v>OK</v>
      </c>
      <c r="V223">
        <f t="shared" si="30"/>
        <v>15</v>
      </c>
      <c r="W223" s="4">
        <f t="shared" si="31"/>
        <v>45179</v>
      </c>
    </row>
    <row r="224" spans="1:23" hidden="1" x14ac:dyDescent="0.25">
      <c r="A224" t="s">
        <v>237</v>
      </c>
      <c r="B224" s="4">
        <v>45854</v>
      </c>
      <c r="C224" s="4">
        <v>45855</v>
      </c>
      <c r="D224" t="s">
        <v>646</v>
      </c>
      <c r="E224" t="s">
        <v>661</v>
      </c>
      <c r="F224" t="s">
        <v>687</v>
      </c>
      <c r="G224" t="s">
        <v>705</v>
      </c>
      <c r="H224" t="s">
        <v>710</v>
      </c>
      <c r="I224" t="s">
        <v>717</v>
      </c>
      <c r="J224" t="s">
        <v>729</v>
      </c>
      <c r="K224" t="s">
        <v>957</v>
      </c>
      <c r="L224" s="6">
        <v>1198.9000000000001</v>
      </c>
      <c r="M224" s="6">
        <v>2941.2</v>
      </c>
      <c r="N224" s="8">
        <v>5.0999999999999997E-2</v>
      </c>
      <c r="O224" s="6">
        <v>24</v>
      </c>
      <c r="P224" s="7" t="str">
        <f t="shared" si="25"/>
        <v>Durban</v>
      </c>
      <c r="Q224" s="7" t="str">
        <f t="shared" si="26"/>
        <v>B. Chen</v>
      </c>
      <c r="R224" s="7" t="str">
        <f t="shared" si="27"/>
        <v>Distributor</v>
      </c>
      <c r="S224" t="str">
        <f t="shared" si="32"/>
        <v>OK</v>
      </c>
      <c r="T224" s="8" t="str">
        <f t="shared" si="28"/>
        <v>OK</v>
      </c>
      <c r="U224" t="str">
        <f t="shared" si="29"/>
        <v>OK</v>
      </c>
      <c r="V224">
        <f t="shared" si="30"/>
        <v>1</v>
      </c>
      <c r="W224" s="4">
        <f t="shared" si="31"/>
        <v>45855</v>
      </c>
    </row>
    <row r="225" spans="1:23" hidden="1" x14ac:dyDescent="0.25">
      <c r="A225" t="s">
        <v>238</v>
      </c>
      <c r="B225" s="4">
        <v>45035</v>
      </c>
      <c r="C225" s="4">
        <v>45053</v>
      </c>
      <c r="D225" t="s">
        <v>649</v>
      </c>
      <c r="E225" t="s">
        <v>658</v>
      </c>
      <c r="F225" t="s">
        <v>674</v>
      </c>
      <c r="G225" t="s">
        <v>706</v>
      </c>
      <c r="H225" t="s">
        <v>707</v>
      </c>
      <c r="I225" t="s">
        <v>725</v>
      </c>
      <c r="J225" t="s">
        <v>731</v>
      </c>
      <c r="K225" t="s">
        <v>958</v>
      </c>
      <c r="L225" s="6">
        <v>1089.1500000000001</v>
      </c>
      <c r="M225" s="6">
        <v>1088.2</v>
      </c>
      <c r="N225" s="8">
        <v>5.0999999999999997E-2</v>
      </c>
      <c r="O225" s="6">
        <v>15</v>
      </c>
      <c r="P225" s="7" t="str">
        <f t="shared" si="25"/>
        <v>Birmingham</v>
      </c>
      <c r="Q225" s="7" t="str">
        <f t="shared" si="26"/>
        <v>N. Brown</v>
      </c>
      <c r="R225" s="7" t="str">
        <f t="shared" si="27"/>
        <v>Retail</v>
      </c>
      <c r="S225" t="str">
        <f t="shared" si="32"/>
        <v>OK</v>
      </c>
      <c r="T225" s="8" t="str">
        <f t="shared" si="28"/>
        <v>OK</v>
      </c>
      <c r="U225" t="str">
        <f t="shared" si="29"/>
        <v>OK</v>
      </c>
      <c r="V225">
        <f t="shared" si="30"/>
        <v>18</v>
      </c>
      <c r="W225" s="4">
        <f t="shared" si="31"/>
        <v>45053</v>
      </c>
    </row>
    <row r="226" spans="1:23" hidden="1" x14ac:dyDescent="0.25">
      <c r="A226" t="s">
        <v>239</v>
      </c>
      <c r="B226" s="4">
        <v>45279</v>
      </c>
      <c r="C226" s="4">
        <v>45280</v>
      </c>
      <c r="D226" t="s">
        <v>648</v>
      </c>
      <c r="E226" t="s">
        <v>655</v>
      </c>
      <c r="F226" t="s">
        <v>692</v>
      </c>
      <c r="G226" t="s">
        <v>704</v>
      </c>
      <c r="H226" t="s">
        <v>710</v>
      </c>
      <c r="I226" t="s">
        <v>713</v>
      </c>
      <c r="J226" t="s">
        <v>730</v>
      </c>
      <c r="K226" t="s">
        <v>959</v>
      </c>
      <c r="L226" s="6">
        <v>1080.43</v>
      </c>
      <c r="M226" s="6">
        <v>2529.15</v>
      </c>
      <c r="N226" s="8">
        <v>0.14699999999999999</v>
      </c>
      <c r="O226" s="6">
        <v>10</v>
      </c>
      <c r="P226" s="7" t="str">
        <f t="shared" si="25"/>
        <v>Rio de Janeiro</v>
      </c>
      <c r="Q226" s="7" t="str">
        <f t="shared" si="26"/>
        <v>J. Njeri</v>
      </c>
      <c r="R226" s="7" t="str">
        <f t="shared" si="27"/>
        <v>Distributor</v>
      </c>
      <c r="S226" t="str">
        <f t="shared" si="32"/>
        <v>OK</v>
      </c>
      <c r="T226" s="8" t="str">
        <f t="shared" si="28"/>
        <v>OK</v>
      </c>
      <c r="U226" t="str">
        <f t="shared" si="29"/>
        <v>OK</v>
      </c>
      <c r="V226">
        <f t="shared" si="30"/>
        <v>1</v>
      </c>
      <c r="W226" s="4">
        <f t="shared" si="31"/>
        <v>45280</v>
      </c>
    </row>
    <row r="227" spans="1:23" hidden="1" x14ac:dyDescent="0.25">
      <c r="A227" t="s">
        <v>240</v>
      </c>
      <c r="B227" s="4">
        <v>45137</v>
      </c>
      <c r="C227" s="4">
        <v>45145</v>
      </c>
      <c r="D227" t="s">
        <v>647</v>
      </c>
      <c r="E227" t="s">
        <v>652</v>
      </c>
      <c r="F227" t="s">
        <v>694</v>
      </c>
      <c r="G227" t="s">
        <v>702</v>
      </c>
      <c r="H227" t="s">
        <v>709</v>
      </c>
      <c r="I227" t="s">
        <v>720</v>
      </c>
      <c r="J227" t="s">
        <v>729</v>
      </c>
      <c r="K227" t="s">
        <v>960</v>
      </c>
      <c r="L227" s="6">
        <v>1352.44</v>
      </c>
      <c r="M227" s="6">
        <v>2698.01</v>
      </c>
      <c r="N227" s="8">
        <v>0.13100000000000001</v>
      </c>
      <c r="O227" s="6">
        <v>13</v>
      </c>
      <c r="P227" s="7" t="str">
        <f t="shared" si="25"/>
        <v>Nagoya</v>
      </c>
      <c r="Q227" s="7" t="str">
        <f t="shared" si="26"/>
        <v>A. Patel</v>
      </c>
      <c r="R227" s="7" t="str">
        <f t="shared" si="27"/>
        <v>Marketplace</v>
      </c>
      <c r="S227" t="str">
        <f t="shared" si="32"/>
        <v>OK</v>
      </c>
      <c r="T227" s="8" t="str">
        <f t="shared" si="28"/>
        <v>OK</v>
      </c>
      <c r="U227" t="str">
        <f t="shared" si="29"/>
        <v>OK</v>
      </c>
      <c r="V227">
        <f t="shared" si="30"/>
        <v>8</v>
      </c>
      <c r="W227" s="4">
        <f t="shared" si="31"/>
        <v>45145</v>
      </c>
    </row>
    <row r="228" spans="1:23" hidden="1" x14ac:dyDescent="0.25">
      <c r="A228" t="s">
        <v>241</v>
      </c>
      <c r="B228" s="4">
        <v>45203</v>
      </c>
      <c r="C228" s="4">
        <v>45228</v>
      </c>
      <c r="D228" t="s">
        <v>648</v>
      </c>
      <c r="E228" t="s">
        <v>660</v>
      </c>
      <c r="F228" t="s">
        <v>686</v>
      </c>
      <c r="G228" t="s">
        <v>705</v>
      </c>
      <c r="H228" t="s">
        <v>710</v>
      </c>
      <c r="I228" t="s">
        <v>719</v>
      </c>
      <c r="J228" t="s">
        <v>733</v>
      </c>
      <c r="K228" t="s">
        <v>961</v>
      </c>
      <c r="L228" s="6">
        <v>1239.8399999999999</v>
      </c>
      <c r="M228" s="6">
        <v>1482.75</v>
      </c>
      <c r="N228" s="8">
        <v>6.7000000000000004E-2</v>
      </c>
      <c r="O228" s="6">
        <v>4</v>
      </c>
      <c r="P228" s="7" t="str">
        <f t="shared" si="25"/>
        <v>San Francisco</v>
      </c>
      <c r="Q228" s="7" t="str">
        <f t="shared" si="26"/>
        <v>O. Wang</v>
      </c>
      <c r="R228" s="7" t="str">
        <f t="shared" si="27"/>
        <v>Distributor</v>
      </c>
      <c r="S228" t="str">
        <f t="shared" si="32"/>
        <v>OK</v>
      </c>
      <c r="T228" s="8" t="str">
        <f t="shared" si="28"/>
        <v>OK</v>
      </c>
      <c r="U228" t="str">
        <f t="shared" si="29"/>
        <v>OK</v>
      </c>
      <c r="V228">
        <f t="shared" si="30"/>
        <v>25</v>
      </c>
      <c r="W228" s="4">
        <f t="shared" si="31"/>
        <v>45228</v>
      </c>
    </row>
    <row r="229" spans="1:23" hidden="1" x14ac:dyDescent="0.25">
      <c r="A229" t="s">
        <v>242</v>
      </c>
      <c r="B229" s="4">
        <v>45879</v>
      </c>
      <c r="C229" s="4">
        <v>45899</v>
      </c>
      <c r="D229" t="s">
        <v>648</v>
      </c>
      <c r="E229" t="s">
        <v>660</v>
      </c>
      <c r="F229" t="s">
        <v>686</v>
      </c>
      <c r="G229" t="s">
        <v>701</v>
      </c>
      <c r="H229" t="s">
        <v>709</v>
      </c>
      <c r="I229" t="s">
        <v>723</v>
      </c>
      <c r="J229" t="s">
        <v>728</v>
      </c>
      <c r="K229" t="s">
        <v>962</v>
      </c>
      <c r="L229" s="6">
        <v>933.29</v>
      </c>
      <c r="M229" s="6">
        <v>1456.81</v>
      </c>
      <c r="N229" s="8">
        <v>0.123</v>
      </c>
      <c r="O229" s="6">
        <v>13</v>
      </c>
      <c r="P229" s="7" t="str">
        <f t="shared" si="25"/>
        <v>San Francisco</v>
      </c>
      <c r="Q229" s="7" t="str">
        <f t="shared" si="26"/>
        <v>K. Singh</v>
      </c>
      <c r="R229" s="7" t="str">
        <f t="shared" si="27"/>
        <v>Marketplace</v>
      </c>
      <c r="S229" t="str">
        <f t="shared" si="32"/>
        <v>OK</v>
      </c>
      <c r="T229" s="8" t="str">
        <f t="shared" si="28"/>
        <v>OK</v>
      </c>
      <c r="U229" t="str">
        <f t="shared" si="29"/>
        <v>OK</v>
      </c>
      <c r="V229">
        <f t="shared" si="30"/>
        <v>20</v>
      </c>
      <c r="W229" s="4">
        <f t="shared" si="31"/>
        <v>45899</v>
      </c>
    </row>
    <row r="230" spans="1:23" hidden="1" x14ac:dyDescent="0.25">
      <c r="A230" t="s">
        <v>243</v>
      </c>
      <c r="B230" s="4">
        <v>44992</v>
      </c>
      <c r="C230" s="4">
        <v>45017</v>
      </c>
      <c r="D230" t="s">
        <v>646</v>
      </c>
      <c r="E230" t="s">
        <v>650</v>
      </c>
      <c r="F230" t="s">
        <v>664</v>
      </c>
      <c r="G230" t="s">
        <v>704</v>
      </c>
      <c r="H230" t="s">
        <v>709</v>
      </c>
      <c r="I230" t="s">
        <v>726</v>
      </c>
      <c r="J230" t="s">
        <v>728</v>
      </c>
      <c r="K230" t="s">
        <v>963</v>
      </c>
      <c r="L230" s="6">
        <v>1024.0999999999999</v>
      </c>
      <c r="M230" s="6">
        <v>918.19</v>
      </c>
      <c r="N230" s="8">
        <v>0.189</v>
      </c>
      <c r="O230" s="6">
        <v>10</v>
      </c>
      <c r="P230" s="7" t="str">
        <f t="shared" si="25"/>
        <v>Nairobi</v>
      </c>
      <c r="Q230" s="7" t="str">
        <f t="shared" si="26"/>
        <v>D. Smith</v>
      </c>
      <c r="R230" s="7" t="str">
        <f t="shared" si="27"/>
        <v>Marketplace</v>
      </c>
      <c r="S230" t="str">
        <f t="shared" si="32"/>
        <v>OK</v>
      </c>
      <c r="T230" s="8" t="str">
        <f t="shared" si="28"/>
        <v>OK</v>
      </c>
      <c r="U230" t="str">
        <f t="shared" si="29"/>
        <v>OK</v>
      </c>
      <c r="V230">
        <f t="shared" si="30"/>
        <v>25</v>
      </c>
      <c r="W230" s="4">
        <f t="shared" si="31"/>
        <v>45017</v>
      </c>
    </row>
    <row r="231" spans="1:23" hidden="1" x14ac:dyDescent="0.25">
      <c r="A231" t="s">
        <v>244</v>
      </c>
      <c r="B231" s="4">
        <v>45069</v>
      </c>
      <c r="C231" s="4">
        <v>45087</v>
      </c>
      <c r="D231" t="s">
        <v>647</v>
      </c>
      <c r="E231" t="s">
        <v>659</v>
      </c>
      <c r="F231" t="s">
        <v>685</v>
      </c>
      <c r="G231" t="s">
        <v>701</v>
      </c>
      <c r="H231" t="s">
        <v>710</v>
      </c>
      <c r="I231" t="s">
        <v>718</v>
      </c>
      <c r="J231" t="s">
        <v>727</v>
      </c>
      <c r="K231" t="s">
        <v>964</v>
      </c>
      <c r="L231" s="6">
        <v>54.62</v>
      </c>
      <c r="M231" s="6">
        <v>48.94</v>
      </c>
      <c r="N231" s="8">
        <v>0.14799999999999999</v>
      </c>
      <c r="O231" s="6">
        <v>16</v>
      </c>
      <c r="P231" s="7" t="str">
        <f t="shared" si="25"/>
        <v>Shanghai</v>
      </c>
      <c r="Q231" s="7" t="str">
        <f t="shared" si="26"/>
        <v>E. Garcia</v>
      </c>
      <c r="R231" s="7" t="str">
        <f t="shared" si="27"/>
        <v>Distributor</v>
      </c>
      <c r="S231" t="str">
        <f t="shared" si="32"/>
        <v>OK</v>
      </c>
      <c r="T231" s="8" t="str">
        <f t="shared" si="28"/>
        <v>OK</v>
      </c>
      <c r="U231" t="str">
        <f t="shared" si="29"/>
        <v>OK</v>
      </c>
      <c r="V231">
        <f t="shared" si="30"/>
        <v>18</v>
      </c>
      <c r="W231" s="4">
        <f t="shared" si="31"/>
        <v>45087</v>
      </c>
    </row>
    <row r="232" spans="1:23" hidden="1" x14ac:dyDescent="0.25">
      <c r="A232" t="s">
        <v>245</v>
      </c>
      <c r="B232" s="4">
        <v>45771</v>
      </c>
      <c r="C232" s="4">
        <v>45783</v>
      </c>
      <c r="D232" t="s">
        <v>648</v>
      </c>
      <c r="E232" t="s">
        <v>655</v>
      </c>
      <c r="F232" t="s">
        <v>672</v>
      </c>
      <c r="G232" t="s">
        <v>704</v>
      </c>
      <c r="H232" t="s">
        <v>708</v>
      </c>
      <c r="I232" t="s">
        <v>712</v>
      </c>
      <c r="J232" t="s">
        <v>730</v>
      </c>
      <c r="K232" t="s">
        <v>965</v>
      </c>
      <c r="L232" s="6">
        <v>394.13</v>
      </c>
      <c r="M232" s="6">
        <v>932.29</v>
      </c>
      <c r="N232" s="8">
        <v>0.109</v>
      </c>
      <c r="O232" s="6">
        <v>7</v>
      </c>
      <c r="P232" s="7" t="str">
        <f t="shared" si="25"/>
        <v>Brasília</v>
      </c>
      <c r="Q232" s="7" t="str">
        <f t="shared" si="26"/>
        <v>C. Otieno</v>
      </c>
      <c r="R232" s="7" t="str">
        <f t="shared" si="27"/>
        <v>Online</v>
      </c>
      <c r="S232" t="str">
        <f t="shared" si="32"/>
        <v>OK</v>
      </c>
      <c r="T232" s="8" t="str">
        <f t="shared" si="28"/>
        <v>OK</v>
      </c>
      <c r="U232" t="str">
        <f t="shared" si="29"/>
        <v>OK</v>
      </c>
      <c r="V232">
        <f t="shared" si="30"/>
        <v>12</v>
      </c>
      <c r="W232" s="4">
        <f t="shared" si="31"/>
        <v>45783</v>
      </c>
    </row>
    <row r="233" spans="1:23" hidden="1" x14ac:dyDescent="0.25">
      <c r="A233" t="s">
        <v>246</v>
      </c>
      <c r="B233" s="4">
        <v>45538</v>
      </c>
      <c r="C233" s="4">
        <v>45543</v>
      </c>
      <c r="D233" t="s">
        <v>646</v>
      </c>
      <c r="E233" t="s">
        <v>651</v>
      </c>
      <c r="F233" t="s">
        <v>665</v>
      </c>
      <c r="G233" t="s">
        <v>705</v>
      </c>
      <c r="H233" t="s">
        <v>711</v>
      </c>
      <c r="I233" t="s">
        <v>723</v>
      </c>
      <c r="J233" t="s">
        <v>728</v>
      </c>
      <c r="K233" t="s">
        <v>966</v>
      </c>
      <c r="L233" s="6">
        <v>197.63</v>
      </c>
      <c r="M233" s="6">
        <v>325.79000000000002</v>
      </c>
      <c r="N233" s="8">
        <v>0.11600000000000001</v>
      </c>
      <c r="O233" s="6">
        <v>10</v>
      </c>
      <c r="P233" s="7" t="str">
        <f t="shared" si="25"/>
        <v>Lagos</v>
      </c>
      <c r="Q233" s="7" t="str">
        <f t="shared" si="26"/>
        <v>K. Singh</v>
      </c>
      <c r="R233" s="7" t="str">
        <f t="shared" si="27"/>
        <v>Direct</v>
      </c>
      <c r="S233" t="str">
        <f t="shared" si="32"/>
        <v>OK</v>
      </c>
      <c r="T233" s="8" t="str">
        <f t="shared" si="28"/>
        <v>OK</v>
      </c>
      <c r="U233" t="str">
        <f t="shared" si="29"/>
        <v>OK</v>
      </c>
      <c r="V233">
        <f t="shared" si="30"/>
        <v>5</v>
      </c>
      <c r="W233" s="4">
        <f t="shared" si="31"/>
        <v>45543</v>
      </c>
    </row>
    <row r="234" spans="1:23" hidden="1" x14ac:dyDescent="0.25">
      <c r="A234" t="s">
        <v>247</v>
      </c>
      <c r="B234" s="4">
        <v>45540</v>
      </c>
      <c r="C234" s="4">
        <v>45560</v>
      </c>
      <c r="D234" t="s">
        <v>647</v>
      </c>
      <c r="E234" t="s">
        <v>652</v>
      </c>
      <c r="F234" t="s">
        <v>666</v>
      </c>
      <c r="G234" t="s">
        <v>706</v>
      </c>
      <c r="H234" t="s">
        <v>710</v>
      </c>
      <c r="I234" t="s">
        <v>726</v>
      </c>
      <c r="J234" t="s">
        <v>732</v>
      </c>
      <c r="K234" t="s">
        <v>967</v>
      </c>
      <c r="L234" s="6">
        <v>195.54</v>
      </c>
      <c r="M234" s="6">
        <v>405.97</v>
      </c>
      <c r="N234" s="8">
        <v>0.187</v>
      </c>
      <c r="O234" s="6">
        <v>16</v>
      </c>
      <c r="P234" s="7" t="str">
        <f t="shared" si="25"/>
        <v>Osaka</v>
      </c>
      <c r="Q234" s="7" t="str">
        <f t="shared" si="26"/>
        <v>D. Smith</v>
      </c>
      <c r="R234" s="7" t="str">
        <f t="shared" si="27"/>
        <v>Distributor</v>
      </c>
      <c r="S234" t="str">
        <f t="shared" si="32"/>
        <v>OK</v>
      </c>
      <c r="T234" s="8" t="str">
        <f t="shared" si="28"/>
        <v>OK</v>
      </c>
      <c r="U234" t="str">
        <f t="shared" si="29"/>
        <v>OK</v>
      </c>
      <c r="V234">
        <f t="shared" si="30"/>
        <v>20</v>
      </c>
      <c r="W234" s="4">
        <f t="shared" si="31"/>
        <v>45560</v>
      </c>
    </row>
    <row r="235" spans="1:23" hidden="1" x14ac:dyDescent="0.25">
      <c r="A235" t="s">
        <v>248</v>
      </c>
      <c r="B235" s="4">
        <v>44999</v>
      </c>
      <c r="C235" s="4">
        <v>45015</v>
      </c>
      <c r="D235" t="s">
        <v>646</v>
      </c>
      <c r="E235" t="s">
        <v>661</v>
      </c>
      <c r="F235" t="s">
        <v>695</v>
      </c>
      <c r="G235" t="s">
        <v>704</v>
      </c>
      <c r="H235" t="s">
        <v>710</v>
      </c>
      <c r="I235" t="s">
        <v>723</v>
      </c>
      <c r="J235" t="s">
        <v>727</v>
      </c>
      <c r="K235" t="s">
        <v>968</v>
      </c>
      <c r="L235" s="6">
        <v>1309.77</v>
      </c>
      <c r="M235" s="6">
        <v>1589.07</v>
      </c>
      <c r="N235" s="8">
        <v>0.10199999999999999</v>
      </c>
      <c r="O235" s="6">
        <v>10</v>
      </c>
      <c r="P235" s="7" t="str">
        <f t="shared" si="25"/>
        <v>Cape Town</v>
      </c>
      <c r="Q235" s="7" t="str">
        <f t="shared" si="26"/>
        <v>K. Singh</v>
      </c>
      <c r="R235" s="7" t="str">
        <f t="shared" si="27"/>
        <v>Distributor</v>
      </c>
      <c r="S235" t="str">
        <f t="shared" si="32"/>
        <v>OK</v>
      </c>
      <c r="T235" s="8" t="str">
        <f t="shared" si="28"/>
        <v>OK</v>
      </c>
      <c r="U235" t="str">
        <f t="shared" si="29"/>
        <v>OK</v>
      </c>
      <c r="V235">
        <f t="shared" si="30"/>
        <v>16</v>
      </c>
      <c r="W235" s="4">
        <f t="shared" si="31"/>
        <v>45015</v>
      </c>
    </row>
    <row r="236" spans="1:23" hidden="1" x14ac:dyDescent="0.25">
      <c r="A236" t="s">
        <v>249</v>
      </c>
      <c r="B236" s="4">
        <v>45302</v>
      </c>
      <c r="C236" s="4">
        <v>45324</v>
      </c>
      <c r="D236" t="s">
        <v>647</v>
      </c>
      <c r="E236" t="s">
        <v>652</v>
      </c>
      <c r="F236" t="s">
        <v>694</v>
      </c>
      <c r="G236" t="s">
        <v>705</v>
      </c>
      <c r="H236" t="s">
        <v>708</v>
      </c>
      <c r="I236" t="s">
        <v>1368</v>
      </c>
      <c r="J236" t="s">
        <v>728</v>
      </c>
      <c r="K236" t="s">
        <v>969</v>
      </c>
      <c r="L236" s="6">
        <v>1237.68</v>
      </c>
      <c r="M236" s="6">
        <v>1432.8</v>
      </c>
      <c r="N236" s="8">
        <v>6.8000000000000005E-2</v>
      </c>
      <c r="O236" s="6">
        <v>13</v>
      </c>
      <c r="P236" s="7" t="str">
        <f t="shared" si="25"/>
        <v>Nagoya</v>
      </c>
      <c r="Q236" s="7" t="str">
        <f t="shared" si="26"/>
        <v>Unassigned</v>
      </c>
      <c r="R236" s="7" t="str">
        <f t="shared" si="27"/>
        <v>Online</v>
      </c>
      <c r="S236" t="str">
        <f t="shared" si="32"/>
        <v>OK</v>
      </c>
      <c r="T236" s="8" t="str">
        <f t="shared" si="28"/>
        <v>OK</v>
      </c>
      <c r="U236" t="str">
        <f t="shared" si="29"/>
        <v>OK</v>
      </c>
      <c r="V236">
        <f t="shared" si="30"/>
        <v>22</v>
      </c>
      <c r="W236" s="4">
        <f t="shared" si="31"/>
        <v>45324</v>
      </c>
    </row>
    <row r="237" spans="1:23" hidden="1" x14ac:dyDescent="0.25">
      <c r="A237" t="s">
        <v>250</v>
      </c>
      <c r="B237" s="4">
        <v>45548</v>
      </c>
      <c r="C237" s="4">
        <v>45567</v>
      </c>
      <c r="D237" t="s">
        <v>646</v>
      </c>
      <c r="E237" t="s">
        <v>650</v>
      </c>
      <c r="F237" t="s">
        <v>675</v>
      </c>
      <c r="G237" t="s">
        <v>705</v>
      </c>
      <c r="H237" t="s">
        <v>707</v>
      </c>
      <c r="I237" t="s">
        <v>724</v>
      </c>
      <c r="J237" t="s">
        <v>730</v>
      </c>
      <c r="K237" t="s">
        <v>970</v>
      </c>
      <c r="L237" s="6">
        <v>1338.99</v>
      </c>
      <c r="M237" s="6">
        <v>1765.76</v>
      </c>
      <c r="N237" s="8">
        <v>0.126</v>
      </c>
      <c r="O237" s="6">
        <v>24</v>
      </c>
      <c r="P237" s="7" t="str">
        <f t="shared" si="25"/>
        <v>Mombasa</v>
      </c>
      <c r="Q237" s="7" t="str">
        <f t="shared" si="26"/>
        <v>M. Rossi</v>
      </c>
      <c r="R237" s="7" t="str">
        <f t="shared" si="27"/>
        <v>Retail</v>
      </c>
      <c r="S237" t="str">
        <f t="shared" si="32"/>
        <v>OK</v>
      </c>
      <c r="T237" s="8" t="str">
        <f t="shared" si="28"/>
        <v>OK</v>
      </c>
      <c r="U237" t="str">
        <f t="shared" si="29"/>
        <v>OK</v>
      </c>
      <c r="V237">
        <f t="shared" si="30"/>
        <v>19</v>
      </c>
      <c r="W237" s="4">
        <f t="shared" si="31"/>
        <v>45567</v>
      </c>
    </row>
    <row r="238" spans="1:23" hidden="1" x14ac:dyDescent="0.25">
      <c r="A238" t="s">
        <v>251</v>
      </c>
      <c r="B238" s="4">
        <v>45855</v>
      </c>
      <c r="C238" s="4">
        <v>45861</v>
      </c>
      <c r="D238" t="s">
        <v>648</v>
      </c>
      <c r="E238" t="s">
        <v>653</v>
      </c>
      <c r="F238" t="s">
        <v>688</v>
      </c>
      <c r="G238" t="s">
        <v>704</v>
      </c>
      <c r="H238" t="s">
        <v>708</v>
      </c>
      <c r="I238" t="s">
        <v>722</v>
      </c>
      <c r="J238" t="s">
        <v>727</v>
      </c>
      <c r="K238" t="s">
        <v>971</v>
      </c>
      <c r="L238" s="6">
        <v>1364.89</v>
      </c>
      <c r="M238" s="6">
        <v>2757.54</v>
      </c>
      <c r="N238" s="8">
        <v>0.17199999999999999</v>
      </c>
      <c r="O238" s="6">
        <v>61</v>
      </c>
      <c r="P238" s="7" t="str">
        <f t="shared" si="25"/>
        <v>Vancouver</v>
      </c>
      <c r="Q238" s="7" t="str">
        <f t="shared" si="26"/>
        <v>H. Kim</v>
      </c>
      <c r="R238" s="7" t="str">
        <f t="shared" si="27"/>
        <v>Online</v>
      </c>
      <c r="S238" t="str">
        <f t="shared" si="32"/>
        <v>OK</v>
      </c>
      <c r="T238" s="8" t="str">
        <f t="shared" si="28"/>
        <v>OK</v>
      </c>
      <c r="U238" t="str">
        <f t="shared" si="29"/>
        <v>OK</v>
      </c>
      <c r="V238">
        <f t="shared" si="30"/>
        <v>6</v>
      </c>
      <c r="W238" s="4">
        <f t="shared" si="31"/>
        <v>45861</v>
      </c>
    </row>
    <row r="239" spans="1:23" hidden="1" x14ac:dyDescent="0.25">
      <c r="A239" t="s">
        <v>252</v>
      </c>
      <c r="B239" s="4">
        <v>45258</v>
      </c>
      <c r="C239" s="4">
        <v>45267</v>
      </c>
      <c r="D239" t="s">
        <v>647</v>
      </c>
      <c r="E239" t="s">
        <v>654</v>
      </c>
      <c r="F239" t="s">
        <v>680</v>
      </c>
      <c r="G239" t="s">
        <v>706</v>
      </c>
      <c r="H239" t="s">
        <v>709</v>
      </c>
      <c r="I239" t="s">
        <v>716</v>
      </c>
      <c r="J239" t="s">
        <v>730</v>
      </c>
      <c r="K239" t="s">
        <v>972</v>
      </c>
      <c r="L239" s="6">
        <v>699.33</v>
      </c>
      <c r="M239" s="6">
        <v>873.75</v>
      </c>
      <c r="N239" s="8">
        <v>0.23499999999999999</v>
      </c>
      <c r="O239" s="6">
        <v>10</v>
      </c>
      <c r="P239" s="7" t="str">
        <f t="shared" si="25"/>
        <v>Delhi</v>
      </c>
      <c r="Q239" s="7" t="str">
        <f t="shared" si="26"/>
        <v>L. Okafor</v>
      </c>
      <c r="R239" s="7" t="str">
        <f t="shared" si="27"/>
        <v>Marketplace</v>
      </c>
      <c r="S239" t="str">
        <f t="shared" si="32"/>
        <v>OK</v>
      </c>
      <c r="T239" s="8" t="str">
        <f t="shared" si="28"/>
        <v>OK</v>
      </c>
      <c r="U239" t="str">
        <f t="shared" si="29"/>
        <v>OK</v>
      </c>
      <c r="V239">
        <f t="shared" si="30"/>
        <v>9</v>
      </c>
      <c r="W239" s="4">
        <f t="shared" si="31"/>
        <v>45267</v>
      </c>
    </row>
    <row r="240" spans="1:23" hidden="1" x14ac:dyDescent="0.25">
      <c r="A240" t="s">
        <v>253</v>
      </c>
      <c r="B240" s="4">
        <v>45381</v>
      </c>
      <c r="C240" s="4">
        <v>45406</v>
      </c>
      <c r="D240" t="s">
        <v>648</v>
      </c>
      <c r="E240" t="s">
        <v>660</v>
      </c>
      <c r="F240" t="s">
        <v>697</v>
      </c>
      <c r="G240" t="s">
        <v>703</v>
      </c>
      <c r="H240" t="s">
        <v>708</v>
      </c>
      <c r="I240" t="s">
        <v>715</v>
      </c>
      <c r="J240" t="s">
        <v>731</v>
      </c>
      <c r="K240" t="s">
        <v>973</v>
      </c>
      <c r="L240" s="6">
        <v>160.82</v>
      </c>
      <c r="M240" s="6">
        <v>258.52</v>
      </c>
      <c r="N240" s="8">
        <v>0.13</v>
      </c>
      <c r="O240" s="6">
        <v>17</v>
      </c>
      <c r="P240" s="7" t="str">
        <f t="shared" si="25"/>
        <v>Austin</v>
      </c>
      <c r="Q240" s="7" t="str">
        <f t="shared" si="26"/>
        <v>G. Dubois</v>
      </c>
      <c r="R240" s="7" t="str">
        <f t="shared" si="27"/>
        <v>Online</v>
      </c>
      <c r="S240" t="str">
        <f t="shared" si="32"/>
        <v>OK</v>
      </c>
      <c r="T240" s="8" t="str">
        <f t="shared" si="28"/>
        <v>OK</v>
      </c>
      <c r="U240" t="str">
        <f t="shared" si="29"/>
        <v>OK</v>
      </c>
      <c r="V240">
        <f t="shared" si="30"/>
        <v>25</v>
      </c>
      <c r="W240" s="4">
        <f t="shared" si="31"/>
        <v>45406</v>
      </c>
    </row>
    <row r="241" spans="1:23" hidden="1" x14ac:dyDescent="0.25">
      <c r="A241" t="s">
        <v>254</v>
      </c>
      <c r="B241" s="4">
        <v>45188</v>
      </c>
      <c r="C241" s="4">
        <v>45207</v>
      </c>
      <c r="D241" t="s">
        <v>647</v>
      </c>
      <c r="E241" t="s">
        <v>654</v>
      </c>
      <c r="F241" t="s">
        <v>668</v>
      </c>
      <c r="G241" t="s">
        <v>702</v>
      </c>
      <c r="H241" t="s">
        <v>711</v>
      </c>
      <c r="I241" t="s">
        <v>713</v>
      </c>
      <c r="J241" t="s">
        <v>728</v>
      </c>
      <c r="K241" t="s">
        <v>974</v>
      </c>
      <c r="L241" s="6">
        <v>385.32</v>
      </c>
      <c r="M241" s="6">
        <v>606.76</v>
      </c>
      <c r="N241" s="8">
        <v>8.5999999999999993E-2</v>
      </c>
      <c r="O241" s="6">
        <v>8</v>
      </c>
      <c r="P241" s="7" t="str">
        <f t="shared" si="25"/>
        <v>Bengaluru</v>
      </c>
      <c r="Q241" s="7" t="str">
        <f t="shared" si="26"/>
        <v>J. Njeri</v>
      </c>
      <c r="R241" s="7" t="str">
        <f t="shared" si="27"/>
        <v>Direct</v>
      </c>
      <c r="S241" t="str">
        <f t="shared" si="32"/>
        <v>OK</v>
      </c>
      <c r="T241" s="8" t="str">
        <f t="shared" si="28"/>
        <v>OK</v>
      </c>
      <c r="U241" t="str">
        <f t="shared" si="29"/>
        <v>OK</v>
      </c>
      <c r="V241">
        <f t="shared" si="30"/>
        <v>19</v>
      </c>
      <c r="W241" s="4">
        <f t="shared" si="31"/>
        <v>45207</v>
      </c>
    </row>
    <row r="242" spans="1:23" hidden="1" x14ac:dyDescent="0.25">
      <c r="A242" t="s">
        <v>255</v>
      </c>
      <c r="B242" s="4">
        <v>45793</v>
      </c>
      <c r="C242" s="4">
        <v>45804</v>
      </c>
      <c r="D242" t="s">
        <v>647</v>
      </c>
      <c r="E242" t="s">
        <v>659</v>
      </c>
      <c r="F242" t="s">
        <v>699</v>
      </c>
      <c r="G242" t="s">
        <v>706</v>
      </c>
      <c r="H242" t="s">
        <v>708</v>
      </c>
      <c r="I242" t="s">
        <v>721</v>
      </c>
      <c r="J242" t="s">
        <v>730</v>
      </c>
      <c r="K242" t="s">
        <v>975</v>
      </c>
      <c r="L242" s="6">
        <v>918.12</v>
      </c>
      <c r="M242" s="6">
        <v>1337.69</v>
      </c>
      <c r="N242" s="8">
        <v>9.5000000000000001E-2</v>
      </c>
      <c r="O242" s="6">
        <v>8</v>
      </c>
      <c r="P242" s="7" t="str">
        <f t="shared" si="25"/>
        <v>Beijing</v>
      </c>
      <c r="Q242" s="7" t="str">
        <f t="shared" si="26"/>
        <v>F. Müller</v>
      </c>
      <c r="R242" s="7" t="str">
        <f t="shared" si="27"/>
        <v>Online</v>
      </c>
      <c r="S242" t="str">
        <f t="shared" si="32"/>
        <v>OK</v>
      </c>
      <c r="T242" s="8" t="str">
        <f t="shared" si="28"/>
        <v>OK</v>
      </c>
      <c r="U242" t="str">
        <f t="shared" si="29"/>
        <v>OK</v>
      </c>
      <c r="V242">
        <f t="shared" si="30"/>
        <v>11</v>
      </c>
      <c r="W242" s="4">
        <f t="shared" si="31"/>
        <v>45804</v>
      </c>
    </row>
    <row r="243" spans="1:23" hidden="1" x14ac:dyDescent="0.25">
      <c r="A243" t="s">
        <v>256</v>
      </c>
      <c r="B243" s="4">
        <v>45871</v>
      </c>
      <c r="C243" s="4">
        <v>45877</v>
      </c>
      <c r="D243" t="s">
        <v>647</v>
      </c>
      <c r="E243" t="s">
        <v>652</v>
      </c>
      <c r="F243" t="s">
        <v>666</v>
      </c>
      <c r="G243" t="s">
        <v>704</v>
      </c>
      <c r="H243" t="s">
        <v>711</v>
      </c>
      <c r="I243" t="s">
        <v>725</v>
      </c>
      <c r="J243" t="s">
        <v>731</v>
      </c>
      <c r="K243" t="s">
        <v>976</v>
      </c>
      <c r="L243" s="6">
        <v>1225.94</v>
      </c>
      <c r="M243" s="6">
        <v>1793.08</v>
      </c>
      <c r="N243" s="8">
        <v>0.13600000000000001</v>
      </c>
      <c r="O243" s="6">
        <v>22</v>
      </c>
      <c r="P243" s="7" t="str">
        <f t="shared" si="25"/>
        <v>Osaka</v>
      </c>
      <c r="Q243" s="7" t="str">
        <f t="shared" si="26"/>
        <v>N. Brown</v>
      </c>
      <c r="R243" s="7" t="str">
        <f t="shared" si="27"/>
        <v>Direct</v>
      </c>
      <c r="S243" t="str">
        <f t="shared" si="32"/>
        <v>OK</v>
      </c>
      <c r="T243" s="8" t="str">
        <f t="shared" si="28"/>
        <v>OK</v>
      </c>
      <c r="U243" t="str">
        <f t="shared" si="29"/>
        <v>OK</v>
      </c>
      <c r="V243">
        <f t="shared" si="30"/>
        <v>6</v>
      </c>
      <c r="W243" s="4">
        <f t="shared" si="31"/>
        <v>45877</v>
      </c>
    </row>
    <row r="244" spans="1:23" hidden="1" x14ac:dyDescent="0.25">
      <c r="A244" t="s">
        <v>257</v>
      </c>
      <c r="B244" s="4">
        <v>45630</v>
      </c>
      <c r="C244" s="4">
        <v>45638</v>
      </c>
      <c r="D244" t="s">
        <v>649</v>
      </c>
      <c r="E244" t="s">
        <v>656</v>
      </c>
      <c r="F244" t="s">
        <v>698</v>
      </c>
      <c r="G244" t="s">
        <v>706</v>
      </c>
      <c r="H244" t="s">
        <v>709</v>
      </c>
      <c r="I244" t="s">
        <v>717</v>
      </c>
      <c r="J244" t="s">
        <v>728</v>
      </c>
      <c r="K244" t="s">
        <v>977</v>
      </c>
      <c r="L244" s="6">
        <v>72.06</v>
      </c>
      <c r="M244" s="6">
        <v>122.74</v>
      </c>
      <c r="N244" s="8">
        <v>0.23799999999999999</v>
      </c>
      <c r="O244" s="6">
        <v>8</v>
      </c>
      <c r="P244" s="7" t="str">
        <f t="shared" si="25"/>
        <v>Frankfurt</v>
      </c>
      <c r="Q244" s="7" t="str">
        <f t="shared" si="26"/>
        <v>B. Chen</v>
      </c>
      <c r="R244" s="7" t="str">
        <f t="shared" si="27"/>
        <v>Marketplace</v>
      </c>
      <c r="S244" t="str">
        <f t="shared" si="32"/>
        <v>OK</v>
      </c>
      <c r="T244" s="8" t="str">
        <f t="shared" si="28"/>
        <v>OK</v>
      </c>
      <c r="U244" t="str">
        <f t="shared" si="29"/>
        <v>OK</v>
      </c>
      <c r="V244">
        <f t="shared" si="30"/>
        <v>8</v>
      </c>
      <c r="W244" s="4">
        <f t="shared" si="31"/>
        <v>45638</v>
      </c>
    </row>
    <row r="245" spans="1:23" hidden="1" x14ac:dyDescent="0.25">
      <c r="A245" t="s">
        <v>258</v>
      </c>
      <c r="B245" s="4">
        <v>45035</v>
      </c>
      <c r="C245" s="4">
        <v>45044</v>
      </c>
      <c r="D245" t="s">
        <v>648</v>
      </c>
      <c r="E245" t="s">
        <v>655</v>
      </c>
      <c r="F245" t="s">
        <v>692</v>
      </c>
      <c r="G245" t="s">
        <v>701</v>
      </c>
      <c r="H245" t="s">
        <v>710</v>
      </c>
      <c r="I245" t="s">
        <v>724</v>
      </c>
      <c r="J245" t="s">
        <v>730</v>
      </c>
      <c r="K245" t="s">
        <v>978</v>
      </c>
      <c r="L245" s="6">
        <v>1013.54</v>
      </c>
      <c r="M245" s="6">
        <v>927.93</v>
      </c>
      <c r="N245" s="8">
        <v>0.17499999999999999</v>
      </c>
      <c r="O245" s="6">
        <v>16</v>
      </c>
      <c r="P245" s="7" t="str">
        <f t="shared" si="25"/>
        <v>Rio de Janeiro</v>
      </c>
      <c r="Q245" s="7" t="str">
        <f t="shared" si="26"/>
        <v>M. Rossi</v>
      </c>
      <c r="R245" s="7" t="str">
        <f t="shared" si="27"/>
        <v>Distributor</v>
      </c>
      <c r="S245" t="str">
        <f t="shared" si="32"/>
        <v>OK</v>
      </c>
      <c r="T245" s="8" t="str">
        <f t="shared" si="28"/>
        <v>OK</v>
      </c>
      <c r="U245" t="str">
        <f t="shared" si="29"/>
        <v>OK</v>
      </c>
      <c r="V245">
        <f t="shared" si="30"/>
        <v>9</v>
      </c>
      <c r="W245" s="4">
        <f t="shared" si="31"/>
        <v>45044</v>
      </c>
    </row>
    <row r="246" spans="1:23" hidden="1" x14ac:dyDescent="0.25">
      <c r="A246" t="s">
        <v>259</v>
      </c>
      <c r="B246" s="4">
        <v>45357</v>
      </c>
      <c r="C246" s="4">
        <v>45377</v>
      </c>
      <c r="D246" t="s">
        <v>646</v>
      </c>
      <c r="E246" t="s">
        <v>651</v>
      </c>
      <c r="F246" t="s">
        <v>663</v>
      </c>
      <c r="G246" t="s">
        <v>704</v>
      </c>
      <c r="H246" t="s">
        <v>709</v>
      </c>
      <c r="I246" t="s">
        <v>714</v>
      </c>
      <c r="J246" t="s">
        <v>730</v>
      </c>
      <c r="K246" t="s">
        <v>979</v>
      </c>
      <c r="L246" s="6">
        <v>65.64</v>
      </c>
      <c r="M246" s="6">
        <v>151.88</v>
      </c>
      <c r="N246" s="8">
        <v>0.16700000000000001</v>
      </c>
      <c r="O246" s="6">
        <v>23</v>
      </c>
      <c r="P246" s="7" t="str">
        <f t="shared" si="25"/>
        <v>Port Harcourt</v>
      </c>
      <c r="Q246" s="7" t="str">
        <f t="shared" si="26"/>
        <v>I. Johnson</v>
      </c>
      <c r="R246" s="7" t="str">
        <f t="shared" si="27"/>
        <v>Marketplace</v>
      </c>
      <c r="S246" t="str">
        <f t="shared" si="32"/>
        <v>OK</v>
      </c>
      <c r="T246" s="8" t="str">
        <f t="shared" si="28"/>
        <v>OK</v>
      </c>
      <c r="U246" t="str">
        <f t="shared" si="29"/>
        <v>OK</v>
      </c>
      <c r="V246">
        <f t="shared" si="30"/>
        <v>20</v>
      </c>
      <c r="W246" s="4">
        <f t="shared" si="31"/>
        <v>45377</v>
      </c>
    </row>
    <row r="247" spans="1:23" hidden="1" x14ac:dyDescent="0.25">
      <c r="A247" t="s">
        <v>260</v>
      </c>
      <c r="B247" s="4">
        <v>45338</v>
      </c>
      <c r="C247" s="4">
        <v>45355</v>
      </c>
      <c r="D247" t="s">
        <v>648</v>
      </c>
      <c r="E247" t="s">
        <v>653</v>
      </c>
      <c r="F247" t="s">
        <v>681</v>
      </c>
      <c r="G247" t="s">
        <v>703</v>
      </c>
      <c r="H247" t="s">
        <v>707</v>
      </c>
      <c r="I247" t="s">
        <v>726</v>
      </c>
      <c r="J247" t="s">
        <v>731</v>
      </c>
      <c r="K247" t="s">
        <v>980</v>
      </c>
      <c r="L247" s="6">
        <v>1350.98</v>
      </c>
      <c r="M247" s="6">
        <v>2210.4</v>
      </c>
      <c r="N247" s="8">
        <v>0.26300000000000001</v>
      </c>
      <c r="O247" s="6">
        <v>6</v>
      </c>
      <c r="P247" s="7" t="str">
        <f t="shared" si="25"/>
        <v>Montreal</v>
      </c>
      <c r="Q247" s="7" t="str">
        <f t="shared" si="26"/>
        <v>D. Smith</v>
      </c>
      <c r="R247" s="7" t="str">
        <f t="shared" si="27"/>
        <v>Retail</v>
      </c>
      <c r="S247" t="str">
        <f t="shared" si="32"/>
        <v>OK</v>
      </c>
      <c r="T247" s="8" t="str">
        <f t="shared" si="28"/>
        <v>OK</v>
      </c>
      <c r="U247" t="str">
        <f t="shared" si="29"/>
        <v>OK</v>
      </c>
      <c r="V247">
        <f t="shared" si="30"/>
        <v>17</v>
      </c>
      <c r="W247" s="4">
        <f t="shared" si="31"/>
        <v>45355</v>
      </c>
    </row>
    <row r="248" spans="1:23" hidden="1" x14ac:dyDescent="0.25">
      <c r="A248" t="s">
        <v>261</v>
      </c>
      <c r="B248" s="4">
        <v>45769</v>
      </c>
      <c r="C248" s="4">
        <v>45779</v>
      </c>
      <c r="D248" t="s">
        <v>649</v>
      </c>
      <c r="E248" t="s">
        <v>656</v>
      </c>
      <c r="F248" t="s">
        <v>671</v>
      </c>
      <c r="G248" t="s">
        <v>701</v>
      </c>
      <c r="H248" t="s">
        <v>709</v>
      </c>
      <c r="I248" t="s">
        <v>712</v>
      </c>
      <c r="J248" t="s">
        <v>732</v>
      </c>
      <c r="K248" t="s">
        <v>981</v>
      </c>
      <c r="L248" s="6">
        <v>20.149999999999999</v>
      </c>
      <c r="M248" s="6">
        <v>39.74</v>
      </c>
      <c r="N248" s="8">
        <v>0.151</v>
      </c>
      <c r="O248" s="6">
        <v>18</v>
      </c>
      <c r="P248" s="7" t="str">
        <f t="shared" si="25"/>
        <v>Berlin</v>
      </c>
      <c r="Q248" s="7" t="str">
        <f t="shared" si="26"/>
        <v>C. Otieno</v>
      </c>
      <c r="R248" s="7" t="str">
        <f t="shared" si="27"/>
        <v>Marketplace</v>
      </c>
      <c r="S248" t="str">
        <f t="shared" si="32"/>
        <v>OK</v>
      </c>
      <c r="T248" s="8" t="str">
        <f t="shared" si="28"/>
        <v>OK</v>
      </c>
      <c r="U248" t="str">
        <f t="shared" si="29"/>
        <v>OK</v>
      </c>
      <c r="V248">
        <f t="shared" si="30"/>
        <v>10</v>
      </c>
      <c r="W248" s="4">
        <f t="shared" si="31"/>
        <v>45779</v>
      </c>
    </row>
    <row r="249" spans="1:23" hidden="1" x14ac:dyDescent="0.25">
      <c r="A249" t="s">
        <v>262</v>
      </c>
      <c r="B249" s="4">
        <v>45604</v>
      </c>
      <c r="C249" s="4">
        <v>45604</v>
      </c>
      <c r="D249" t="s">
        <v>646</v>
      </c>
      <c r="E249" t="s">
        <v>650</v>
      </c>
      <c r="F249" t="s">
        <v>678</v>
      </c>
      <c r="G249" t="s">
        <v>706</v>
      </c>
      <c r="H249" t="s">
        <v>709</v>
      </c>
      <c r="I249" t="s">
        <v>724</v>
      </c>
      <c r="J249" t="s">
        <v>729</v>
      </c>
      <c r="K249" t="s">
        <v>982</v>
      </c>
      <c r="L249" s="6">
        <v>803.28</v>
      </c>
      <c r="M249" s="6">
        <v>1009</v>
      </c>
      <c r="N249" s="8">
        <v>0.11</v>
      </c>
      <c r="O249" s="6">
        <v>4</v>
      </c>
      <c r="P249" s="7" t="str">
        <f t="shared" si="25"/>
        <v>Nakuru</v>
      </c>
      <c r="Q249" s="7" t="str">
        <f t="shared" si="26"/>
        <v>M. Rossi</v>
      </c>
      <c r="R249" s="7" t="str">
        <f t="shared" si="27"/>
        <v>Marketplace</v>
      </c>
      <c r="S249" t="str">
        <f t="shared" si="32"/>
        <v>OK</v>
      </c>
      <c r="T249" s="8" t="str">
        <f t="shared" si="28"/>
        <v>OK</v>
      </c>
      <c r="U249" t="str">
        <f t="shared" si="29"/>
        <v>OK</v>
      </c>
      <c r="V249">
        <f t="shared" si="30"/>
        <v>0</v>
      </c>
      <c r="W249" s="4">
        <f t="shared" si="31"/>
        <v>45604</v>
      </c>
    </row>
    <row r="250" spans="1:23" hidden="1" x14ac:dyDescent="0.25">
      <c r="A250" t="s">
        <v>263</v>
      </c>
      <c r="B250" s="4">
        <v>45912</v>
      </c>
      <c r="C250" s="4">
        <v>45930</v>
      </c>
      <c r="D250" t="s">
        <v>647</v>
      </c>
      <c r="E250" t="s">
        <v>652</v>
      </c>
      <c r="F250" t="s">
        <v>694</v>
      </c>
      <c r="G250" t="s">
        <v>703</v>
      </c>
      <c r="H250" t="s">
        <v>709</v>
      </c>
      <c r="I250" t="s">
        <v>721</v>
      </c>
      <c r="J250" t="s">
        <v>732</v>
      </c>
      <c r="K250" t="s">
        <v>983</v>
      </c>
      <c r="L250" s="6">
        <v>1212.99</v>
      </c>
      <c r="M250" s="6">
        <v>1653.64</v>
      </c>
      <c r="N250" s="8">
        <v>0.107</v>
      </c>
      <c r="O250" s="6">
        <v>8</v>
      </c>
      <c r="P250" s="7" t="str">
        <f t="shared" si="25"/>
        <v>Nagoya</v>
      </c>
      <c r="Q250" s="7" t="str">
        <f t="shared" si="26"/>
        <v>F. Müller</v>
      </c>
      <c r="R250" s="7" t="str">
        <f t="shared" si="27"/>
        <v>Marketplace</v>
      </c>
      <c r="S250" t="str">
        <f t="shared" si="32"/>
        <v>OK</v>
      </c>
      <c r="T250" s="8" t="str">
        <f t="shared" si="28"/>
        <v>OK</v>
      </c>
      <c r="U250" t="str">
        <f t="shared" si="29"/>
        <v>OK</v>
      </c>
      <c r="V250">
        <f t="shared" si="30"/>
        <v>18</v>
      </c>
      <c r="W250" s="4">
        <f t="shared" si="31"/>
        <v>45930</v>
      </c>
    </row>
    <row r="251" spans="1:23" hidden="1" x14ac:dyDescent="0.25">
      <c r="A251" t="s">
        <v>264</v>
      </c>
      <c r="B251" s="4">
        <v>45537</v>
      </c>
      <c r="C251" s="4">
        <v>45543</v>
      </c>
      <c r="D251" t="s">
        <v>648</v>
      </c>
      <c r="E251" t="s">
        <v>660</v>
      </c>
      <c r="F251" t="s">
        <v>697</v>
      </c>
      <c r="G251" t="s">
        <v>704</v>
      </c>
      <c r="H251" t="s">
        <v>711</v>
      </c>
      <c r="I251" t="s">
        <v>722</v>
      </c>
      <c r="J251" t="s">
        <v>727</v>
      </c>
      <c r="K251" t="s">
        <v>984</v>
      </c>
      <c r="L251" s="6">
        <v>462.94</v>
      </c>
      <c r="M251" s="6">
        <v>1015.7</v>
      </c>
      <c r="N251" s="8">
        <v>0.14299999999999999</v>
      </c>
      <c r="O251" s="6">
        <v>14</v>
      </c>
      <c r="P251" s="7" t="str">
        <f t="shared" si="25"/>
        <v>Austin</v>
      </c>
      <c r="Q251" s="7" t="str">
        <f t="shared" si="26"/>
        <v>H. Kim</v>
      </c>
      <c r="R251" s="7" t="str">
        <f t="shared" si="27"/>
        <v>Direct</v>
      </c>
      <c r="S251" t="str">
        <f t="shared" si="32"/>
        <v>OK</v>
      </c>
      <c r="T251" s="8" t="str">
        <f t="shared" si="28"/>
        <v>OK</v>
      </c>
      <c r="U251" t="str">
        <f t="shared" si="29"/>
        <v>OK</v>
      </c>
      <c r="V251">
        <f t="shared" si="30"/>
        <v>6</v>
      </c>
      <c r="W251" s="4">
        <f t="shared" si="31"/>
        <v>45543</v>
      </c>
    </row>
    <row r="252" spans="1:23" hidden="1" x14ac:dyDescent="0.25">
      <c r="A252" t="s">
        <v>265</v>
      </c>
      <c r="B252" s="4">
        <v>44989</v>
      </c>
      <c r="C252" s="4">
        <v>45009</v>
      </c>
      <c r="D252" t="s">
        <v>648</v>
      </c>
      <c r="E252" t="s">
        <v>653</v>
      </c>
      <c r="F252" t="s">
        <v>681</v>
      </c>
      <c r="G252" t="s">
        <v>704</v>
      </c>
      <c r="H252" t="s">
        <v>710</v>
      </c>
      <c r="I252" t="s">
        <v>714</v>
      </c>
      <c r="J252" t="s">
        <v>731</v>
      </c>
      <c r="K252" t="s">
        <v>985</v>
      </c>
      <c r="L252" s="6">
        <v>481.71</v>
      </c>
      <c r="M252" s="6">
        <v>912.45</v>
      </c>
      <c r="N252" s="8">
        <v>0.20300000000000001</v>
      </c>
      <c r="O252" s="6">
        <v>24</v>
      </c>
      <c r="P252" s="7" t="str">
        <f t="shared" si="25"/>
        <v>Montreal</v>
      </c>
      <c r="Q252" s="7" t="str">
        <f t="shared" si="26"/>
        <v>I. Johnson</v>
      </c>
      <c r="R252" s="7" t="str">
        <f t="shared" si="27"/>
        <v>Distributor</v>
      </c>
      <c r="S252" t="str">
        <f t="shared" si="32"/>
        <v>OK</v>
      </c>
      <c r="T252" s="8" t="str">
        <f t="shared" si="28"/>
        <v>OK</v>
      </c>
      <c r="U252" t="str">
        <f t="shared" si="29"/>
        <v>OK</v>
      </c>
      <c r="V252">
        <f t="shared" si="30"/>
        <v>20</v>
      </c>
      <c r="W252" s="4">
        <f t="shared" si="31"/>
        <v>45009</v>
      </c>
    </row>
    <row r="253" spans="1:23" hidden="1" x14ac:dyDescent="0.25">
      <c r="A253" t="s">
        <v>266</v>
      </c>
      <c r="B253" s="4">
        <v>45366</v>
      </c>
      <c r="C253" s="4">
        <v>45391</v>
      </c>
      <c r="D253" t="s">
        <v>648</v>
      </c>
      <c r="E253" t="s">
        <v>653</v>
      </c>
      <c r="F253" t="s">
        <v>688</v>
      </c>
      <c r="G253" t="s">
        <v>704</v>
      </c>
      <c r="H253" t="s">
        <v>708</v>
      </c>
      <c r="I253" t="s">
        <v>721</v>
      </c>
      <c r="J253" t="s">
        <v>732</v>
      </c>
      <c r="K253" t="s">
        <v>986</v>
      </c>
      <c r="L253" s="6">
        <v>648.64</v>
      </c>
      <c r="M253" s="6">
        <v>815.19</v>
      </c>
      <c r="N253" s="8">
        <v>0.22500000000000001</v>
      </c>
      <c r="O253" s="6">
        <v>28</v>
      </c>
      <c r="P253" s="7" t="str">
        <f t="shared" si="25"/>
        <v>Vancouver</v>
      </c>
      <c r="Q253" s="7" t="str">
        <f t="shared" si="26"/>
        <v>F. Müller</v>
      </c>
      <c r="R253" s="7" t="str">
        <f t="shared" si="27"/>
        <v>Online</v>
      </c>
      <c r="S253" t="str">
        <f t="shared" si="32"/>
        <v>OK</v>
      </c>
      <c r="T253" s="8" t="str">
        <f t="shared" si="28"/>
        <v>OK</v>
      </c>
      <c r="U253" t="str">
        <f t="shared" si="29"/>
        <v>OK</v>
      </c>
      <c r="V253">
        <f t="shared" si="30"/>
        <v>25</v>
      </c>
      <c r="W253" s="4">
        <f t="shared" si="31"/>
        <v>45391</v>
      </c>
    </row>
    <row r="254" spans="1:23" hidden="1" x14ac:dyDescent="0.25">
      <c r="A254" t="s">
        <v>267</v>
      </c>
      <c r="B254" s="4">
        <v>45502</v>
      </c>
      <c r="C254" s="4">
        <v>45504</v>
      </c>
      <c r="D254" t="s">
        <v>648</v>
      </c>
      <c r="E254" t="s">
        <v>660</v>
      </c>
      <c r="F254" t="s">
        <v>700</v>
      </c>
      <c r="G254" t="s">
        <v>702</v>
      </c>
      <c r="H254" t="s">
        <v>709</v>
      </c>
      <c r="I254" t="s">
        <v>714</v>
      </c>
      <c r="J254" t="s">
        <v>728</v>
      </c>
      <c r="K254" t="s">
        <v>987</v>
      </c>
      <c r="L254" s="6">
        <v>798.97</v>
      </c>
      <c r="M254" s="6">
        <v>1814.06</v>
      </c>
      <c r="N254" s="8">
        <v>0.122</v>
      </c>
      <c r="O254" s="6">
        <v>16</v>
      </c>
      <c r="P254" s="7" t="str">
        <f t="shared" si="25"/>
        <v>New York</v>
      </c>
      <c r="Q254" s="7" t="str">
        <f t="shared" si="26"/>
        <v>I. Johnson</v>
      </c>
      <c r="R254" s="7" t="str">
        <f t="shared" si="27"/>
        <v>Marketplace</v>
      </c>
      <c r="S254" t="str">
        <f t="shared" si="32"/>
        <v>OK</v>
      </c>
      <c r="T254" s="8" t="str">
        <f t="shared" si="28"/>
        <v>OK</v>
      </c>
      <c r="U254" t="str">
        <f t="shared" si="29"/>
        <v>OK</v>
      </c>
      <c r="V254">
        <f t="shared" si="30"/>
        <v>2</v>
      </c>
      <c r="W254" s="4">
        <f t="shared" si="31"/>
        <v>45504</v>
      </c>
    </row>
    <row r="255" spans="1:23" hidden="1" x14ac:dyDescent="0.25">
      <c r="A255" t="s">
        <v>268</v>
      </c>
      <c r="B255" s="4">
        <v>45592</v>
      </c>
      <c r="C255" s="4">
        <v>45616</v>
      </c>
      <c r="D255" t="s">
        <v>647</v>
      </c>
      <c r="E255" t="s">
        <v>652</v>
      </c>
      <c r="F255" t="s">
        <v>694</v>
      </c>
      <c r="G255" t="s">
        <v>703</v>
      </c>
      <c r="H255" t="s">
        <v>708</v>
      </c>
      <c r="I255" t="s">
        <v>722</v>
      </c>
      <c r="J255" t="s">
        <v>732</v>
      </c>
      <c r="K255" t="s">
        <v>988</v>
      </c>
      <c r="L255" s="6">
        <v>317.25</v>
      </c>
      <c r="M255" s="6">
        <v>758.92</v>
      </c>
      <c r="N255" s="8">
        <v>5.2999999999999999E-2</v>
      </c>
      <c r="O255" s="6">
        <v>9</v>
      </c>
      <c r="P255" s="7" t="str">
        <f t="shared" si="25"/>
        <v>Nagoya</v>
      </c>
      <c r="Q255" s="7" t="str">
        <f t="shared" si="26"/>
        <v>H. Kim</v>
      </c>
      <c r="R255" s="7" t="str">
        <f t="shared" si="27"/>
        <v>Online</v>
      </c>
      <c r="S255" t="str">
        <f t="shared" si="32"/>
        <v>OK</v>
      </c>
      <c r="T255" s="8" t="str">
        <f t="shared" si="28"/>
        <v>OK</v>
      </c>
      <c r="U255" t="str">
        <f t="shared" si="29"/>
        <v>OK</v>
      </c>
      <c r="V255">
        <f t="shared" si="30"/>
        <v>24</v>
      </c>
      <c r="W255" s="4">
        <f t="shared" si="31"/>
        <v>45616</v>
      </c>
    </row>
    <row r="256" spans="1:23" hidden="1" x14ac:dyDescent="0.25">
      <c r="A256" t="s">
        <v>269</v>
      </c>
      <c r="B256" s="4">
        <v>45411</v>
      </c>
      <c r="C256" s="4">
        <v>45431</v>
      </c>
      <c r="D256" t="s">
        <v>649</v>
      </c>
      <c r="E256" t="s">
        <v>656</v>
      </c>
      <c r="F256" t="s">
        <v>698</v>
      </c>
      <c r="G256" t="s">
        <v>706</v>
      </c>
      <c r="H256" t="s">
        <v>709</v>
      </c>
      <c r="I256" t="s">
        <v>712</v>
      </c>
      <c r="J256" t="s">
        <v>731</v>
      </c>
      <c r="K256" t="s">
        <v>989</v>
      </c>
      <c r="L256" s="6">
        <v>668.97</v>
      </c>
      <c r="M256" s="6">
        <v>1667.44</v>
      </c>
      <c r="N256" s="8">
        <v>3.4000000000000002E-2</v>
      </c>
      <c r="O256" s="6">
        <v>15</v>
      </c>
      <c r="P256" s="7" t="str">
        <f t="shared" si="25"/>
        <v>Frankfurt</v>
      </c>
      <c r="Q256" s="7" t="str">
        <f t="shared" si="26"/>
        <v>C. Otieno</v>
      </c>
      <c r="R256" s="7" t="str">
        <f t="shared" si="27"/>
        <v>Marketplace</v>
      </c>
      <c r="S256" t="str">
        <f t="shared" si="32"/>
        <v>OK</v>
      </c>
      <c r="T256" s="8" t="str">
        <f t="shared" si="28"/>
        <v>OK</v>
      </c>
      <c r="U256" t="str">
        <f t="shared" si="29"/>
        <v>OK</v>
      </c>
      <c r="V256">
        <f t="shared" si="30"/>
        <v>20</v>
      </c>
      <c r="W256" s="4">
        <f t="shared" si="31"/>
        <v>45431</v>
      </c>
    </row>
    <row r="257" spans="1:23" hidden="1" x14ac:dyDescent="0.25">
      <c r="A257" t="s">
        <v>270</v>
      </c>
      <c r="B257" s="4">
        <v>45204</v>
      </c>
      <c r="C257" s="4">
        <v>45205</v>
      </c>
      <c r="D257" t="s">
        <v>647</v>
      </c>
      <c r="E257" t="s">
        <v>654</v>
      </c>
      <c r="F257" t="s">
        <v>668</v>
      </c>
      <c r="G257" t="s">
        <v>703</v>
      </c>
      <c r="H257" t="s">
        <v>708</v>
      </c>
      <c r="I257" t="s">
        <v>714</v>
      </c>
      <c r="J257" t="s">
        <v>727</v>
      </c>
      <c r="K257" t="s">
        <v>990</v>
      </c>
      <c r="L257" s="6">
        <v>1470.26</v>
      </c>
      <c r="M257" s="6">
        <v>2562.5500000000002</v>
      </c>
      <c r="N257" s="8">
        <v>0.17299999999999999</v>
      </c>
      <c r="O257" s="6">
        <v>9</v>
      </c>
      <c r="P257" s="7" t="str">
        <f t="shared" si="25"/>
        <v>Bengaluru</v>
      </c>
      <c r="Q257" s="7" t="str">
        <f t="shared" si="26"/>
        <v>I. Johnson</v>
      </c>
      <c r="R257" s="7" t="str">
        <f t="shared" si="27"/>
        <v>Online</v>
      </c>
      <c r="S257" t="str">
        <f t="shared" si="32"/>
        <v>OK</v>
      </c>
      <c r="T257" s="8" t="str">
        <f t="shared" si="28"/>
        <v>OK</v>
      </c>
      <c r="U257" t="str">
        <f t="shared" si="29"/>
        <v>OK</v>
      </c>
      <c r="V257">
        <f t="shared" si="30"/>
        <v>1</v>
      </c>
      <c r="W257" s="4">
        <f t="shared" si="31"/>
        <v>45205</v>
      </c>
    </row>
    <row r="258" spans="1:23" hidden="1" x14ac:dyDescent="0.25">
      <c r="A258" t="s">
        <v>271</v>
      </c>
      <c r="B258" s="4">
        <v>45035</v>
      </c>
      <c r="C258" s="4">
        <v>45053</v>
      </c>
      <c r="D258" t="s">
        <v>649</v>
      </c>
      <c r="E258" t="s">
        <v>658</v>
      </c>
      <c r="F258" t="s">
        <v>683</v>
      </c>
      <c r="G258" t="s">
        <v>703</v>
      </c>
      <c r="H258" t="s">
        <v>711</v>
      </c>
      <c r="I258" t="s">
        <v>722</v>
      </c>
      <c r="J258" t="s">
        <v>729</v>
      </c>
      <c r="K258" t="s">
        <v>991</v>
      </c>
      <c r="L258" s="6">
        <v>516.96</v>
      </c>
      <c r="M258" s="6">
        <v>745.38</v>
      </c>
      <c r="N258" s="8">
        <v>0.19700000000000001</v>
      </c>
      <c r="O258" s="6">
        <v>4</v>
      </c>
      <c r="P258" s="7" t="str">
        <f t="shared" si="25"/>
        <v>London</v>
      </c>
      <c r="Q258" s="7" t="str">
        <f t="shared" si="26"/>
        <v>H. Kim</v>
      </c>
      <c r="R258" s="7" t="str">
        <f t="shared" si="27"/>
        <v>Direct</v>
      </c>
      <c r="S258" t="str">
        <f t="shared" si="32"/>
        <v>OK</v>
      </c>
      <c r="T258" s="8" t="str">
        <f t="shared" si="28"/>
        <v>OK</v>
      </c>
      <c r="U258" t="str">
        <f t="shared" si="29"/>
        <v>OK</v>
      </c>
      <c r="V258">
        <f t="shared" si="30"/>
        <v>18</v>
      </c>
      <c r="W258" s="4">
        <f t="shared" si="31"/>
        <v>45053</v>
      </c>
    </row>
    <row r="259" spans="1:23" hidden="1" x14ac:dyDescent="0.25">
      <c r="A259" t="s">
        <v>272</v>
      </c>
      <c r="B259" s="4">
        <v>45835</v>
      </c>
      <c r="C259" s="4">
        <v>45843</v>
      </c>
      <c r="D259" t="s">
        <v>649</v>
      </c>
      <c r="E259" t="s">
        <v>656</v>
      </c>
      <c r="F259" t="s">
        <v>684</v>
      </c>
      <c r="G259" t="s">
        <v>705</v>
      </c>
      <c r="H259" t="s">
        <v>711</v>
      </c>
      <c r="I259" t="s">
        <v>715</v>
      </c>
      <c r="J259" t="s">
        <v>732</v>
      </c>
      <c r="K259" t="s">
        <v>992</v>
      </c>
      <c r="L259" s="6">
        <v>314.93</v>
      </c>
      <c r="M259" s="6">
        <v>687.95</v>
      </c>
      <c r="N259" s="8">
        <v>0.20499999999999999</v>
      </c>
      <c r="O259" s="6">
        <v>8</v>
      </c>
      <c r="P259" s="7" t="str">
        <f t="shared" ref="P259:P322" si="33">IF(OR(F259=" ", ISBLANK(F259)), "Unknown", F259)</f>
        <v>Munich</v>
      </c>
      <c r="Q259" s="7" t="str">
        <f t="shared" ref="Q259:Q322" si="34">IF(OR(I259=" ", ISBLANK(I259)), "Unassigned", I259)</f>
        <v>G. Dubois</v>
      </c>
      <c r="R259" s="7" t="str">
        <f t="shared" ref="R259:R322" si="35">IF(OR(H259=" ", ISBLANK(H259)), "Unspecified", H259)</f>
        <v>Direct</v>
      </c>
      <c r="S259" t="str">
        <f t="shared" si="32"/>
        <v>OK</v>
      </c>
      <c r="T259" s="8" t="str">
        <f t="shared" ref="T259:T322" si="36">IFERROR(IF(N259&gt;0.3, "Cap at 30%", "OK"), "Error")</f>
        <v>OK</v>
      </c>
      <c r="U259" t="str">
        <f t="shared" ref="U259:U322" si="37">IFERROR(IF(C259&lt;B259,"Correct", "OK"), "Error")</f>
        <v>OK</v>
      </c>
      <c r="V259">
        <f t="shared" ref="V259:V322" si="38">_xlfn.DAYS(C259,B259)</f>
        <v>8</v>
      </c>
      <c r="W259" s="4">
        <f t="shared" si="31"/>
        <v>45843</v>
      </c>
    </row>
    <row r="260" spans="1:23" hidden="1" x14ac:dyDescent="0.25">
      <c r="A260" t="s">
        <v>273</v>
      </c>
      <c r="B260" s="4">
        <v>45210</v>
      </c>
      <c r="C260" s="4">
        <v>45212</v>
      </c>
      <c r="D260" t="s">
        <v>648</v>
      </c>
      <c r="E260" t="s">
        <v>655</v>
      </c>
      <c r="F260" t="s">
        <v>672</v>
      </c>
      <c r="G260" t="s">
        <v>704</v>
      </c>
      <c r="H260" t="s">
        <v>710</v>
      </c>
      <c r="I260" t="s">
        <v>1368</v>
      </c>
      <c r="J260" t="s">
        <v>733</v>
      </c>
      <c r="K260" t="s">
        <v>993</v>
      </c>
      <c r="L260" s="6">
        <v>715.94</v>
      </c>
      <c r="M260" s="6">
        <v>550.07000000000005</v>
      </c>
      <c r="N260" s="8">
        <v>0.14000000000000001</v>
      </c>
      <c r="O260" s="6">
        <v>16</v>
      </c>
      <c r="P260" s="7" t="str">
        <f t="shared" si="33"/>
        <v>Brasília</v>
      </c>
      <c r="Q260" s="7" t="str">
        <f t="shared" si="34"/>
        <v>Unassigned</v>
      </c>
      <c r="R260" s="7" t="str">
        <f t="shared" si="35"/>
        <v>Distributor</v>
      </c>
      <c r="S260" t="str">
        <f t="shared" si="32"/>
        <v>OK</v>
      </c>
      <c r="T260" s="8" t="str">
        <f t="shared" si="36"/>
        <v>OK</v>
      </c>
      <c r="U260" t="str">
        <f t="shared" si="37"/>
        <v>OK</v>
      </c>
      <c r="V260">
        <f t="shared" si="38"/>
        <v>2</v>
      </c>
      <c r="W260" s="4">
        <f t="shared" ref="W260:W323" si="39">IFERROR(IF(C260&lt;B260, B260+15, C260), "Error")</f>
        <v>45212</v>
      </c>
    </row>
    <row r="261" spans="1:23" hidden="1" x14ac:dyDescent="0.25">
      <c r="A261" t="s">
        <v>274</v>
      </c>
      <c r="B261" s="4">
        <v>45066</v>
      </c>
      <c r="C261" s="4">
        <v>45084</v>
      </c>
      <c r="D261" t="s">
        <v>646</v>
      </c>
      <c r="E261" t="s">
        <v>651</v>
      </c>
      <c r="F261" t="s">
        <v>663</v>
      </c>
      <c r="G261" t="s">
        <v>706</v>
      </c>
      <c r="H261" t="s">
        <v>710</v>
      </c>
      <c r="I261" t="s">
        <v>718</v>
      </c>
      <c r="J261" t="s">
        <v>727</v>
      </c>
      <c r="K261" t="s">
        <v>994</v>
      </c>
      <c r="L261" s="6">
        <v>1120.06</v>
      </c>
      <c r="M261" s="6">
        <v>2068.21</v>
      </c>
      <c r="N261" s="8">
        <v>7.8E-2</v>
      </c>
      <c r="O261" s="6">
        <v>12</v>
      </c>
      <c r="P261" s="7" t="str">
        <f t="shared" si="33"/>
        <v>Port Harcourt</v>
      </c>
      <c r="Q261" s="7" t="str">
        <f t="shared" si="34"/>
        <v>E. Garcia</v>
      </c>
      <c r="R261" s="7" t="str">
        <f t="shared" si="35"/>
        <v>Distributor</v>
      </c>
      <c r="S261" t="str">
        <f t="shared" si="32"/>
        <v>OK</v>
      </c>
      <c r="T261" s="8" t="str">
        <f t="shared" si="36"/>
        <v>OK</v>
      </c>
      <c r="U261" t="str">
        <f t="shared" si="37"/>
        <v>OK</v>
      </c>
      <c r="V261">
        <f t="shared" si="38"/>
        <v>18</v>
      </c>
      <c r="W261" s="4">
        <f t="shared" si="39"/>
        <v>45084</v>
      </c>
    </row>
    <row r="262" spans="1:23" hidden="1" x14ac:dyDescent="0.25">
      <c r="A262" t="s">
        <v>275</v>
      </c>
      <c r="B262" s="4">
        <v>45073</v>
      </c>
      <c r="C262" s="4">
        <v>45096</v>
      </c>
      <c r="D262" t="s">
        <v>649</v>
      </c>
      <c r="E262" t="s">
        <v>656</v>
      </c>
      <c r="F262" t="s">
        <v>671</v>
      </c>
      <c r="G262" t="s">
        <v>702</v>
      </c>
      <c r="H262" t="s">
        <v>707</v>
      </c>
      <c r="I262" t="s">
        <v>719</v>
      </c>
      <c r="J262" t="s">
        <v>733</v>
      </c>
      <c r="K262" t="s">
        <v>995</v>
      </c>
      <c r="L262" s="6">
        <v>1471.58</v>
      </c>
      <c r="M262" s="6">
        <v>2576.65</v>
      </c>
      <c r="N262" s="8">
        <v>4.0000000000000001E-3</v>
      </c>
      <c r="O262" s="6">
        <v>7</v>
      </c>
      <c r="P262" s="7" t="str">
        <f t="shared" si="33"/>
        <v>Berlin</v>
      </c>
      <c r="Q262" s="7" t="str">
        <f t="shared" si="34"/>
        <v>O. Wang</v>
      </c>
      <c r="R262" s="7" t="str">
        <f t="shared" si="35"/>
        <v>Retail</v>
      </c>
      <c r="S262" t="str">
        <f t="shared" ref="S262:S325" si="40">IFERROR(IF(M262&lt;0,"Correct (Negative Price)","OK"),"Error")</f>
        <v>OK</v>
      </c>
      <c r="T262" s="8" t="str">
        <f t="shared" si="36"/>
        <v>OK</v>
      </c>
      <c r="U262" t="str">
        <f t="shared" si="37"/>
        <v>OK</v>
      </c>
      <c r="V262">
        <f t="shared" si="38"/>
        <v>23</v>
      </c>
      <c r="W262" s="4">
        <f t="shared" si="39"/>
        <v>45096</v>
      </c>
    </row>
    <row r="263" spans="1:23" hidden="1" x14ac:dyDescent="0.25">
      <c r="A263" t="s">
        <v>276</v>
      </c>
      <c r="B263" s="4">
        <v>45142</v>
      </c>
      <c r="C263" s="4">
        <v>45162</v>
      </c>
      <c r="D263" t="s">
        <v>648</v>
      </c>
      <c r="E263" t="s">
        <v>655</v>
      </c>
      <c r="F263" t="s">
        <v>672</v>
      </c>
      <c r="G263" t="s">
        <v>703</v>
      </c>
      <c r="H263" t="s">
        <v>711</v>
      </c>
      <c r="I263" t="s">
        <v>1368</v>
      </c>
      <c r="J263" t="s">
        <v>729</v>
      </c>
      <c r="K263" t="s">
        <v>996</v>
      </c>
      <c r="L263" s="6">
        <v>582.88</v>
      </c>
      <c r="M263" s="6">
        <v>1044.1400000000001</v>
      </c>
      <c r="N263" s="8">
        <v>0.216</v>
      </c>
      <c r="O263" s="6">
        <v>10</v>
      </c>
      <c r="P263" s="7" t="str">
        <f t="shared" si="33"/>
        <v>Brasília</v>
      </c>
      <c r="Q263" s="7" t="str">
        <f t="shared" si="34"/>
        <v>Unassigned</v>
      </c>
      <c r="R263" s="7" t="str">
        <f t="shared" si="35"/>
        <v>Direct</v>
      </c>
      <c r="S263" t="str">
        <f t="shared" si="40"/>
        <v>OK</v>
      </c>
      <c r="T263" s="8" t="str">
        <f t="shared" si="36"/>
        <v>OK</v>
      </c>
      <c r="U263" t="str">
        <f t="shared" si="37"/>
        <v>OK</v>
      </c>
      <c r="V263">
        <f t="shared" si="38"/>
        <v>20</v>
      </c>
      <c r="W263" s="4">
        <f t="shared" si="39"/>
        <v>45162</v>
      </c>
    </row>
    <row r="264" spans="1:23" hidden="1" x14ac:dyDescent="0.25">
      <c r="A264" t="s">
        <v>277</v>
      </c>
      <c r="B264" s="4">
        <v>45829</v>
      </c>
      <c r="C264" s="4">
        <v>45835</v>
      </c>
      <c r="D264" t="s">
        <v>646</v>
      </c>
      <c r="E264" t="s">
        <v>661</v>
      </c>
      <c r="F264" t="s">
        <v>687</v>
      </c>
      <c r="G264" t="s">
        <v>706</v>
      </c>
      <c r="H264" t="s">
        <v>710</v>
      </c>
      <c r="I264" t="s">
        <v>725</v>
      </c>
      <c r="J264" t="s">
        <v>730</v>
      </c>
      <c r="K264" t="s">
        <v>997</v>
      </c>
      <c r="L264" s="6">
        <v>93.91</v>
      </c>
      <c r="M264" s="6">
        <v>99.04</v>
      </c>
      <c r="N264" s="8">
        <v>5.7000000000000002E-2</v>
      </c>
      <c r="O264" s="6">
        <v>6</v>
      </c>
      <c r="P264" s="7" t="str">
        <f t="shared" si="33"/>
        <v>Durban</v>
      </c>
      <c r="Q264" s="7" t="str">
        <f t="shared" si="34"/>
        <v>N. Brown</v>
      </c>
      <c r="R264" s="7" t="str">
        <f t="shared" si="35"/>
        <v>Distributor</v>
      </c>
      <c r="S264" t="str">
        <f t="shared" si="40"/>
        <v>OK</v>
      </c>
      <c r="T264" s="8" t="str">
        <f t="shared" si="36"/>
        <v>OK</v>
      </c>
      <c r="U264" t="str">
        <f t="shared" si="37"/>
        <v>OK</v>
      </c>
      <c r="V264">
        <f t="shared" si="38"/>
        <v>6</v>
      </c>
      <c r="W264" s="4">
        <f t="shared" si="39"/>
        <v>45835</v>
      </c>
    </row>
    <row r="265" spans="1:23" hidden="1" x14ac:dyDescent="0.25">
      <c r="A265" t="s">
        <v>278</v>
      </c>
      <c r="B265" s="4">
        <v>45763</v>
      </c>
      <c r="C265" s="4">
        <v>45773</v>
      </c>
      <c r="D265" t="s">
        <v>646</v>
      </c>
      <c r="E265" t="s">
        <v>651</v>
      </c>
      <c r="F265" t="s">
        <v>663</v>
      </c>
      <c r="G265" t="s">
        <v>706</v>
      </c>
      <c r="H265" t="s">
        <v>709</v>
      </c>
      <c r="I265" t="s">
        <v>721</v>
      </c>
      <c r="J265" t="s">
        <v>731</v>
      </c>
      <c r="K265" t="s">
        <v>998</v>
      </c>
      <c r="L265" s="6">
        <v>1457.44</v>
      </c>
      <c r="M265" s="6">
        <v>1996.81</v>
      </c>
      <c r="N265" s="8">
        <v>0.126</v>
      </c>
      <c r="O265" s="6">
        <v>23</v>
      </c>
      <c r="P265" s="7" t="str">
        <f t="shared" si="33"/>
        <v>Port Harcourt</v>
      </c>
      <c r="Q265" s="7" t="str">
        <f t="shared" si="34"/>
        <v>F. Müller</v>
      </c>
      <c r="R265" s="7" t="str">
        <f t="shared" si="35"/>
        <v>Marketplace</v>
      </c>
      <c r="S265" t="str">
        <f t="shared" si="40"/>
        <v>OK</v>
      </c>
      <c r="T265" s="8" t="str">
        <f t="shared" si="36"/>
        <v>OK</v>
      </c>
      <c r="U265" t="str">
        <f t="shared" si="37"/>
        <v>OK</v>
      </c>
      <c r="V265">
        <f t="shared" si="38"/>
        <v>10</v>
      </c>
      <c r="W265" s="4">
        <f t="shared" si="39"/>
        <v>45773</v>
      </c>
    </row>
    <row r="266" spans="1:23" hidden="1" x14ac:dyDescent="0.25">
      <c r="A266" t="s">
        <v>279</v>
      </c>
      <c r="B266" s="4">
        <v>45902</v>
      </c>
      <c r="C266" s="4">
        <v>45911</v>
      </c>
      <c r="D266" t="s">
        <v>648</v>
      </c>
      <c r="E266" t="s">
        <v>653</v>
      </c>
      <c r="F266" t="s">
        <v>667</v>
      </c>
      <c r="G266" t="s">
        <v>701</v>
      </c>
      <c r="H266" t="s">
        <v>710</v>
      </c>
      <c r="I266" t="s">
        <v>724</v>
      </c>
      <c r="J266" t="s">
        <v>728</v>
      </c>
      <c r="K266" t="s">
        <v>999</v>
      </c>
      <c r="L266" s="6">
        <v>1207.6300000000001</v>
      </c>
      <c r="M266" s="6">
        <v>921.68</v>
      </c>
      <c r="N266" s="8">
        <v>0.19600000000000001</v>
      </c>
      <c r="O266" s="6">
        <v>17</v>
      </c>
      <c r="P266" s="7" t="str">
        <f t="shared" si="33"/>
        <v>Toronto</v>
      </c>
      <c r="Q266" s="7" t="str">
        <f t="shared" si="34"/>
        <v>M. Rossi</v>
      </c>
      <c r="R266" s="7" t="str">
        <f t="shared" si="35"/>
        <v>Distributor</v>
      </c>
      <c r="S266" t="str">
        <f t="shared" si="40"/>
        <v>OK</v>
      </c>
      <c r="T266" s="8" t="str">
        <f t="shared" si="36"/>
        <v>OK</v>
      </c>
      <c r="U266" t="str">
        <f t="shared" si="37"/>
        <v>OK</v>
      </c>
      <c r="V266">
        <f t="shared" si="38"/>
        <v>9</v>
      </c>
      <c r="W266" s="4">
        <f t="shared" si="39"/>
        <v>45911</v>
      </c>
    </row>
    <row r="267" spans="1:23" hidden="1" x14ac:dyDescent="0.25">
      <c r="A267" t="s">
        <v>280</v>
      </c>
      <c r="B267" s="4">
        <v>45573</v>
      </c>
      <c r="C267" s="4">
        <v>45573</v>
      </c>
      <c r="D267" t="s">
        <v>649</v>
      </c>
      <c r="E267" t="s">
        <v>658</v>
      </c>
      <c r="F267" t="s">
        <v>683</v>
      </c>
      <c r="G267" t="s">
        <v>701</v>
      </c>
      <c r="H267" t="s">
        <v>708</v>
      </c>
      <c r="I267" t="s">
        <v>718</v>
      </c>
      <c r="J267" t="s">
        <v>732</v>
      </c>
      <c r="K267" t="s">
        <v>1000</v>
      </c>
      <c r="L267" s="6">
        <v>1108.1099999999999</v>
      </c>
      <c r="M267" s="6">
        <v>2503.79</v>
      </c>
      <c r="N267" s="8">
        <v>0.184</v>
      </c>
      <c r="O267" s="6">
        <v>19</v>
      </c>
      <c r="P267" s="7" t="str">
        <f t="shared" si="33"/>
        <v>London</v>
      </c>
      <c r="Q267" s="7" t="str">
        <f t="shared" si="34"/>
        <v>E. Garcia</v>
      </c>
      <c r="R267" s="7" t="str">
        <f t="shared" si="35"/>
        <v>Online</v>
      </c>
      <c r="S267" t="str">
        <f t="shared" si="40"/>
        <v>OK</v>
      </c>
      <c r="T267" s="8" t="str">
        <f t="shared" si="36"/>
        <v>OK</v>
      </c>
      <c r="U267" t="str">
        <f t="shared" si="37"/>
        <v>OK</v>
      </c>
      <c r="V267">
        <f t="shared" si="38"/>
        <v>0</v>
      </c>
      <c r="W267" s="4">
        <f t="shared" si="39"/>
        <v>45573</v>
      </c>
    </row>
    <row r="268" spans="1:23" hidden="1" x14ac:dyDescent="0.25">
      <c r="A268" t="s">
        <v>281</v>
      </c>
      <c r="B268" s="4">
        <v>45053</v>
      </c>
      <c r="C268" s="4">
        <v>45068</v>
      </c>
      <c r="D268" t="s">
        <v>646</v>
      </c>
      <c r="E268" t="s">
        <v>651</v>
      </c>
      <c r="F268" t="s">
        <v>663</v>
      </c>
      <c r="G268" t="s">
        <v>703</v>
      </c>
      <c r="H268" t="s">
        <v>709</v>
      </c>
      <c r="I268" t="s">
        <v>720</v>
      </c>
      <c r="J268" t="s">
        <v>727</v>
      </c>
      <c r="K268" t="s">
        <v>1001</v>
      </c>
      <c r="L268" s="6">
        <v>1269.6500000000001</v>
      </c>
      <c r="M268" s="6">
        <v>2462.77</v>
      </c>
      <c r="N268" s="8">
        <v>0.107</v>
      </c>
      <c r="O268" s="6">
        <v>8</v>
      </c>
      <c r="P268" s="7" t="str">
        <f t="shared" si="33"/>
        <v>Port Harcourt</v>
      </c>
      <c r="Q268" s="7" t="str">
        <f t="shared" si="34"/>
        <v>A. Patel</v>
      </c>
      <c r="R268" s="7" t="str">
        <f t="shared" si="35"/>
        <v>Marketplace</v>
      </c>
      <c r="S268" t="str">
        <f t="shared" si="40"/>
        <v>OK</v>
      </c>
      <c r="T268" s="8" t="str">
        <f t="shared" si="36"/>
        <v>OK</v>
      </c>
      <c r="U268" t="str">
        <f t="shared" si="37"/>
        <v>OK</v>
      </c>
      <c r="V268">
        <f t="shared" si="38"/>
        <v>15</v>
      </c>
      <c r="W268" s="4">
        <f t="shared" si="39"/>
        <v>45068</v>
      </c>
    </row>
    <row r="269" spans="1:23" hidden="1" x14ac:dyDescent="0.25">
      <c r="A269" t="s">
        <v>282</v>
      </c>
      <c r="B269" s="4">
        <v>45284</v>
      </c>
      <c r="C269" s="4">
        <v>45292</v>
      </c>
      <c r="D269" t="s">
        <v>648</v>
      </c>
      <c r="E269" t="s">
        <v>655</v>
      </c>
      <c r="F269" t="s">
        <v>670</v>
      </c>
      <c r="G269" t="s">
        <v>702</v>
      </c>
      <c r="H269" t="s">
        <v>711</v>
      </c>
      <c r="I269" t="s">
        <v>712</v>
      </c>
      <c r="J269" t="s">
        <v>730</v>
      </c>
      <c r="K269" t="s">
        <v>1002</v>
      </c>
      <c r="L269" s="6">
        <v>526.49</v>
      </c>
      <c r="M269" s="6">
        <v>496.2</v>
      </c>
      <c r="N269" s="8">
        <v>0</v>
      </c>
      <c r="O269" s="6">
        <v>14</v>
      </c>
      <c r="P269" s="7" t="str">
        <f t="shared" si="33"/>
        <v>São Paulo</v>
      </c>
      <c r="Q269" s="7" t="str">
        <f t="shared" si="34"/>
        <v>C. Otieno</v>
      </c>
      <c r="R269" s="7" t="str">
        <f t="shared" si="35"/>
        <v>Direct</v>
      </c>
      <c r="S269" t="str">
        <f t="shared" si="40"/>
        <v>OK</v>
      </c>
      <c r="T269" s="8" t="str">
        <f t="shared" si="36"/>
        <v>OK</v>
      </c>
      <c r="U269" t="str">
        <f t="shared" si="37"/>
        <v>OK</v>
      </c>
      <c r="V269">
        <f t="shared" si="38"/>
        <v>8</v>
      </c>
      <c r="W269" s="4">
        <f t="shared" si="39"/>
        <v>45292</v>
      </c>
    </row>
    <row r="270" spans="1:23" hidden="1" x14ac:dyDescent="0.25">
      <c r="A270" t="s">
        <v>283</v>
      </c>
      <c r="B270" s="4">
        <v>45301</v>
      </c>
      <c r="C270" s="4">
        <v>45314</v>
      </c>
      <c r="D270" t="s">
        <v>649</v>
      </c>
      <c r="E270" t="s">
        <v>657</v>
      </c>
      <c r="F270" t="s">
        <v>673</v>
      </c>
      <c r="G270" t="s">
        <v>701</v>
      </c>
      <c r="H270" t="s">
        <v>711</v>
      </c>
      <c r="I270" t="s">
        <v>720</v>
      </c>
      <c r="J270" t="s">
        <v>728</v>
      </c>
      <c r="K270" t="s">
        <v>1003</v>
      </c>
      <c r="L270" s="6">
        <v>720</v>
      </c>
      <c r="M270" s="6">
        <v>907.59</v>
      </c>
      <c r="N270" s="8">
        <v>0.154</v>
      </c>
      <c r="O270" s="6">
        <v>10</v>
      </c>
      <c r="P270" s="7" t="str">
        <f t="shared" si="33"/>
        <v>Marseille</v>
      </c>
      <c r="Q270" s="7" t="str">
        <f t="shared" si="34"/>
        <v>A. Patel</v>
      </c>
      <c r="R270" s="7" t="str">
        <f t="shared" si="35"/>
        <v>Direct</v>
      </c>
      <c r="S270" t="str">
        <f t="shared" si="40"/>
        <v>OK</v>
      </c>
      <c r="T270" s="8" t="str">
        <f t="shared" si="36"/>
        <v>OK</v>
      </c>
      <c r="U270" t="str">
        <f t="shared" si="37"/>
        <v>OK</v>
      </c>
      <c r="V270">
        <f t="shared" si="38"/>
        <v>13</v>
      </c>
      <c r="W270" s="4">
        <f t="shared" si="39"/>
        <v>45314</v>
      </c>
    </row>
    <row r="271" spans="1:23" hidden="1" x14ac:dyDescent="0.25">
      <c r="A271" t="s">
        <v>284</v>
      </c>
      <c r="B271" s="4">
        <v>45141</v>
      </c>
      <c r="C271" s="4">
        <v>45152</v>
      </c>
      <c r="D271" t="s">
        <v>648</v>
      </c>
      <c r="E271" t="s">
        <v>655</v>
      </c>
      <c r="F271" t="s">
        <v>672</v>
      </c>
      <c r="G271" t="s">
        <v>701</v>
      </c>
      <c r="H271" t="s">
        <v>711</v>
      </c>
      <c r="I271" t="s">
        <v>713</v>
      </c>
      <c r="J271" t="s">
        <v>733</v>
      </c>
      <c r="K271" t="s">
        <v>1004</v>
      </c>
      <c r="L271" s="6">
        <v>232.73</v>
      </c>
      <c r="M271" s="6">
        <v>334.19</v>
      </c>
      <c r="N271" s="8">
        <v>0.13400000000000001</v>
      </c>
      <c r="O271" s="6">
        <v>25</v>
      </c>
      <c r="P271" s="7" t="str">
        <f t="shared" si="33"/>
        <v>Brasília</v>
      </c>
      <c r="Q271" s="7" t="str">
        <f t="shared" si="34"/>
        <v>J. Njeri</v>
      </c>
      <c r="R271" s="7" t="str">
        <f t="shared" si="35"/>
        <v>Direct</v>
      </c>
      <c r="S271" t="str">
        <f t="shared" si="40"/>
        <v>OK</v>
      </c>
      <c r="T271" s="8" t="str">
        <f t="shared" si="36"/>
        <v>OK</v>
      </c>
      <c r="U271" t="str">
        <f t="shared" si="37"/>
        <v>OK</v>
      </c>
      <c r="V271">
        <f t="shared" si="38"/>
        <v>11</v>
      </c>
      <c r="W271" s="4">
        <f t="shared" si="39"/>
        <v>45152</v>
      </c>
    </row>
    <row r="272" spans="1:23" hidden="1" x14ac:dyDescent="0.25">
      <c r="A272" t="s">
        <v>285</v>
      </c>
      <c r="B272" s="4">
        <v>45707</v>
      </c>
      <c r="C272" s="4">
        <v>45725</v>
      </c>
      <c r="D272" t="s">
        <v>647</v>
      </c>
      <c r="E272" t="s">
        <v>654</v>
      </c>
      <c r="F272" t="s">
        <v>680</v>
      </c>
      <c r="G272" t="s">
        <v>705</v>
      </c>
      <c r="H272" t="s">
        <v>711</v>
      </c>
      <c r="I272" t="s">
        <v>719</v>
      </c>
      <c r="J272" t="s">
        <v>732</v>
      </c>
      <c r="K272" t="s">
        <v>1005</v>
      </c>
      <c r="L272" s="6">
        <v>325.87</v>
      </c>
      <c r="M272" s="6">
        <v>538.79</v>
      </c>
      <c r="N272" s="8">
        <v>0.17399999999999999</v>
      </c>
      <c r="O272" s="6">
        <v>16</v>
      </c>
      <c r="P272" s="7" t="str">
        <f t="shared" si="33"/>
        <v>Delhi</v>
      </c>
      <c r="Q272" s="7" t="str">
        <f t="shared" si="34"/>
        <v>O. Wang</v>
      </c>
      <c r="R272" s="7" t="str">
        <f t="shared" si="35"/>
        <v>Direct</v>
      </c>
      <c r="S272" t="str">
        <f t="shared" si="40"/>
        <v>OK</v>
      </c>
      <c r="T272" s="8" t="str">
        <f t="shared" si="36"/>
        <v>OK</v>
      </c>
      <c r="U272" t="str">
        <f t="shared" si="37"/>
        <v>OK</v>
      </c>
      <c r="V272">
        <f t="shared" si="38"/>
        <v>18</v>
      </c>
      <c r="W272" s="4">
        <f t="shared" si="39"/>
        <v>45725</v>
      </c>
    </row>
    <row r="273" spans="1:23" hidden="1" x14ac:dyDescent="0.25">
      <c r="A273" t="s">
        <v>286</v>
      </c>
      <c r="B273" s="4">
        <v>45382</v>
      </c>
      <c r="C273" s="4">
        <v>45399</v>
      </c>
      <c r="D273" t="s">
        <v>649</v>
      </c>
      <c r="E273" t="s">
        <v>656</v>
      </c>
      <c r="F273" t="s">
        <v>698</v>
      </c>
      <c r="G273" t="s">
        <v>702</v>
      </c>
      <c r="H273" t="s">
        <v>711</v>
      </c>
      <c r="I273" t="s">
        <v>722</v>
      </c>
      <c r="J273" t="s">
        <v>732</v>
      </c>
      <c r="K273" t="s">
        <v>1006</v>
      </c>
      <c r="L273" s="6">
        <v>1025.51</v>
      </c>
      <c r="M273" s="6">
        <v>1436.54</v>
      </c>
      <c r="N273" s="8">
        <v>0.13900000000000001</v>
      </c>
      <c r="O273" s="6">
        <v>28</v>
      </c>
      <c r="P273" s="7" t="str">
        <f t="shared" si="33"/>
        <v>Frankfurt</v>
      </c>
      <c r="Q273" s="7" t="str">
        <f t="shared" si="34"/>
        <v>H. Kim</v>
      </c>
      <c r="R273" s="7" t="str">
        <f t="shared" si="35"/>
        <v>Direct</v>
      </c>
      <c r="S273" t="str">
        <f t="shared" si="40"/>
        <v>OK</v>
      </c>
      <c r="T273" s="8" t="str">
        <f t="shared" si="36"/>
        <v>OK</v>
      </c>
      <c r="U273" t="str">
        <f t="shared" si="37"/>
        <v>OK</v>
      </c>
      <c r="V273">
        <f t="shared" si="38"/>
        <v>17</v>
      </c>
      <c r="W273" s="4">
        <f t="shared" si="39"/>
        <v>45399</v>
      </c>
    </row>
    <row r="274" spans="1:23" hidden="1" x14ac:dyDescent="0.25">
      <c r="A274" t="s">
        <v>287</v>
      </c>
      <c r="B274" s="4">
        <v>45131</v>
      </c>
      <c r="C274" s="4">
        <v>45151</v>
      </c>
      <c r="D274" t="s">
        <v>648</v>
      </c>
      <c r="E274" t="s">
        <v>653</v>
      </c>
      <c r="F274" t="s">
        <v>681</v>
      </c>
      <c r="G274" t="s">
        <v>702</v>
      </c>
      <c r="H274" t="s">
        <v>711</v>
      </c>
      <c r="I274" t="s">
        <v>712</v>
      </c>
      <c r="J274" t="s">
        <v>732</v>
      </c>
      <c r="K274" t="s">
        <v>1007</v>
      </c>
      <c r="L274" s="6">
        <v>1082.3800000000001</v>
      </c>
      <c r="M274" s="6">
        <v>1766.55</v>
      </c>
      <c r="N274" s="8">
        <v>0.16400000000000001</v>
      </c>
      <c r="O274" s="6">
        <v>20</v>
      </c>
      <c r="P274" s="7" t="str">
        <f t="shared" si="33"/>
        <v>Montreal</v>
      </c>
      <c r="Q274" s="7" t="str">
        <f t="shared" si="34"/>
        <v>C. Otieno</v>
      </c>
      <c r="R274" s="7" t="str">
        <f t="shared" si="35"/>
        <v>Direct</v>
      </c>
      <c r="S274" t="str">
        <f t="shared" si="40"/>
        <v>OK</v>
      </c>
      <c r="T274" s="8" t="str">
        <f t="shared" si="36"/>
        <v>OK</v>
      </c>
      <c r="U274" t="str">
        <f t="shared" si="37"/>
        <v>OK</v>
      </c>
      <c r="V274">
        <f t="shared" si="38"/>
        <v>20</v>
      </c>
      <c r="W274" s="4">
        <f t="shared" si="39"/>
        <v>45151</v>
      </c>
    </row>
    <row r="275" spans="1:23" hidden="1" x14ac:dyDescent="0.25">
      <c r="A275" t="s">
        <v>288</v>
      </c>
      <c r="B275" s="4">
        <v>45367</v>
      </c>
      <c r="C275" s="4">
        <v>45395</v>
      </c>
      <c r="D275" t="s">
        <v>649</v>
      </c>
      <c r="E275" t="s">
        <v>657</v>
      </c>
      <c r="F275" t="s">
        <v>690</v>
      </c>
      <c r="G275" t="s">
        <v>705</v>
      </c>
      <c r="H275" t="s">
        <v>708</v>
      </c>
      <c r="I275" t="s">
        <v>723</v>
      </c>
      <c r="J275" t="s">
        <v>728</v>
      </c>
      <c r="K275" t="s">
        <v>1008</v>
      </c>
      <c r="L275" s="6">
        <v>287.61</v>
      </c>
      <c r="M275" s="6">
        <v>628.54</v>
      </c>
      <c r="N275" s="8">
        <v>0.13500000000000001</v>
      </c>
      <c r="O275" s="6">
        <v>21</v>
      </c>
      <c r="P275" s="7" t="str">
        <f t="shared" si="33"/>
        <v>Paris</v>
      </c>
      <c r="Q275" s="7" t="str">
        <f t="shared" si="34"/>
        <v>K. Singh</v>
      </c>
      <c r="R275" s="7" t="str">
        <f t="shared" si="35"/>
        <v>Online</v>
      </c>
      <c r="S275" t="str">
        <f t="shared" si="40"/>
        <v>OK</v>
      </c>
      <c r="T275" s="8" t="str">
        <f t="shared" si="36"/>
        <v>OK</v>
      </c>
      <c r="U275" t="str">
        <f t="shared" si="37"/>
        <v>OK</v>
      </c>
      <c r="V275">
        <f t="shared" si="38"/>
        <v>28</v>
      </c>
      <c r="W275" s="4">
        <f t="shared" si="39"/>
        <v>45395</v>
      </c>
    </row>
    <row r="276" spans="1:23" hidden="1" x14ac:dyDescent="0.25">
      <c r="A276" t="s">
        <v>289</v>
      </c>
      <c r="B276" s="4">
        <v>45316</v>
      </c>
      <c r="C276" s="4">
        <v>45318</v>
      </c>
      <c r="D276" t="s">
        <v>648</v>
      </c>
      <c r="E276" t="s">
        <v>655</v>
      </c>
      <c r="F276" t="s">
        <v>670</v>
      </c>
      <c r="G276" t="s">
        <v>703</v>
      </c>
      <c r="H276" t="s">
        <v>709</v>
      </c>
      <c r="I276" t="s">
        <v>725</v>
      </c>
      <c r="J276" t="s">
        <v>731</v>
      </c>
      <c r="K276" t="s">
        <v>1009</v>
      </c>
      <c r="L276" s="6">
        <v>1410.97</v>
      </c>
      <c r="M276" s="6">
        <v>1650.75</v>
      </c>
      <c r="N276" s="8">
        <v>0.13500000000000001</v>
      </c>
      <c r="O276" s="6">
        <v>6</v>
      </c>
      <c r="P276" s="7" t="str">
        <f t="shared" si="33"/>
        <v>São Paulo</v>
      </c>
      <c r="Q276" s="7" t="str">
        <f t="shared" si="34"/>
        <v>N. Brown</v>
      </c>
      <c r="R276" s="7" t="str">
        <f t="shared" si="35"/>
        <v>Marketplace</v>
      </c>
      <c r="S276" t="str">
        <f t="shared" si="40"/>
        <v>OK</v>
      </c>
      <c r="T276" s="8" t="str">
        <f t="shared" si="36"/>
        <v>OK</v>
      </c>
      <c r="U276" t="str">
        <f t="shared" si="37"/>
        <v>OK</v>
      </c>
      <c r="V276">
        <f t="shared" si="38"/>
        <v>2</v>
      </c>
      <c r="W276" s="4">
        <f t="shared" si="39"/>
        <v>45318</v>
      </c>
    </row>
    <row r="277" spans="1:23" hidden="1" x14ac:dyDescent="0.25">
      <c r="A277" t="s">
        <v>290</v>
      </c>
      <c r="B277" s="4">
        <v>45378</v>
      </c>
      <c r="C277" s="4">
        <v>45393</v>
      </c>
      <c r="D277" t="s">
        <v>648</v>
      </c>
      <c r="E277" t="s">
        <v>660</v>
      </c>
      <c r="F277" t="s">
        <v>686</v>
      </c>
      <c r="G277" t="s">
        <v>705</v>
      </c>
      <c r="H277" t="s">
        <v>711</v>
      </c>
      <c r="I277" t="s">
        <v>719</v>
      </c>
      <c r="J277" t="s">
        <v>729</v>
      </c>
      <c r="K277" t="s">
        <v>1010</v>
      </c>
      <c r="L277" s="6">
        <v>1338.35</v>
      </c>
      <c r="M277" s="6">
        <v>2247.14</v>
      </c>
      <c r="N277" s="8">
        <v>0.115</v>
      </c>
      <c r="O277" s="6">
        <v>40</v>
      </c>
      <c r="P277" s="7" t="str">
        <f t="shared" si="33"/>
        <v>San Francisco</v>
      </c>
      <c r="Q277" s="7" t="str">
        <f t="shared" si="34"/>
        <v>O. Wang</v>
      </c>
      <c r="R277" s="7" t="str">
        <f t="shared" si="35"/>
        <v>Direct</v>
      </c>
      <c r="S277" t="str">
        <f t="shared" si="40"/>
        <v>OK</v>
      </c>
      <c r="T277" s="8" t="str">
        <f t="shared" si="36"/>
        <v>OK</v>
      </c>
      <c r="U277" t="str">
        <f t="shared" si="37"/>
        <v>OK</v>
      </c>
      <c r="V277">
        <f t="shared" si="38"/>
        <v>15</v>
      </c>
      <c r="W277" s="4">
        <f t="shared" si="39"/>
        <v>45393</v>
      </c>
    </row>
    <row r="278" spans="1:23" hidden="1" x14ac:dyDescent="0.25">
      <c r="A278" t="s">
        <v>291</v>
      </c>
      <c r="B278" s="4">
        <v>45832</v>
      </c>
      <c r="C278" s="4">
        <v>45852</v>
      </c>
      <c r="D278" t="s">
        <v>649</v>
      </c>
      <c r="E278" t="s">
        <v>656</v>
      </c>
      <c r="F278" t="s">
        <v>671</v>
      </c>
      <c r="G278" t="s">
        <v>701</v>
      </c>
      <c r="H278" t="s">
        <v>711</v>
      </c>
      <c r="I278" t="s">
        <v>719</v>
      </c>
      <c r="J278" t="s">
        <v>733</v>
      </c>
      <c r="K278" t="s">
        <v>1011</v>
      </c>
      <c r="L278" s="6">
        <v>385.08</v>
      </c>
      <c r="M278" s="6">
        <v>893.19</v>
      </c>
      <c r="N278" s="8">
        <v>0.151</v>
      </c>
      <c r="O278" s="6">
        <v>8</v>
      </c>
      <c r="P278" s="7" t="str">
        <f t="shared" si="33"/>
        <v>Berlin</v>
      </c>
      <c r="Q278" s="7" t="str">
        <f t="shared" si="34"/>
        <v>O. Wang</v>
      </c>
      <c r="R278" s="7" t="str">
        <f t="shared" si="35"/>
        <v>Direct</v>
      </c>
      <c r="S278" t="str">
        <f t="shared" si="40"/>
        <v>OK</v>
      </c>
      <c r="T278" s="8" t="str">
        <f t="shared" si="36"/>
        <v>OK</v>
      </c>
      <c r="U278" t="str">
        <f t="shared" si="37"/>
        <v>OK</v>
      </c>
      <c r="V278">
        <f t="shared" si="38"/>
        <v>20</v>
      </c>
      <c r="W278" s="4">
        <f t="shared" si="39"/>
        <v>45852</v>
      </c>
    </row>
    <row r="279" spans="1:23" hidden="1" x14ac:dyDescent="0.25">
      <c r="A279" t="s">
        <v>292</v>
      </c>
      <c r="B279" s="4">
        <v>45459</v>
      </c>
      <c r="C279" s="4">
        <v>45476</v>
      </c>
      <c r="D279" t="s">
        <v>646</v>
      </c>
      <c r="E279" t="s">
        <v>661</v>
      </c>
      <c r="F279" t="s">
        <v>682</v>
      </c>
      <c r="G279" t="s">
        <v>706</v>
      </c>
      <c r="H279" t="s">
        <v>709</v>
      </c>
      <c r="I279" t="s">
        <v>721</v>
      </c>
      <c r="J279" t="s">
        <v>730</v>
      </c>
      <c r="K279" t="s">
        <v>1012</v>
      </c>
      <c r="L279" s="6">
        <v>1173.83</v>
      </c>
      <c r="M279" s="6">
        <v>2328.9</v>
      </c>
      <c r="N279" s="8">
        <v>0.12</v>
      </c>
      <c r="O279" s="6">
        <v>17</v>
      </c>
      <c r="P279" s="7" t="str">
        <f t="shared" si="33"/>
        <v>Johannesburg</v>
      </c>
      <c r="Q279" s="7" t="str">
        <f t="shared" si="34"/>
        <v>F. Müller</v>
      </c>
      <c r="R279" s="7" t="str">
        <f t="shared" si="35"/>
        <v>Marketplace</v>
      </c>
      <c r="S279" t="str">
        <f t="shared" si="40"/>
        <v>OK</v>
      </c>
      <c r="T279" s="8" t="str">
        <f t="shared" si="36"/>
        <v>OK</v>
      </c>
      <c r="U279" t="str">
        <f t="shared" si="37"/>
        <v>OK</v>
      </c>
      <c r="V279">
        <f t="shared" si="38"/>
        <v>17</v>
      </c>
      <c r="W279" s="4">
        <f t="shared" si="39"/>
        <v>45476</v>
      </c>
    </row>
    <row r="280" spans="1:23" hidden="1" x14ac:dyDescent="0.25">
      <c r="A280" t="s">
        <v>293</v>
      </c>
      <c r="B280" s="4">
        <v>45229</v>
      </c>
      <c r="C280" s="4">
        <v>45244</v>
      </c>
      <c r="D280" t="s">
        <v>647</v>
      </c>
      <c r="E280" t="s">
        <v>654</v>
      </c>
      <c r="F280" t="s">
        <v>668</v>
      </c>
      <c r="G280" t="s">
        <v>701</v>
      </c>
      <c r="H280" t="s">
        <v>708</v>
      </c>
      <c r="I280" t="s">
        <v>721</v>
      </c>
      <c r="J280" t="s">
        <v>731</v>
      </c>
      <c r="K280" t="s">
        <v>1013</v>
      </c>
      <c r="L280" s="6">
        <v>953.46</v>
      </c>
      <c r="M280" s="6">
        <v>2066.75</v>
      </c>
      <c r="N280" s="8">
        <v>0.13800000000000001</v>
      </c>
      <c r="O280" s="6">
        <v>5</v>
      </c>
      <c r="P280" s="7" t="str">
        <f t="shared" si="33"/>
        <v>Bengaluru</v>
      </c>
      <c r="Q280" s="7" t="str">
        <f t="shared" si="34"/>
        <v>F. Müller</v>
      </c>
      <c r="R280" s="7" t="str">
        <f t="shared" si="35"/>
        <v>Online</v>
      </c>
      <c r="S280" t="str">
        <f t="shared" si="40"/>
        <v>OK</v>
      </c>
      <c r="T280" s="8" t="str">
        <f t="shared" si="36"/>
        <v>OK</v>
      </c>
      <c r="U280" t="str">
        <f t="shared" si="37"/>
        <v>OK</v>
      </c>
      <c r="V280">
        <f t="shared" si="38"/>
        <v>15</v>
      </c>
      <c r="W280" s="4">
        <f t="shared" si="39"/>
        <v>45244</v>
      </c>
    </row>
    <row r="281" spans="1:23" hidden="1" x14ac:dyDescent="0.25">
      <c r="A281" t="s">
        <v>294</v>
      </c>
      <c r="B281" s="4">
        <v>45092</v>
      </c>
      <c r="C281" s="4">
        <v>45100</v>
      </c>
      <c r="D281" t="s">
        <v>648</v>
      </c>
      <c r="E281" t="s">
        <v>660</v>
      </c>
      <c r="F281" t="s">
        <v>686</v>
      </c>
      <c r="G281" t="s">
        <v>704</v>
      </c>
      <c r="H281" t="s">
        <v>710</v>
      </c>
      <c r="I281" t="s">
        <v>719</v>
      </c>
      <c r="J281" t="s">
        <v>732</v>
      </c>
      <c r="K281" t="s">
        <v>1014</v>
      </c>
      <c r="L281" s="6">
        <v>1097.0899999999999</v>
      </c>
      <c r="M281" s="6">
        <v>2182.31</v>
      </c>
      <c r="N281" s="8">
        <v>0.112</v>
      </c>
      <c r="O281" s="6">
        <v>9</v>
      </c>
      <c r="P281" s="7" t="str">
        <f t="shared" si="33"/>
        <v>San Francisco</v>
      </c>
      <c r="Q281" s="7" t="str">
        <f t="shared" si="34"/>
        <v>O. Wang</v>
      </c>
      <c r="R281" s="7" t="str">
        <f t="shared" si="35"/>
        <v>Distributor</v>
      </c>
      <c r="S281" t="str">
        <f t="shared" si="40"/>
        <v>OK</v>
      </c>
      <c r="T281" s="8" t="str">
        <f t="shared" si="36"/>
        <v>OK</v>
      </c>
      <c r="U281" t="str">
        <f t="shared" si="37"/>
        <v>OK</v>
      </c>
      <c r="V281">
        <f t="shared" si="38"/>
        <v>8</v>
      </c>
      <c r="W281" s="4">
        <f t="shared" si="39"/>
        <v>45100</v>
      </c>
    </row>
    <row r="282" spans="1:23" hidden="1" x14ac:dyDescent="0.25">
      <c r="A282" t="s">
        <v>295</v>
      </c>
      <c r="B282" s="4">
        <v>45730</v>
      </c>
      <c r="C282" s="4">
        <v>45745</v>
      </c>
      <c r="D282" t="s">
        <v>647</v>
      </c>
      <c r="E282" t="s">
        <v>652</v>
      </c>
      <c r="F282" t="s">
        <v>689</v>
      </c>
      <c r="G282" t="s">
        <v>703</v>
      </c>
      <c r="H282" t="s">
        <v>711</v>
      </c>
      <c r="I282" t="s">
        <v>722</v>
      </c>
      <c r="J282" t="s">
        <v>729</v>
      </c>
      <c r="K282" t="s">
        <v>1015</v>
      </c>
      <c r="L282" s="6">
        <v>1106.96</v>
      </c>
      <c r="M282" s="6">
        <v>2726.62</v>
      </c>
      <c r="N282" s="8">
        <v>0.3</v>
      </c>
      <c r="O282" s="6">
        <v>7</v>
      </c>
      <c r="P282" s="7" t="str">
        <f t="shared" si="33"/>
        <v>Tokyo</v>
      </c>
      <c r="Q282" s="7" t="str">
        <f t="shared" si="34"/>
        <v>H. Kim</v>
      </c>
      <c r="R282" s="7" t="str">
        <f t="shared" si="35"/>
        <v>Direct</v>
      </c>
      <c r="S282" t="str">
        <f t="shared" si="40"/>
        <v>OK</v>
      </c>
      <c r="T282" s="8" t="str">
        <f t="shared" si="36"/>
        <v>OK</v>
      </c>
      <c r="U282" t="str">
        <f t="shared" si="37"/>
        <v>OK</v>
      </c>
      <c r="V282">
        <f t="shared" si="38"/>
        <v>15</v>
      </c>
      <c r="W282" s="4">
        <f t="shared" si="39"/>
        <v>45745</v>
      </c>
    </row>
    <row r="283" spans="1:23" hidden="1" x14ac:dyDescent="0.25">
      <c r="A283" t="s">
        <v>296</v>
      </c>
      <c r="B283" s="4">
        <v>45153</v>
      </c>
      <c r="C283" s="4">
        <v>45163</v>
      </c>
      <c r="D283" t="s">
        <v>646</v>
      </c>
      <c r="E283" t="s">
        <v>650</v>
      </c>
      <c r="F283" t="s">
        <v>664</v>
      </c>
      <c r="G283" t="s">
        <v>705</v>
      </c>
      <c r="H283" t="s">
        <v>707</v>
      </c>
      <c r="I283" t="s">
        <v>725</v>
      </c>
      <c r="J283" t="s">
        <v>730</v>
      </c>
      <c r="K283" t="s">
        <v>1016</v>
      </c>
      <c r="L283" s="6">
        <v>91.85</v>
      </c>
      <c r="M283" s="6">
        <v>111.29</v>
      </c>
      <c r="N283" s="8">
        <v>0</v>
      </c>
      <c r="O283" s="6">
        <v>6</v>
      </c>
      <c r="P283" s="7" t="str">
        <f t="shared" si="33"/>
        <v>Nairobi</v>
      </c>
      <c r="Q283" s="7" t="str">
        <f t="shared" si="34"/>
        <v>N. Brown</v>
      </c>
      <c r="R283" s="7" t="str">
        <f t="shared" si="35"/>
        <v>Retail</v>
      </c>
      <c r="S283" t="str">
        <f t="shared" si="40"/>
        <v>OK</v>
      </c>
      <c r="T283" s="8" t="str">
        <f t="shared" si="36"/>
        <v>OK</v>
      </c>
      <c r="U283" t="str">
        <f t="shared" si="37"/>
        <v>OK</v>
      </c>
      <c r="V283">
        <f t="shared" si="38"/>
        <v>10</v>
      </c>
      <c r="W283" s="4">
        <f t="shared" si="39"/>
        <v>45163</v>
      </c>
    </row>
    <row r="284" spans="1:23" hidden="1" x14ac:dyDescent="0.25">
      <c r="A284" t="s">
        <v>297</v>
      </c>
      <c r="B284" s="4">
        <v>45794</v>
      </c>
      <c r="C284" s="4">
        <v>45805</v>
      </c>
      <c r="D284" t="s">
        <v>647</v>
      </c>
      <c r="E284" t="s">
        <v>654</v>
      </c>
      <c r="F284" t="s">
        <v>668</v>
      </c>
      <c r="G284" t="s">
        <v>701</v>
      </c>
      <c r="H284" t="s">
        <v>710</v>
      </c>
      <c r="I284" t="s">
        <v>717</v>
      </c>
      <c r="J284" t="s">
        <v>731</v>
      </c>
      <c r="K284" t="s">
        <v>1017</v>
      </c>
      <c r="L284" s="6">
        <v>623.4</v>
      </c>
      <c r="M284" s="6">
        <v>1100.0899999999999</v>
      </c>
      <c r="N284" s="8">
        <v>0.114</v>
      </c>
      <c r="O284" s="6">
        <v>12</v>
      </c>
      <c r="P284" s="7" t="str">
        <f t="shared" si="33"/>
        <v>Bengaluru</v>
      </c>
      <c r="Q284" s="7" t="str">
        <f t="shared" si="34"/>
        <v>B. Chen</v>
      </c>
      <c r="R284" s="7" t="str">
        <f t="shared" si="35"/>
        <v>Distributor</v>
      </c>
      <c r="S284" t="str">
        <f t="shared" si="40"/>
        <v>OK</v>
      </c>
      <c r="T284" s="8" t="str">
        <f t="shared" si="36"/>
        <v>OK</v>
      </c>
      <c r="U284" t="str">
        <f t="shared" si="37"/>
        <v>OK</v>
      </c>
      <c r="V284">
        <f t="shared" si="38"/>
        <v>11</v>
      </c>
      <c r="W284" s="4">
        <f t="shared" si="39"/>
        <v>45805</v>
      </c>
    </row>
    <row r="285" spans="1:23" hidden="1" x14ac:dyDescent="0.25">
      <c r="A285" t="s">
        <v>298</v>
      </c>
      <c r="B285" s="4">
        <v>45304</v>
      </c>
      <c r="C285" s="4">
        <v>45327</v>
      </c>
      <c r="D285" t="s">
        <v>649</v>
      </c>
      <c r="E285" t="s">
        <v>656</v>
      </c>
      <c r="F285" t="s">
        <v>698</v>
      </c>
      <c r="G285" t="s">
        <v>702</v>
      </c>
      <c r="H285" t="s">
        <v>711</v>
      </c>
      <c r="I285" t="s">
        <v>717</v>
      </c>
      <c r="J285" t="s">
        <v>731</v>
      </c>
      <c r="K285" t="s">
        <v>1018</v>
      </c>
      <c r="L285" s="6">
        <v>1017.93</v>
      </c>
      <c r="M285" s="6">
        <v>1529.14</v>
      </c>
      <c r="N285" s="8">
        <v>0.155</v>
      </c>
      <c r="O285" s="6">
        <v>12</v>
      </c>
      <c r="P285" s="7" t="str">
        <f t="shared" si="33"/>
        <v>Frankfurt</v>
      </c>
      <c r="Q285" s="7" t="str">
        <f t="shared" si="34"/>
        <v>B. Chen</v>
      </c>
      <c r="R285" s="7" t="str">
        <f t="shared" si="35"/>
        <v>Direct</v>
      </c>
      <c r="S285" t="str">
        <f t="shared" si="40"/>
        <v>OK</v>
      </c>
      <c r="T285" s="8" t="str">
        <f t="shared" si="36"/>
        <v>OK</v>
      </c>
      <c r="U285" t="str">
        <f t="shared" si="37"/>
        <v>OK</v>
      </c>
      <c r="V285">
        <f t="shared" si="38"/>
        <v>23</v>
      </c>
      <c r="W285" s="4">
        <f t="shared" si="39"/>
        <v>45327</v>
      </c>
    </row>
    <row r="286" spans="1:23" hidden="1" x14ac:dyDescent="0.25">
      <c r="A286" t="s">
        <v>299</v>
      </c>
      <c r="B286" s="4">
        <v>45101</v>
      </c>
      <c r="C286" s="4">
        <v>45128</v>
      </c>
      <c r="D286" t="s">
        <v>647</v>
      </c>
      <c r="E286" t="s">
        <v>652</v>
      </c>
      <c r="F286" t="s">
        <v>694</v>
      </c>
      <c r="G286" t="s">
        <v>704</v>
      </c>
      <c r="H286" t="s">
        <v>709</v>
      </c>
      <c r="I286" t="s">
        <v>713</v>
      </c>
      <c r="J286" t="s">
        <v>730</v>
      </c>
      <c r="K286" t="s">
        <v>1019</v>
      </c>
      <c r="L286" s="6">
        <v>554.76</v>
      </c>
      <c r="M286" s="6">
        <v>728.69</v>
      </c>
      <c r="N286" s="8">
        <v>0.22</v>
      </c>
      <c r="O286" s="6">
        <v>7</v>
      </c>
      <c r="P286" s="7" t="str">
        <f t="shared" si="33"/>
        <v>Nagoya</v>
      </c>
      <c r="Q286" s="7" t="str">
        <f t="shared" si="34"/>
        <v>J. Njeri</v>
      </c>
      <c r="R286" s="7" t="str">
        <f t="shared" si="35"/>
        <v>Marketplace</v>
      </c>
      <c r="S286" t="str">
        <f t="shared" si="40"/>
        <v>OK</v>
      </c>
      <c r="T286" s="8" t="str">
        <f t="shared" si="36"/>
        <v>OK</v>
      </c>
      <c r="U286" t="str">
        <f t="shared" si="37"/>
        <v>OK</v>
      </c>
      <c r="V286">
        <f t="shared" si="38"/>
        <v>27</v>
      </c>
      <c r="W286" s="4">
        <f t="shared" si="39"/>
        <v>45128</v>
      </c>
    </row>
    <row r="287" spans="1:23" hidden="1" x14ac:dyDescent="0.25">
      <c r="A287" t="s">
        <v>300</v>
      </c>
      <c r="B287" s="4">
        <v>45751</v>
      </c>
      <c r="C287" s="4">
        <v>45760</v>
      </c>
      <c r="D287" t="s">
        <v>649</v>
      </c>
      <c r="E287" t="s">
        <v>656</v>
      </c>
      <c r="F287" t="s">
        <v>684</v>
      </c>
      <c r="G287" t="s">
        <v>704</v>
      </c>
      <c r="H287" t="s">
        <v>709</v>
      </c>
      <c r="I287" t="s">
        <v>721</v>
      </c>
      <c r="J287" t="s">
        <v>730</v>
      </c>
      <c r="K287" t="s">
        <v>1020</v>
      </c>
      <c r="L287" s="6">
        <v>7.02</v>
      </c>
      <c r="M287" s="6">
        <v>6.28</v>
      </c>
      <c r="N287" s="8">
        <v>0.13400000000000001</v>
      </c>
      <c r="O287" s="6">
        <v>14</v>
      </c>
      <c r="P287" s="7" t="str">
        <f t="shared" si="33"/>
        <v>Munich</v>
      </c>
      <c r="Q287" s="7" t="str">
        <f t="shared" si="34"/>
        <v>F. Müller</v>
      </c>
      <c r="R287" s="7" t="str">
        <f t="shared" si="35"/>
        <v>Marketplace</v>
      </c>
      <c r="S287" t="str">
        <f t="shared" si="40"/>
        <v>OK</v>
      </c>
      <c r="T287" s="8" t="str">
        <f t="shared" si="36"/>
        <v>OK</v>
      </c>
      <c r="U287" t="str">
        <f t="shared" si="37"/>
        <v>OK</v>
      </c>
      <c r="V287">
        <f t="shared" si="38"/>
        <v>9</v>
      </c>
      <c r="W287" s="4">
        <f t="shared" si="39"/>
        <v>45760</v>
      </c>
    </row>
    <row r="288" spans="1:23" hidden="1" x14ac:dyDescent="0.25">
      <c r="A288" t="s">
        <v>301</v>
      </c>
      <c r="B288" s="4">
        <v>45542</v>
      </c>
      <c r="C288" s="4">
        <v>45542</v>
      </c>
      <c r="D288" t="s">
        <v>647</v>
      </c>
      <c r="E288" t="s">
        <v>654</v>
      </c>
      <c r="F288" t="s">
        <v>691</v>
      </c>
      <c r="G288" t="s">
        <v>702</v>
      </c>
      <c r="H288" t="s">
        <v>710</v>
      </c>
      <c r="I288" t="s">
        <v>717</v>
      </c>
      <c r="J288" t="s">
        <v>729</v>
      </c>
      <c r="K288" t="s">
        <v>1021</v>
      </c>
      <c r="L288" s="6">
        <v>1066.6500000000001</v>
      </c>
      <c r="M288" s="6">
        <v>2569.77</v>
      </c>
      <c r="N288" s="8">
        <v>0.13400000000000001</v>
      </c>
      <c r="O288" s="6">
        <v>9</v>
      </c>
      <c r="P288" s="7" t="str">
        <f t="shared" si="33"/>
        <v>Mumbai</v>
      </c>
      <c r="Q288" s="7" t="str">
        <f t="shared" si="34"/>
        <v>B. Chen</v>
      </c>
      <c r="R288" s="7" t="str">
        <f t="shared" si="35"/>
        <v>Distributor</v>
      </c>
      <c r="S288" t="str">
        <f t="shared" si="40"/>
        <v>OK</v>
      </c>
      <c r="T288" s="8" t="str">
        <f t="shared" si="36"/>
        <v>OK</v>
      </c>
      <c r="U288" t="str">
        <f t="shared" si="37"/>
        <v>OK</v>
      </c>
      <c r="V288">
        <f t="shared" si="38"/>
        <v>0</v>
      </c>
      <c r="W288" s="4">
        <f t="shared" si="39"/>
        <v>45542</v>
      </c>
    </row>
    <row r="289" spans="1:23" hidden="1" x14ac:dyDescent="0.25">
      <c r="A289" t="s">
        <v>302</v>
      </c>
      <c r="B289" s="4">
        <v>45319</v>
      </c>
      <c r="C289" s="4">
        <v>45321</v>
      </c>
      <c r="D289" t="s">
        <v>646</v>
      </c>
      <c r="E289" t="s">
        <v>661</v>
      </c>
      <c r="F289" t="s">
        <v>695</v>
      </c>
      <c r="G289" t="s">
        <v>704</v>
      </c>
      <c r="H289" t="s">
        <v>711</v>
      </c>
      <c r="I289" t="s">
        <v>721</v>
      </c>
      <c r="J289" t="s">
        <v>733</v>
      </c>
      <c r="K289" t="s">
        <v>1022</v>
      </c>
      <c r="L289" s="6">
        <v>798.45</v>
      </c>
      <c r="M289" s="6">
        <v>1592.02</v>
      </c>
      <c r="N289" s="8">
        <v>6.6000000000000003E-2</v>
      </c>
      <c r="O289" s="6">
        <v>18</v>
      </c>
      <c r="P289" s="7" t="str">
        <f t="shared" si="33"/>
        <v>Cape Town</v>
      </c>
      <c r="Q289" s="7" t="str">
        <f t="shared" si="34"/>
        <v>F. Müller</v>
      </c>
      <c r="R289" s="7" t="str">
        <f t="shared" si="35"/>
        <v>Direct</v>
      </c>
      <c r="S289" t="str">
        <f t="shared" si="40"/>
        <v>OK</v>
      </c>
      <c r="T289" s="8" t="str">
        <f t="shared" si="36"/>
        <v>OK</v>
      </c>
      <c r="U289" t="str">
        <f t="shared" si="37"/>
        <v>OK</v>
      </c>
      <c r="V289">
        <f t="shared" si="38"/>
        <v>2</v>
      </c>
      <c r="W289" s="4">
        <f t="shared" si="39"/>
        <v>45321</v>
      </c>
    </row>
    <row r="290" spans="1:23" hidden="1" x14ac:dyDescent="0.25">
      <c r="A290" t="s">
        <v>303</v>
      </c>
      <c r="B290" s="4">
        <v>45125</v>
      </c>
      <c r="C290" s="4">
        <v>45148</v>
      </c>
      <c r="D290" t="s">
        <v>646</v>
      </c>
      <c r="E290" t="s">
        <v>661</v>
      </c>
      <c r="F290" t="s">
        <v>682</v>
      </c>
      <c r="G290" t="s">
        <v>705</v>
      </c>
      <c r="H290" t="s">
        <v>707</v>
      </c>
      <c r="I290" t="s">
        <v>716</v>
      </c>
      <c r="J290" t="s">
        <v>727</v>
      </c>
      <c r="K290" t="s">
        <v>1023</v>
      </c>
      <c r="L290" s="6">
        <v>1271.56</v>
      </c>
      <c r="M290" s="6">
        <v>995.47</v>
      </c>
      <c r="N290" s="8">
        <v>0.192</v>
      </c>
      <c r="O290" s="6">
        <v>13</v>
      </c>
      <c r="P290" s="7" t="str">
        <f t="shared" si="33"/>
        <v>Johannesburg</v>
      </c>
      <c r="Q290" s="7" t="str">
        <f t="shared" si="34"/>
        <v>L. Okafor</v>
      </c>
      <c r="R290" s="7" t="str">
        <f t="shared" si="35"/>
        <v>Retail</v>
      </c>
      <c r="S290" t="str">
        <f t="shared" si="40"/>
        <v>OK</v>
      </c>
      <c r="T290" s="8" t="str">
        <f t="shared" si="36"/>
        <v>OK</v>
      </c>
      <c r="U290" t="str">
        <f t="shared" si="37"/>
        <v>OK</v>
      </c>
      <c r="V290">
        <f t="shared" si="38"/>
        <v>23</v>
      </c>
      <c r="W290" s="4">
        <f t="shared" si="39"/>
        <v>45148</v>
      </c>
    </row>
    <row r="291" spans="1:23" hidden="1" x14ac:dyDescent="0.25">
      <c r="A291" t="s">
        <v>304</v>
      </c>
      <c r="B291" s="4">
        <v>45897</v>
      </c>
      <c r="C291" s="4">
        <v>45912</v>
      </c>
      <c r="D291" t="s">
        <v>646</v>
      </c>
      <c r="E291" t="s">
        <v>651</v>
      </c>
      <c r="F291" t="s">
        <v>663</v>
      </c>
      <c r="G291" t="s">
        <v>705</v>
      </c>
      <c r="H291" t="s">
        <v>707</v>
      </c>
      <c r="I291" t="s">
        <v>720</v>
      </c>
      <c r="J291" t="s">
        <v>733</v>
      </c>
      <c r="K291" t="s">
        <v>1024</v>
      </c>
      <c r="L291" s="6">
        <v>521.05999999999995</v>
      </c>
      <c r="M291" s="6">
        <v>1240.31</v>
      </c>
      <c r="N291" s="8">
        <v>0.14599999999999999</v>
      </c>
      <c r="O291" s="6">
        <v>18</v>
      </c>
      <c r="P291" s="7" t="str">
        <f t="shared" si="33"/>
        <v>Port Harcourt</v>
      </c>
      <c r="Q291" s="7" t="str">
        <f t="shared" si="34"/>
        <v>A. Patel</v>
      </c>
      <c r="R291" s="7" t="str">
        <f t="shared" si="35"/>
        <v>Retail</v>
      </c>
      <c r="S291" t="str">
        <f t="shared" si="40"/>
        <v>OK</v>
      </c>
      <c r="T291" s="8" t="str">
        <f t="shared" si="36"/>
        <v>OK</v>
      </c>
      <c r="U291" t="str">
        <f t="shared" si="37"/>
        <v>OK</v>
      </c>
      <c r="V291">
        <f t="shared" si="38"/>
        <v>15</v>
      </c>
      <c r="W291" s="4">
        <f t="shared" si="39"/>
        <v>45912</v>
      </c>
    </row>
    <row r="292" spans="1:23" hidden="1" x14ac:dyDescent="0.25">
      <c r="A292" t="s">
        <v>305</v>
      </c>
      <c r="B292" s="4">
        <v>45746</v>
      </c>
      <c r="C292" s="4">
        <v>45754</v>
      </c>
      <c r="D292" t="s">
        <v>648</v>
      </c>
      <c r="E292" t="s">
        <v>655</v>
      </c>
      <c r="F292" t="s">
        <v>670</v>
      </c>
      <c r="G292" t="s">
        <v>703</v>
      </c>
      <c r="H292" t="s">
        <v>711</v>
      </c>
      <c r="I292" t="s">
        <v>716</v>
      </c>
      <c r="J292" t="s">
        <v>728</v>
      </c>
      <c r="K292" t="s">
        <v>1025</v>
      </c>
      <c r="L292" s="6">
        <v>71.62</v>
      </c>
      <c r="M292" s="6">
        <v>118.37</v>
      </c>
      <c r="N292" s="8">
        <v>0.156</v>
      </c>
      <c r="O292" s="6">
        <v>11</v>
      </c>
      <c r="P292" s="7" t="str">
        <f t="shared" si="33"/>
        <v>São Paulo</v>
      </c>
      <c r="Q292" s="7" t="str">
        <f t="shared" si="34"/>
        <v>L. Okafor</v>
      </c>
      <c r="R292" s="7" t="str">
        <f t="shared" si="35"/>
        <v>Direct</v>
      </c>
      <c r="S292" t="str">
        <f t="shared" si="40"/>
        <v>OK</v>
      </c>
      <c r="T292" s="8" t="str">
        <f t="shared" si="36"/>
        <v>OK</v>
      </c>
      <c r="U292" t="str">
        <f t="shared" si="37"/>
        <v>OK</v>
      </c>
      <c r="V292">
        <f t="shared" si="38"/>
        <v>8</v>
      </c>
      <c r="W292" s="4">
        <f t="shared" si="39"/>
        <v>45754</v>
      </c>
    </row>
    <row r="293" spans="1:23" hidden="1" x14ac:dyDescent="0.25">
      <c r="A293" t="s">
        <v>306</v>
      </c>
      <c r="B293" s="4">
        <v>45220</v>
      </c>
      <c r="C293" s="4">
        <v>45239</v>
      </c>
      <c r="D293" t="s">
        <v>649</v>
      </c>
      <c r="E293" t="s">
        <v>658</v>
      </c>
      <c r="F293" t="s">
        <v>683</v>
      </c>
      <c r="G293" t="s">
        <v>703</v>
      </c>
      <c r="H293" t="s">
        <v>711</v>
      </c>
      <c r="I293" t="s">
        <v>720</v>
      </c>
      <c r="J293" t="s">
        <v>733</v>
      </c>
      <c r="K293" t="s">
        <v>1026</v>
      </c>
      <c r="L293" s="6">
        <v>1142.48</v>
      </c>
      <c r="M293" s="6">
        <v>2105.5300000000002</v>
      </c>
      <c r="N293" s="8">
        <v>0.20699999999999999</v>
      </c>
      <c r="O293" s="6">
        <v>14</v>
      </c>
      <c r="P293" s="7" t="str">
        <f t="shared" si="33"/>
        <v>London</v>
      </c>
      <c r="Q293" s="7" t="str">
        <f t="shared" si="34"/>
        <v>A. Patel</v>
      </c>
      <c r="R293" s="7" t="str">
        <f t="shared" si="35"/>
        <v>Direct</v>
      </c>
      <c r="S293" t="str">
        <f t="shared" si="40"/>
        <v>OK</v>
      </c>
      <c r="T293" s="8" t="str">
        <f t="shared" si="36"/>
        <v>OK</v>
      </c>
      <c r="U293" t="str">
        <f t="shared" si="37"/>
        <v>OK</v>
      </c>
      <c r="V293">
        <f t="shared" si="38"/>
        <v>19</v>
      </c>
      <c r="W293" s="4">
        <f t="shared" si="39"/>
        <v>45239</v>
      </c>
    </row>
    <row r="294" spans="1:23" hidden="1" x14ac:dyDescent="0.25">
      <c r="A294" t="s">
        <v>307</v>
      </c>
      <c r="B294" s="4">
        <v>45161</v>
      </c>
      <c r="C294" s="4">
        <v>45191</v>
      </c>
      <c r="D294" t="s">
        <v>649</v>
      </c>
      <c r="E294" t="s">
        <v>658</v>
      </c>
      <c r="F294" t="s">
        <v>683</v>
      </c>
      <c r="G294" t="s">
        <v>704</v>
      </c>
      <c r="H294" t="s">
        <v>710</v>
      </c>
      <c r="I294" t="s">
        <v>719</v>
      </c>
      <c r="J294" t="s">
        <v>733</v>
      </c>
      <c r="K294" t="s">
        <v>1027</v>
      </c>
      <c r="L294" s="6">
        <v>209.81</v>
      </c>
      <c r="M294" s="6">
        <v>523</v>
      </c>
      <c r="N294" s="8">
        <v>5.8999999999999997E-2</v>
      </c>
      <c r="O294" s="6">
        <v>15</v>
      </c>
      <c r="P294" s="7" t="str">
        <f t="shared" si="33"/>
        <v>London</v>
      </c>
      <c r="Q294" s="7" t="str">
        <f t="shared" si="34"/>
        <v>O. Wang</v>
      </c>
      <c r="R294" s="7" t="str">
        <f t="shared" si="35"/>
        <v>Distributor</v>
      </c>
      <c r="S294" t="str">
        <f t="shared" si="40"/>
        <v>OK</v>
      </c>
      <c r="T294" s="8" t="str">
        <f t="shared" si="36"/>
        <v>OK</v>
      </c>
      <c r="U294" t="str">
        <f t="shared" si="37"/>
        <v>OK</v>
      </c>
      <c r="V294">
        <f t="shared" si="38"/>
        <v>30</v>
      </c>
      <c r="W294" s="4">
        <f t="shared" si="39"/>
        <v>45191</v>
      </c>
    </row>
    <row r="295" spans="1:23" hidden="1" x14ac:dyDescent="0.25">
      <c r="A295" t="s">
        <v>308</v>
      </c>
      <c r="B295" s="4">
        <v>45758</v>
      </c>
      <c r="C295" s="4">
        <v>45781</v>
      </c>
      <c r="D295" t="s">
        <v>647</v>
      </c>
      <c r="E295" t="s">
        <v>652</v>
      </c>
      <c r="F295" t="s">
        <v>666</v>
      </c>
      <c r="G295" t="s">
        <v>705</v>
      </c>
      <c r="H295" t="s">
        <v>708</v>
      </c>
      <c r="I295" t="s">
        <v>724</v>
      </c>
      <c r="J295" t="s">
        <v>727</v>
      </c>
      <c r="K295" t="s">
        <v>1028</v>
      </c>
      <c r="L295" s="6">
        <v>786.2</v>
      </c>
      <c r="M295" s="6">
        <v>1075.3</v>
      </c>
      <c r="N295" s="8">
        <v>0.08</v>
      </c>
      <c r="O295" s="6">
        <v>9</v>
      </c>
      <c r="P295" s="7" t="str">
        <f t="shared" si="33"/>
        <v>Osaka</v>
      </c>
      <c r="Q295" s="7" t="str">
        <f t="shared" si="34"/>
        <v>M. Rossi</v>
      </c>
      <c r="R295" s="7" t="str">
        <f t="shared" si="35"/>
        <v>Online</v>
      </c>
      <c r="S295" t="str">
        <f t="shared" si="40"/>
        <v>OK</v>
      </c>
      <c r="T295" s="8" t="str">
        <f t="shared" si="36"/>
        <v>OK</v>
      </c>
      <c r="U295" t="str">
        <f t="shared" si="37"/>
        <v>OK</v>
      </c>
      <c r="V295">
        <f t="shared" si="38"/>
        <v>23</v>
      </c>
      <c r="W295" s="4">
        <f t="shared" si="39"/>
        <v>45781</v>
      </c>
    </row>
    <row r="296" spans="1:23" hidden="1" x14ac:dyDescent="0.25">
      <c r="A296" t="s">
        <v>309</v>
      </c>
      <c r="B296" s="4">
        <v>45809</v>
      </c>
      <c r="C296" s="4">
        <v>45835</v>
      </c>
      <c r="D296" t="s">
        <v>649</v>
      </c>
      <c r="E296" t="s">
        <v>656</v>
      </c>
      <c r="F296" t="s">
        <v>684</v>
      </c>
      <c r="G296" t="s">
        <v>704</v>
      </c>
      <c r="H296" t="s">
        <v>710</v>
      </c>
      <c r="I296" t="s">
        <v>718</v>
      </c>
      <c r="J296" t="s">
        <v>731</v>
      </c>
      <c r="K296" t="s">
        <v>1029</v>
      </c>
      <c r="L296" s="6">
        <v>1362.31</v>
      </c>
      <c r="M296" s="6">
        <v>3294.57</v>
      </c>
      <c r="N296" s="8">
        <v>0.113</v>
      </c>
      <c r="O296" s="6">
        <v>7</v>
      </c>
      <c r="P296" s="7" t="str">
        <f t="shared" si="33"/>
        <v>Munich</v>
      </c>
      <c r="Q296" s="7" t="str">
        <f t="shared" si="34"/>
        <v>E. Garcia</v>
      </c>
      <c r="R296" s="7" t="str">
        <f t="shared" si="35"/>
        <v>Distributor</v>
      </c>
      <c r="S296" t="str">
        <f t="shared" si="40"/>
        <v>OK</v>
      </c>
      <c r="T296" s="8" t="str">
        <f t="shared" si="36"/>
        <v>OK</v>
      </c>
      <c r="U296" t="str">
        <f t="shared" si="37"/>
        <v>OK</v>
      </c>
      <c r="V296">
        <f t="shared" si="38"/>
        <v>26</v>
      </c>
      <c r="W296" s="4">
        <f t="shared" si="39"/>
        <v>45835</v>
      </c>
    </row>
    <row r="297" spans="1:23" hidden="1" x14ac:dyDescent="0.25">
      <c r="A297" t="s">
        <v>310</v>
      </c>
      <c r="B297" s="4">
        <v>45353</v>
      </c>
      <c r="C297" s="4">
        <v>45367</v>
      </c>
      <c r="D297" t="s">
        <v>648</v>
      </c>
      <c r="E297" t="s">
        <v>653</v>
      </c>
      <c r="F297" t="s">
        <v>688</v>
      </c>
      <c r="G297" t="s">
        <v>703</v>
      </c>
      <c r="H297" t="s">
        <v>711</v>
      </c>
      <c r="I297" t="s">
        <v>719</v>
      </c>
      <c r="J297" t="s">
        <v>728</v>
      </c>
      <c r="K297" t="s">
        <v>1030</v>
      </c>
      <c r="L297" s="6">
        <v>248.24</v>
      </c>
      <c r="M297" s="6">
        <v>464.05</v>
      </c>
      <c r="N297" s="8">
        <v>0.16900000000000001</v>
      </c>
      <c r="O297" s="6">
        <v>11</v>
      </c>
      <c r="P297" s="7" t="str">
        <f t="shared" si="33"/>
        <v>Vancouver</v>
      </c>
      <c r="Q297" s="7" t="str">
        <f t="shared" si="34"/>
        <v>O. Wang</v>
      </c>
      <c r="R297" s="7" t="str">
        <f t="shared" si="35"/>
        <v>Direct</v>
      </c>
      <c r="S297" t="str">
        <f t="shared" si="40"/>
        <v>OK</v>
      </c>
      <c r="T297" s="8" t="str">
        <f t="shared" si="36"/>
        <v>OK</v>
      </c>
      <c r="U297" t="str">
        <f t="shared" si="37"/>
        <v>OK</v>
      </c>
      <c r="V297">
        <f t="shared" si="38"/>
        <v>14</v>
      </c>
      <c r="W297" s="4">
        <f t="shared" si="39"/>
        <v>45367</v>
      </c>
    </row>
    <row r="298" spans="1:23" hidden="1" x14ac:dyDescent="0.25">
      <c r="A298" t="s">
        <v>311</v>
      </c>
      <c r="B298" s="4">
        <v>45097</v>
      </c>
      <c r="C298" s="4">
        <v>45115</v>
      </c>
      <c r="D298" t="s">
        <v>648</v>
      </c>
      <c r="E298" t="s">
        <v>660</v>
      </c>
      <c r="F298" t="s">
        <v>697</v>
      </c>
      <c r="G298" t="s">
        <v>703</v>
      </c>
      <c r="H298" t="s">
        <v>711</v>
      </c>
      <c r="I298" t="s">
        <v>721</v>
      </c>
      <c r="J298" t="s">
        <v>732</v>
      </c>
      <c r="K298" t="s">
        <v>1031</v>
      </c>
      <c r="L298" s="6">
        <v>337</v>
      </c>
      <c r="M298" s="6">
        <v>511.03</v>
      </c>
      <c r="N298" s="8">
        <v>0.108</v>
      </c>
      <c r="O298" s="6">
        <v>7</v>
      </c>
      <c r="P298" s="7" t="str">
        <f t="shared" si="33"/>
        <v>Austin</v>
      </c>
      <c r="Q298" s="7" t="str">
        <f t="shared" si="34"/>
        <v>F. Müller</v>
      </c>
      <c r="R298" s="7" t="str">
        <f t="shared" si="35"/>
        <v>Direct</v>
      </c>
      <c r="S298" t="str">
        <f t="shared" si="40"/>
        <v>OK</v>
      </c>
      <c r="T298" s="8" t="str">
        <f t="shared" si="36"/>
        <v>OK</v>
      </c>
      <c r="U298" t="str">
        <f t="shared" si="37"/>
        <v>OK</v>
      </c>
      <c r="V298">
        <f t="shared" si="38"/>
        <v>18</v>
      </c>
      <c r="W298" s="4">
        <f t="shared" si="39"/>
        <v>45115</v>
      </c>
    </row>
    <row r="299" spans="1:23" hidden="1" x14ac:dyDescent="0.25">
      <c r="A299" t="s">
        <v>312</v>
      </c>
      <c r="B299" s="4">
        <v>45377</v>
      </c>
      <c r="C299" s="4">
        <v>45387</v>
      </c>
      <c r="D299" t="s">
        <v>648</v>
      </c>
      <c r="E299" t="s">
        <v>660</v>
      </c>
      <c r="F299" t="s">
        <v>697</v>
      </c>
      <c r="G299" t="s">
        <v>704</v>
      </c>
      <c r="H299" t="s">
        <v>711</v>
      </c>
      <c r="I299" t="s">
        <v>713</v>
      </c>
      <c r="J299" t="s">
        <v>732</v>
      </c>
      <c r="K299" t="s">
        <v>1032</v>
      </c>
      <c r="L299" s="6">
        <v>5.66</v>
      </c>
      <c r="M299" s="6">
        <v>4.22</v>
      </c>
      <c r="N299" s="8">
        <v>0.11899999999999999</v>
      </c>
      <c r="O299" s="6">
        <v>18</v>
      </c>
      <c r="P299" s="7" t="str">
        <f t="shared" si="33"/>
        <v>Austin</v>
      </c>
      <c r="Q299" s="7" t="str">
        <f t="shared" si="34"/>
        <v>J. Njeri</v>
      </c>
      <c r="R299" s="7" t="str">
        <f t="shared" si="35"/>
        <v>Direct</v>
      </c>
      <c r="S299" t="str">
        <f t="shared" si="40"/>
        <v>OK</v>
      </c>
      <c r="T299" s="8" t="str">
        <f t="shared" si="36"/>
        <v>OK</v>
      </c>
      <c r="U299" t="str">
        <f t="shared" si="37"/>
        <v>OK</v>
      </c>
      <c r="V299">
        <f t="shared" si="38"/>
        <v>10</v>
      </c>
      <c r="W299" s="4">
        <f t="shared" si="39"/>
        <v>45387</v>
      </c>
    </row>
    <row r="300" spans="1:23" hidden="1" x14ac:dyDescent="0.25">
      <c r="A300" t="s">
        <v>313</v>
      </c>
      <c r="B300" s="4">
        <v>45679</v>
      </c>
      <c r="C300" s="4">
        <v>45679</v>
      </c>
      <c r="D300" t="s">
        <v>649</v>
      </c>
      <c r="E300" t="s">
        <v>657</v>
      </c>
      <c r="F300" t="s">
        <v>679</v>
      </c>
      <c r="G300" t="s">
        <v>705</v>
      </c>
      <c r="H300" t="s">
        <v>708</v>
      </c>
      <c r="I300" t="s">
        <v>717</v>
      </c>
      <c r="J300" t="s">
        <v>733</v>
      </c>
      <c r="K300" t="s">
        <v>1033</v>
      </c>
      <c r="L300" s="6">
        <v>591.72</v>
      </c>
      <c r="M300" s="6">
        <v>577.24</v>
      </c>
      <c r="N300" s="8">
        <v>0</v>
      </c>
      <c r="O300" s="6">
        <v>22</v>
      </c>
      <c r="P300" s="7" t="str">
        <f t="shared" si="33"/>
        <v>Lyon</v>
      </c>
      <c r="Q300" s="7" t="str">
        <f t="shared" si="34"/>
        <v>B. Chen</v>
      </c>
      <c r="R300" s="7" t="str">
        <f t="shared" si="35"/>
        <v>Online</v>
      </c>
      <c r="S300" t="str">
        <f t="shared" si="40"/>
        <v>OK</v>
      </c>
      <c r="T300" s="8" t="str">
        <f t="shared" si="36"/>
        <v>OK</v>
      </c>
      <c r="U300" t="str">
        <f t="shared" si="37"/>
        <v>OK</v>
      </c>
      <c r="V300">
        <f t="shared" si="38"/>
        <v>0</v>
      </c>
      <c r="W300" s="4">
        <f t="shared" si="39"/>
        <v>45679</v>
      </c>
    </row>
    <row r="301" spans="1:23" hidden="1" x14ac:dyDescent="0.25">
      <c r="A301" t="s">
        <v>314</v>
      </c>
      <c r="B301" s="4">
        <v>45787</v>
      </c>
      <c r="C301" s="4">
        <v>45804</v>
      </c>
      <c r="D301" t="s">
        <v>648</v>
      </c>
      <c r="E301" t="s">
        <v>653</v>
      </c>
      <c r="F301" t="s">
        <v>688</v>
      </c>
      <c r="G301" t="s">
        <v>702</v>
      </c>
      <c r="H301" t="s">
        <v>711</v>
      </c>
      <c r="I301" t="s">
        <v>712</v>
      </c>
      <c r="J301" t="s">
        <v>727</v>
      </c>
      <c r="K301" t="s">
        <v>1034</v>
      </c>
      <c r="L301" s="6">
        <v>862.89</v>
      </c>
      <c r="M301" s="6">
        <v>1426.03</v>
      </c>
      <c r="N301" s="8">
        <v>5.6000000000000001E-2</v>
      </c>
      <c r="O301" s="6">
        <v>19</v>
      </c>
      <c r="P301" s="7" t="str">
        <f t="shared" si="33"/>
        <v>Vancouver</v>
      </c>
      <c r="Q301" s="7" t="str">
        <f t="shared" si="34"/>
        <v>C. Otieno</v>
      </c>
      <c r="R301" s="7" t="str">
        <f t="shared" si="35"/>
        <v>Direct</v>
      </c>
      <c r="S301" t="str">
        <f t="shared" si="40"/>
        <v>OK</v>
      </c>
      <c r="T301" s="8" t="str">
        <f t="shared" si="36"/>
        <v>OK</v>
      </c>
      <c r="U301" t="str">
        <f t="shared" si="37"/>
        <v>OK</v>
      </c>
      <c r="V301">
        <f t="shared" si="38"/>
        <v>17</v>
      </c>
      <c r="W301" s="4">
        <f t="shared" si="39"/>
        <v>45804</v>
      </c>
    </row>
    <row r="302" spans="1:23" hidden="1" x14ac:dyDescent="0.25">
      <c r="A302" t="s">
        <v>315</v>
      </c>
      <c r="B302" s="4">
        <v>45204</v>
      </c>
      <c r="C302" s="4">
        <v>45230</v>
      </c>
      <c r="D302" t="s">
        <v>647</v>
      </c>
      <c r="E302" t="s">
        <v>659</v>
      </c>
      <c r="F302" t="s">
        <v>685</v>
      </c>
      <c r="G302" t="s">
        <v>704</v>
      </c>
      <c r="H302" t="s">
        <v>1379</v>
      </c>
      <c r="I302" t="s">
        <v>713</v>
      </c>
      <c r="J302" t="s">
        <v>728</v>
      </c>
      <c r="K302" t="s">
        <v>1035</v>
      </c>
      <c r="L302" s="6">
        <v>649.91</v>
      </c>
      <c r="M302" s="6">
        <v>1360.12</v>
      </c>
      <c r="N302" s="8">
        <v>0.19400000000000001</v>
      </c>
      <c r="O302" s="6">
        <v>9</v>
      </c>
      <c r="P302" s="7" t="str">
        <f t="shared" si="33"/>
        <v>Shanghai</v>
      </c>
      <c r="Q302" s="7" t="str">
        <f t="shared" si="34"/>
        <v>J. Njeri</v>
      </c>
      <c r="R302" s="7" t="str">
        <f t="shared" si="35"/>
        <v>Unspecified</v>
      </c>
      <c r="S302" t="str">
        <f t="shared" si="40"/>
        <v>OK</v>
      </c>
      <c r="T302" s="8" t="str">
        <f t="shared" si="36"/>
        <v>OK</v>
      </c>
      <c r="U302" t="str">
        <f t="shared" si="37"/>
        <v>OK</v>
      </c>
      <c r="V302">
        <f t="shared" si="38"/>
        <v>26</v>
      </c>
      <c r="W302" s="4">
        <f t="shared" si="39"/>
        <v>45230</v>
      </c>
    </row>
    <row r="303" spans="1:23" hidden="1" x14ac:dyDescent="0.25">
      <c r="A303" t="s">
        <v>316</v>
      </c>
      <c r="B303" s="4">
        <v>45125</v>
      </c>
      <c r="C303" s="4">
        <v>45129</v>
      </c>
      <c r="D303" t="s">
        <v>648</v>
      </c>
      <c r="E303" t="s">
        <v>655</v>
      </c>
      <c r="F303" t="s">
        <v>670</v>
      </c>
      <c r="G303" t="s">
        <v>704</v>
      </c>
      <c r="H303" t="s">
        <v>711</v>
      </c>
      <c r="I303" t="s">
        <v>721</v>
      </c>
      <c r="J303" t="s">
        <v>729</v>
      </c>
      <c r="K303" t="s">
        <v>1036</v>
      </c>
      <c r="L303" s="6">
        <v>1269.55</v>
      </c>
      <c r="M303" s="6">
        <v>2071.1</v>
      </c>
      <c r="N303" s="8">
        <v>0.129</v>
      </c>
      <c r="O303" s="6">
        <v>22</v>
      </c>
      <c r="P303" s="7" t="str">
        <f t="shared" si="33"/>
        <v>São Paulo</v>
      </c>
      <c r="Q303" s="7" t="str">
        <f t="shared" si="34"/>
        <v>F. Müller</v>
      </c>
      <c r="R303" s="7" t="str">
        <f t="shared" si="35"/>
        <v>Direct</v>
      </c>
      <c r="S303" t="str">
        <f t="shared" si="40"/>
        <v>OK</v>
      </c>
      <c r="T303" s="8" t="str">
        <f t="shared" si="36"/>
        <v>OK</v>
      </c>
      <c r="U303" t="str">
        <f t="shared" si="37"/>
        <v>OK</v>
      </c>
      <c r="V303">
        <f t="shared" si="38"/>
        <v>4</v>
      </c>
      <c r="W303" s="4">
        <f t="shared" si="39"/>
        <v>45129</v>
      </c>
    </row>
    <row r="304" spans="1:23" hidden="1" x14ac:dyDescent="0.25">
      <c r="A304" t="s">
        <v>317</v>
      </c>
      <c r="B304" s="4">
        <v>45830</v>
      </c>
      <c r="C304" s="4">
        <v>45846</v>
      </c>
      <c r="D304" t="s">
        <v>649</v>
      </c>
      <c r="E304" t="s">
        <v>658</v>
      </c>
      <c r="F304" t="s">
        <v>683</v>
      </c>
      <c r="G304" t="s">
        <v>702</v>
      </c>
      <c r="H304" t="s">
        <v>711</v>
      </c>
      <c r="I304" t="s">
        <v>720</v>
      </c>
      <c r="J304" t="s">
        <v>730</v>
      </c>
      <c r="K304" t="s">
        <v>1037</v>
      </c>
      <c r="L304" s="6">
        <v>892.73</v>
      </c>
      <c r="M304" s="6">
        <v>979.84</v>
      </c>
      <c r="N304" s="8">
        <v>0.17399999999999999</v>
      </c>
      <c r="O304" s="6">
        <v>10</v>
      </c>
      <c r="P304" s="7" t="str">
        <f t="shared" si="33"/>
        <v>London</v>
      </c>
      <c r="Q304" s="7" t="str">
        <f t="shared" si="34"/>
        <v>A. Patel</v>
      </c>
      <c r="R304" s="7" t="str">
        <f t="shared" si="35"/>
        <v>Direct</v>
      </c>
      <c r="S304" t="str">
        <f t="shared" si="40"/>
        <v>OK</v>
      </c>
      <c r="T304" s="8" t="str">
        <f t="shared" si="36"/>
        <v>OK</v>
      </c>
      <c r="U304" t="str">
        <f t="shared" si="37"/>
        <v>OK</v>
      </c>
      <c r="V304">
        <f t="shared" si="38"/>
        <v>16</v>
      </c>
      <c r="W304" s="4">
        <f t="shared" si="39"/>
        <v>45846</v>
      </c>
    </row>
    <row r="305" spans="1:23" hidden="1" x14ac:dyDescent="0.25">
      <c r="A305" t="s">
        <v>318</v>
      </c>
      <c r="B305" s="4">
        <v>45462</v>
      </c>
      <c r="C305" s="4">
        <v>45463</v>
      </c>
      <c r="D305" t="s">
        <v>646</v>
      </c>
      <c r="E305" t="s">
        <v>650</v>
      </c>
      <c r="F305" t="s">
        <v>662</v>
      </c>
      <c r="G305" t="s">
        <v>705</v>
      </c>
      <c r="H305" t="s">
        <v>711</v>
      </c>
      <c r="I305" t="s">
        <v>713</v>
      </c>
      <c r="J305" t="s">
        <v>731</v>
      </c>
      <c r="K305" t="s">
        <v>1038</v>
      </c>
      <c r="L305" s="6">
        <v>231.63</v>
      </c>
      <c r="M305" s="6">
        <v>537.39</v>
      </c>
      <c r="N305" s="8">
        <v>0.08</v>
      </c>
      <c r="O305" s="6">
        <v>12</v>
      </c>
      <c r="P305" s="7" t="str">
        <f t="shared" si="33"/>
        <v>Kisumu</v>
      </c>
      <c r="Q305" s="7" t="str">
        <f t="shared" si="34"/>
        <v>J. Njeri</v>
      </c>
      <c r="R305" s="7" t="str">
        <f t="shared" si="35"/>
        <v>Direct</v>
      </c>
      <c r="S305" t="str">
        <f t="shared" si="40"/>
        <v>OK</v>
      </c>
      <c r="T305" s="8" t="str">
        <f t="shared" si="36"/>
        <v>OK</v>
      </c>
      <c r="U305" t="str">
        <f t="shared" si="37"/>
        <v>OK</v>
      </c>
      <c r="V305">
        <f t="shared" si="38"/>
        <v>1</v>
      </c>
      <c r="W305" s="4">
        <f t="shared" si="39"/>
        <v>45463</v>
      </c>
    </row>
    <row r="306" spans="1:23" hidden="1" x14ac:dyDescent="0.25">
      <c r="A306" t="s">
        <v>319</v>
      </c>
      <c r="B306" s="4">
        <v>45756</v>
      </c>
      <c r="C306" s="4">
        <v>45759</v>
      </c>
      <c r="D306" t="s">
        <v>649</v>
      </c>
      <c r="E306" t="s">
        <v>657</v>
      </c>
      <c r="F306" t="s">
        <v>679</v>
      </c>
      <c r="G306" t="s">
        <v>705</v>
      </c>
      <c r="H306" t="s">
        <v>710</v>
      </c>
      <c r="I306" t="s">
        <v>722</v>
      </c>
      <c r="J306" t="s">
        <v>732</v>
      </c>
      <c r="K306" t="s">
        <v>1039</v>
      </c>
      <c r="L306" s="6">
        <v>86.68</v>
      </c>
      <c r="M306" s="6">
        <v>213.32</v>
      </c>
      <c r="N306" s="8">
        <v>3.7999999999999999E-2</v>
      </c>
      <c r="O306" s="6">
        <v>8</v>
      </c>
      <c r="P306" s="7" t="str">
        <f t="shared" si="33"/>
        <v>Lyon</v>
      </c>
      <c r="Q306" s="7" t="str">
        <f t="shared" si="34"/>
        <v>H. Kim</v>
      </c>
      <c r="R306" s="7" t="str">
        <f t="shared" si="35"/>
        <v>Distributor</v>
      </c>
      <c r="S306" t="str">
        <f t="shared" si="40"/>
        <v>OK</v>
      </c>
      <c r="T306" s="8" t="str">
        <f t="shared" si="36"/>
        <v>OK</v>
      </c>
      <c r="U306" t="str">
        <f t="shared" si="37"/>
        <v>OK</v>
      </c>
      <c r="V306">
        <f t="shared" si="38"/>
        <v>3</v>
      </c>
      <c r="W306" s="4">
        <f t="shared" si="39"/>
        <v>45759</v>
      </c>
    </row>
    <row r="307" spans="1:23" hidden="1" x14ac:dyDescent="0.25">
      <c r="A307" t="s">
        <v>320</v>
      </c>
      <c r="B307" s="4">
        <v>45741</v>
      </c>
      <c r="C307" s="4">
        <v>45742</v>
      </c>
      <c r="D307" t="s">
        <v>646</v>
      </c>
      <c r="E307" t="s">
        <v>651</v>
      </c>
      <c r="F307" t="s">
        <v>665</v>
      </c>
      <c r="G307" t="s">
        <v>702</v>
      </c>
      <c r="H307" t="s">
        <v>710</v>
      </c>
      <c r="I307" t="s">
        <v>715</v>
      </c>
      <c r="J307" t="s">
        <v>733</v>
      </c>
      <c r="K307" t="s">
        <v>1040</v>
      </c>
      <c r="L307" s="6">
        <v>1450.43</v>
      </c>
      <c r="M307" s="6">
        <v>1994.67</v>
      </c>
      <c r="N307" s="8">
        <v>0.1</v>
      </c>
      <c r="O307" s="6">
        <v>24</v>
      </c>
      <c r="P307" s="7" t="str">
        <f t="shared" si="33"/>
        <v>Lagos</v>
      </c>
      <c r="Q307" s="7" t="str">
        <f t="shared" si="34"/>
        <v>G. Dubois</v>
      </c>
      <c r="R307" s="7" t="str">
        <f t="shared" si="35"/>
        <v>Distributor</v>
      </c>
      <c r="S307" t="str">
        <f t="shared" si="40"/>
        <v>OK</v>
      </c>
      <c r="T307" s="8" t="str">
        <f t="shared" si="36"/>
        <v>OK</v>
      </c>
      <c r="U307" t="str">
        <f t="shared" si="37"/>
        <v>OK</v>
      </c>
      <c r="V307">
        <f t="shared" si="38"/>
        <v>1</v>
      </c>
      <c r="W307" s="4">
        <f t="shared" si="39"/>
        <v>45742</v>
      </c>
    </row>
    <row r="308" spans="1:23" hidden="1" x14ac:dyDescent="0.25">
      <c r="A308" t="s">
        <v>321</v>
      </c>
      <c r="B308" s="4">
        <v>45795</v>
      </c>
      <c r="C308" s="4">
        <v>45817</v>
      </c>
      <c r="D308" t="s">
        <v>648</v>
      </c>
      <c r="E308" t="s">
        <v>660</v>
      </c>
      <c r="F308" t="s">
        <v>700</v>
      </c>
      <c r="G308" t="s">
        <v>704</v>
      </c>
      <c r="H308" t="s">
        <v>707</v>
      </c>
      <c r="I308" t="s">
        <v>722</v>
      </c>
      <c r="J308" t="s">
        <v>729</v>
      </c>
      <c r="K308" t="s">
        <v>1041</v>
      </c>
      <c r="L308" s="6">
        <v>382.96</v>
      </c>
      <c r="M308" s="6">
        <v>552.84</v>
      </c>
      <c r="N308" s="8">
        <v>0.17599999999999999</v>
      </c>
      <c r="O308" s="6">
        <v>8</v>
      </c>
      <c r="P308" s="7" t="str">
        <f t="shared" si="33"/>
        <v>New York</v>
      </c>
      <c r="Q308" s="7" t="str">
        <f t="shared" si="34"/>
        <v>H. Kim</v>
      </c>
      <c r="R308" s="7" t="str">
        <f t="shared" si="35"/>
        <v>Retail</v>
      </c>
      <c r="S308" t="str">
        <f t="shared" si="40"/>
        <v>OK</v>
      </c>
      <c r="T308" s="8" t="str">
        <f t="shared" si="36"/>
        <v>OK</v>
      </c>
      <c r="U308" t="str">
        <f t="shared" si="37"/>
        <v>OK</v>
      </c>
      <c r="V308">
        <f t="shared" si="38"/>
        <v>22</v>
      </c>
      <c r="W308" s="4">
        <f t="shared" si="39"/>
        <v>45817</v>
      </c>
    </row>
    <row r="309" spans="1:23" hidden="1" x14ac:dyDescent="0.25">
      <c r="A309" t="s">
        <v>322</v>
      </c>
      <c r="B309" s="4">
        <v>45679</v>
      </c>
      <c r="C309" s="4">
        <v>45692</v>
      </c>
      <c r="D309" t="s">
        <v>647</v>
      </c>
      <c r="E309" t="s">
        <v>652</v>
      </c>
      <c r="F309" t="s">
        <v>689</v>
      </c>
      <c r="G309" t="s">
        <v>705</v>
      </c>
      <c r="H309" t="s">
        <v>710</v>
      </c>
      <c r="I309" t="s">
        <v>716</v>
      </c>
      <c r="J309" t="s">
        <v>728</v>
      </c>
      <c r="K309" t="s">
        <v>1042</v>
      </c>
      <c r="L309" s="6">
        <v>122.29</v>
      </c>
      <c r="M309" s="6">
        <v>224.95</v>
      </c>
      <c r="N309" s="8">
        <v>0.153</v>
      </c>
      <c r="O309" s="6">
        <v>28</v>
      </c>
      <c r="P309" s="7" t="str">
        <f t="shared" si="33"/>
        <v>Tokyo</v>
      </c>
      <c r="Q309" s="7" t="str">
        <f t="shared" si="34"/>
        <v>L. Okafor</v>
      </c>
      <c r="R309" s="7" t="str">
        <f t="shared" si="35"/>
        <v>Distributor</v>
      </c>
      <c r="S309" t="str">
        <f t="shared" si="40"/>
        <v>OK</v>
      </c>
      <c r="T309" s="8" t="str">
        <f t="shared" si="36"/>
        <v>OK</v>
      </c>
      <c r="U309" t="str">
        <f t="shared" si="37"/>
        <v>OK</v>
      </c>
      <c r="V309">
        <f t="shared" si="38"/>
        <v>13</v>
      </c>
      <c r="W309" s="4">
        <f t="shared" si="39"/>
        <v>45692</v>
      </c>
    </row>
    <row r="310" spans="1:23" hidden="1" x14ac:dyDescent="0.25">
      <c r="A310" t="s">
        <v>323</v>
      </c>
      <c r="B310" s="4">
        <v>44936</v>
      </c>
      <c r="C310" s="4">
        <v>44955</v>
      </c>
      <c r="D310" t="s">
        <v>649</v>
      </c>
      <c r="E310" t="s">
        <v>657</v>
      </c>
      <c r="F310" t="s">
        <v>679</v>
      </c>
      <c r="G310" t="s">
        <v>703</v>
      </c>
      <c r="H310" t="s">
        <v>711</v>
      </c>
      <c r="I310" t="s">
        <v>726</v>
      </c>
      <c r="J310" t="s">
        <v>731</v>
      </c>
      <c r="K310" t="s">
        <v>1043</v>
      </c>
      <c r="L310" s="6">
        <v>401.66</v>
      </c>
      <c r="M310" s="6">
        <v>772.09</v>
      </c>
      <c r="N310" s="8">
        <v>8.8999999999999996E-2</v>
      </c>
      <c r="O310" s="6">
        <v>14</v>
      </c>
      <c r="P310" s="7" t="str">
        <f t="shared" si="33"/>
        <v>Lyon</v>
      </c>
      <c r="Q310" s="7" t="str">
        <f t="shared" si="34"/>
        <v>D. Smith</v>
      </c>
      <c r="R310" s="7" t="str">
        <f t="shared" si="35"/>
        <v>Direct</v>
      </c>
      <c r="S310" t="str">
        <f t="shared" si="40"/>
        <v>OK</v>
      </c>
      <c r="T310" s="8" t="str">
        <f t="shared" si="36"/>
        <v>OK</v>
      </c>
      <c r="U310" t="str">
        <f t="shared" si="37"/>
        <v>OK</v>
      </c>
      <c r="V310">
        <f t="shared" si="38"/>
        <v>19</v>
      </c>
      <c r="W310" s="4">
        <f t="shared" si="39"/>
        <v>44955</v>
      </c>
    </row>
    <row r="311" spans="1:23" hidden="1" x14ac:dyDescent="0.25">
      <c r="A311" t="s">
        <v>324</v>
      </c>
      <c r="B311" s="4">
        <v>45655</v>
      </c>
      <c r="C311" s="4">
        <v>45669</v>
      </c>
      <c r="D311" t="s">
        <v>649</v>
      </c>
      <c r="E311" t="s">
        <v>658</v>
      </c>
      <c r="F311" t="s">
        <v>693</v>
      </c>
      <c r="G311" t="s">
        <v>701</v>
      </c>
      <c r="H311" t="s">
        <v>711</v>
      </c>
      <c r="I311" t="s">
        <v>717</v>
      </c>
      <c r="J311" t="s">
        <v>732</v>
      </c>
      <c r="K311" t="s">
        <v>1044</v>
      </c>
      <c r="L311" s="6">
        <v>1399.72</v>
      </c>
      <c r="M311" s="6">
        <v>3149.21</v>
      </c>
      <c r="N311" s="8">
        <v>0.185</v>
      </c>
      <c r="O311" s="6">
        <v>12</v>
      </c>
      <c r="P311" s="7" t="str">
        <f t="shared" si="33"/>
        <v>Manchester</v>
      </c>
      <c r="Q311" s="7" t="str">
        <f t="shared" si="34"/>
        <v>B. Chen</v>
      </c>
      <c r="R311" s="7" t="str">
        <f t="shared" si="35"/>
        <v>Direct</v>
      </c>
      <c r="S311" t="str">
        <f t="shared" si="40"/>
        <v>OK</v>
      </c>
      <c r="T311" s="8" t="str">
        <f t="shared" si="36"/>
        <v>OK</v>
      </c>
      <c r="U311" t="str">
        <f t="shared" si="37"/>
        <v>OK</v>
      </c>
      <c r="V311">
        <f t="shared" si="38"/>
        <v>14</v>
      </c>
      <c r="W311" s="4">
        <f t="shared" si="39"/>
        <v>45669</v>
      </c>
    </row>
    <row r="312" spans="1:23" hidden="1" x14ac:dyDescent="0.25">
      <c r="A312" t="s">
        <v>325</v>
      </c>
      <c r="B312" s="4">
        <v>45435</v>
      </c>
      <c r="C312" s="4">
        <v>45449</v>
      </c>
      <c r="D312" t="s">
        <v>648</v>
      </c>
      <c r="E312" t="s">
        <v>655</v>
      </c>
      <c r="F312" t="s">
        <v>692</v>
      </c>
      <c r="G312" t="s">
        <v>703</v>
      </c>
      <c r="H312" t="s">
        <v>708</v>
      </c>
      <c r="I312" t="s">
        <v>714</v>
      </c>
      <c r="J312" t="s">
        <v>729</v>
      </c>
      <c r="K312" t="s">
        <v>1045</v>
      </c>
      <c r="L312" s="6">
        <v>51.13</v>
      </c>
      <c r="M312" s="6">
        <v>57.53</v>
      </c>
      <c r="N312" s="8">
        <v>4.4999999999999998E-2</v>
      </c>
      <c r="O312" s="6">
        <v>16</v>
      </c>
      <c r="P312" s="7" t="str">
        <f t="shared" si="33"/>
        <v>Rio de Janeiro</v>
      </c>
      <c r="Q312" s="7" t="str">
        <f t="shared" si="34"/>
        <v>I. Johnson</v>
      </c>
      <c r="R312" s="7" t="str">
        <f t="shared" si="35"/>
        <v>Online</v>
      </c>
      <c r="S312" t="str">
        <f t="shared" si="40"/>
        <v>OK</v>
      </c>
      <c r="T312" s="8" t="str">
        <f t="shared" si="36"/>
        <v>OK</v>
      </c>
      <c r="U312" t="str">
        <f t="shared" si="37"/>
        <v>OK</v>
      </c>
      <c r="V312">
        <f t="shared" si="38"/>
        <v>14</v>
      </c>
      <c r="W312" s="4">
        <f t="shared" si="39"/>
        <v>45449</v>
      </c>
    </row>
    <row r="313" spans="1:23" hidden="1" x14ac:dyDescent="0.25">
      <c r="A313" t="s">
        <v>326</v>
      </c>
      <c r="B313" s="4">
        <v>45101</v>
      </c>
      <c r="C313" s="4">
        <v>45116</v>
      </c>
      <c r="D313" t="s">
        <v>648</v>
      </c>
      <c r="E313" t="s">
        <v>653</v>
      </c>
      <c r="F313" t="s">
        <v>667</v>
      </c>
      <c r="G313" t="s">
        <v>703</v>
      </c>
      <c r="H313" t="s">
        <v>707</v>
      </c>
      <c r="I313" t="s">
        <v>724</v>
      </c>
      <c r="J313" t="s">
        <v>733</v>
      </c>
      <c r="K313" t="s">
        <v>1046</v>
      </c>
      <c r="L313" s="6">
        <v>471.42</v>
      </c>
      <c r="M313" s="6">
        <v>824.81</v>
      </c>
      <c r="N313" s="8">
        <v>8.7999999999999995E-2</v>
      </c>
      <c r="O313" s="6">
        <v>15</v>
      </c>
      <c r="P313" s="7" t="str">
        <f t="shared" si="33"/>
        <v>Toronto</v>
      </c>
      <c r="Q313" s="7" t="str">
        <f t="shared" si="34"/>
        <v>M. Rossi</v>
      </c>
      <c r="R313" s="7" t="str">
        <f t="shared" si="35"/>
        <v>Retail</v>
      </c>
      <c r="S313" t="str">
        <f t="shared" si="40"/>
        <v>OK</v>
      </c>
      <c r="T313" s="8" t="str">
        <f t="shared" si="36"/>
        <v>OK</v>
      </c>
      <c r="U313" t="str">
        <f t="shared" si="37"/>
        <v>OK</v>
      </c>
      <c r="V313">
        <f t="shared" si="38"/>
        <v>15</v>
      </c>
      <c r="W313" s="4">
        <f t="shared" si="39"/>
        <v>45116</v>
      </c>
    </row>
    <row r="314" spans="1:23" hidden="1" x14ac:dyDescent="0.25">
      <c r="A314" t="s">
        <v>327</v>
      </c>
      <c r="B314" s="4">
        <v>45600</v>
      </c>
      <c r="C314" s="4">
        <v>45601</v>
      </c>
      <c r="D314" t="s">
        <v>649</v>
      </c>
      <c r="E314" t="s">
        <v>658</v>
      </c>
      <c r="F314" t="s">
        <v>683</v>
      </c>
      <c r="G314" t="s">
        <v>701</v>
      </c>
      <c r="H314" t="s">
        <v>707</v>
      </c>
      <c r="I314" t="s">
        <v>724</v>
      </c>
      <c r="J314" t="s">
        <v>728</v>
      </c>
      <c r="K314" t="s">
        <v>1047</v>
      </c>
      <c r="L314" s="6">
        <v>840.68</v>
      </c>
      <c r="M314" s="6">
        <v>1493.53</v>
      </c>
      <c r="N314" s="8">
        <v>0</v>
      </c>
      <c r="O314" s="6">
        <v>27</v>
      </c>
      <c r="P314" s="7" t="str">
        <f t="shared" si="33"/>
        <v>London</v>
      </c>
      <c r="Q314" s="7" t="str">
        <f t="shared" si="34"/>
        <v>M. Rossi</v>
      </c>
      <c r="R314" s="7" t="str">
        <f t="shared" si="35"/>
        <v>Retail</v>
      </c>
      <c r="S314" t="str">
        <f t="shared" si="40"/>
        <v>OK</v>
      </c>
      <c r="T314" s="8" t="str">
        <f t="shared" si="36"/>
        <v>OK</v>
      </c>
      <c r="U314" t="str">
        <f t="shared" si="37"/>
        <v>OK</v>
      </c>
      <c r="V314">
        <f t="shared" si="38"/>
        <v>1</v>
      </c>
      <c r="W314" s="4">
        <f t="shared" si="39"/>
        <v>45601</v>
      </c>
    </row>
    <row r="315" spans="1:23" hidden="1" x14ac:dyDescent="0.25">
      <c r="A315" t="s">
        <v>328</v>
      </c>
      <c r="B315" s="4">
        <v>45451</v>
      </c>
      <c r="C315" s="4">
        <v>45467</v>
      </c>
      <c r="D315" t="s">
        <v>646</v>
      </c>
      <c r="E315" t="s">
        <v>661</v>
      </c>
      <c r="F315" t="s">
        <v>687</v>
      </c>
      <c r="G315" t="s">
        <v>702</v>
      </c>
      <c r="H315" t="s">
        <v>710</v>
      </c>
      <c r="I315" t="s">
        <v>722</v>
      </c>
      <c r="J315" t="s">
        <v>732</v>
      </c>
      <c r="K315" t="s">
        <v>1048</v>
      </c>
      <c r="L315" s="6">
        <v>597.85</v>
      </c>
      <c r="M315" s="6">
        <v>741.92</v>
      </c>
      <c r="N315" s="8">
        <v>3.1E-2</v>
      </c>
      <c r="O315" s="6">
        <v>7</v>
      </c>
      <c r="P315" s="7" t="str">
        <f t="shared" si="33"/>
        <v>Durban</v>
      </c>
      <c r="Q315" s="7" t="str">
        <f t="shared" si="34"/>
        <v>H. Kim</v>
      </c>
      <c r="R315" s="7" t="str">
        <f t="shared" si="35"/>
        <v>Distributor</v>
      </c>
      <c r="S315" t="str">
        <f t="shared" si="40"/>
        <v>OK</v>
      </c>
      <c r="T315" s="8" t="str">
        <f t="shared" si="36"/>
        <v>OK</v>
      </c>
      <c r="U315" t="str">
        <f t="shared" si="37"/>
        <v>OK</v>
      </c>
      <c r="V315">
        <f t="shared" si="38"/>
        <v>16</v>
      </c>
      <c r="W315" s="4">
        <f t="shared" si="39"/>
        <v>45467</v>
      </c>
    </row>
    <row r="316" spans="1:23" hidden="1" x14ac:dyDescent="0.25">
      <c r="A316" t="s">
        <v>329</v>
      </c>
      <c r="B316" s="4">
        <v>45809</v>
      </c>
      <c r="C316" s="4">
        <v>45814</v>
      </c>
      <c r="D316" t="s">
        <v>649</v>
      </c>
      <c r="E316" t="s">
        <v>657</v>
      </c>
      <c r="F316" t="s">
        <v>690</v>
      </c>
      <c r="G316" t="s">
        <v>704</v>
      </c>
      <c r="H316" t="s">
        <v>710</v>
      </c>
      <c r="I316" t="s">
        <v>715</v>
      </c>
      <c r="J316" t="s">
        <v>727</v>
      </c>
      <c r="K316" t="s">
        <v>1049</v>
      </c>
      <c r="L316" s="6">
        <v>379.45</v>
      </c>
      <c r="M316" s="6">
        <v>742.23</v>
      </c>
      <c r="N316" s="8">
        <v>0.09</v>
      </c>
      <c r="O316" s="6">
        <v>13</v>
      </c>
      <c r="P316" s="7" t="str">
        <f t="shared" si="33"/>
        <v>Paris</v>
      </c>
      <c r="Q316" s="7" t="str">
        <f t="shared" si="34"/>
        <v>G. Dubois</v>
      </c>
      <c r="R316" s="7" t="str">
        <f t="shared" si="35"/>
        <v>Distributor</v>
      </c>
      <c r="S316" t="str">
        <f t="shared" si="40"/>
        <v>OK</v>
      </c>
      <c r="T316" s="8" t="str">
        <f t="shared" si="36"/>
        <v>OK</v>
      </c>
      <c r="U316" t="str">
        <f t="shared" si="37"/>
        <v>OK</v>
      </c>
      <c r="V316">
        <f t="shared" si="38"/>
        <v>5</v>
      </c>
      <c r="W316" s="4">
        <f t="shared" si="39"/>
        <v>45814</v>
      </c>
    </row>
    <row r="317" spans="1:23" hidden="1" x14ac:dyDescent="0.25">
      <c r="A317" t="s">
        <v>330</v>
      </c>
      <c r="B317" s="4">
        <v>45052</v>
      </c>
      <c r="C317" s="4">
        <v>45060</v>
      </c>
      <c r="D317" t="s">
        <v>647</v>
      </c>
      <c r="E317" t="s">
        <v>652</v>
      </c>
      <c r="F317" t="s">
        <v>666</v>
      </c>
      <c r="G317" t="s">
        <v>706</v>
      </c>
      <c r="H317" t="s">
        <v>709</v>
      </c>
      <c r="I317" t="s">
        <v>717</v>
      </c>
      <c r="J317" t="s">
        <v>730</v>
      </c>
      <c r="K317" t="s">
        <v>1050</v>
      </c>
      <c r="L317" s="6">
        <v>291.18</v>
      </c>
      <c r="M317" s="6">
        <v>479.54</v>
      </c>
      <c r="N317" s="8">
        <v>0.14099999999999999</v>
      </c>
      <c r="O317" s="6">
        <v>22</v>
      </c>
      <c r="P317" s="7" t="str">
        <f t="shared" si="33"/>
        <v>Osaka</v>
      </c>
      <c r="Q317" s="7" t="str">
        <f t="shared" si="34"/>
        <v>B. Chen</v>
      </c>
      <c r="R317" s="7" t="str">
        <f t="shared" si="35"/>
        <v>Marketplace</v>
      </c>
      <c r="S317" t="str">
        <f t="shared" si="40"/>
        <v>OK</v>
      </c>
      <c r="T317" s="8" t="str">
        <f t="shared" si="36"/>
        <v>OK</v>
      </c>
      <c r="U317" t="str">
        <f t="shared" si="37"/>
        <v>OK</v>
      </c>
      <c r="V317">
        <f t="shared" si="38"/>
        <v>8</v>
      </c>
      <c r="W317" s="4">
        <f t="shared" si="39"/>
        <v>45060</v>
      </c>
    </row>
    <row r="318" spans="1:23" hidden="1" x14ac:dyDescent="0.25">
      <c r="A318" t="s">
        <v>331</v>
      </c>
      <c r="B318" s="4">
        <v>45244</v>
      </c>
      <c r="C318" s="4">
        <v>45260</v>
      </c>
      <c r="D318" t="s">
        <v>648</v>
      </c>
      <c r="E318" t="s">
        <v>655</v>
      </c>
      <c r="F318" t="s">
        <v>670</v>
      </c>
      <c r="G318" t="s">
        <v>706</v>
      </c>
      <c r="H318" t="s">
        <v>711</v>
      </c>
      <c r="I318" t="s">
        <v>723</v>
      </c>
      <c r="J318" t="s">
        <v>729</v>
      </c>
      <c r="K318" t="s">
        <v>1051</v>
      </c>
      <c r="L318" s="6">
        <v>1017.92</v>
      </c>
      <c r="M318" s="6">
        <v>1175.25</v>
      </c>
      <c r="N318" s="8">
        <v>7.4999999999999997E-2</v>
      </c>
      <c r="O318" s="6">
        <v>15</v>
      </c>
      <c r="P318" s="7" t="str">
        <f t="shared" si="33"/>
        <v>São Paulo</v>
      </c>
      <c r="Q318" s="7" t="str">
        <f t="shared" si="34"/>
        <v>K. Singh</v>
      </c>
      <c r="R318" s="7" t="str">
        <f t="shared" si="35"/>
        <v>Direct</v>
      </c>
      <c r="S318" t="str">
        <f t="shared" si="40"/>
        <v>OK</v>
      </c>
      <c r="T318" s="8" t="str">
        <f t="shared" si="36"/>
        <v>OK</v>
      </c>
      <c r="U318" t="str">
        <f t="shared" si="37"/>
        <v>OK</v>
      </c>
      <c r="V318">
        <f t="shared" si="38"/>
        <v>16</v>
      </c>
      <c r="W318" s="4">
        <f t="shared" si="39"/>
        <v>45260</v>
      </c>
    </row>
    <row r="319" spans="1:23" hidden="1" x14ac:dyDescent="0.25">
      <c r="A319" t="s">
        <v>332</v>
      </c>
      <c r="B319" s="4">
        <v>45748</v>
      </c>
      <c r="C319" s="4">
        <v>45774</v>
      </c>
      <c r="D319" t="s">
        <v>648</v>
      </c>
      <c r="E319" t="s">
        <v>660</v>
      </c>
      <c r="F319" t="s">
        <v>686</v>
      </c>
      <c r="G319" t="s">
        <v>701</v>
      </c>
      <c r="H319" t="s">
        <v>711</v>
      </c>
      <c r="I319" t="s">
        <v>714</v>
      </c>
      <c r="J319" t="s">
        <v>732</v>
      </c>
      <c r="K319" t="s">
        <v>1052</v>
      </c>
      <c r="L319" s="6">
        <v>156.55000000000001</v>
      </c>
      <c r="M319" s="6">
        <v>227.45</v>
      </c>
      <c r="N319" s="8">
        <v>1.4E-2</v>
      </c>
      <c r="O319" s="6">
        <v>13</v>
      </c>
      <c r="P319" s="7" t="str">
        <f t="shared" si="33"/>
        <v>San Francisco</v>
      </c>
      <c r="Q319" s="7" t="str">
        <f t="shared" si="34"/>
        <v>I. Johnson</v>
      </c>
      <c r="R319" s="7" t="str">
        <f t="shared" si="35"/>
        <v>Direct</v>
      </c>
      <c r="S319" t="str">
        <f t="shared" si="40"/>
        <v>OK</v>
      </c>
      <c r="T319" s="8" t="str">
        <f t="shared" si="36"/>
        <v>OK</v>
      </c>
      <c r="U319" t="str">
        <f t="shared" si="37"/>
        <v>OK</v>
      </c>
      <c r="V319">
        <f t="shared" si="38"/>
        <v>26</v>
      </c>
      <c r="W319" s="4">
        <f t="shared" si="39"/>
        <v>45774</v>
      </c>
    </row>
    <row r="320" spans="1:23" hidden="1" x14ac:dyDescent="0.25">
      <c r="A320" t="s">
        <v>333</v>
      </c>
      <c r="B320" s="4">
        <v>45008</v>
      </c>
      <c r="C320" s="4">
        <v>45031</v>
      </c>
      <c r="D320" t="s">
        <v>646</v>
      </c>
      <c r="E320" t="s">
        <v>650</v>
      </c>
      <c r="F320" t="s">
        <v>675</v>
      </c>
      <c r="G320" t="s">
        <v>705</v>
      </c>
      <c r="H320" t="s">
        <v>707</v>
      </c>
      <c r="I320" t="s">
        <v>712</v>
      </c>
      <c r="J320" t="s">
        <v>733</v>
      </c>
      <c r="K320" t="s">
        <v>1053</v>
      </c>
      <c r="L320" s="6">
        <v>875.36</v>
      </c>
      <c r="M320" s="6">
        <v>1178.6199999999999</v>
      </c>
      <c r="N320" s="8">
        <v>0.151</v>
      </c>
      <c r="O320" s="6">
        <v>53</v>
      </c>
      <c r="P320" s="7" t="str">
        <f t="shared" si="33"/>
        <v>Mombasa</v>
      </c>
      <c r="Q320" s="7" t="str">
        <f t="shared" si="34"/>
        <v>C. Otieno</v>
      </c>
      <c r="R320" s="7" t="str">
        <f t="shared" si="35"/>
        <v>Retail</v>
      </c>
      <c r="S320" t="str">
        <f t="shared" si="40"/>
        <v>OK</v>
      </c>
      <c r="T320" s="8" t="str">
        <f t="shared" si="36"/>
        <v>OK</v>
      </c>
      <c r="U320" t="str">
        <f t="shared" si="37"/>
        <v>OK</v>
      </c>
      <c r="V320">
        <f t="shared" si="38"/>
        <v>23</v>
      </c>
      <c r="W320" s="4">
        <f t="shared" si="39"/>
        <v>45031</v>
      </c>
    </row>
    <row r="321" spans="1:23" hidden="1" x14ac:dyDescent="0.25">
      <c r="A321" t="s">
        <v>334</v>
      </c>
      <c r="B321" s="4">
        <v>45440</v>
      </c>
      <c r="C321" s="4">
        <v>45461</v>
      </c>
      <c r="D321" t="s">
        <v>649</v>
      </c>
      <c r="E321" t="s">
        <v>656</v>
      </c>
      <c r="F321" t="s">
        <v>698</v>
      </c>
      <c r="G321" t="s">
        <v>705</v>
      </c>
      <c r="H321" t="s">
        <v>708</v>
      </c>
      <c r="I321" t="s">
        <v>718</v>
      </c>
      <c r="J321" t="s">
        <v>730</v>
      </c>
      <c r="K321" t="s">
        <v>1054</v>
      </c>
      <c r="L321" s="6">
        <v>986.85</v>
      </c>
      <c r="M321" s="6">
        <v>2422.1</v>
      </c>
      <c r="N321" s="8">
        <v>7.5999999999999998E-2</v>
      </c>
      <c r="O321" s="6">
        <v>10</v>
      </c>
      <c r="P321" s="7" t="str">
        <f t="shared" si="33"/>
        <v>Frankfurt</v>
      </c>
      <c r="Q321" s="7" t="str">
        <f t="shared" si="34"/>
        <v>E. Garcia</v>
      </c>
      <c r="R321" s="7" t="str">
        <f t="shared" si="35"/>
        <v>Online</v>
      </c>
      <c r="S321" t="str">
        <f t="shared" si="40"/>
        <v>OK</v>
      </c>
      <c r="T321" s="8" t="str">
        <f t="shared" si="36"/>
        <v>OK</v>
      </c>
      <c r="U321" t="str">
        <f t="shared" si="37"/>
        <v>OK</v>
      </c>
      <c r="V321">
        <f t="shared" si="38"/>
        <v>21</v>
      </c>
      <c r="W321" s="4">
        <f t="shared" si="39"/>
        <v>45461</v>
      </c>
    </row>
    <row r="322" spans="1:23" hidden="1" x14ac:dyDescent="0.25">
      <c r="A322" t="s">
        <v>335</v>
      </c>
      <c r="B322" s="4">
        <v>45293</v>
      </c>
      <c r="C322" s="4">
        <v>45308</v>
      </c>
      <c r="D322" t="s">
        <v>648</v>
      </c>
      <c r="E322" t="s">
        <v>660</v>
      </c>
      <c r="F322" t="s">
        <v>677</v>
      </c>
      <c r="G322" t="s">
        <v>702</v>
      </c>
      <c r="H322" t="s">
        <v>709</v>
      </c>
      <c r="I322" t="s">
        <v>717</v>
      </c>
      <c r="J322" t="s">
        <v>729</v>
      </c>
      <c r="K322" t="s">
        <v>1055</v>
      </c>
      <c r="L322" s="6">
        <v>404.77</v>
      </c>
      <c r="M322" s="6">
        <v>433.88</v>
      </c>
      <c r="N322" s="8">
        <v>0.215</v>
      </c>
      <c r="O322" s="6">
        <v>22</v>
      </c>
      <c r="P322" s="7" t="str">
        <f t="shared" si="33"/>
        <v>Chicago</v>
      </c>
      <c r="Q322" s="7" t="str">
        <f t="shared" si="34"/>
        <v>B. Chen</v>
      </c>
      <c r="R322" s="7" t="str">
        <f t="shared" si="35"/>
        <v>Marketplace</v>
      </c>
      <c r="S322" t="str">
        <f t="shared" si="40"/>
        <v>OK</v>
      </c>
      <c r="T322" s="8" t="str">
        <f t="shared" si="36"/>
        <v>OK</v>
      </c>
      <c r="U322" t="str">
        <f t="shared" si="37"/>
        <v>OK</v>
      </c>
      <c r="V322">
        <f t="shared" si="38"/>
        <v>15</v>
      </c>
      <c r="W322" s="4">
        <f t="shared" si="39"/>
        <v>45308</v>
      </c>
    </row>
    <row r="323" spans="1:23" hidden="1" x14ac:dyDescent="0.25">
      <c r="A323" t="s">
        <v>336</v>
      </c>
      <c r="B323" s="4">
        <v>44985</v>
      </c>
      <c r="C323" s="4">
        <v>45000</v>
      </c>
      <c r="D323" t="s">
        <v>649</v>
      </c>
      <c r="E323" t="s">
        <v>657</v>
      </c>
      <c r="F323" t="s">
        <v>673</v>
      </c>
      <c r="G323" t="s">
        <v>701</v>
      </c>
      <c r="H323" t="s">
        <v>707</v>
      </c>
      <c r="I323" t="s">
        <v>723</v>
      </c>
      <c r="J323" t="s">
        <v>729</v>
      </c>
      <c r="K323" t="s">
        <v>1056</v>
      </c>
      <c r="L323" s="6">
        <v>1299.81</v>
      </c>
      <c r="M323" s="6">
        <v>3149.13</v>
      </c>
      <c r="N323" s="8">
        <v>0.10299999999999999</v>
      </c>
      <c r="O323" s="6">
        <v>14</v>
      </c>
      <c r="P323" s="7" t="str">
        <f t="shared" ref="P323:P386" si="41">IF(OR(F323=" ", ISBLANK(F323)), "Unknown", F323)</f>
        <v>Marseille</v>
      </c>
      <c r="Q323" s="7" t="str">
        <f t="shared" ref="Q323:Q386" si="42">IF(OR(I323=" ", ISBLANK(I323)), "Unassigned", I323)</f>
        <v>K. Singh</v>
      </c>
      <c r="R323" s="7" t="str">
        <f t="shared" ref="R323:R386" si="43">IF(OR(H323=" ", ISBLANK(H323)), "Unspecified", H323)</f>
        <v>Retail</v>
      </c>
      <c r="S323" t="str">
        <f t="shared" si="40"/>
        <v>OK</v>
      </c>
      <c r="T323" s="8" t="str">
        <f t="shared" ref="T323:T386" si="44">IFERROR(IF(N323&gt;0.3, "Cap at 30%", "OK"), "Error")</f>
        <v>OK</v>
      </c>
      <c r="U323" t="str">
        <f t="shared" ref="U323:U386" si="45">IFERROR(IF(C323&lt;B323,"Correct", "OK"), "Error")</f>
        <v>OK</v>
      </c>
      <c r="V323">
        <f t="shared" ref="V323:V386" si="46">_xlfn.DAYS(C323,B323)</f>
        <v>15</v>
      </c>
      <c r="W323" s="4">
        <f t="shared" si="39"/>
        <v>45000</v>
      </c>
    </row>
    <row r="324" spans="1:23" hidden="1" x14ac:dyDescent="0.25">
      <c r="A324" t="s">
        <v>337</v>
      </c>
      <c r="B324" s="4">
        <v>45340</v>
      </c>
      <c r="C324" s="4">
        <v>45362</v>
      </c>
      <c r="D324" t="s">
        <v>648</v>
      </c>
      <c r="E324" t="s">
        <v>655</v>
      </c>
      <c r="F324" t="s">
        <v>670</v>
      </c>
      <c r="G324" t="s">
        <v>704</v>
      </c>
      <c r="H324" t="s">
        <v>708</v>
      </c>
      <c r="I324" t="s">
        <v>720</v>
      </c>
      <c r="J324" t="s">
        <v>727</v>
      </c>
      <c r="K324" t="s">
        <v>1057</v>
      </c>
      <c r="L324" s="6">
        <v>80.48</v>
      </c>
      <c r="M324" s="6">
        <v>65.650000000000006</v>
      </c>
      <c r="N324" s="8">
        <v>0.17599999999999999</v>
      </c>
      <c r="O324" s="6">
        <v>13</v>
      </c>
      <c r="P324" s="7" t="str">
        <f t="shared" si="41"/>
        <v>São Paulo</v>
      </c>
      <c r="Q324" s="7" t="str">
        <f t="shared" si="42"/>
        <v>A. Patel</v>
      </c>
      <c r="R324" s="7" t="str">
        <f t="shared" si="43"/>
        <v>Online</v>
      </c>
      <c r="S324" t="str">
        <f t="shared" si="40"/>
        <v>OK</v>
      </c>
      <c r="T324" s="8" t="str">
        <f t="shared" si="44"/>
        <v>OK</v>
      </c>
      <c r="U324" t="str">
        <f t="shared" si="45"/>
        <v>OK</v>
      </c>
      <c r="V324">
        <f t="shared" si="46"/>
        <v>22</v>
      </c>
      <c r="W324" s="4">
        <f t="shared" ref="W324:W387" si="47">IFERROR(IF(C324&lt;B324, B324+15, C324), "Error")</f>
        <v>45362</v>
      </c>
    </row>
    <row r="325" spans="1:23" hidden="1" x14ac:dyDescent="0.25">
      <c r="A325" t="s">
        <v>338</v>
      </c>
      <c r="B325" s="4">
        <v>45544</v>
      </c>
      <c r="C325" s="4">
        <v>45573</v>
      </c>
      <c r="D325" t="s">
        <v>648</v>
      </c>
      <c r="E325" t="s">
        <v>655</v>
      </c>
      <c r="F325" t="s">
        <v>670</v>
      </c>
      <c r="G325" t="s">
        <v>702</v>
      </c>
      <c r="H325" t="s">
        <v>711</v>
      </c>
      <c r="I325" t="s">
        <v>713</v>
      </c>
      <c r="J325" t="s">
        <v>727</v>
      </c>
      <c r="K325" t="s">
        <v>1058</v>
      </c>
      <c r="L325" s="6">
        <v>1010.33</v>
      </c>
      <c r="M325" s="6">
        <v>2492.14</v>
      </c>
      <c r="N325" s="8">
        <v>5.0999999999999997E-2</v>
      </c>
      <c r="O325" s="6">
        <v>11</v>
      </c>
      <c r="P325" s="7" t="str">
        <f t="shared" si="41"/>
        <v>São Paulo</v>
      </c>
      <c r="Q325" s="7" t="str">
        <f t="shared" si="42"/>
        <v>J. Njeri</v>
      </c>
      <c r="R325" s="7" t="str">
        <f t="shared" si="43"/>
        <v>Direct</v>
      </c>
      <c r="S325" t="str">
        <f t="shared" si="40"/>
        <v>OK</v>
      </c>
      <c r="T325" s="8" t="str">
        <f t="shared" si="44"/>
        <v>OK</v>
      </c>
      <c r="U325" t="str">
        <f t="shared" si="45"/>
        <v>OK</v>
      </c>
      <c r="V325">
        <f t="shared" si="46"/>
        <v>29</v>
      </c>
      <c r="W325" s="4">
        <f t="shared" si="47"/>
        <v>45573</v>
      </c>
    </row>
    <row r="326" spans="1:23" hidden="1" x14ac:dyDescent="0.25">
      <c r="A326" t="s">
        <v>339</v>
      </c>
      <c r="B326" s="4">
        <v>45053</v>
      </c>
      <c r="C326" s="4">
        <v>45075</v>
      </c>
      <c r="D326" t="s">
        <v>646</v>
      </c>
      <c r="E326" t="s">
        <v>661</v>
      </c>
      <c r="F326" t="s">
        <v>687</v>
      </c>
      <c r="G326" t="s">
        <v>702</v>
      </c>
      <c r="H326" t="s">
        <v>710</v>
      </c>
      <c r="I326" t="s">
        <v>723</v>
      </c>
      <c r="J326" t="s">
        <v>733</v>
      </c>
      <c r="K326" t="s">
        <v>1059</v>
      </c>
      <c r="L326" s="6">
        <v>653.86</v>
      </c>
      <c r="M326" s="6">
        <v>931.84</v>
      </c>
      <c r="N326" s="8">
        <v>0.121</v>
      </c>
      <c r="O326" s="6">
        <v>12</v>
      </c>
      <c r="P326" s="7" t="str">
        <f t="shared" si="41"/>
        <v>Durban</v>
      </c>
      <c r="Q326" s="7" t="str">
        <f t="shared" si="42"/>
        <v>K. Singh</v>
      </c>
      <c r="R326" s="7" t="str">
        <f t="shared" si="43"/>
        <v>Distributor</v>
      </c>
      <c r="S326" t="str">
        <f t="shared" ref="S326:S389" si="48">IFERROR(IF(M326&lt;0,"Correct (Negative Price)","OK"),"Error")</f>
        <v>OK</v>
      </c>
      <c r="T326" s="8" t="str">
        <f t="shared" si="44"/>
        <v>OK</v>
      </c>
      <c r="U326" t="str">
        <f t="shared" si="45"/>
        <v>OK</v>
      </c>
      <c r="V326">
        <f t="shared" si="46"/>
        <v>22</v>
      </c>
      <c r="W326" s="4">
        <f t="shared" si="47"/>
        <v>45075</v>
      </c>
    </row>
    <row r="327" spans="1:23" hidden="1" x14ac:dyDescent="0.25">
      <c r="A327" t="s">
        <v>340</v>
      </c>
      <c r="B327" s="4">
        <v>45303</v>
      </c>
      <c r="C327" s="4">
        <v>45320</v>
      </c>
      <c r="D327" t="s">
        <v>647</v>
      </c>
      <c r="E327" t="s">
        <v>654</v>
      </c>
      <c r="F327" t="s">
        <v>696</v>
      </c>
      <c r="G327" t="s">
        <v>705</v>
      </c>
      <c r="H327" t="s">
        <v>711</v>
      </c>
      <c r="I327" t="s">
        <v>717</v>
      </c>
      <c r="J327" t="s">
        <v>727</v>
      </c>
      <c r="K327" t="s">
        <v>1060</v>
      </c>
      <c r="L327" s="6">
        <v>310.02</v>
      </c>
      <c r="M327" s="6">
        <v>619.51</v>
      </c>
      <c r="N327" s="8">
        <v>4.2000000000000003E-2</v>
      </c>
      <c r="O327" s="6">
        <v>4</v>
      </c>
      <c r="P327" s="7" t="str">
        <f t="shared" si="41"/>
        <v>Hyderabad</v>
      </c>
      <c r="Q327" s="7" t="str">
        <f t="shared" si="42"/>
        <v>B. Chen</v>
      </c>
      <c r="R327" s="7" t="str">
        <f t="shared" si="43"/>
        <v>Direct</v>
      </c>
      <c r="S327" t="str">
        <f t="shared" si="48"/>
        <v>OK</v>
      </c>
      <c r="T327" s="8" t="str">
        <f t="shared" si="44"/>
        <v>OK</v>
      </c>
      <c r="U327" t="str">
        <f t="shared" si="45"/>
        <v>OK</v>
      </c>
      <c r="V327">
        <f t="shared" si="46"/>
        <v>17</v>
      </c>
      <c r="W327" s="4">
        <f t="shared" si="47"/>
        <v>45320</v>
      </c>
    </row>
    <row r="328" spans="1:23" hidden="1" x14ac:dyDescent="0.25">
      <c r="A328" t="s">
        <v>341</v>
      </c>
      <c r="B328" s="4">
        <v>45087</v>
      </c>
      <c r="C328" s="4">
        <v>45095</v>
      </c>
      <c r="D328" t="s">
        <v>646</v>
      </c>
      <c r="E328" t="s">
        <v>650</v>
      </c>
      <c r="F328" t="s">
        <v>678</v>
      </c>
      <c r="G328" t="s">
        <v>706</v>
      </c>
      <c r="H328" t="s">
        <v>711</v>
      </c>
      <c r="I328" t="s">
        <v>722</v>
      </c>
      <c r="J328" t="s">
        <v>730</v>
      </c>
      <c r="K328" t="s">
        <v>1061</v>
      </c>
      <c r="L328" s="6">
        <v>894.23</v>
      </c>
      <c r="M328" s="6">
        <v>1421.55</v>
      </c>
      <c r="N328" s="8">
        <v>0.109</v>
      </c>
      <c r="O328" s="6">
        <v>3</v>
      </c>
      <c r="P328" s="7" t="str">
        <f t="shared" si="41"/>
        <v>Nakuru</v>
      </c>
      <c r="Q328" s="7" t="str">
        <f t="shared" si="42"/>
        <v>H. Kim</v>
      </c>
      <c r="R328" s="7" t="str">
        <f t="shared" si="43"/>
        <v>Direct</v>
      </c>
      <c r="S328" t="str">
        <f t="shared" si="48"/>
        <v>OK</v>
      </c>
      <c r="T328" s="8" t="str">
        <f t="shared" si="44"/>
        <v>OK</v>
      </c>
      <c r="U328" t="str">
        <f t="shared" si="45"/>
        <v>OK</v>
      </c>
      <c r="V328">
        <f t="shared" si="46"/>
        <v>8</v>
      </c>
      <c r="W328" s="4">
        <f t="shared" si="47"/>
        <v>45095</v>
      </c>
    </row>
    <row r="329" spans="1:23" hidden="1" x14ac:dyDescent="0.25">
      <c r="A329" t="s">
        <v>342</v>
      </c>
      <c r="B329" s="4">
        <v>45796</v>
      </c>
      <c r="C329" s="4">
        <v>45811</v>
      </c>
      <c r="D329" t="s">
        <v>648</v>
      </c>
      <c r="E329" t="s">
        <v>655</v>
      </c>
      <c r="F329" t="s">
        <v>670</v>
      </c>
      <c r="G329" t="s">
        <v>705</v>
      </c>
      <c r="H329" t="s">
        <v>710</v>
      </c>
      <c r="I329" t="s">
        <v>716</v>
      </c>
      <c r="J329" t="s">
        <v>732</v>
      </c>
      <c r="K329" t="s">
        <v>1062</v>
      </c>
      <c r="L329" s="6">
        <v>383.77</v>
      </c>
      <c r="M329" s="6">
        <v>952.56</v>
      </c>
      <c r="N329" s="8">
        <v>0.3</v>
      </c>
      <c r="O329" s="6">
        <v>10</v>
      </c>
      <c r="P329" s="7" t="str">
        <f t="shared" si="41"/>
        <v>São Paulo</v>
      </c>
      <c r="Q329" s="7" t="str">
        <f t="shared" si="42"/>
        <v>L. Okafor</v>
      </c>
      <c r="R329" s="7" t="str">
        <f t="shared" si="43"/>
        <v>Distributor</v>
      </c>
      <c r="S329" t="str">
        <f t="shared" si="48"/>
        <v>OK</v>
      </c>
      <c r="T329" s="8" t="str">
        <f t="shared" si="44"/>
        <v>OK</v>
      </c>
      <c r="U329" t="str">
        <f t="shared" si="45"/>
        <v>OK</v>
      </c>
      <c r="V329">
        <f t="shared" si="46"/>
        <v>15</v>
      </c>
      <c r="W329" s="4">
        <f t="shared" si="47"/>
        <v>45811</v>
      </c>
    </row>
    <row r="330" spans="1:23" hidden="1" x14ac:dyDescent="0.25">
      <c r="A330" t="s">
        <v>343</v>
      </c>
      <c r="B330" s="4">
        <v>45221</v>
      </c>
      <c r="C330" s="4">
        <v>45246</v>
      </c>
      <c r="D330" t="s">
        <v>648</v>
      </c>
      <c r="E330" t="s">
        <v>653</v>
      </c>
      <c r="F330" t="s">
        <v>667</v>
      </c>
      <c r="G330" t="s">
        <v>705</v>
      </c>
      <c r="H330" t="s">
        <v>709</v>
      </c>
      <c r="I330" t="s">
        <v>714</v>
      </c>
      <c r="J330" t="s">
        <v>731</v>
      </c>
      <c r="K330" t="s">
        <v>1063</v>
      </c>
      <c r="L330" s="6">
        <v>1373.31</v>
      </c>
      <c r="M330" s="6">
        <v>3154.14</v>
      </c>
      <c r="N330" s="8">
        <v>0.2</v>
      </c>
      <c r="O330" s="6">
        <v>11</v>
      </c>
      <c r="P330" s="7" t="str">
        <f t="shared" si="41"/>
        <v>Toronto</v>
      </c>
      <c r="Q330" s="7" t="str">
        <f t="shared" si="42"/>
        <v>I. Johnson</v>
      </c>
      <c r="R330" s="7" t="str">
        <f t="shared" si="43"/>
        <v>Marketplace</v>
      </c>
      <c r="S330" t="str">
        <f t="shared" si="48"/>
        <v>OK</v>
      </c>
      <c r="T330" s="8" t="str">
        <f t="shared" si="44"/>
        <v>OK</v>
      </c>
      <c r="U330" t="str">
        <f t="shared" si="45"/>
        <v>OK</v>
      </c>
      <c r="V330">
        <f t="shared" si="46"/>
        <v>25</v>
      </c>
      <c r="W330" s="4">
        <f t="shared" si="47"/>
        <v>45246</v>
      </c>
    </row>
    <row r="331" spans="1:23" hidden="1" x14ac:dyDescent="0.25">
      <c r="A331" t="s">
        <v>344</v>
      </c>
      <c r="B331" s="4">
        <v>45668</v>
      </c>
      <c r="C331" s="4">
        <v>45680</v>
      </c>
      <c r="D331" t="s">
        <v>648</v>
      </c>
      <c r="E331" t="s">
        <v>660</v>
      </c>
      <c r="F331" t="s">
        <v>697</v>
      </c>
      <c r="G331" t="s">
        <v>704</v>
      </c>
      <c r="H331" t="s">
        <v>710</v>
      </c>
      <c r="I331" t="s">
        <v>722</v>
      </c>
      <c r="J331" t="s">
        <v>730</v>
      </c>
      <c r="K331" t="s">
        <v>1064</v>
      </c>
      <c r="L331" s="6">
        <v>100.69</v>
      </c>
      <c r="M331" s="6">
        <v>226.14</v>
      </c>
      <c r="N331" s="8">
        <v>6.5000000000000002E-2</v>
      </c>
      <c r="O331" s="6">
        <v>12</v>
      </c>
      <c r="P331" s="7" t="str">
        <f t="shared" si="41"/>
        <v>Austin</v>
      </c>
      <c r="Q331" s="7" t="str">
        <f t="shared" si="42"/>
        <v>H. Kim</v>
      </c>
      <c r="R331" s="7" t="str">
        <f t="shared" si="43"/>
        <v>Distributor</v>
      </c>
      <c r="S331" t="str">
        <f t="shared" si="48"/>
        <v>OK</v>
      </c>
      <c r="T331" s="8" t="str">
        <f t="shared" si="44"/>
        <v>OK</v>
      </c>
      <c r="U331" t="str">
        <f t="shared" si="45"/>
        <v>OK</v>
      </c>
      <c r="V331">
        <f t="shared" si="46"/>
        <v>12</v>
      </c>
      <c r="W331" s="4">
        <f t="shared" si="47"/>
        <v>45680</v>
      </c>
    </row>
    <row r="332" spans="1:23" hidden="1" x14ac:dyDescent="0.25">
      <c r="A332" t="s">
        <v>345</v>
      </c>
      <c r="B332" s="4">
        <v>45914</v>
      </c>
      <c r="C332" s="4">
        <v>45926</v>
      </c>
      <c r="D332" t="s">
        <v>649</v>
      </c>
      <c r="E332" t="s">
        <v>658</v>
      </c>
      <c r="F332" t="s">
        <v>683</v>
      </c>
      <c r="G332" t="s">
        <v>705</v>
      </c>
      <c r="H332" t="s">
        <v>711</v>
      </c>
      <c r="I332" t="s">
        <v>725</v>
      </c>
      <c r="J332" t="s">
        <v>729</v>
      </c>
      <c r="K332" t="s">
        <v>1065</v>
      </c>
      <c r="L332" s="6">
        <v>425.15</v>
      </c>
      <c r="M332" s="6">
        <v>885.92</v>
      </c>
      <c r="N332" s="8">
        <v>0.23899999999999999</v>
      </c>
      <c r="O332" s="6">
        <v>13</v>
      </c>
      <c r="P332" s="7" t="str">
        <f t="shared" si="41"/>
        <v>London</v>
      </c>
      <c r="Q332" s="7" t="str">
        <f t="shared" si="42"/>
        <v>N. Brown</v>
      </c>
      <c r="R332" s="7" t="str">
        <f t="shared" si="43"/>
        <v>Direct</v>
      </c>
      <c r="S332" t="str">
        <f t="shared" si="48"/>
        <v>OK</v>
      </c>
      <c r="T332" s="8" t="str">
        <f t="shared" si="44"/>
        <v>OK</v>
      </c>
      <c r="U332" t="str">
        <f t="shared" si="45"/>
        <v>OK</v>
      </c>
      <c r="V332">
        <f t="shared" si="46"/>
        <v>12</v>
      </c>
      <c r="W332" s="4">
        <f t="shared" si="47"/>
        <v>45926</v>
      </c>
    </row>
    <row r="333" spans="1:23" hidden="1" x14ac:dyDescent="0.25">
      <c r="A333" t="s">
        <v>346</v>
      </c>
      <c r="B333" s="4">
        <v>45168</v>
      </c>
      <c r="C333" s="4">
        <v>45172</v>
      </c>
      <c r="D333" t="s">
        <v>647</v>
      </c>
      <c r="E333" t="s">
        <v>654</v>
      </c>
      <c r="F333" t="s">
        <v>680</v>
      </c>
      <c r="G333" t="s">
        <v>705</v>
      </c>
      <c r="H333" t="s">
        <v>709</v>
      </c>
      <c r="I333" t="s">
        <v>716</v>
      </c>
      <c r="J333" t="s">
        <v>733</v>
      </c>
      <c r="K333" t="s">
        <v>1066</v>
      </c>
      <c r="L333" s="6">
        <v>1082.25</v>
      </c>
      <c r="M333" s="6">
        <v>2433.34</v>
      </c>
      <c r="N333" s="8">
        <v>0.27</v>
      </c>
      <c r="O333" s="6">
        <v>4</v>
      </c>
      <c r="P333" s="7" t="str">
        <f t="shared" si="41"/>
        <v>Delhi</v>
      </c>
      <c r="Q333" s="7" t="str">
        <f t="shared" si="42"/>
        <v>L. Okafor</v>
      </c>
      <c r="R333" s="7" t="str">
        <f t="shared" si="43"/>
        <v>Marketplace</v>
      </c>
      <c r="S333" t="str">
        <f t="shared" si="48"/>
        <v>OK</v>
      </c>
      <c r="T333" s="8" t="str">
        <f t="shared" si="44"/>
        <v>OK</v>
      </c>
      <c r="U333" t="str">
        <f t="shared" si="45"/>
        <v>OK</v>
      </c>
      <c r="V333">
        <f t="shared" si="46"/>
        <v>4</v>
      </c>
      <c r="W333" s="4">
        <f t="shared" si="47"/>
        <v>45172</v>
      </c>
    </row>
    <row r="334" spans="1:23" hidden="1" x14ac:dyDescent="0.25">
      <c r="A334" t="s">
        <v>347</v>
      </c>
      <c r="B334" s="4">
        <v>45245</v>
      </c>
      <c r="C334" s="4">
        <v>45266</v>
      </c>
      <c r="D334" t="s">
        <v>649</v>
      </c>
      <c r="E334" t="s">
        <v>658</v>
      </c>
      <c r="F334" t="s">
        <v>693</v>
      </c>
      <c r="G334" t="s">
        <v>702</v>
      </c>
      <c r="H334" t="s">
        <v>711</v>
      </c>
      <c r="I334" t="s">
        <v>722</v>
      </c>
      <c r="J334" t="s">
        <v>733</v>
      </c>
      <c r="K334" t="s">
        <v>1067</v>
      </c>
      <c r="L334" s="6">
        <v>1184.99</v>
      </c>
      <c r="M334" s="6">
        <v>1154.3399999999999</v>
      </c>
      <c r="N334" s="8">
        <v>2.8000000000000001E-2</v>
      </c>
      <c r="O334" s="6">
        <v>5</v>
      </c>
      <c r="P334" s="7" t="str">
        <f t="shared" si="41"/>
        <v>Manchester</v>
      </c>
      <c r="Q334" s="7" t="str">
        <f t="shared" si="42"/>
        <v>H. Kim</v>
      </c>
      <c r="R334" s="7" t="str">
        <f t="shared" si="43"/>
        <v>Direct</v>
      </c>
      <c r="S334" t="str">
        <f t="shared" si="48"/>
        <v>OK</v>
      </c>
      <c r="T334" s="8" t="str">
        <f t="shared" si="44"/>
        <v>OK</v>
      </c>
      <c r="U334" t="str">
        <f t="shared" si="45"/>
        <v>OK</v>
      </c>
      <c r="V334">
        <f t="shared" si="46"/>
        <v>21</v>
      </c>
      <c r="W334" s="4">
        <f t="shared" si="47"/>
        <v>45266</v>
      </c>
    </row>
    <row r="335" spans="1:23" hidden="1" x14ac:dyDescent="0.25">
      <c r="A335" t="s">
        <v>348</v>
      </c>
      <c r="B335" s="4">
        <v>45774</v>
      </c>
      <c r="C335" s="4">
        <v>45804</v>
      </c>
      <c r="D335" t="s">
        <v>647</v>
      </c>
      <c r="E335" t="s">
        <v>654</v>
      </c>
      <c r="F335" t="s">
        <v>1367</v>
      </c>
      <c r="G335" t="s">
        <v>706</v>
      </c>
      <c r="H335" t="s">
        <v>709</v>
      </c>
      <c r="I335" t="s">
        <v>722</v>
      </c>
      <c r="J335" t="s">
        <v>730</v>
      </c>
      <c r="K335" t="s">
        <v>1068</v>
      </c>
      <c r="L335" s="6">
        <v>481.32</v>
      </c>
      <c r="M335" s="6">
        <v>1135.99</v>
      </c>
      <c r="N335" s="8">
        <v>0.14499999999999999</v>
      </c>
      <c r="O335" s="6">
        <v>5</v>
      </c>
      <c r="P335" s="7" t="str">
        <f t="shared" si="41"/>
        <v>Unknown</v>
      </c>
      <c r="Q335" s="7" t="str">
        <f t="shared" si="42"/>
        <v>H. Kim</v>
      </c>
      <c r="R335" s="7" t="str">
        <f t="shared" si="43"/>
        <v>Marketplace</v>
      </c>
      <c r="S335" t="str">
        <f t="shared" si="48"/>
        <v>OK</v>
      </c>
      <c r="T335" s="8" t="str">
        <f t="shared" si="44"/>
        <v>OK</v>
      </c>
      <c r="U335" t="str">
        <f t="shared" si="45"/>
        <v>OK</v>
      </c>
      <c r="V335">
        <f t="shared" si="46"/>
        <v>30</v>
      </c>
      <c r="W335" s="4">
        <f t="shared" si="47"/>
        <v>45804</v>
      </c>
    </row>
    <row r="336" spans="1:23" hidden="1" x14ac:dyDescent="0.25">
      <c r="A336" t="s">
        <v>349</v>
      </c>
      <c r="B336" s="4">
        <v>45391</v>
      </c>
      <c r="C336" s="4">
        <v>45400</v>
      </c>
      <c r="D336" t="s">
        <v>649</v>
      </c>
      <c r="E336" t="s">
        <v>657</v>
      </c>
      <c r="F336" t="s">
        <v>679</v>
      </c>
      <c r="G336" t="s">
        <v>704</v>
      </c>
      <c r="H336" t="s">
        <v>708</v>
      </c>
      <c r="I336" t="s">
        <v>718</v>
      </c>
      <c r="J336" t="s">
        <v>728</v>
      </c>
      <c r="K336" t="s">
        <v>1069</v>
      </c>
      <c r="L336" s="6">
        <v>1288.8499999999999</v>
      </c>
      <c r="M336" s="6">
        <v>2751.84</v>
      </c>
      <c r="N336" s="8">
        <v>0.158</v>
      </c>
      <c r="O336" s="6">
        <v>7</v>
      </c>
      <c r="P336" s="7" t="str">
        <f t="shared" si="41"/>
        <v>Lyon</v>
      </c>
      <c r="Q336" s="7" t="str">
        <f t="shared" si="42"/>
        <v>E. Garcia</v>
      </c>
      <c r="R336" s="7" t="str">
        <f t="shared" si="43"/>
        <v>Online</v>
      </c>
      <c r="S336" t="str">
        <f t="shared" si="48"/>
        <v>OK</v>
      </c>
      <c r="T336" s="8" t="str">
        <f t="shared" si="44"/>
        <v>OK</v>
      </c>
      <c r="U336" t="str">
        <f t="shared" si="45"/>
        <v>OK</v>
      </c>
      <c r="V336">
        <f t="shared" si="46"/>
        <v>9</v>
      </c>
      <c r="W336" s="4">
        <f t="shared" si="47"/>
        <v>45400</v>
      </c>
    </row>
    <row r="337" spans="1:23" hidden="1" x14ac:dyDescent="0.25">
      <c r="A337" t="s">
        <v>350</v>
      </c>
      <c r="B337" s="4">
        <v>45484</v>
      </c>
      <c r="C337" s="4">
        <v>45504</v>
      </c>
      <c r="D337" t="s">
        <v>647</v>
      </c>
      <c r="E337" t="s">
        <v>659</v>
      </c>
      <c r="F337" t="s">
        <v>676</v>
      </c>
      <c r="G337" t="s">
        <v>704</v>
      </c>
      <c r="H337" t="s">
        <v>708</v>
      </c>
      <c r="I337" t="s">
        <v>715</v>
      </c>
      <c r="J337" t="s">
        <v>730</v>
      </c>
      <c r="K337" t="s">
        <v>1070</v>
      </c>
      <c r="L337" s="6">
        <v>647.26</v>
      </c>
      <c r="M337" s="6">
        <v>1374.72</v>
      </c>
      <c r="N337" s="8">
        <v>6.6000000000000003E-2</v>
      </c>
      <c r="O337" s="6">
        <v>22</v>
      </c>
      <c r="P337" s="7" t="str">
        <f t="shared" si="41"/>
        <v>Shenzhen</v>
      </c>
      <c r="Q337" s="7" t="str">
        <f t="shared" si="42"/>
        <v>G. Dubois</v>
      </c>
      <c r="R337" s="7" t="str">
        <f t="shared" si="43"/>
        <v>Online</v>
      </c>
      <c r="S337" t="str">
        <f t="shared" si="48"/>
        <v>OK</v>
      </c>
      <c r="T337" s="8" t="str">
        <f t="shared" si="44"/>
        <v>OK</v>
      </c>
      <c r="U337" t="str">
        <f t="shared" si="45"/>
        <v>OK</v>
      </c>
      <c r="V337">
        <f t="shared" si="46"/>
        <v>20</v>
      </c>
      <c r="W337" s="4">
        <f t="shared" si="47"/>
        <v>45504</v>
      </c>
    </row>
    <row r="338" spans="1:23" hidden="1" x14ac:dyDescent="0.25">
      <c r="A338" t="s">
        <v>351</v>
      </c>
      <c r="B338" s="4">
        <v>45340</v>
      </c>
      <c r="C338" s="4">
        <v>45354</v>
      </c>
      <c r="D338" t="s">
        <v>648</v>
      </c>
      <c r="E338" t="s">
        <v>655</v>
      </c>
      <c r="F338" t="s">
        <v>1367</v>
      </c>
      <c r="G338" t="s">
        <v>706</v>
      </c>
      <c r="H338" t="s">
        <v>710</v>
      </c>
      <c r="I338" t="s">
        <v>720</v>
      </c>
      <c r="J338" t="s">
        <v>728</v>
      </c>
      <c r="K338" t="s">
        <v>1071</v>
      </c>
      <c r="L338" s="6">
        <v>624.23</v>
      </c>
      <c r="M338" s="6">
        <v>1318.37</v>
      </c>
      <c r="N338" s="8">
        <v>0.21</v>
      </c>
      <c r="O338" s="6">
        <v>37</v>
      </c>
      <c r="P338" s="7" t="str">
        <f t="shared" si="41"/>
        <v>Unknown</v>
      </c>
      <c r="Q338" s="7" t="str">
        <f t="shared" si="42"/>
        <v>A. Patel</v>
      </c>
      <c r="R338" s="7" t="str">
        <f t="shared" si="43"/>
        <v>Distributor</v>
      </c>
      <c r="S338" t="str">
        <f t="shared" si="48"/>
        <v>OK</v>
      </c>
      <c r="T338" s="8" t="str">
        <f t="shared" si="44"/>
        <v>OK</v>
      </c>
      <c r="U338" t="str">
        <f t="shared" si="45"/>
        <v>OK</v>
      </c>
      <c r="V338">
        <f t="shared" si="46"/>
        <v>14</v>
      </c>
      <c r="W338" s="4">
        <f t="shared" si="47"/>
        <v>45354</v>
      </c>
    </row>
    <row r="339" spans="1:23" hidden="1" x14ac:dyDescent="0.25">
      <c r="A339" t="s">
        <v>352</v>
      </c>
      <c r="B339" s="4">
        <v>45132</v>
      </c>
      <c r="C339" s="4">
        <v>45148</v>
      </c>
      <c r="D339" t="s">
        <v>646</v>
      </c>
      <c r="E339" t="s">
        <v>651</v>
      </c>
      <c r="F339" t="s">
        <v>663</v>
      </c>
      <c r="G339" t="s">
        <v>701</v>
      </c>
      <c r="H339" t="s">
        <v>710</v>
      </c>
      <c r="I339" t="s">
        <v>714</v>
      </c>
      <c r="J339" t="s">
        <v>733</v>
      </c>
      <c r="K339" t="s">
        <v>1072</v>
      </c>
      <c r="L339" s="6">
        <v>506.83</v>
      </c>
      <c r="M339" s="6">
        <v>441.74</v>
      </c>
      <c r="N339" s="8">
        <v>0.24</v>
      </c>
      <c r="O339" s="6">
        <v>9</v>
      </c>
      <c r="P339" s="7" t="str">
        <f t="shared" si="41"/>
        <v>Port Harcourt</v>
      </c>
      <c r="Q339" s="7" t="str">
        <f t="shared" si="42"/>
        <v>I. Johnson</v>
      </c>
      <c r="R339" s="7" t="str">
        <f t="shared" si="43"/>
        <v>Distributor</v>
      </c>
      <c r="S339" t="str">
        <f t="shared" si="48"/>
        <v>OK</v>
      </c>
      <c r="T339" s="8" t="str">
        <f t="shared" si="44"/>
        <v>OK</v>
      </c>
      <c r="U339" t="str">
        <f t="shared" si="45"/>
        <v>OK</v>
      </c>
      <c r="V339">
        <f t="shared" si="46"/>
        <v>16</v>
      </c>
      <c r="W339" s="4">
        <f t="shared" si="47"/>
        <v>45148</v>
      </c>
    </row>
    <row r="340" spans="1:23" hidden="1" x14ac:dyDescent="0.25">
      <c r="A340" t="s">
        <v>353</v>
      </c>
      <c r="B340" s="4">
        <v>45121</v>
      </c>
      <c r="C340" s="4">
        <v>45128</v>
      </c>
      <c r="D340" t="s">
        <v>646</v>
      </c>
      <c r="E340" t="s">
        <v>661</v>
      </c>
      <c r="F340" t="s">
        <v>687</v>
      </c>
      <c r="G340" t="s">
        <v>706</v>
      </c>
      <c r="H340" t="s">
        <v>709</v>
      </c>
      <c r="I340" t="s">
        <v>1368</v>
      </c>
      <c r="J340" t="s">
        <v>732</v>
      </c>
      <c r="K340" t="s">
        <v>1073</v>
      </c>
      <c r="L340" s="6">
        <v>620.74</v>
      </c>
      <c r="M340" s="6">
        <v>1330.07</v>
      </c>
      <c r="N340" s="8">
        <v>0.29899999999999999</v>
      </c>
      <c r="O340" s="6">
        <v>28</v>
      </c>
      <c r="P340" s="7" t="str">
        <f t="shared" si="41"/>
        <v>Durban</v>
      </c>
      <c r="Q340" s="7" t="str">
        <f t="shared" si="42"/>
        <v>Unassigned</v>
      </c>
      <c r="R340" s="7" t="str">
        <f t="shared" si="43"/>
        <v>Marketplace</v>
      </c>
      <c r="S340" t="str">
        <f t="shared" si="48"/>
        <v>OK</v>
      </c>
      <c r="T340" s="8" t="str">
        <f t="shared" si="44"/>
        <v>OK</v>
      </c>
      <c r="U340" t="str">
        <f t="shared" si="45"/>
        <v>OK</v>
      </c>
      <c r="V340">
        <f t="shared" si="46"/>
        <v>7</v>
      </c>
      <c r="W340" s="4">
        <f t="shared" si="47"/>
        <v>45128</v>
      </c>
    </row>
    <row r="341" spans="1:23" hidden="1" x14ac:dyDescent="0.25">
      <c r="A341" t="s">
        <v>354</v>
      </c>
      <c r="B341" s="4">
        <v>45131</v>
      </c>
      <c r="C341" s="4">
        <v>45157</v>
      </c>
      <c r="D341" t="s">
        <v>646</v>
      </c>
      <c r="E341" t="s">
        <v>650</v>
      </c>
      <c r="F341" t="s">
        <v>664</v>
      </c>
      <c r="G341" t="s">
        <v>706</v>
      </c>
      <c r="H341" t="s">
        <v>710</v>
      </c>
      <c r="I341" t="s">
        <v>724</v>
      </c>
      <c r="J341" t="s">
        <v>733</v>
      </c>
      <c r="K341" t="s">
        <v>1074</v>
      </c>
      <c r="L341" s="6">
        <v>661.45</v>
      </c>
      <c r="M341" s="6">
        <v>1634.86</v>
      </c>
      <c r="N341" s="8">
        <v>0.3</v>
      </c>
      <c r="O341" s="6">
        <v>24</v>
      </c>
      <c r="P341" s="7" t="str">
        <f t="shared" si="41"/>
        <v>Nairobi</v>
      </c>
      <c r="Q341" s="7" t="str">
        <f t="shared" si="42"/>
        <v>M. Rossi</v>
      </c>
      <c r="R341" s="7" t="str">
        <f t="shared" si="43"/>
        <v>Distributor</v>
      </c>
      <c r="S341" t="str">
        <f t="shared" si="48"/>
        <v>OK</v>
      </c>
      <c r="T341" s="8" t="str">
        <f t="shared" si="44"/>
        <v>OK</v>
      </c>
      <c r="U341" t="str">
        <f t="shared" si="45"/>
        <v>OK</v>
      </c>
      <c r="V341">
        <f t="shared" si="46"/>
        <v>26</v>
      </c>
      <c r="W341" s="4">
        <f t="shared" si="47"/>
        <v>45157</v>
      </c>
    </row>
    <row r="342" spans="1:23" hidden="1" x14ac:dyDescent="0.25">
      <c r="A342" t="s">
        <v>355</v>
      </c>
      <c r="B342" s="4">
        <v>45029</v>
      </c>
      <c r="C342" s="4">
        <v>45044</v>
      </c>
      <c r="D342" t="s">
        <v>648</v>
      </c>
      <c r="E342" t="s">
        <v>660</v>
      </c>
      <c r="F342" t="s">
        <v>686</v>
      </c>
      <c r="G342" t="s">
        <v>702</v>
      </c>
      <c r="H342" t="s">
        <v>709</v>
      </c>
      <c r="I342" t="s">
        <v>715</v>
      </c>
      <c r="J342" t="s">
        <v>729</v>
      </c>
      <c r="K342" t="s">
        <v>1075</v>
      </c>
      <c r="L342" s="6">
        <v>32.1</v>
      </c>
      <c r="M342" s="6">
        <v>70.599999999999994</v>
      </c>
      <c r="N342" s="8">
        <v>0.28199999999999997</v>
      </c>
      <c r="O342" s="6">
        <v>22</v>
      </c>
      <c r="P342" s="7" t="str">
        <f t="shared" si="41"/>
        <v>San Francisco</v>
      </c>
      <c r="Q342" s="7" t="str">
        <f t="shared" si="42"/>
        <v>G. Dubois</v>
      </c>
      <c r="R342" s="7" t="str">
        <f t="shared" si="43"/>
        <v>Marketplace</v>
      </c>
      <c r="S342" t="str">
        <f t="shared" si="48"/>
        <v>OK</v>
      </c>
      <c r="T342" s="8" t="str">
        <f t="shared" si="44"/>
        <v>OK</v>
      </c>
      <c r="U342" t="str">
        <f t="shared" si="45"/>
        <v>OK</v>
      </c>
      <c r="V342">
        <f t="shared" si="46"/>
        <v>15</v>
      </c>
      <c r="W342" s="4">
        <f t="shared" si="47"/>
        <v>45044</v>
      </c>
    </row>
    <row r="343" spans="1:23" hidden="1" x14ac:dyDescent="0.25">
      <c r="A343" t="s">
        <v>356</v>
      </c>
      <c r="B343" s="4">
        <v>45594</v>
      </c>
      <c r="C343" s="4">
        <v>45600</v>
      </c>
      <c r="D343" t="s">
        <v>646</v>
      </c>
      <c r="E343" t="s">
        <v>650</v>
      </c>
      <c r="F343" t="s">
        <v>664</v>
      </c>
      <c r="G343" t="s">
        <v>701</v>
      </c>
      <c r="H343" t="s">
        <v>710</v>
      </c>
      <c r="I343" t="s">
        <v>724</v>
      </c>
      <c r="J343" t="s">
        <v>728</v>
      </c>
      <c r="K343" t="s">
        <v>1076</v>
      </c>
      <c r="L343" s="6">
        <v>805.81</v>
      </c>
      <c r="M343" s="6">
        <v>1823.04</v>
      </c>
      <c r="N343" s="8">
        <v>0</v>
      </c>
      <c r="O343" s="6">
        <v>11</v>
      </c>
      <c r="P343" s="7" t="str">
        <f t="shared" si="41"/>
        <v>Nairobi</v>
      </c>
      <c r="Q343" s="7" t="str">
        <f t="shared" si="42"/>
        <v>M. Rossi</v>
      </c>
      <c r="R343" s="7" t="str">
        <f t="shared" si="43"/>
        <v>Distributor</v>
      </c>
      <c r="S343" t="str">
        <f t="shared" si="48"/>
        <v>OK</v>
      </c>
      <c r="T343" s="8" t="str">
        <f t="shared" si="44"/>
        <v>OK</v>
      </c>
      <c r="U343" t="str">
        <f t="shared" si="45"/>
        <v>OK</v>
      </c>
      <c r="V343">
        <f t="shared" si="46"/>
        <v>6</v>
      </c>
      <c r="W343" s="4">
        <f t="shared" si="47"/>
        <v>45600</v>
      </c>
    </row>
    <row r="344" spans="1:23" hidden="1" x14ac:dyDescent="0.25">
      <c r="A344" t="s">
        <v>357</v>
      </c>
      <c r="B344" s="4">
        <v>45339</v>
      </c>
      <c r="C344" s="4">
        <v>45355</v>
      </c>
      <c r="D344" t="s">
        <v>647</v>
      </c>
      <c r="E344" t="s">
        <v>654</v>
      </c>
      <c r="F344" t="s">
        <v>680</v>
      </c>
      <c r="G344" t="s">
        <v>705</v>
      </c>
      <c r="H344" t="s">
        <v>709</v>
      </c>
      <c r="I344" t="s">
        <v>721</v>
      </c>
      <c r="J344" t="s">
        <v>730</v>
      </c>
      <c r="K344" t="s">
        <v>1077</v>
      </c>
      <c r="L344" s="6">
        <v>1231.8</v>
      </c>
      <c r="M344" s="6">
        <v>2015.99</v>
      </c>
      <c r="N344" s="8">
        <v>0.26100000000000001</v>
      </c>
      <c r="O344" s="6">
        <v>6</v>
      </c>
      <c r="P344" s="7" t="str">
        <f t="shared" si="41"/>
        <v>Delhi</v>
      </c>
      <c r="Q344" s="7" t="str">
        <f t="shared" si="42"/>
        <v>F. Müller</v>
      </c>
      <c r="R344" s="7" t="str">
        <f t="shared" si="43"/>
        <v>Marketplace</v>
      </c>
      <c r="S344" t="str">
        <f t="shared" si="48"/>
        <v>OK</v>
      </c>
      <c r="T344" s="8" t="str">
        <f t="shared" si="44"/>
        <v>OK</v>
      </c>
      <c r="U344" t="str">
        <f t="shared" si="45"/>
        <v>OK</v>
      </c>
      <c r="V344">
        <f t="shared" si="46"/>
        <v>16</v>
      </c>
      <c r="W344" s="4">
        <f t="shared" si="47"/>
        <v>45355</v>
      </c>
    </row>
    <row r="345" spans="1:23" hidden="1" x14ac:dyDescent="0.25">
      <c r="A345" t="s">
        <v>358</v>
      </c>
      <c r="B345" s="4">
        <v>45486</v>
      </c>
      <c r="C345" s="4">
        <v>45501</v>
      </c>
      <c r="D345" t="s">
        <v>647</v>
      </c>
      <c r="E345" t="s">
        <v>652</v>
      </c>
      <c r="F345" t="s">
        <v>694</v>
      </c>
      <c r="G345" t="s">
        <v>705</v>
      </c>
      <c r="H345" t="s">
        <v>709</v>
      </c>
      <c r="I345" t="s">
        <v>721</v>
      </c>
      <c r="J345" t="s">
        <v>729</v>
      </c>
      <c r="K345" t="s">
        <v>1078</v>
      </c>
      <c r="L345" s="6">
        <v>105.13</v>
      </c>
      <c r="M345" s="6">
        <v>244.13</v>
      </c>
      <c r="N345" s="8">
        <v>7.0999999999999994E-2</v>
      </c>
      <c r="O345" s="6">
        <v>14</v>
      </c>
      <c r="P345" s="7" t="str">
        <f t="shared" si="41"/>
        <v>Nagoya</v>
      </c>
      <c r="Q345" s="7" t="str">
        <f t="shared" si="42"/>
        <v>F. Müller</v>
      </c>
      <c r="R345" s="7" t="str">
        <f t="shared" si="43"/>
        <v>Marketplace</v>
      </c>
      <c r="S345" t="str">
        <f t="shared" si="48"/>
        <v>OK</v>
      </c>
      <c r="T345" s="8" t="str">
        <f t="shared" si="44"/>
        <v>OK</v>
      </c>
      <c r="U345" t="str">
        <f t="shared" si="45"/>
        <v>OK</v>
      </c>
      <c r="V345">
        <f t="shared" si="46"/>
        <v>15</v>
      </c>
      <c r="W345" s="4">
        <f t="shared" si="47"/>
        <v>45501</v>
      </c>
    </row>
    <row r="346" spans="1:23" hidden="1" x14ac:dyDescent="0.25">
      <c r="A346" t="s">
        <v>359</v>
      </c>
      <c r="B346" s="4">
        <v>45261</v>
      </c>
      <c r="C346" s="4">
        <v>45278</v>
      </c>
      <c r="D346" t="s">
        <v>647</v>
      </c>
      <c r="E346" t="s">
        <v>652</v>
      </c>
      <c r="F346" t="s">
        <v>694</v>
      </c>
      <c r="G346" t="s">
        <v>705</v>
      </c>
      <c r="H346" t="s">
        <v>711</v>
      </c>
      <c r="I346" t="s">
        <v>725</v>
      </c>
      <c r="J346" t="s">
        <v>731</v>
      </c>
      <c r="K346" t="s">
        <v>1079</v>
      </c>
      <c r="L346" s="6">
        <v>1495.79</v>
      </c>
      <c r="M346" s="6">
        <v>2783.12</v>
      </c>
      <c r="N346" s="8">
        <v>0.02</v>
      </c>
      <c r="O346" s="6">
        <v>5</v>
      </c>
      <c r="P346" s="7" t="str">
        <f t="shared" si="41"/>
        <v>Nagoya</v>
      </c>
      <c r="Q346" s="7" t="str">
        <f t="shared" si="42"/>
        <v>N. Brown</v>
      </c>
      <c r="R346" s="7" t="str">
        <f t="shared" si="43"/>
        <v>Direct</v>
      </c>
      <c r="S346" t="str">
        <f t="shared" si="48"/>
        <v>OK</v>
      </c>
      <c r="T346" s="8" t="str">
        <f t="shared" si="44"/>
        <v>OK</v>
      </c>
      <c r="U346" t="str">
        <f t="shared" si="45"/>
        <v>OK</v>
      </c>
      <c r="V346">
        <f t="shared" si="46"/>
        <v>17</v>
      </c>
      <c r="W346" s="4">
        <f t="shared" si="47"/>
        <v>45278</v>
      </c>
    </row>
    <row r="347" spans="1:23" hidden="1" x14ac:dyDescent="0.25">
      <c r="A347" t="s">
        <v>360</v>
      </c>
      <c r="B347" s="4">
        <v>45498</v>
      </c>
      <c r="C347" s="4">
        <v>45506</v>
      </c>
      <c r="D347" t="s">
        <v>648</v>
      </c>
      <c r="E347" t="s">
        <v>653</v>
      </c>
      <c r="F347" t="s">
        <v>681</v>
      </c>
      <c r="G347" t="s">
        <v>704</v>
      </c>
      <c r="H347" t="s">
        <v>711</v>
      </c>
      <c r="I347" t="s">
        <v>713</v>
      </c>
      <c r="J347" t="s">
        <v>733</v>
      </c>
      <c r="K347" t="s">
        <v>1080</v>
      </c>
      <c r="L347" s="6">
        <v>986.81</v>
      </c>
      <c r="M347" s="6">
        <v>2050.31</v>
      </c>
      <c r="N347" s="8">
        <v>0.10299999999999999</v>
      </c>
      <c r="O347" s="6">
        <v>43</v>
      </c>
      <c r="P347" s="7" t="str">
        <f t="shared" si="41"/>
        <v>Montreal</v>
      </c>
      <c r="Q347" s="7" t="str">
        <f t="shared" si="42"/>
        <v>J. Njeri</v>
      </c>
      <c r="R347" s="7" t="str">
        <f t="shared" si="43"/>
        <v>Direct</v>
      </c>
      <c r="S347" t="str">
        <f t="shared" si="48"/>
        <v>OK</v>
      </c>
      <c r="T347" s="8" t="str">
        <f t="shared" si="44"/>
        <v>OK</v>
      </c>
      <c r="U347" t="str">
        <f t="shared" si="45"/>
        <v>OK</v>
      </c>
      <c r="V347">
        <f t="shared" si="46"/>
        <v>8</v>
      </c>
      <c r="W347" s="4">
        <f t="shared" si="47"/>
        <v>45506</v>
      </c>
    </row>
    <row r="348" spans="1:23" hidden="1" x14ac:dyDescent="0.25">
      <c r="A348" t="s">
        <v>361</v>
      </c>
      <c r="B348" s="4">
        <v>45050</v>
      </c>
      <c r="C348" s="4">
        <v>45062</v>
      </c>
      <c r="D348" t="s">
        <v>646</v>
      </c>
      <c r="E348" t="s">
        <v>651</v>
      </c>
      <c r="F348" t="s">
        <v>669</v>
      </c>
      <c r="G348" t="s">
        <v>705</v>
      </c>
      <c r="H348" t="s">
        <v>709</v>
      </c>
      <c r="I348" t="s">
        <v>713</v>
      </c>
      <c r="J348" t="s">
        <v>730</v>
      </c>
      <c r="K348" t="s">
        <v>1081</v>
      </c>
      <c r="L348" s="6">
        <v>77.739999999999995</v>
      </c>
      <c r="M348" s="6">
        <v>147.12</v>
      </c>
      <c r="N348" s="8">
        <v>0</v>
      </c>
      <c r="O348" s="6">
        <v>15</v>
      </c>
      <c r="P348" s="7" t="str">
        <f t="shared" si="41"/>
        <v>Abuja</v>
      </c>
      <c r="Q348" s="7" t="str">
        <f t="shared" si="42"/>
        <v>J. Njeri</v>
      </c>
      <c r="R348" s="7" t="str">
        <f t="shared" si="43"/>
        <v>Marketplace</v>
      </c>
      <c r="S348" t="str">
        <f t="shared" si="48"/>
        <v>OK</v>
      </c>
      <c r="T348" s="8" t="str">
        <f t="shared" si="44"/>
        <v>OK</v>
      </c>
      <c r="U348" t="str">
        <f t="shared" si="45"/>
        <v>OK</v>
      </c>
      <c r="V348">
        <f t="shared" si="46"/>
        <v>12</v>
      </c>
      <c r="W348" s="4">
        <f t="shared" si="47"/>
        <v>45062</v>
      </c>
    </row>
    <row r="349" spans="1:23" hidden="1" x14ac:dyDescent="0.25">
      <c r="A349" t="s">
        <v>362</v>
      </c>
      <c r="B349" s="4">
        <v>45281</v>
      </c>
      <c r="C349" s="4">
        <v>45297</v>
      </c>
      <c r="D349" t="s">
        <v>646</v>
      </c>
      <c r="E349" t="s">
        <v>651</v>
      </c>
      <c r="F349" t="s">
        <v>1367</v>
      </c>
      <c r="G349" t="s">
        <v>701</v>
      </c>
      <c r="H349" t="s">
        <v>709</v>
      </c>
      <c r="I349" t="s">
        <v>723</v>
      </c>
      <c r="J349" t="s">
        <v>727</v>
      </c>
      <c r="K349" t="s">
        <v>1082</v>
      </c>
      <c r="L349" s="6">
        <v>932.61</v>
      </c>
      <c r="M349" s="6">
        <v>1982.98</v>
      </c>
      <c r="N349" s="8">
        <v>0.14399999999999999</v>
      </c>
      <c r="O349" s="6">
        <v>16</v>
      </c>
      <c r="P349" s="7" t="str">
        <f t="shared" si="41"/>
        <v>Unknown</v>
      </c>
      <c r="Q349" s="7" t="str">
        <f t="shared" si="42"/>
        <v>K. Singh</v>
      </c>
      <c r="R349" s="7" t="str">
        <f t="shared" si="43"/>
        <v>Marketplace</v>
      </c>
      <c r="S349" t="str">
        <f t="shared" si="48"/>
        <v>OK</v>
      </c>
      <c r="T349" s="8" t="str">
        <f t="shared" si="44"/>
        <v>OK</v>
      </c>
      <c r="U349" t="str">
        <f t="shared" si="45"/>
        <v>OK</v>
      </c>
      <c r="V349">
        <f t="shared" si="46"/>
        <v>16</v>
      </c>
      <c r="W349" s="4">
        <f t="shared" si="47"/>
        <v>45297</v>
      </c>
    </row>
    <row r="350" spans="1:23" hidden="1" x14ac:dyDescent="0.25">
      <c r="A350" t="s">
        <v>363</v>
      </c>
      <c r="B350" s="4">
        <v>45825</v>
      </c>
      <c r="C350" s="4">
        <v>45843</v>
      </c>
      <c r="D350" t="s">
        <v>647</v>
      </c>
      <c r="E350" t="s">
        <v>654</v>
      </c>
      <c r="F350" t="s">
        <v>680</v>
      </c>
      <c r="G350" t="s">
        <v>704</v>
      </c>
      <c r="H350" t="s">
        <v>709</v>
      </c>
      <c r="I350" t="s">
        <v>716</v>
      </c>
      <c r="J350" t="s">
        <v>731</v>
      </c>
      <c r="K350" t="s">
        <v>1083</v>
      </c>
      <c r="L350" s="6">
        <v>982.93</v>
      </c>
      <c r="M350" s="6">
        <v>2299.3000000000002</v>
      </c>
      <c r="N350" s="8">
        <v>0.113</v>
      </c>
      <c r="O350" s="6">
        <v>6</v>
      </c>
      <c r="P350" s="7" t="str">
        <f t="shared" si="41"/>
        <v>Delhi</v>
      </c>
      <c r="Q350" s="7" t="str">
        <f t="shared" si="42"/>
        <v>L. Okafor</v>
      </c>
      <c r="R350" s="7" t="str">
        <f t="shared" si="43"/>
        <v>Marketplace</v>
      </c>
      <c r="S350" t="str">
        <f t="shared" si="48"/>
        <v>OK</v>
      </c>
      <c r="T350" s="8" t="str">
        <f t="shared" si="44"/>
        <v>OK</v>
      </c>
      <c r="U350" t="str">
        <f t="shared" si="45"/>
        <v>OK</v>
      </c>
      <c r="V350">
        <f t="shared" si="46"/>
        <v>18</v>
      </c>
      <c r="W350" s="4">
        <f t="shared" si="47"/>
        <v>45843</v>
      </c>
    </row>
    <row r="351" spans="1:23" hidden="1" x14ac:dyDescent="0.25">
      <c r="A351" t="s">
        <v>364</v>
      </c>
      <c r="B351" s="4">
        <v>44980</v>
      </c>
      <c r="C351" s="4">
        <v>44993</v>
      </c>
      <c r="D351" t="s">
        <v>649</v>
      </c>
      <c r="E351" t="s">
        <v>658</v>
      </c>
      <c r="F351" t="s">
        <v>693</v>
      </c>
      <c r="G351" t="s">
        <v>705</v>
      </c>
      <c r="H351" t="s">
        <v>711</v>
      </c>
      <c r="I351" t="s">
        <v>712</v>
      </c>
      <c r="J351" t="s">
        <v>728</v>
      </c>
      <c r="K351" t="s">
        <v>1084</v>
      </c>
      <c r="L351" s="6">
        <v>307.37</v>
      </c>
      <c r="M351" s="6">
        <v>462.61</v>
      </c>
      <c r="N351" s="8">
        <v>0.188</v>
      </c>
      <c r="O351" s="6">
        <v>11</v>
      </c>
      <c r="P351" s="7" t="str">
        <f t="shared" si="41"/>
        <v>Manchester</v>
      </c>
      <c r="Q351" s="7" t="str">
        <f t="shared" si="42"/>
        <v>C. Otieno</v>
      </c>
      <c r="R351" s="7" t="str">
        <f t="shared" si="43"/>
        <v>Direct</v>
      </c>
      <c r="S351" t="str">
        <f t="shared" si="48"/>
        <v>OK</v>
      </c>
      <c r="T351" s="8" t="str">
        <f t="shared" si="44"/>
        <v>OK</v>
      </c>
      <c r="U351" t="str">
        <f t="shared" si="45"/>
        <v>OK</v>
      </c>
      <c r="V351">
        <f t="shared" si="46"/>
        <v>13</v>
      </c>
      <c r="W351" s="4">
        <f t="shared" si="47"/>
        <v>44993</v>
      </c>
    </row>
    <row r="352" spans="1:23" hidden="1" x14ac:dyDescent="0.25">
      <c r="A352" t="s">
        <v>365</v>
      </c>
      <c r="B352" s="4">
        <v>45262</v>
      </c>
      <c r="C352" s="4">
        <v>45276</v>
      </c>
      <c r="D352" t="s">
        <v>649</v>
      </c>
      <c r="E352" t="s">
        <v>656</v>
      </c>
      <c r="F352" t="s">
        <v>698</v>
      </c>
      <c r="G352" t="s">
        <v>702</v>
      </c>
      <c r="H352" t="s">
        <v>711</v>
      </c>
      <c r="I352" t="s">
        <v>725</v>
      </c>
      <c r="J352" t="s">
        <v>732</v>
      </c>
      <c r="K352" t="s">
        <v>1085</v>
      </c>
      <c r="L352" s="6">
        <v>879.08</v>
      </c>
      <c r="M352" s="6">
        <v>1093.3900000000001</v>
      </c>
      <c r="N352" s="8">
        <v>0.113</v>
      </c>
      <c r="O352" s="6">
        <v>17</v>
      </c>
      <c r="P352" s="7" t="str">
        <f t="shared" si="41"/>
        <v>Frankfurt</v>
      </c>
      <c r="Q352" s="7" t="str">
        <f t="shared" si="42"/>
        <v>N. Brown</v>
      </c>
      <c r="R352" s="7" t="str">
        <f t="shared" si="43"/>
        <v>Direct</v>
      </c>
      <c r="S352" t="str">
        <f t="shared" si="48"/>
        <v>OK</v>
      </c>
      <c r="T352" s="8" t="str">
        <f t="shared" si="44"/>
        <v>OK</v>
      </c>
      <c r="U352" t="str">
        <f t="shared" si="45"/>
        <v>OK</v>
      </c>
      <c r="V352">
        <f t="shared" si="46"/>
        <v>14</v>
      </c>
      <c r="W352" s="4">
        <f t="shared" si="47"/>
        <v>45276</v>
      </c>
    </row>
    <row r="353" spans="1:23" hidden="1" x14ac:dyDescent="0.25">
      <c r="A353" t="s">
        <v>366</v>
      </c>
      <c r="B353" s="4">
        <v>45121</v>
      </c>
      <c r="C353" s="4">
        <v>45121</v>
      </c>
      <c r="D353" t="s">
        <v>646</v>
      </c>
      <c r="E353" t="s">
        <v>651</v>
      </c>
      <c r="F353" t="s">
        <v>665</v>
      </c>
      <c r="G353" t="s">
        <v>702</v>
      </c>
      <c r="H353" t="s">
        <v>707</v>
      </c>
      <c r="I353" t="s">
        <v>714</v>
      </c>
      <c r="J353" t="s">
        <v>733</v>
      </c>
      <c r="K353" t="s">
        <v>1086</v>
      </c>
      <c r="L353" s="6">
        <v>956.38</v>
      </c>
      <c r="M353" s="6">
        <v>1454.22</v>
      </c>
      <c r="N353" s="8">
        <v>3.9E-2</v>
      </c>
      <c r="O353" s="6">
        <v>19</v>
      </c>
      <c r="P353" s="7" t="str">
        <f t="shared" si="41"/>
        <v>Lagos</v>
      </c>
      <c r="Q353" s="7" t="str">
        <f t="shared" si="42"/>
        <v>I. Johnson</v>
      </c>
      <c r="R353" s="7" t="str">
        <f t="shared" si="43"/>
        <v>Retail</v>
      </c>
      <c r="S353" t="str">
        <f t="shared" si="48"/>
        <v>OK</v>
      </c>
      <c r="T353" s="8" t="str">
        <f t="shared" si="44"/>
        <v>OK</v>
      </c>
      <c r="U353" t="str">
        <f t="shared" si="45"/>
        <v>OK</v>
      </c>
      <c r="V353">
        <f t="shared" si="46"/>
        <v>0</v>
      </c>
      <c r="W353" s="4">
        <f t="shared" si="47"/>
        <v>45121</v>
      </c>
    </row>
    <row r="354" spans="1:23" hidden="1" x14ac:dyDescent="0.25">
      <c r="A354" t="s">
        <v>367</v>
      </c>
      <c r="B354" s="4">
        <v>45512</v>
      </c>
      <c r="C354" s="4">
        <v>45524</v>
      </c>
      <c r="D354" t="s">
        <v>647</v>
      </c>
      <c r="E354" t="s">
        <v>652</v>
      </c>
      <c r="F354" t="s">
        <v>666</v>
      </c>
      <c r="G354" t="s">
        <v>705</v>
      </c>
      <c r="H354" t="s">
        <v>707</v>
      </c>
      <c r="I354" t="s">
        <v>722</v>
      </c>
      <c r="J354" t="s">
        <v>729</v>
      </c>
      <c r="K354" t="s">
        <v>1087</v>
      </c>
      <c r="L354" s="6">
        <v>1233.3599999999999</v>
      </c>
      <c r="M354" s="6">
        <v>2120.4</v>
      </c>
      <c r="N354" s="8">
        <v>0.17899999999999999</v>
      </c>
      <c r="O354" s="6">
        <v>20</v>
      </c>
      <c r="P354" s="7" t="str">
        <f t="shared" si="41"/>
        <v>Osaka</v>
      </c>
      <c r="Q354" s="7" t="str">
        <f t="shared" si="42"/>
        <v>H. Kim</v>
      </c>
      <c r="R354" s="7" t="str">
        <f t="shared" si="43"/>
        <v>Retail</v>
      </c>
      <c r="S354" t="str">
        <f t="shared" si="48"/>
        <v>OK</v>
      </c>
      <c r="T354" s="8" t="str">
        <f t="shared" si="44"/>
        <v>OK</v>
      </c>
      <c r="U354" t="str">
        <f t="shared" si="45"/>
        <v>OK</v>
      </c>
      <c r="V354">
        <f t="shared" si="46"/>
        <v>12</v>
      </c>
      <c r="W354" s="4">
        <f t="shared" si="47"/>
        <v>45524</v>
      </c>
    </row>
    <row r="355" spans="1:23" hidden="1" x14ac:dyDescent="0.25">
      <c r="A355" t="s">
        <v>368</v>
      </c>
      <c r="B355" s="4">
        <v>45603</v>
      </c>
      <c r="C355" s="4">
        <v>45622</v>
      </c>
      <c r="D355" t="s">
        <v>648</v>
      </c>
      <c r="E355" t="s">
        <v>655</v>
      </c>
      <c r="F355" t="s">
        <v>692</v>
      </c>
      <c r="G355" t="s">
        <v>703</v>
      </c>
      <c r="H355" t="s">
        <v>710</v>
      </c>
      <c r="I355" t="s">
        <v>713</v>
      </c>
      <c r="J355" t="s">
        <v>728</v>
      </c>
      <c r="K355" t="s">
        <v>1088</v>
      </c>
      <c r="L355" s="6">
        <v>55.35</v>
      </c>
      <c r="M355" s="6">
        <v>128.68</v>
      </c>
      <c r="N355" s="8">
        <v>0.128</v>
      </c>
      <c r="O355" s="6">
        <v>10</v>
      </c>
      <c r="P355" s="7" t="str">
        <f t="shared" si="41"/>
        <v>Rio de Janeiro</v>
      </c>
      <c r="Q355" s="7" t="str">
        <f t="shared" si="42"/>
        <v>J. Njeri</v>
      </c>
      <c r="R355" s="7" t="str">
        <f t="shared" si="43"/>
        <v>Distributor</v>
      </c>
      <c r="S355" t="str">
        <f t="shared" si="48"/>
        <v>OK</v>
      </c>
      <c r="T355" s="8" t="str">
        <f t="shared" si="44"/>
        <v>OK</v>
      </c>
      <c r="U355" t="str">
        <f t="shared" si="45"/>
        <v>OK</v>
      </c>
      <c r="V355">
        <f t="shared" si="46"/>
        <v>19</v>
      </c>
      <c r="W355" s="4">
        <f t="shared" si="47"/>
        <v>45622</v>
      </c>
    </row>
    <row r="356" spans="1:23" hidden="1" x14ac:dyDescent="0.25">
      <c r="A356" t="s">
        <v>369</v>
      </c>
      <c r="B356" s="4">
        <v>45292</v>
      </c>
      <c r="C356" s="4">
        <v>45318</v>
      </c>
      <c r="D356" t="s">
        <v>649</v>
      </c>
      <c r="E356" t="s">
        <v>658</v>
      </c>
      <c r="F356" t="s">
        <v>693</v>
      </c>
      <c r="G356" t="s">
        <v>702</v>
      </c>
      <c r="H356" t="s">
        <v>710</v>
      </c>
      <c r="I356" t="s">
        <v>726</v>
      </c>
      <c r="J356" t="s">
        <v>733</v>
      </c>
      <c r="K356" t="s">
        <v>1089</v>
      </c>
      <c r="L356" s="6">
        <v>657.45</v>
      </c>
      <c r="M356" s="6">
        <v>1325.96</v>
      </c>
      <c r="N356" s="8">
        <v>0.16700000000000001</v>
      </c>
      <c r="O356" s="6">
        <v>21</v>
      </c>
      <c r="P356" s="7" t="str">
        <f t="shared" si="41"/>
        <v>Manchester</v>
      </c>
      <c r="Q356" s="7" t="str">
        <f t="shared" si="42"/>
        <v>D. Smith</v>
      </c>
      <c r="R356" s="7" t="str">
        <f t="shared" si="43"/>
        <v>Distributor</v>
      </c>
      <c r="S356" t="str">
        <f t="shared" si="48"/>
        <v>OK</v>
      </c>
      <c r="T356" s="8" t="str">
        <f t="shared" si="44"/>
        <v>OK</v>
      </c>
      <c r="U356" t="str">
        <f t="shared" si="45"/>
        <v>OK</v>
      </c>
      <c r="V356">
        <f t="shared" si="46"/>
        <v>26</v>
      </c>
      <c r="W356" s="4">
        <f t="shared" si="47"/>
        <v>45318</v>
      </c>
    </row>
    <row r="357" spans="1:23" hidden="1" x14ac:dyDescent="0.25">
      <c r="A357" t="s">
        <v>370</v>
      </c>
      <c r="B357" s="4">
        <v>45883</v>
      </c>
      <c r="C357" s="4">
        <v>45911</v>
      </c>
      <c r="D357" t="s">
        <v>648</v>
      </c>
      <c r="E357" t="s">
        <v>655</v>
      </c>
      <c r="F357" t="s">
        <v>670</v>
      </c>
      <c r="G357" t="s">
        <v>703</v>
      </c>
      <c r="H357" t="s">
        <v>711</v>
      </c>
      <c r="I357" t="s">
        <v>721</v>
      </c>
      <c r="J357" t="s">
        <v>728</v>
      </c>
      <c r="K357" t="s">
        <v>1090</v>
      </c>
      <c r="L357" s="6">
        <v>1203.02</v>
      </c>
      <c r="M357" s="6">
        <v>2439.33</v>
      </c>
      <c r="N357" s="8">
        <v>0</v>
      </c>
      <c r="O357" s="6">
        <v>18</v>
      </c>
      <c r="P357" s="7" t="str">
        <f t="shared" si="41"/>
        <v>São Paulo</v>
      </c>
      <c r="Q357" s="7" t="str">
        <f t="shared" si="42"/>
        <v>F. Müller</v>
      </c>
      <c r="R357" s="7" t="str">
        <f t="shared" si="43"/>
        <v>Direct</v>
      </c>
      <c r="S357" t="str">
        <f t="shared" si="48"/>
        <v>OK</v>
      </c>
      <c r="T357" s="8" t="str">
        <f t="shared" si="44"/>
        <v>OK</v>
      </c>
      <c r="U357" t="str">
        <f t="shared" si="45"/>
        <v>OK</v>
      </c>
      <c r="V357">
        <f t="shared" si="46"/>
        <v>28</v>
      </c>
      <c r="W357" s="4">
        <f t="shared" si="47"/>
        <v>45911</v>
      </c>
    </row>
    <row r="358" spans="1:23" hidden="1" x14ac:dyDescent="0.25">
      <c r="A358" t="s">
        <v>371</v>
      </c>
      <c r="B358" s="4">
        <v>45385</v>
      </c>
      <c r="C358" s="4">
        <v>45403</v>
      </c>
      <c r="D358" t="s">
        <v>648</v>
      </c>
      <c r="E358" t="s">
        <v>655</v>
      </c>
      <c r="F358" t="s">
        <v>672</v>
      </c>
      <c r="G358" t="s">
        <v>705</v>
      </c>
      <c r="H358" t="s">
        <v>710</v>
      </c>
      <c r="I358" t="s">
        <v>717</v>
      </c>
      <c r="J358" t="s">
        <v>729</v>
      </c>
      <c r="K358" t="s">
        <v>1091</v>
      </c>
      <c r="L358" s="6">
        <v>1176.69</v>
      </c>
      <c r="M358" s="6">
        <v>2201.54</v>
      </c>
      <c r="N358" s="8">
        <v>0.17</v>
      </c>
      <c r="O358" s="6">
        <v>27</v>
      </c>
      <c r="P358" s="7" t="str">
        <f t="shared" si="41"/>
        <v>Brasília</v>
      </c>
      <c r="Q358" s="7" t="str">
        <f t="shared" si="42"/>
        <v>B. Chen</v>
      </c>
      <c r="R358" s="7" t="str">
        <f t="shared" si="43"/>
        <v>Distributor</v>
      </c>
      <c r="S358" t="str">
        <f t="shared" si="48"/>
        <v>OK</v>
      </c>
      <c r="T358" s="8" t="str">
        <f t="shared" si="44"/>
        <v>OK</v>
      </c>
      <c r="U358" t="str">
        <f t="shared" si="45"/>
        <v>OK</v>
      </c>
      <c r="V358">
        <f t="shared" si="46"/>
        <v>18</v>
      </c>
      <c r="W358" s="4">
        <f t="shared" si="47"/>
        <v>45403</v>
      </c>
    </row>
    <row r="359" spans="1:23" hidden="1" x14ac:dyDescent="0.25">
      <c r="A359" t="s">
        <v>372</v>
      </c>
      <c r="B359" s="4">
        <v>45621</v>
      </c>
      <c r="C359" s="4">
        <v>45633</v>
      </c>
      <c r="D359" t="s">
        <v>647</v>
      </c>
      <c r="E359" t="s">
        <v>659</v>
      </c>
      <c r="F359" t="s">
        <v>685</v>
      </c>
      <c r="G359" t="s">
        <v>701</v>
      </c>
      <c r="H359" t="s">
        <v>710</v>
      </c>
      <c r="I359" t="s">
        <v>720</v>
      </c>
      <c r="J359" t="s">
        <v>733</v>
      </c>
      <c r="K359" t="s">
        <v>1092</v>
      </c>
      <c r="L359" s="6">
        <v>769.9</v>
      </c>
      <c r="M359" s="6">
        <v>814.36</v>
      </c>
      <c r="N359" s="8">
        <v>0</v>
      </c>
      <c r="O359" s="6">
        <v>5</v>
      </c>
      <c r="P359" s="7" t="str">
        <f t="shared" si="41"/>
        <v>Shanghai</v>
      </c>
      <c r="Q359" s="7" t="str">
        <f t="shared" si="42"/>
        <v>A. Patel</v>
      </c>
      <c r="R359" s="7" t="str">
        <f t="shared" si="43"/>
        <v>Distributor</v>
      </c>
      <c r="S359" t="str">
        <f t="shared" si="48"/>
        <v>OK</v>
      </c>
      <c r="T359" s="8" t="str">
        <f t="shared" si="44"/>
        <v>OK</v>
      </c>
      <c r="U359" t="str">
        <f t="shared" si="45"/>
        <v>OK</v>
      </c>
      <c r="V359">
        <f t="shared" si="46"/>
        <v>12</v>
      </c>
      <c r="W359" s="4">
        <f t="shared" si="47"/>
        <v>45633</v>
      </c>
    </row>
    <row r="360" spans="1:23" hidden="1" x14ac:dyDescent="0.25">
      <c r="A360" t="s">
        <v>373</v>
      </c>
      <c r="B360" s="4">
        <v>45309</v>
      </c>
      <c r="C360" s="4">
        <v>45325</v>
      </c>
      <c r="D360" t="s">
        <v>646</v>
      </c>
      <c r="E360" t="s">
        <v>661</v>
      </c>
      <c r="F360" t="s">
        <v>695</v>
      </c>
      <c r="G360" t="s">
        <v>703</v>
      </c>
      <c r="H360" t="s">
        <v>710</v>
      </c>
      <c r="I360" t="s">
        <v>716</v>
      </c>
      <c r="J360" t="s">
        <v>728</v>
      </c>
      <c r="K360" t="s">
        <v>1093</v>
      </c>
      <c r="L360" s="6">
        <v>666.23</v>
      </c>
      <c r="M360" s="6">
        <v>1382.91</v>
      </c>
      <c r="N360" s="8">
        <v>0.17599999999999999</v>
      </c>
      <c r="O360" s="6">
        <v>13</v>
      </c>
      <c r="P360" s="7" t="str">
        <f t="shared" si="41"/>
        <v>Cape Town</v>
      </c>
      <c r="Q360" s="7" t="str">
        <f t="shared" si="42"/>
        <v>L. Okafor</v>
      </c>
      <c r="R360" s="7" t="str">
        <f t="shared" si="43"/>
        <v>Distributor</v>
      </c>
      <c r="S360" t="str">
        <f t="shared" si="48"/>
        <v>OK</v>
      </c>
      <c r="T360" s="8" t="str">
        <f t="shared" si="44"/>
        <v>OK</v>
      </c>
      <c r="U360" t="str">
        <f t="shared" si="45"/>
        <v>OK</v>
      </c>
      <c r="V360">
        <f t="shared" si="46"/>
        <v>16</v>
      </c>
      <c r="W360" s="4">
        <f t="shared" si="47"/>
        <v>45325</v>
      </c>
    </row>
    <row r="361" spans="1:23" hidden="1" x14ac:dyDescent="0.25">
      <c r="A361" t="s">
        <v>374</v>
      </c>
      <c r="B361" s="4">
        <v>45466</v>
      </c>
      <c r="C361" s="4">
        <v>45468</v>
      </c>
      <c r="D361" t="s">
        <v>649</v>
      </c>
      <c r="E361" t="s">
        <v>658</v>
      </c>
      <c r="F361" t="s">
        <v>674</v>
      </c>
      <c r="G361" t="s">
        <v>705</v>
      </c>
      <c r="H361" t="s">
        <v>709</v>
      </c>
      <c r="I361" t="s">
        <v>716</v>
      </c>
      <c r="J361" t="s">
        <v>733</v>
      </c>
      <c r="K361" t="s">
        <v>1094</v>
      </c>
      <c r="L361" s="6">
        <v>951.44</v>
      </c>
      <c r="M361" s="6">
        <v>1646.43</v>
      </c>
      <c r="N361" s="8">
        <v>0.11</v>
      </c>
      <c r="O361" s="6">
        <v>24</v>
      </c>
      <c r="P361" s="7" t="str">
        <f t="shared" si="41"/>
        <v>Birmingham</v>
      </c>
      <c r="Q361" s="7" t="str">
        <f t="shared" si="42"/>
        <v>L. Okafor</v>
      </c>
      <c r="R361" s="7" t="str">
        <f t="shared" si="43"/>
        <v>Marketplace</v>
      </c>
      <c r="S361" t="str">
        <f t="shared" si="48"/>
        <v>OK</v>
      </c>
      <c r="T361" s="8" t="str">
        <f t="shared" si="44"/>
        <v>OK</v>
      </c>
      <c r="U361" t="str">
        <f t="shared" si="45"/>
        <v>OK</v>
      </c>
      <c r="V361">
        <f t="shared" si="46"/>
        <v>2</v>
      </c>
      <c r="W361" s="4">
        <f t="shared" si="47"/>
        <v>45468</v>
      </c>
    </row>
    <row r="362" spans="1:23" hidden="1" x14ac:dyDescent="0.25">
      <c r="A362" t="s">
        <v>375</v>
      </c>
      <c r="B362" s="4">
        <v>45833</v>
      </c>
      <c r="C362" s="4">
        <v>45848</v>
      </c>
      <c r="D362" t="s">
        <v>649</v>
      </c>
      <c r="E362" t="s">
        <v>658</v>
      </c>
      <c r="F362" t="s">
        <v>674</v>
      </c>
      <c r="G362" t="s">
        <v>703</v>
      </c>
      <c r="H362" t="s">
        <v>709</v>
      </c>
      <c r="I362" t="s">
        <v>726</v>
      </c>
      <c r="J362" t="s">
        <v>730</v>
      </c>
      <c r="K362" t="s">
        <v>1095</v>
      </c>
      <c r="L362" s="6">
        <v>546.83000000000004</v>
      </c>
      <c r="M362" s="6">
        <v>400.84</v>
      </c>
      <c r="N362" s="8">
        <v>7.8E-2</v>
      </c>
      <c r="O362" s="6">
        <v>13</v>
      </c>
      <c r="P362" s="7" t="str">
        <f t="shared" si="41"/>
        <v>Birmingham</v>
      </c>
      <c r="Q362" s="7" t="str">
        <f t="shared" si="42"/>
        <v>D. Smith</v>
      </c>
      <c r="R362" s="7" t="str">
        <f t="shared" si="43"/>
        <v>Marketplace</v>
      </c>
      <c r="S362" t="str">
        <f t="shared" si="48"/>
        <v>OK</v>
      </c>
      <c r="T362" s="8" t="str">
        <f t="shared" si="44"/>
        <v>OK</v>
      </c>
      <c r="U362" t="str">
        <f t="shared" si="45"/>
        <v>OK</v>
      </c>
      <c r="V362">
        <f t="shared" si="46"/>
        <v>15</v>
      </c>
      <c r="W362" s="4">
        <f t="shared" si="47"/>
        <v>45848</v>
      </c>
    </row>
    <row r="363" spans="1:23" hidden="1" x14ac:dyDescent="0.25">
      <c r="A363" t="s">
        <v>376</v>
      </c>
      <c r="B363" s="4">
        <v>45108</v>
      </c>
      <c r="C363" s="4">
        <v>45115</v>
      </c>
      <c r="D363" t="s">
        <v>646</v>
      </c>
      <c r="E363" t="s">
        <v>651</v>
      </c>
      <c r="F363" t="s">
        <v>663</v>
      </c>
      <c r="G363" t="s">
        <v>701</v>
      </c>
      <c r="H363" t="s">
        <v>707</v>
      </c>
      <c r="I363" t="s">
        <v>720</v>
      </c>
      <c r="J363" t="s">
        <v>731</v>
      </c>
      <c r="K363" t="s">
        <v>1096</v>
      </c>
      <c r="L363" s="6">
        <v>834.26</v>
      </c>
      <c r="M363" s="6">
        <v>1780.56</v>
      </c>
      <c r="N363" s="8">
        <v>1.4E-2</v>
      </c>
      <c r="O363" s="6">
        <v>47</v>
      </c>
      <c r="P363" s="7" t="str">
        <f t="shared" si="41"/>
        <v>Port Harcourt</v>
      </c>
      <c r="Q363" s="7" t="str">
        <f t="shared" si="42"/>
        <v>A. Patel</v>
      </c>
      <c r="R363" s="7" t="str">
        <f t="shared" si="43"/>
        <v>Retail</v>
      </c>
      <c r="S363" t="str">
        <f t="shared" si="48"/>
        <v>OK</v>
      </c>
      <c r="T363" s="8" t="str">
        <f t="shared" si="44"/>
        <v>OK</v>
      </c>
      <c r="U363" t="str">
        <f t="shared" si="45"/>
        <v>OK</v>
      </c>
      <c r="V363">
        <f t="shared" si="46"/>
        <v>7</v>
      </c>
      <c r="W363" s="4">
        <f t="shared" si="47"/>
        <v>45115</v>
      </c>
    </row>
    <row r="364" spans="1:23" hidden="1" x14ac:dyDescent="0.25">
      <c r="A364" t="s">
        <v>377</v>
      </c>
      <c r="B364" s="4">
        <v>45360</v>
      </c>
      <c r="C364" s="4">
        <v>45377</v>
      </c>
      <c r="D364" t="s">
        <v>647</v>
      </c>
      <c r="E364" t="s">
        <v>659</v>
      </c>
      <c r="F364" t="s">
        <v>676</v>
      </c>
      <c r="G364" t="s">
        <v>706</v>
      </c>
      <c r="H364" t="s">
        <v>708</v>
      </c>
      <c r="I364" t="s">
        <v>723</v>
      </c>
      <c r="J364" t="s">
        <v>732</v>
      </c>
      <c r="K364" t="s">
        <v>1097</v>
      </c>
      <c r="L364" s="6">
        <v>1029.67</v>
      </c>
      <c r="M364" s="6">
        <v>1118.43</v>
      </c>
      <c r="N364" s="8">
        <v>0.27200000000000002</v>
      </c>
      <c r="O364" s="6">
        <v>9</v>
      </c>
      <c r="P364" s="7" t="str">
        <f t="shared" si="41"/>
        <v>Shenzhen</v>
      </c>
      <c r="Q364" s="7" t="str">
        <f t="shared" si="42"/>
        <v>K. Singh</v>
      </c>
      <c r="R364" s="7" t="str">
        <f t="shared" si="43"/>
        <v>Online</v>
      </c>
      <c r="S364" t="str">
        <f t="shared" si="48"/>
        <v>OK</v>
      </c>
      <c r="T364" s="8" t="str">
        <f t="shared" si="44"/>
        <v>OK</v>
      </c>
      <c r="U364" t="str">
        <f t="shared" si="45"/>
        <v>OK</v>
      </c>
      <c r="V364">
        <f t="shared" si="46"/>
        <v>17</v>
      </c>
      <c r="W364" s="4">
        <f t="shared" si="47"/>
        <v>45377</v>
      </c>
    </row>
    <row r="365" spans="1:23" hidden="1" x14ac:dyDescent="0.25">
      <c r="A365" t="s">
        <v>378</v>
      </c>
      <c r="B365" s="4">
        <v>45082</v>
      </c>
      <c r="C365" s="4">
        <v>45105</v>
      </c>
      <c r="D365" t="s">
        <v>649</v>
      </c>
      <c r="E365" t="s">
        <v>658</v>
      </c>
      <c r="F365" t="s">
        <v>674</v>
      </c>
      <c r="G365" t="s">
        <v>701</v>
      </c>
      <c r="H365" t="s">
        <v>711</v>
      </c>
      <c r="I365" t="s">
        <v>723</v>
      </c>
      <c r="J365" t="s">
        <v>728</v>
      </c>
      <c r="K365" t="s">
        <v>1098</v>
      </c>
      <c r="L365" s="6">
        <v>605.82000000000005</v>
      </c>
      <c r="M365" s="6">
        <v>771.12</v>
      </c>
      <c r="N365" s="8">
        <v>0.13200000000000001</v>
      </c>
      <c r="O365" s="6">
        <v>19</v>
      </c>
      <c r="P365" s="7" t="str">
        <f t="shared" si="41"/>
        <v>Birmingham</v>
      </c>
      <c r="Q365" s="7" t="str">
        <f t="shared" si="42"/>
        <v>K. Singh</v>
      </c>
      <c r="R365" s="7" t="str">
        <f t="shared" si="43"/>
        <v>Direct</v>
      </c>
      <c r="S365" t="str">
        <f t="shared" si="48"/>
        <v>OK</v>
      </c>
      <c r="T365" s="8" t="str">
        <f t="shared" si="44"/>
        <v>OK</v>
      </c>
      <c r="U365" t="str">
        <f t="shared" si="45"/>
        <v>OK</v>
      </c>
      <c r="V365">
        <f t="shared" si="46"/>
        <v>23</v>
      </c>
      <c r="W365" s="4">
        <f t="shared" si="47"/>
        <v>45105</v>
      </c>
    </row>
    <row r="366" spans="1:23" hidden="1" x14ac:dyDescent="0.25">
      <c r="A366" t="s">
        <v>379</v>
      </c>
      <c r="B366" s="4">
        <v>45737</v>
      </c>
      <c r="C366" s="4">
        <v>45756</v>
      </c>
      <c r="D366" t="s">
        <v>647</v>
      </c>
      <c r="E366" t="s">
        <v>652</v>
      </c>
      <c r="F366" t="s">
        <v>689</v>
      </c>
      <c r="G366" t="s">
        <v>705</v>
      </c>
      <c r="H366" t="s">
        <v>710</v>
      </c>
      <c r="I366" t="s">
        <v>718</v>
      </c>
      <c r="J366" t="s">
        <v>727</v>
      </c>
      <c r="K366" t="s">
        <v>1099</v>
      </c>
      <c r="L366" s="6">
        <v>1055.45</v>
      </c>
      <c r="M366" s="6">
        <v>1210.04</v>
      </c>
      <c r="N366" s="8">
        <v>8.9999999999999993E-3</v>
      </c>
      <c r="O366" s="6">
        <v>18</v>
      </c>
      <c r="P366" s="7" t="str">
        <f t="shared" si="41"/>
        <v>Tokyo</v>
      </c>
      <c r="Q366" s="7" t="str">
        <f t="shared" si="42"/>
        <v>E. Garcia</v>
      </c>
      <c r="R366" s="7" t="str">
        <f t="shared" si="43"/>
        <v>Distributor</v>
      </c>
      <c r="S366" t="str">
        <f t="shared" si="48"/>
        <v>OK</v>
      </c>
      <c r="T366" s="8" t="str">
        <f t="shared" si="44"/>
        <v>OK</v>
      </c>
      <c r="U366" t="str">
        <f t="shared" si="45"/>
        <v>OK</v>
      </c>
      <c r="V366">
        <f t="shared" si="46"/>
        <v>19</v>
      </c>
      <c r="W366" s="4">
        <f t="shared" si="47"/>
        <v>45756</v>
      </c>
    </row>
    <row r="367" spans="1:23" hidden="1" x14ac:dyDescent="0.25">
      <c r="A367" t="s">
        <v>380</v>
      </c>
      <c r="B367" s="4">
        <v>45445</v>
      </c>
      <c r="C367" s="4">
        <v>45458</v>
      </c>
      <c r="D367" t="s">
        <v>646</v>
      </c>
      <c r="E367" t="s">
        <v>650</v>
      </c>
      <c r="F367" t="s">
        <v>675</v>
      </c>
      <c r="G367" t="s">
        <v>702</v>
      </c>
      <c r="H367" t="s">
        <v>708</v>
      </c>
      <c r="I367" t="s">
        <v>719</v>
      </c>
      <c r="J367" t="s">
        <v>730</v>
      </c>
      <c r="K367" t="s">
        <v>1100</v>
      </c>
      <c r="L367" s="6">
        <v>1295.18</v>
      </c>
      <c r="M367" s="6">
        <v>3024.03</v>
      </c>
      <c r="N367" s="8">
        <v>0.192</v>
      </c>
      <c r="O367" s="6">
        <v>8</v>
      </c>
      <c r="P367" s="7" t="str">
        <f t="shared" si="41"/>
        <v>Mombasa</v>
      </c>
      <c r="Q367" s="7" t="str">
        <f t="shared" si="42"/>
        <v>O. Wang</v>
      </c>
      <c r="R367" s="7" t="str">
        <f t="shared" si="43"/>
        <v>Online</v>
      </c>
      <c r="S367" t="str">
        <f t="shared" si="48"/>
        <v>OK</v>
      </c>
      <c r="T367" s="8" t="str">
        <f t="shared" si="44"/>
        <v>OK</v>
      </c>
      <c r="U367" t="str">
        <f t="shared" si="45"/>
        <v>OK</v>
      </c>
      <c r="V367">
        <f t="shared" si="46"/>
        <v>13</v>
      </c>
      <c r="W367" s="4">
        <f t="shared" si="47"/>
        <v>45458</v>
      </c>
    </row>
    <row r="368" spans="1:23" hidden="1" x14ac:dyDescent="0.25">
      <c r="A368" t="s">
        <v>381</v>
      </c>
      <c r="B368" s="4">
        <v>45731</v>
      </c>
      <c r="C368" s="4">
        <v>45745</v>
      </c>
      <c r="D368" t="s">
        <v>647</v>
      </c>
      <c r="E368" t="s">
        <v>654</v>
      </c>
      <c r="F368" t="s">
        <v>691</v>
      </c>
      <c r="G368" t="s">
        <v>706</v>
      </c>
      <c r="H368" t="s">
        <v>711</v>
      </c>
      <c r="I368" t="s">
        <v>712</v>
      </c>
      <c r="J368" t="s">
        <v>727</v>
      </c>
      <c r="K368" t="s">
        <v>1101</v>
      </c>
      <c r="L368" s="6">
        <v>935.83</v>
      </c>
      <c r="M368" s="6">
        <v>2303.46</v>
      </c>
      <c r="N368" s="8">
        <v>0.105</v>
      </c>
      <c r="O368" s="6">
        <v>9</v>
      </c>
      <c r="P368" s="7" t="str">
        <f t="shared" si="41"/>
        <v>Mumbai</v>
      </c>
      <c r="Q368" s="7" t="str">
        <f t="shared" si="42"/>
        <v>C. Otieno</v>
      </c>
      <c r="R368" s="7" t="str">
        <f t="shared" si="43"/>
        <v>Direct</v>
      </c>
      <c r="S368" t="str">
        <f t="shared" si="48"/>
        <v>OK</v>
      </c>
      <c r="T368" s="8" t="str">
        <f t="shared" si="44"/>
        <v>OK</v>
      </c>
      <c r="U368" t="str">
        <f t="shared" si="45"/>
        <v>OK</v>
      </c>
      <c r="V368">
        <f t="shared" si="46"/>
        <v>14</v>
      </c>
      <c r="W368" s="4">
        <f t="shared" si="47"/>
        <v>45745</v>
      </c>
    </row>
    <row r="369" spans="1:23" hidden="1" x14ac:dyDescent="0.25">
      <c r="A369" t="s">
        <v>382</v>
      </c>
      <c r="B369" s="4">
        <v>45194</v>
      </c>
      <c r="C369" s="4">
        <v>45208</v>
      </c>
      <c r="D369" t="s">
        <v>648</v>
      </c>
      <c r="E369" t="s">
        <v>660</v>
      </c>
      <c r="F369" t="s">
        <v>700</v>
      </c>
      <c r="G369" t="s">
        <v>705</v>
      </c>
      <c r="H369" t="s">
        <v>709</v>
      </c>
      <c r="I369" t="s">
        <v>713</v>
      </c>
      <c r="J369" t="s">
        <v>731</v>
      </c>
      <c r="K369" t="s">
        <v>1102</v>
      </c>
      <c r="L369" s="6">
        <v>1279.56</v>
      </c>
      <c r="M369" s="6">
        <v>3083.8</v>
      </c>
      <c r="N369" s="8">
        <v>0.106</v>
      </c>
      <c r="O369" s="6">
        <v>5</v>
      </c>
      <c r="P369" s="7" t="str">
        <f t="shared" si="41"/>
        <v>New York</v>
      </c>
      <c r="Q369" s="7" t="str">
        <f t="shared" si="42"/>
        <v>J. Njeri</v>
      </c>
      <c r="R369" s="7" t="str">
        <f t="shared" si="43"/>
        <v>Marketplace</v>
      </c>
      <c r="S369" t="str">
        <f t="shared" si="48"/>
        <v>OK</v>
      </c>
      <c r="T369" s="8" t="str">
        <f t="shared" si="44"/>
        <v>OK</v>
      </c>
      <c r="U369" t="str">
        <f t="shared" si="45"/>
        <v>OK</v>
      </c>
      <c r="V369">
        <f t="shared" si="46"/>
        <v>14</v>
      </c>
      <c r="W369" s="4">
        <f t="shared" si="47"/>
        <v>45208</v>
      </c>
    </row>
    <row r="370" spans="1:23" hidden="1" x14ac:dyDescent="0.25">
      <c r="A370" t="s">
        <v>383</v>
      </c>
      <c r="B370" s="4">
        <v>45832</v>
      </c>
      <c r="C370" s="4">
        <v>45861</v>
      </c>
      <c r="D370" t="s">
        <v>648</v>
      </c>
      <c r="E370" t="s">
        <v>653</v>
      </c>
      <c r="F370" t="s">
        <v>688</v>
      </c>
      <c r="G370" t="s">
        <v>703</v>
      </c>
      <c r="H370" t="s">
        <v>709</v>
      </c>
      <c r="I370" t="s">
        <v>714</v>
      </c>
      <c r="J370" t="s">
        <v>728</v>
      </c>
      <c r="K370" t="s">
        <v>1103</v>
      </c>
      <c r="L370" s="6">
        <v>255.4</v>
      </c>
      <c r="M370" s="6">
        <v>322.70999999999998</v>
      </c>
      <c r="N370" s="8">
        <v>0.115</v>
      </c>
      <c r="O370" s="6">
        <v>16</v>
      </c>
      <c r="P370" s="7" t="str">
        <f t="shared" si="41"/>
        <v>Vancouver</v>
      </c>
      <c r="Q370" s="7" t="str">
        <f t="shared" si="42"/>
        <v>I. Johnson</v>
      </c>
      <c r="R370" s="7" t="str">
        <f t="shared" si="43"/>
        <v>Marketplace</v>
      </c>
      <c r="S370" t="str">
        <f t="shared" si="48"/>
        <v>OK</v>
      </c>
      <c r="T370" s="8" t="str">
        <f t="shared" si="44"/>
        <v>OK</v>
      </c>
      <c r="U370" t="str">
        <f t="shared" si="45"/>
        <v>OK</v>
      </c>
      <c r="V370">
        <f t="shared" si="46"/>
        <v>29</v>
      </c>
      <c r="W370" s="4">
        <f t="shared" si="47"/>
        <v>45861</v>
      </c>
    </row>
    <row r="371" spans="1:23" hidden="1" x14ac:dyDescent="0.25">
      <c r="A371" t="s">
        <v>384</v>
      </c>
      <c r="B371" s="4">
        <v>45286</v>
      </c>
      <c r="C371" s="4">
        <v>45294</v>
      </c>
      <c r="D371" t="s">
        <v>649</v>
      </c>
      <c r="E371" t="s">
        <v>657</v>
      </c>
      <c r="F371" t="s">
        <v>679</v>
      </c>
      <c r="G371" t="s">
        <v>705</v>
      </c>
      <c r="H371" t="s">
        <v>707</v>
      </c>
      <c r="I371" t="s">
        <v>724</v>
      </c>
      <c r="J371" t="s">
        <v>731</v>
      </c>
      <c r="K371" t="s">
        <v>1104</v>
      </c>
      <c r="L371" s="6">
        <v>492.75</v>
      </c>
      <c r="M371" s="6">
        <v>731.29</v>
      </c>
      <c r="N371" s="8">
        <v>5.8000000000000003E-2</v>
      </c>
      <c r="O371" s="6">
        <v>6</v>
      </c>
      <c r="P371" s="7" t="str">
        <f t="shared" si="41"/>
        <v>Lyon</v>
      </c>
      <c r="Q371" s="7" t="str">
        <f t="shared" si="42"/>
        <v>M. Rossi</v>
      </c>
      <c r="R371" s="7" t="str">
        <f t="shared" si="43"/>
        <v>Retail</v>
      </c>
      <c r="S371" t="str">
        <f t="shared" si="48"/>
        <v>OK</v>
      </c>
      <c r="T371" s="8" t="str">
        <f t="shared" si="44"/>
        <v>OK</v>
      </c>
      <c r="U371" t="str">
        <f t="shared" si="45"/>
        <v>OK</v>
      </c>
      <c r="V371">
        <f t="shared" si="46"/>
        <v>8</v>
      </c>
      <c r="W371" s="4">
        <f t="shared" si="47"/>
        <v>45294</v>
      </c>
    </row>
    <row r="372" spans="1:23" hidden="1" x14ac:dyDescent="0.25">
      <c r="A372" t="s">
        <v>385</v>
      </c>
      <c r="B372" s="4">
        <v>44962</v>
      </c>
      <c r="C372" s="4">
        <v>44985</v>
      </c>
      <c r="D372" t="s">
        <v>648</v>
      </c>
      <c r="E372" t="s">
        <v>660</v>
      </c>
      <c r="F372" t="s">
        <v>697</v>
      </c>
      <c r="G372" t="s">
        <v>703</v>
      </c>
      <c r="H372" t="s">
        <v>710</v>
      </c>
      <c r="I372" t="s">
        <v>716</v>
      </c>
      <c r="J372" t="s">
        <v>730</v>
      </c>
      <c r="K372" t="s">
        <v>1105</v>
      </c>
      <c r="L372" s="6">
        <v>1214.49</v>
      </c>
      <c r="M372" s="6">
        <v>1533.95</v>
      </c>
      <c r="N372" s="8">
        <v>0</v>
      </c>
      <c r="O372" s="6">
        <v>11</v>
      </c>
      <c r="P372" s="7" t="str">
        <f t="shared" si="41"/>
        <v>Austin</v>
      </c>
      <c r="Q372" s="7" t="str">
        <f t="shared" si="42"/>
        <v>L. Okafor</v>
      </c>
      <c r="R372" s="7" t="str">
        <f t="shared" si="43"/>
        <v>Distributor</v>
      </c>
      <c r="S372" t="str">
        <f t="shared" si="48"/>
        <v>OK</v>
      </c>
      <c r="T372" s="8" t="str">
        <f t="shared" si="44"/>
        <v>OK</v>
      </c>
      <c r="U372" t="str">
        <f t="shared" si="45"/>
        <v>OK</v>
      </c>
      <c r="V372">
        <f t="shared" si="46"/>
        <v>23</v>
      </c>
      <c r="W372" s="4">
        <f t="shared" si="47"/>
        <v>44985</v>
      </c>
    </row>
    <row r="373" spans="1:23" hidden="1" x14ac:dyDescent="0.25">
      <c r="A373" t="s">
        <v>386</v>
      </c>
      <c r="B373" s="4">
        <v>45022</v>
      </c>
      <c r="C373" s="4">
        <v>45024</v>
      </c>
      <c r="D373" t="s">
        <v>646</v>
      </c>
      <c r="E373" t="s">
        <v>651</v>
      </c>
      <c r="F373" t="s">
        <v>669</v>
      </c>
      <c r="G373" t="s">
        <v>705</v>
      </c>
      <c r="H373" t="s">
        <v>709</v>
      </c>
      <c r="I373" t="s">
        <v>723</v>
      </c>
      <c r="J373" t="s">
        <v>732</v>
      </c>
      <c r="K373" t="s">
        <v>1106</v>
      </c>
      <c r="L373" s="6">
        <v>720.35</v>
      </c>
      <c r="M373" s="6">
        <v>1571.66</v>
      </c>
      <c r="N373" s="8">
        <v>0.107</v>
      </c>
      <c r="O373" s="6">
        <v>23</v>
      </c>
      <c r="P373" s="7" t="str">
        <f t="shared" si="41"/>
        <v>Abuja</v>
      </c>
      <c r="Q373" s="7" t="str">
        <f t="shared" si="42"/>
        <v>K. Singh</v>
      </c>
      <c r="R373" s="7" t="str">
        <f t="shared" si="43"/>
        <v>Marketplace</v>
      </c>
      <c r="S373" t="str">
        <f t="shared" si="48"/>
        <v>OK</v>
      </c>
      <c r="T373" s="8" t="str">
        <f t="shared" si="44"/>
        <v>OK</v>
      </c>
      <c r="U373" t="str">
        <f t="shared" si="45"/>
        <v>OK</v>
      </c>
      <c r="V373">
        <f t="shared" si="46"/>
        <v>2</v>
      </c>
      <c r="W373" s="4">
        <f t="shared" si="47"/>
        <v>45024</v>
      </c>
    </row>
    <row r="374" spans="1:23" hidden="1" x14ac:dyDescent="0.25">
      <c r="A374" t="s">
        <v>387</v>
      </c>
      <c r="B374" s="4">
        <v>45751</v>
      </c>
      <c r="C374" s="4">
        <v>45757</v>
      </c>
      <c r="D374" t="s">
        <v>649</v>
      </c>
      <c r="E374" t="s">
        <v>658</v>
      </c>
      <c r="F374" t="s">
        <v>674</v>
      </c>
      <c r="G374" t="s">
        <v>703</v>
      </c>
      <c r="H374" t="s">
        <v>711</v>
      </c>
      <c r="I374" t="s">
        <v>725</v>
      </c>
      <c r="J374" t="s">
        <v>728</v>
      </c>
      <c r="K374" t="s">
        <v>1107</v>
      </c>
      <c r="L374" s="6">
        <v>290.14</v>
      </c>
      <c r="M374" s="6">
        <v>250.73</v>
      </c>
      <c r="N374" s="8">
        <v>3.4000000000000002E-2</v>
      </c>
      <c r="O374" s="6">
        <v>17</v>
      </c>
      <c r="P374" s="7" t="str">
        <f t="shared" si="41"/>
        <v>Birmingham</v>
      </c>
      <c r="Q374" s="7" t="str">
        <f t="shared" si="42"/>
        <v>N. Brown</v>
      </c>
      <c r="R374" s="7" t="str">
        <f t="shared" si="43"/>
        <v>Direct</v>
      </c>
      <c r="S374" t="str">
        <f t="shared" si="48"/>
        <v>OK</v>
      </c>
      <c r="T374" s="8" t="str">
        <f t="shared" si="44"/>
        <v>OK</v>
      </c>
      <c r="U374" t="str">
        <f t="shared" si="45"/>
        <v>OK</v>
      </c>
      <c r="V374">
        <f t="shared" si="46"/>
        <v>6</v>
      </c>
      <c r="W374" s="4">
        <f t="shared" si="47"/>
        <v>45757</v>
      </c>
    </row>
    <row r="375" spans="1:23" hidden="1" x14ac:dyDescent="0.25">
      <c r="A375" t="s">
        <v>388</v>
      </c>
      <c r="B375" s="4">
        <v>45429</v>
      </c>
      <c r="C375" s="4">
        <v>45439</v>
      </c>
      <c r="D375" t="s">
        <v>648</v>
      </c>
      <c r="E375" t="s">
        <v>660</v>
      </c>
      <c r="F375" t="s">
        <v>697</v>
      </c>
      <c r="G375" t="s">
        <v>703</v>
      </c>
      <c r="H375" t="s">
        <v>708</v>
      </c>
      <c r="I375" t="s">
        <v>712</v>
      </c>
      <c r="J375" t="s">
        <v>730</v>
      </c>
      <c r="K375" t="s">
        <v>1108</v>
      </c>
      <c r="L375" s="6">
        <v>1484.23</v>
      </c>
      <c r="M375" s="6">
        <v>3472.81</v>
      </c>
      <c r="N375" s="8">
        <v>0.25600000000000001</v>
      </c>
      <c r="O375" s="6">
        <v>12</v>
      </c>
      <c r="P375" s="7" t="str">
        <f t="shared" si="41"/>
        <v>Austin</v>
      </c>
      <c r="Q375" s="7" t="str">
        <f t="shared" si="42"/>
        <v>C. Otieno</v>
      </c>
      <c r="R375" s="7" t="str">
        <f t="shared" si="43"/>
        <v>Online</v>
      </c>
      <c r="S375" t="str">
        <f t="shared" si="48"/>
        <v>OK</v>
      </c>
      <c r="T375" s="8" t="str">
        <f t="shared" si="44"/>
        <v>OK</v>
      </c>
      <c r="U375" t="str">
        <f t="shared" si="45"/>
        <v>OK</v>
      </c>
      <c r="V375">
        <f t="shared" si="46"/>
        <v>10</v>
      </c>
      <c r="W375" s="4">
        <f t="shared" si="47"/>
        <v>45439</v>
      </c>
    </row>
    <row r="376" spans="1:23" hidden="1" x14ac:dyDescent="0.25">
      <c r="A376" t="s">
        <v>389</v>
      </c>
      <c r="B376" s="4">
        <v>45354</v>
      </c>
      <c r="C376" s="4">
        <v>45370</v>
      </c>
      <c r="D376" t="s">
        <v>647</v>
      </c>
      <c r="E376" t="s">
        <v>659</v>
      </c>
      <c r="F376" t="s">
        <v>699</v>
      </c>
      <c r="G376" t="s">
        <v>704</v>
      </c>
      <c r="H376" t="s">
        <v>710</v>
      </c>
      <c r="I376" t="s">
        <v>715</v>
      </c>
      <c r="J376" t="s">
        <v>730</v>
      </c>
      <c r="K376" t="s">
        <v>1109</v>
      </c>
      <c r="L376" s="6">
        <v>988.83</v>
      </c>
      <c r="M376" s="6">
        <v>1206.04</v>
      </c>
      <c r="N376" s="8">
        <v>6.3E-2</v>
      </c>
      <c r="O376" s="6">
        <v>34</v>
      </c>
      <c r="P376" s="7" t="str">
        <f t="shared" si="41"/>
        <v>Beijing</v>
      </c>
      <c r="Q376" s="7" t="str">
        <f t="shared" si="42"/>
        <v>G. Dubois</v>
      </c>
      <c r="R376" s="7" t="str">
        <f t="shared" si="43"/>
        <v>Distributor</v>
      </c>
      <c r="S376" t="str">
        <f t="shared" si="48"/>
        <v>OK</v>
      </c>
      <c r="T376" s="8" t="str">
        <f t="shared" si="44"/>
        <v>OK</v>
      </c>
      <c r="U376" t="str">
        <f t="shared" si="45"/>
        <v>OK</v>
      </c>
      <c r="V376">
        <f t="shared" si="46"/>
        <v>16</v>
      </c>
      <c r="W376" s="4">
        <f t="shared" si="47"/>
        <v>45370</v>
      </c>
    </row>
    <row r="377" spans="1:23" hidden="1" x14ac:dyDescent="0.25">
      <c r="A377" t="s">
        <v>390</v>
      </c>
      <c r="B377" s="4">
        <v>45835</v>
      </c>
      <c r="C377" s="4">
        <v>45849</v>
      </c>
      <c r="D377" t="s">
        <v>647</v>
      </c>
      <c r="E377" t="s">
        <v>659</v>
      </c>
      <c r="F377" t="s">
        <v>685</v>
      </c>
      <c r="G377" t="s">
        <v>705</v>
      </c>
      <c r="H377" t="s">
        <v>709</v>
      </c>
      <c r="I377" t="s">
        <v>716</v>
      </c>
      <c r="J377" t="s">
        <v>729</v>
      </c>
      <c r="K377" t="s">
        <v>1110</v>
      </c>
      <c r="L377" s="6">
        <v>1227.7</v>
      </c>
      <c r="M377" s="6">
        <v>2197.23</v>
      </c>
      <c r="N377" s="8">
        <v>9.9000000000000005E-2</v>
      </c>
      <c r="O377" s="6">
        <v>22</v>
      </c>
      <c r="P377" s="7" t="str">
        <f t="shared" si="41"/>
        <v>Shanghai</v>
      </c>
      <c r="Q377" s="7" t="str">
        <f t="shared" si="42"/>
        <v>L. Okafor</v>
      </c>
      <c r="R377" s="7" t="str">
        <f t="shared" si="43"/>
        <v>Marketplace</v>
      </c>
      <c r="S377" t="str">
        <f t="shared" si="48"/>
        <v>OK</v>
      </c>
      <c r="T377" s="8" t="str">
        <f t="shared" si="44"/>
        <v>OK</v>
      </c>
      <c r="U377" t="str">
        <f t="shared" si="45"/>
        <v>OK</v>
      </c>
      <c r="V377">
        <f t="shared" si="46"/>
        <v>14</v>
      </c>
      <c r="W377" s="4">
        <f t="shared" si="47"/>
        <v>45849</v>
      </c>
    </row>
    <row r="378" spans="1:23" hidden="1" x14ac:dyDescent="0.25">
      <c r="A378" t="s">
        <v>391</v>
      </c>
      <c r="B378" s="4">
        <v>44998</v>
      </c>
      <c r="C378" s="4">
        <v>45020</v>
      </c>
      <c r="D378" t="s">
        <v>646</v>
      </c>
      <c r="E378" t="s">
        <v>661</v>
      </c>
      <c r="F378" t="s">
        <v>687</v>
      </c>
      <c r="G378" t="s">
        <v>705</v>
      </c>
      <c r="H378" t="s">
        <v>707</v>
      </c>
      <c r="I378" t="s">
        <v>720</v>
      </c>
      <c r="J378" t="s">
        <v>727</v>
      </c>
      <c r="K378" t="s">
        <v>1111</v>
      </c>
      <c r="L378" s="6">
        <v>1113.7</v>
      </c>
      <c r="M378" s="6">
        <v>1620.6</v>
      </c>
      <c r="N378" s="8">
        <v>0.13900000000000001</v>
      </c>
      <c r="O378" s="6">
        <v>11</v>
      </c>
      <c r="P378" s="7" t="str">
        <f t="shared" si="41"/>
        <v>Durban</v>
      </c>
      <c r="Q378" s="7" t="str">
        <f t="shared" si="42"/>
        <v>A. Patel</v>
      </c>
      <c r="R378" s="7" t="str">
        <f t="shared" si="43"/>
        <v>Retail</v>
      </c>
      <c r="S378" t="str">
        <f t="shared" si="48"/>
        <v>OK</v>
      </c>
      <c r="T378" s="8" t="str">
        <f t="shared" si="44"/>
        <v>OK</v>
      </c>
      <c r="U378" t="str">
        <f t="shared" si="45"/>
        <v>OK</v>
      </c>
      <c r="V378">
        <f t="shared" si="46"/>
        <v>22</v>
      </c>
      <c r="W378" s="4">
        <f t="shared" si="47"/>
        <v>45020</v>
      </c>
    </row>
    <row r="379" spans="1:23" hidden="1" x14ac:dyDescent="0.25">
      <c r="A379" t="s">
        <v>392</v>
      </c>
      <c r="B379" s="4">
        <v>45664</v>
      </c>
      <c r="C379" s="4">
        <v>45677</v>
      </c>
      <c r="D379" t="s">
        <v>646</v>
      </c>
      <c r="E379" t="s">
        <v>661</v>
      </c>
      <c r="F379" t="s">
        <v>695</v>
      </c>
      <c r="G379" t="s">
        <v>701</v>
      </c>
      <c r="H379" t="s">
        <v>711</v>
      </c>
      <c r="I379" t="s">
        <v>723</v>
      </c>
      <c r="J379" t="s">
        <v>729</v>
      </c>
      <c r="K379" t="s">
        <v>1112</v>
      </c>
      <c r="L379" s="6">
        <v>432.13</v>
      </c>
      <c r="M379" s="6">
        <v>1034.6600000000001</v>
      </c>
      <c r="N379" s="8">
        <v>9.1999999999999998E-2</v>
      </c>
      <c r="O379" s="6">
        <v>7</v>
      </c>
      <c r="P379" s="7" t="str">
        <f t="shared" si="41"/>
        <v>Cape Town</v>
      </c>
      <c r="Q379" s="7" t="str">
        <f t="shared" si="42"/>
        <v>K. Singh</v>
      </c>
      <c r="R379" s="7" t="str">
        <f t="shared" si="43"/>
        <v>Direct</v>
      </c>
      <c r="S379" t="str">
        <f t="shared" si="48"/>
        <v>OK</v>
      </c>
      <c r="T379" s="8" t="str">
        <f t="shared" si="44"/>
        <v>OK</v>
      </c>
      <c r="U379" t="str">
        <f t="shared" si="45"/>
        <v>OK</v>
      </c>
      <c r="V379">
        <f t="shared" si="46"/>
        <v>13</v>
      </c>
      <c r="W379" s="4">
        <f t="shared" si="47"/>
        <v>45677</v>
      </c>
    </row>
    <row r="380" spans="1:23" hidden="1" x14ac:dyDescent="0.25">
      <c r="A380" t="s">
        <v>393</v>
      </c>
      <c r="B380" s="4">
        <v>45694</v>
      </c>
      <c r="C380" s="4">
        <v>45703</v>
      </c>
      <c r="D380" t="s">
        <v>648</v>
      </c>
      <c r="E380" t="s">
        <v>655</v>
      </c>
      <c r="F380" t="s">
        <v>670</v>
      </c>
      <c r="G380" t="s">
        <v>703</v>
      </c>
      <c r="H380" t="s">
        <v>710</v>
      </c>
      <c r="I380" t="s">
        <v>721</v>
      </c>
      <c r="J380" t="s">
        <v>729</v>
      </c>
      <c r="K380" t="s">
        <v>1113</v>
      </c>
      <c r="L380" s="6">
        <v>837.39</v>
      </c>
      <c r="M380" s="6">
        <v>1905.42</v>
      </c>
      <c r="N380" s="8">
        <v>3.2000000000000001E-2</v>
      </c>
      <c r="O380" s="6">
        <v>18</v>
      </c>
      <c r="P380" s="7" t="str">
        <f t="shared" si="41"/>
        <v>São Paulo</v>
      </c>
      <c r="Q380" s="7" t="str">
        <f t="shared" si="42"/>
        <v>F. Müller</v>
      </c>
      <c r="R380" s="7" t="str">
        <f t="shared" si="43"/>
        <v>Distributor</v>
      </c>
      <c r="S380" t="str">
        <f t="shared" si="48"/>
        <v>OK</v>
      </c>
      <c r="T380" s="8" t="str">
        <f t="shared" si="44"/>
        <v>OK</v>
      </c>
      <c r="U380" t="str">
        <f t="shared" si="45"/>
        <v>OK</v>
      </c>
      <c r="V380">
        <f t="shared" si="46"/>
        <v>9</v>
      </c>
      <c r="W380" s="4">
        <f t="shared" si="47"/>
        <v>45703</v>
      </c>
    </row>
    <row r="381" spans="1:23" hidden="1" x14ac:dyDescent="0.25">
      <c r="A381" t="s">
        <v>394</v>
      </c>
      <c r="B381" s="4">
        <v>45688</v>
      </c>
      <c r="C381" s="4">
        <v>45705</v>
      </c>
      <c r="D381" t="s">
        <v>649</v>
      </c>
      <c r="E381" t="s">
        <v>658</v>
      </c>
      <c r="F381" t="s">
        <v>683</v>
      </c>
      <c r="G381" t="s">
        <v>706</v>
      </c>
      <c r="H381" t="s">
        <v>707</v>
      </c>
      <c r="I381" t="s">
        <v>722</v>
      </c>
      <c r="J381" t="s">
        <v>727</v>
      </c>
      <c r="K381" t="s">
        <v>812</v>
      </c>
      <c r="L381" s="6">
        <v>378.26</v>
      </c>
      <c r="M381" s="6">
        <v>541.55999999999995</v>
      </c>
      <c r="N381" s="8">
        <v>0.16300000000000001</v>
      </c>
      <c r="O381" s="6">
        <v>25</v>
      </c>
      <c r="P381" s="7" t="str">
        <f t="shared" si="41"/>
        <v>London</v>
      </c>
      <c r="Q381" s="7" t="str">
        <f t="shared" si="42"/>
        <v>H. Kim</v>
      </c>
      <c r="R381" s="7" t="str">
        <f t="shared" si="43"/>
        <v>Retail</v>
      </c>
      <c r="S381" t="str">
        <f t="shared" si="48"/>
        <v>OK</v>
      </c>
      <c r="T381" s="8" t="str">
        <f t="shared" si="44"/>
        <v>OK</v>
      </c>
      <c r="U381" t="str">
        <f t="shared" si="45"/>
        <v>OK</v>
      </c>
      <c r="V381">
        <f t="shared" si="46"/>
        <v>17</v>
      </c>
      <c r="W381" s="4">
        <f t="shared" si="47"/>
        <v>45705</v>
      </c>
    </row>
    <row r="382" spans="1:23" hidden="1" x14ac:dyDescent="0.25">
      <c r="A382" t="s">
        <v>395</v>
      </c>
      <c r="B382" s="4">
        <v>45876</v>
      </c>
      <c r="C382" s="4">
        <v>45906</v>
      </c>
      <c r="D382" t="s">
        <v>648</v>
      </c>
      <c r="E382" t="s">
        <v>653</v>
      </c>
      <c r="F382" t="s">
        <v>681</v>
      </c>
      <c r="G382" t="s">
        <v>702</v>
      </c>
      <c r="H382" t="s">
        <v>711</v>
      </c>
      <c r="I382" t="s">
        <v>724</v>
      </c>
      <c r="J382" t="s">
        <v>729</v>
      </c>
      <c r="K382" t="s">
        <v>1114</v>
      </c>
      <c r="L382" s="6">
        <v>833.73</v>
      </c>
      <c r="M382" s="6">
        <v>1116.5999999999999</v>
      </c>
      <c r="N382" s="8">
        <v>0.17599999999999999</v>
      </c>
      <c r="O382" s="6">
        <v>14</v>
      </c>
      <c r="P382" s="7" t="str">
        <f t="shared" si="41"/>
        <v>Montreal</v>
      </c>
      <c r="Q382" s="7" t="str">
        <f t="shared" si="42"/>
        <v>M. Rossi</v>
      </c>
      <c r="R382" s="7" t="str">
        <f t="shared" si="43"/>
        <v>Direct</v>
      </c>
      <c r="S382" t="str">
        <f t="shared" si="48"/>
        <v>OK</v>
      </c>
      <c r="T382" s="8" t="str">
        <f t="shared" si="44"/>
        <v>OK</v>
      </c>
      <c r="U382" t="str">
        <f t="shared" si="45"/>
        <v>OK</v>
      </c>
      <c r="V382">
        <f t="shared" si="46"/>
        <v>30</v>
      </c>
      <c r="W382" s="4">
        <f t="shared" si="47"/>
        <v>45906</v>
      </c>
    </row>
    <row r="383" spans="1:23" hidden="1" x14ac:dyDescent="0.25">
      <c r="A383" t="s">
        <v>396</v>
      </c>
      <c r="B383" s="4">
        <v>45861</v>
      </c>
      <c r="C383" s="4">
        <v>45886</v>
      </c>
      <c r="D383" t="s">
        <v>649</v>
      </c>
      <c r="E383" t="s">
        <v>658</v>
      </c>
      <c r="F383" t="s">
        <v>674</v>
      </c>
      <c r="G383" t="s">
        <v>702</v>
      </c>
      <c r="H383" t="s">
        <v>708</v>
      </c>
      <c r="I383" t="s">
        <v>714</v>
      </c>
      <c r="J383" t="s">
        <v>728</v>
      </c>
      <c r="K383" t="s">
        <v>1115</v>
      </c>
      <c r="L383" s="6">
        <v>1142.06</v>
      </c>
      <c r="M383" s="6">
        <v>1455</v>
      </c>
      <c r="N383" s="8">
        <v>7.8E-2</v>
      </c>
      <c r="O383" s="6">
        <v>28</v>
      </c>
      <c r="P383" s="7" t="str">
        <f t="shared" si="41"/>
        <v>Birmingham</v>
      </c>
      <c r="Q383" s="7" t="str">
        <f t="shared" si="42"/>
        <v>I. Johnson</v>
      </c>
      <c r="R383" s="7" t="str">
        <f t="shared" si="43"/>
        <v>Online</v>
      </c>
      <c r="S383" t="str">
        <f t="shared" si="48"/>
        <v>OK</v>
      </c>
      <c r="T383" s="8" t="str">
        <f t="shared" si="44"/>
        <v>OK</v>
      </c>
      <c r="U383" t="str">
        <f t="shared" si="45"/>
        <v>OK</v>
      </c>
      <c r="V383">
        <f t="shared" si="46"/>
        <v>25</v>
      </c>
      <c r="W383" s="4">
        <f t="shared" si="47"/>
        <v>45886</v>
      </c>
    </row>
    <row r="384" spans="1:23" hidden="1" x14ac:dyDescent="0.25">
      <c r="A384" t="s">
        <v>397</v>
      </c>
      <c r="B384" s="4">
        <v>45097</v>
      </c>
      <c r="C384" s="4">
        <v>45115</v>
      </c>
      <c r="D384" t="s">
        <v>648</v>
      </c>
      <c r="E384" t="s">
        <v>660</v>
      </c>
      <c r="F384" t="s">
        <v>700</v>
      </c>
      <c r="G384" t="s">
        <v>704</v>
      </c>
      <c r="H384" t="s">
        <v>709</v>
      </c>
      <c r="I384" t="s">
        <v>719</v>
      </c>
      <c r="J384" t="s">
        <v>729</v>
      </c>
      <c r="K384" t="s">
        <v>1116</v>
      </c>
      <c r="L384" s="6">
        <v>1145.53</v>
      </c>
      <c r="M384" s="6">
        <v>1278.3</v>
      </c>
      <c r="N384" s="8">
        <v>0.09</v>
      </c>
      <c r="O384" s="6">
        <v>41</v>
      </c>
      <c r="P384" s="7" t="str">
        <f t="shared" si="41"/>
        <v>New York</v>
      </c>
      <c r="Q384" s="7" t="str">
        <f t="shared" si="42"/>
        <v>O. Wang</v>
      </c>
      <c r="R384" s="7" t="str">
        <f t="shared" si="43"/>
        <v>Marketplace</v>
      </c>
      <c r="S384" t="str">
        <f t="shared" si="48"/>
        <v>OK</v>
      </c>
      <c r="T384" s="8" t="str">
        <f t="shared" si="44"/>
        <v>OK</v>
      </c>
      <c r="U384" t="str">
        <f t="shared" si="45"/>
        <v>OK</v>
      </c>
      <c r="V384">
        <f t="shared" si="46"/>
        <v>18</v>
      </c>
      <c r="W384" s="4">
        <f t="shared" si="47"/>
        <v>45115</v>
      </c>
    </row>
    <row r="385" spans="1:23" hidden="1" x14ac:dyDescent="0.25">
      <c r="A385" t="s">
        <v>398</v>
      </c>
      <c r="B385" s="4">
        <v>45491</v>
      </c>
      <c r="C385" s="4">
        <v>45511</v>
      </c>
      <c r="D385" t="s">
        <v>649</v>
      </c>
      <c r="E385" t="s">
        <v>657</v>
      </c>
      <c r="F385" t="s">
        <v>673</v>
      </c>
      <c r="G385" t="s">
        <v>701</v>
      </c>
      <c r="H385" t="s">
        <v>707</v>
      </c>
      <c r="I385" t="s">
        <v>721</v>
      </c>
      <c r="J385" t="s">
        <v>732</v>
      </c>
      <c r="K385" t="s">
        <v>1117</v>
      </c>
      <c r="L385" s="6">
        <v>941.35</v>
      </c>
      <c r="M385" s="6">
        <v>899.83</v>
      </c>
      <c r="N385" s="8">
        <v>5.8000000000000003E-2</v>
      </c>
      <c r="O385" s="6">
        <v>18</v>
      </c>
      <c r="P385" s="7" t="str">
        <f t="shared" si="41"/>
        <v>Marseille</v>
      </c>
      <c r="Q385" s="7" t="str">
        <f t="shared" si="42"/>
        <v>F. Müller</v>
      </c>
      <c r="R385" s="7" t="str">
        <f t="shared" si="43"/>
        <v>Retail</v>
      </c>
      <c r="S385" t="str">
        <f t="shared" si="48"/>
        <v>OK</v>
      </c>
      <c r="T385" s="8" t="str">
        <f t="shared" si="44"/>
        <v>OK</v>
      </c>
      <c r="U385" t="str">
        <f t="shared" si="45"/>
        <v>OK</v>
      </c>
      <c r="V385">
        <f t="shared" si="46"/>
        <v>20</v>
      </c>
      <c r="W385" s="4">
        <f t="shared" si="47"/>
        <v>45511</v>
      </c>
    </row>
    <row r="386" spans="1:23" hidden="1" x14ac:dyDescent="0.25">
      <c r="A386" t="s">
        <v>399</v>
      </c>
      <c r="B386" s="4">
        <v>45066</v>
      </c>
      <c r="C386" s="4">
        <v>45096</v>
      </c>
      <c r="D386" t="s">
        <v>647</v>
      </c>
      <c r="E386" t="s">
        <v>654</v>
      </c>
      <c r="F386" t="s">
        <v>680</v>
      </c>
      <c r="G386" t="s">
        <v>703</v>
      </c>
      <c r="H386" t="s">
        <v>709</v>
      </c>
      <c r="I386" t="s">
        <v>722</v>
      </c>
      <c r="J386" t="s">
        <v>731</v>
      </c>
      <c r="K386" t="s">
        <v>1118</v>
      </c>
      <c r="L386" s="6">
        <v>1161.2</v>
      </c>
      <c r="M386" s="6">
        <v>878.73</v>
      </c>
      <c r="N386" s="8">
        <v>0.19</v>
      </c>
      <c r="O386" s="6">
        <v>31</v>
      </c>
      <c r="P386" s="7" t="str">
        <f t="shared" si="41"/>
        <v>Delhi</v>
      </c>
      <c r="Q386" s="7" t="str">
        <f t="shared" si="42"/>
        <v>H. Kim</v>
      </c>
      <c r="R386" s="7" t="str">
        <f t="shared" si="43"/>
        <v>Marketplace</v>
      </c>
      <c r="S386" t="str">
        <f t="shared" si="48"/>
        <v>OK</v>
      </c>
      <c r="T386" s="8" t="str">
        <f t="shared" si="44"/>
        <v>OK</v>
      </c>
      <c r="U386" t="str">
        <f t="shared" si="45"/>
        <v>OK</v>
      </c>
      <c r="V386">
        <f t="shared" si="46"/>
        <v>30</v>
      </c>
      <c r="W386" s="4">
        <f t="shared" si="47"/>
        <v>45096</v>
      </c>
    </row>
    <row r="387" spans="1:23" hidden="1" x14ac:dyDescent="0.25">
      <c r="A387" t="s">
        <v>400</v>
      </c>
      <c r="B387" s="4">
        <v>45789</v>
      </c>
      <c r="C387" s="4">
        <v>45803</v>
      </c>
      <c r="D387" t="s">
        <v>647</v>
      </c>
      <c r="E387" t="s">
        <v>654</v>
      </c>
      <c r="F387" t="s">
        <v>696</v>
      </c>
      <c r="G387" t="s">
        <v>701</v>
      </c>
      <c r="H387" t="s">
        <v>709</v>
      </c>
      <c r="I387" t="s">
        <v>715</v>
      </c>
      <c r="J387" t="s">
        <v>728</v>
      </c>
      <c r="K387" t="s">
        <v>1119</v>
      </c>
      <c r="L387" s="6">
        <v>320.12</v>
      </c>
      <c r="M387" s="6">
        <v>594.41999999999996</v>
      </c>
      <c r="N387" s="8">
        <v>0.104</v>
      </c>
      <c r="O387" s="6">
        <v>18</v>
      </c>
      <c r="P387" s="7" t="str">
        <f t="shared" ref="P387:P450" si="49">IF(OR(F387=" ", ISBLANK(F387)), "Unknown", F387)</f>
        <v>Hyderabad</v>
      </c>
      <c r="Q387" s="7" t="str">
        <f t="shared" ref="Q387:Q450" si="50">IF(OR(I387=" ", ISBLANK(I387)), "Unassigned", I387)</f>
        <v>G. Dubois</v>
      </c>
      <c r="R387" s="7" t="str">
        <f t="shared" ref="R387:R450" si="51">IF(OR(H387=" ", ISBLANK(H387)), "Unspecified", H387)</f>
        <v>Marketplace</v>
      </c>
      <c r="S387" t="str">
        <f t="shared" si="48"/>
        <v>OK</v>
      </c>
      <c r="T387" s="8" t="str">
        <f t="shared" ref="T387:T450" si="52">IFERROR(IF(N387&gt;0.3, "Cap at 30%", "OK"), "Error")</f>
        <v>OK</v>
      </c>
      <c r="U387" t="str">
        <f t="shared" ref="U387:U450" si="53">IFERROR(IF(C387&lt;B387,"Correct", "OK"), "Error")</f>
        <v>OK</v>
      </c>
      <c r="V387">
        <f t="shared" ref="V387:V450" si="54">_xlfn.DAYS(C387,B387)</f>
        <v>14</v>
      </c>
      <c r="W387" s="4">
        <f t="shared" si="47"/>
        <v>45803</v>
      </c>
    </row>
    <row r="388" spans="1:23" hidden="1" x14ac:dyDescent="0.25">
      <c r="A388" t="s">
        <v>401</v>
      </c>
      <c r="B388" s="4">
        <v>45419</v>
      </c>
      <c r="C388" s="4">
        <v>45424</v>
      </c>
      <c r="D388" t="s">
        <v>646</v>
      </c>
      <c r="E388" t="s">
        <v>651</v>
      </c>
      <c r="F388" t="s">
        <v>669</v>
      </c>
      <c r="G388" t="s">
        <v>703</v>
      </c>
      <c r="H388" t="s">
        <v>710</v>
      </c>
      <c r="I388" t="s">
        <v>716</v>
      </c>
      <c r="J388" t="s">
        <v>731</v>
      </c>
      <c r="K388" t="s">
        <v>1120</v>
      </c>
      <c r="L388" s="6">
        <v>1163.99</v>
      </c>
      <c r="M388" s="6">
        <v>1617.85</v>
      </c>
      <c r="N388" s="8">
        <v>0.127</v>
      </c>
      <c r="O388" s="6">
        <v>14</v>
      </c>
      <c r="P388" s="7" t="str">
        <f t="shared" si="49"/>
        <v>Abuja</v>
      </c>
      <c r="Q388" s="7" t="str">
        <f t="shared" si="50"/>
        <v>L. Okafor</v>
      </c>
      <c r="R388" s="7" t="str">
        <f t="shared" si="51"/>
        <v>Distributor</v>
      </c>
      <c r="S388" t="str">
        <f t="shared" si="48"/>
        <v>OK</v>
      </c>
      <c r="T388" s="8" t="str">
        <f t="shared" si="52"/>
        <v>OK</v>
      </c>
      <c r="U388" t="str">
        <f t="shared" si="53"/>
        <v>OK</v>
      </c>
      <c r="V388">
        <f t="shared" si="54"/>
        <v>5</v>
      </c>
      <c r="W388" s="4">
        <f t="shared" ref="W388:W451" si="55">IFERROR(IF(C388&lt;B388, B388+15, C388), "Error")</f>
        <v>45424</v>
      </c>
    </row>
    <row r="389" spans="1:23" hidden="1" x14ac:dyDescent="0.25">
      <c r="A389" t="s">
        <v>402</v>
      </c>
      <c r="B389" s="4">
        <v>45199</v>
      </c>
      <c r="C389" s="4">
        <v>45202</v>
      </c>
      <c r="D389" t="s">
        <v>647</v>
      </c>
      <c r="E389" t="s">
        <v>659</v>
      </c>
      <c r="F389" t="s">
        <v>699</v>
      </c>
      <c r="G389" t="s">
        <v>703</v>
      </c>
      <c r="H389" t="s">
        <v>707</v>
      </c>
      <c r="I389" t="s">
        <v>713</v>
      </c>
      <c r="J389" t="s">
        <v>731</v>
      </c>
      <c r="K389" t="s">
        <v>1121</v>
      </c>
      <c r="L389" s="6">
        <v>1019.36</v>
      </c>
      <c r="M389" s="6">
        <v>972.91</v>
      </c>
      <c r="N389" s="8">
        <v>0.14699999999999999</v>
      </c>
      <c r="O389" s="6">
        <v>17</v>
      </c>
      <c r="P389" s="7" t="str">
        <f t="shared" si="49"/>
        <v>Beijing</v>
      </c>
      <c r="Q389" s="7" t="str">
        <f t="shared" si="50"/>
        <v>J. Njeri</v>
      </c>
      <c r="R389" s="7" t="str">
        <f t="shared" si="51"/>
        <v>Retail</v>
      </c>
      <c r="S389" t="str">
        <f t="shared" si="48"/>
        <v>OK</v>
      </c>
      <c r="T389" s="8" t="str">
        <f t="shared" si="52"/>
        <v>OK</v>
      </c>
      <c r="U389" t="str">
        <f t="shared" si="53"/>
        <v>OK</v>
      </c>
      <c r="V389">
        <f t="shared" si="54"/>
        <v>3</v>
      </c>
      <c r="W389" s="4">
        <f t="shared" si="55"/>
        <v>45202</v>
      </c>
    </row>
    <row r="390" spans="1:23" hidden="1" x14ac:dyDescent="0.25">
      <c r="A390" t="s">
        <v>403</v>
      </c>
      <c r="B390" s="4">
        <v>45225</v>
      </c>
      <c r="C390" s="4">
        <v>45235</v>
      </c>
      <c r="D390" t="s">
        <v>646</v>
      </c>
      <c r="E390" t="s">
        <v>661</v>
      </c>
      <c r="F390" t="s">
        <v>695</v>
      </c>
      <c r="G390" t="s">
        <v>703</v>
      </c>
      <c r="H390" t="s">
        <v>708</v>
      </c>
      <c r="I390" t="s">
        <v>714</v>
      </c>
      <c r="J390" t="s">
        <v>731</v>
      </c>
      <c r="K390" t="s">
        <v>1122</v>
      </c>
      <c r="L390" s="6">
        <v>20.38</v>
      </c>
      <c r="M390" s="6">
        <v>42.56</v>
      </c>
      <c r="N390" s="8">
        <v>7.1999999999999995E-2</v>
      </c>
      <c r="O390" s="6">
        <v>11</v>
      </c>
      <c r="P390" s="7" t="str">
        <f t="shared" si="49"/>
        <v>Cape Town</v>
      </c>
      <c r="Q390" s="7" t="str">
        <f t="shared" si="50"/>
        <v>I. Johnson</v>
      </c>
      <c r="R390" s="7" t="str">
        <f t="shared" si="51"/>
        <v>Online</v>
      </c>
      <c r="S390" t="str">
        <f t="shared" ref="S390:S453" si="56">IFERROR(IF(M390&lt;0,"Correct (Negative Price)","OK"),"Error")</f>
        <v>OK</v>
      </c>
      <c r="T390" s="8" t="str">
        <f t="shared" si="52"/>
        <v>OK</v>
      </c>
      <c r="U390" t="str">
        <f t="shared" si="53"/>
        <v>OK</v>
      </c>
      <c r="V390">
        <f t="shared" si="54"/>
        <v>10</v>
      </c>
      <c r="W390" s="4">
        <f t="shared" si="55"/>
        <v>45235</v>
      </c>
    </row>
    <row r="391" spans="1:23" hidden="1" x14ac:dyDescent="0.25">
      <c r="A391" t="s">
        <v>404</v>
      </c>
      <c r="B391" s="4">
        <v>45823</v>
      </c>
      <c r="C391" s="4">
        <v>45838</v>
      </c>
      <c r="D391" t="s">
        <v>646</v>
      </c>
      <c r="E391" t="s">
        <v>661</v>
      </c>
      <c r="F391" t="s">
        <v>682</v>
      </c>
      <c r="G391" t="s">
        <v>705</v>
      </c>
      <c r="H391" t="s">
        <v>711</v>
      </c>
      <c r="I391" t="s">
        <v>712</v>
      </c>
      <c r="J391" t="s">
        <v>732</v>
      </c>
      <c r="K391" t="s">
        <v>1123</v>
      </c>
      <c r="L391" s="6">
        <v>1487.59</v>
      </c>
      <c r="M391" s="6">
        <v>1480.83</v>
      </c>
      <c r="N391" s="8">
        <v>8.9999999999999993E-3</v>
      </c>
      <c r="O391" s="6">
        <v>11</v>
      </c>
      <c r="P391" s="7" t="str">
        <f t="shared" si="49"/>
        <v>Johannesburg</v>
      </c>
      <c r="Q391" s="7" t="str">
        <f t="shared" si="50"/>
        <v>C. Otieno</v>
      </c>
      <c r="R391" s="7" t="str">
        <f t="shared" si="51"/>
        <v>Direct</v>
      </c>
      <c r="S391" t="str">
        <f t="shared" si="56"/>
        <v>OK</v>
      </c>
      <c r="T391" s="8" t="str">
        <f t="shared" si="52"/>
        <v>OK</v>
      </c>
      <c r="U391" t="str">
        <f t="shared" si="53"/>
        <v>OK</v>
      </c>
      <c r="V391">
        <f t="shared" si="54"/>
        <v>15</v>
      </c>
      <c r="W391" s="4">
        <f t="shared" si="55"/>
        <v>45838</v>
      </c>
    </row>
    <row r="392" spans="1:23" hidden="1" x14ac:dyDescent="0.25">
      <c r="A392" t="s">
        <v>405</v>
      </c>
      <c r="B392" s="4">
        <v>45514</v>
      </c>
      <c r="C392" s="4">
        <v>45542</v>
      </c>
      <c r="D392" t="s">
        <v>649</v>
      </c>
      <c r="E392" t="s">
        <v>657</v>
      </c>
      <c r="F392" t="s">
        <v>673</v>
      </c>
      <c r="G392" t="s">
        <v>703</v>
      </c>
      <c r="H392" t="s">
        <v>711</v>
      </c>
      <c r="I392" t="s">
        <v>721</v>
      </c>
      <c r="J392" t="s">
        <v>728</v>
      </c>
      <c r="K392" t="s">
        <v>1124</v>
      </c>
      <c r="L392" s="6">
        <v>229.96</v>
      </c>
      <c r="M392" s="6">
        <v>564.26</v>
      </c>
      <c r="N392" s="8">
        <v>0.105</v>
      </c>
      <c r="O392" s="6">
        <v>5</v>
      </c>
      <c r="P392" s="7" t="str">
        <f t="shared" si="49"/>
        <v>Marseille</v>
      </c>
      <c r="Q392" s="7" t="str">
        <f t="shared" si="50"/>
        <v>F. Müller</v>
      </c>
      <c r="R392" s="7" t="str">
        <f t="shared" si="51"/>
        <v>Direct</v>
      </c>
      <c r="S392" t="str">
        <f t="shared" si="56"/>
        <v>OK</v>
      </c>
      <c r="T392" s="8" t="str">
        <f t="shared" si="52"/>
        <v>OK</v>
      </c>
      <c r="U392" t="str">
        <f t="shared" si="53"/>
        <v>OK</v>
      </c>
      <c r="V392">
        <f t="shared" si="54"/>
        <v>28</v>
      </c>
      <c r="W392" s="4">
        <f t="shared" si="55"/>
        <v>45542</v>
      </c>
    </row>
    <row r="393" spans="1:23" hidden="1" x14ac:dyDescent="0.25">
      <c r="A393" t="s">
        <v>406</v>
      </c>
      <c r="B393" s="4">
        <v>45208</v>
      </c>
      <c r="C393" s="4">
        <v>45225</v>
      </c>
      <c r="D393" t="s">
        <v>647</v>
      </c>
      <c r="E393" t="s">
        <v>659</v>
      </c>
      <c r="F393" t="s">
        <v>685</v>
      </c>
      <c r="G393" t="s">
        <v>704</v>
      </c>
      <c r="H393" t="s">
        <v>709</v>
      </c>
      <c r="I393" t="s">
        <v>712</v>
      </c>
      <c r="J393" t="s">
        <v>727</v>
      </c>
      <c r="K393" t="s">
        <v>1125</v>
      </c>
      <c r="L393" s="6">
        <v>1132.03</v>
      </c>
      <c r="M393" s="6">
        <v>2137.21</v>
      </c>
      <c r="N393" s="8">
        <v>0.3</v>
      </c>
      <c r="O393" s="6">
        <v>35</v>
      </c>
      <c r="P393" s="7" t="str">
        <f t="shared" si="49"/>
        <v>Shanghai</v>
      </c>
      <c r="Q393" s="7" t="str">
        <f t="shared" si="50"/>
        <v>C. Otieno</v>
      </c>
      <c r="R393" s="7" t="str">
        <f t="shared" si="51"/>
        <v>Marketplace</v>
      </c>
      <c r="S393" t="str">
        <f t="shared" si="56"/>
        <v>OK</v>
      </c>
      <c r="T393" s="8" t="str">
        <f t="shared" si="52"/>
        <v>OK</v>
      </c>
      <c r="U393" t="str">
        <f t="shared" si="53"/>
        <v>OK</v>
      </c>
      <c r="V393">
        <f t="shared" si="54"/>
        <v>17</v>
      </c>
      <c r="W393" s="4">
        <f t="shared" si="55"/>
        <v>45225</v>
      </c>
    </row>
    <row r="394" spans="1:23" hidden="1" x14ac:dyDescent="0.25">
      <c r="A394" t="s">
        <v>407</v>
      </c>
      <c r="B394" s="4">
        <v>45360</v>
      </c>
      <c r="C394" s="4">
        <v>45377</v>
      </c>
      <c r="D394" t="s">
        <v>648</v>
      </c>
      <c r="E394" t="s">
        <v>660</v>
      </c>
      <c r="F394" t="s">
        <v>686</v>
      </c>
      <c r="G394" t="s">
        <v>702</v>
      </c>
      <c r="H394" t="s">
        <v>711</v>
      </c>
      <c r="I394" t="s">
        <v>714</v>
      </c>
      <c r="J394" t="s">
        <v>730</v>
      </c>
      <c r="K394" t="s">
        <v>1126</v>
      </c>
      <c r="L394" s="6">
        <v>1137.4100000000001</v>
      </c>
      <c r="M394" s="6">
        <v>1680.93</v>
      </c>
      <c r="N394" s="8">
        <v>0.254</v>
      </c>
      <c r="O394" s="6">
        <v>9</v>
      </c>
      <c r="P394" s="7" t="str">
        <f t="shared" si="49"/>
        <v>San Francisco</v>
      </c>
      <c r="Q394" s="7" t="str">
        <f t="shared" si="50"/>
        <v>I. Johnson</v>
      </c>
      <c r="R394" s="7" t="str">
        <f t="shared" si="51"/>
        <v>Direct</v>
      </c>
      <c r="S394" t="str">
        <f t="shared" si="56"/>
        <v>OK</v>
      </c>
      <c r="T394" s="8" t="str">
        <f t="shared" si="52"/>
        <v>OK</v>
      </c>
      <c r="U394" t="str">
        <f t="shared" si="53"/>
        <v>OK</v>
      </c>
      <c r="V394">
        <f t="shared" si="54"/>
        <v>17</v>
      </c>
      <c r="W394" s="4">
        <f t="shared" si="55"/>
        <v>45377</v>
      </c>
    </row>
    <row r="395" spans="1:23" hidden="1" x14ac:dyDescent="0.25">
      <c r="A395" t="s">
        <v>408</v>
      </c>
      <c r="B395" s="4">
        <v>45075</v>
      </c>
      <c r="C395" s="4">
        <v>45097</v>
      </c>
      <c r="D395" t="s">
        <v>649</v>
      </c>
      <c r="E395" t="s">
        <v>658</v>
      </c>
      <c r="F395" t="s">
        <v>683</v>
      </c>
      <c r="G395" t="s">
        <v>705</v>
      </c>
      <c r="H395" t="s">
        <v>711</v>
      </c>
      <c r="I395" t="s">
        <v>723</v>
      </c>
      <c r="J395" t="s">
        <v>727</v>
      </c>
      <c r="K395" t="s">
        <v>1127</v>
      </c>
      <c r="L395" s="6">
        <v>1295.3900000000001</v>
      </c>
      <c r="M395" s="6">
        <v>2905.06</v>
      </c>
      <c r="N395" s="8">
        <v>0.14799999999999999</v>
      </c>
      <c r="O395" s="6">
        <v>8</v>
      </c>
      <c r="P395" s="7" t="str">
        <f t="shared" si="49"/>
        <v>London</v>
      </c>
      <c r="Q395" s="7" t="str">
        <f t="shared" si="50"/>
        <v>K. Singh</v>
      </c>
      <c r="R395" s="7" t="str">
        <f t="shared" si="51"/>
        <v>Direct</v>
      </c>
      <c r="S395" t="str">
        <f t="shared" si="56"/>
        <v>OK</v>
      </c>
      <c r="T395" s="8" t="str">
        <f t="shared" si="52"/>
        <v>OK</v>
      </c>
      <c r="U395" t="str">
        <f t="shared" si="53"/>
        <v>OK</v>
      </c>
      <c r="V395">
        <f t="shared" si="54"/>
        <v>22</v>
      </c>
      <c r="W395" s="4">
        <f t="shared" si="55"/>
        <v>45097</v>
      </c>
    </row>
    <row r="396" spans="1:23" hidden="1" x14ac:dyDescent="0.25">
      <c r="A396" t="s">
        <v>409</v>
      </c>
      <c r="B396" s="4">
        <v>45804</v>
      </c>
      <c r="C396" s="4">
        <v>45816</v>
      </c>
      <c r="D396" t="s">
        <v>647</v>
      </c>
      <c r="E396" t="s">
        <v>652</v>
      </c>
      <c r="F396" t="s">
        <v>666</v>
      </c>
      <c r="G396" t="s">
        <v>701</v>
      </c>
      <c r="H396" t="s">
        <v>707</v>
      </c>
      <c r="I396" t="s">
        <v>722</v>
      </c>
      <c r="J396" t="s">
        <v>733</v>
      </c>
      <c r="K396" t="s">
        <v>1128</v>
      </c>
      <c r="L396" s="6">
        <v>653.6</v>
      </c>
      <c r="M396" s="6">
        <v>842.09</v>
      </c>
      <c r="N396" s="8">
        <v>9.8000000000000004E-2</v>
      </c>
      <c r="O396" s="6">
        <v>19</v>
      </c>
      <c r="P396" s="7" t="str">
        <f t="shared" si="49"/>
        <v>Osaka</v>
      </c>
      <c r="Q396" s="7" t="str">
        <f t="shared" si="50"/>
        <v>H. Kim</v>
      </c>
      <c r="R396" s="7" t="str">
        <f t="shared" si="51"/>
        <v>Retail</v>
      </c>
      <c r="S396" t="str">
        <f t="shared" si="56"/>
        <v>OK</v>
      </c>
      <c r="T396" s="8" t="str">
        <f t="shared" si="52"/>
        <v>OK</v>
      </c>
      <c r="U396" t="str">
        <f t="shared" si="53"/>
        <v>OK</v>
      </c>
      <c r="V396">
        <f t="shared" si="54"/>
        <v>12</v>
      </c>
      <c r="W396" s="4">
        <f t="shared" si="55"/>
        <v>45816</v>
      </c>
    </row>
    <row r="397" spans="1:23" hidden="1" x14ac:dyDescent="0.25">
      <c r="A397" t="s">
        <v>410</v>
      </c>
      <c r="B397" s="4">
        <v>45890</v>
      </c>
      <c r="C397" s="4">
        <v>45914</v>
      </c>
      <c r="D397" t="s">
        <v>649</v>
      </c>
      <c r="E397" t="s">
        <v>656</v>
      </c>
      <c r="F397" t="s">
        <v>671</v>
      </c>
      <c r="G397" t="s">
        <v>703</v>
      </c>
      <c r="H397" t="s">
        <v>708</v>
      </c>
      <c r="I397" t="s">
        <v>720</v>
      </c>
      <c r="J397" t="s">
        <v>732</v>
      </c>
      <c r="K397" t="s">
        <v>1129</v>
      </c>
      <c r="L397" s="6">
        <v>1397.67</v>
      </c>
      <c r="M397" s="6">
        <v>3131.37</v>
      </c>
      <c r="N397" s="8">
        <v>0.10299999999999999</v>
      </c>
      <c r="O397" s="6">
        <v>20</v>
      </c>
      <c r="P397" s="7" t="str">
        <f t="shared" si="49"/>
        <v>Berlin</v>
      </c>
      <c r="Q397" s="7" t="str">
        <f t="shared" si="50"/>
        <v>A. Patel</v>
      </c>
      <c r="R397" s="7" t="str">
        <f t="shared" si="51"/>
        <v>Online</v>
      </c>
      <c r="S397" t="str">
        <f t="shared" si="56"/>
        <v>OK</v>
      </c>
      <c r="T397" s="8" t="str">
        <f t="shared" si="52"/>
        <v>OK</v>
      </c>
      <c r="U397" t="str">
        <f t="shared" si="53"/>
        <v>OK</v>
      </c>
      <c r="V397">
        <f t="shared" si="54"/>
        <v>24</v>
      </c>
      <c r="W397" s="4">
        <f t="shared" si="55"/>
        <v>45914</v>
      </c>
    </row>
    <row r="398" spans="1:23" hidden="1" x14ac:dyDescent="0.25">
      <c r="A398" t="s">
        <v>411</v>
      </c>
      <c r="B398" s="4">
        <v>45638</v>
      </c>
      <c r="C398" s="4">
        <v>45646</v>
      </c>
      <c r="D398" t="s">
        <v>647</v>
      </c>
      <c r="E398" t="s">
        <v>652</v>
      </c>
      <c r="F398" t="s">
        <v>689</v>
      </c>
      <c r="G398" t="s">
        <v>701</v>
      </c>
      <c r="H398" t="s">
        <v>707</v>
      </c>
      <c r="I398" t="s">
        <v>717</v>
      </c>
      <c r="J398" t="s">
        <v>731</v>
      </c>
      <c r="K398" t="s">
        <v>1130</v>
      </c>
      <c r="L398" s="6">
        <v>1202.47</v>
      </c>
      <c r="M398" s="6">
        <v>1444.72</v>
      </c>
      <c r="N398" s="8">
        <v>0.24099999999999999</v>
      </c>
      <c r="O398" s="6">
        <v>17</v>
      </c>
      <c r="P398" s="7" t="str">
        <f t="shared" si="49"/>
        <v>Tokyo</v>
      </c>
      <c r="Q398" s="7" t="str">
        <f t="shared" si="50"/>
        <v>B. Chen</v>
      </c>
      <c r="R398" s="7" t="str">
        <f t="shared" si="51"/>
        <v>Retail</v>
      </c>
      <c r="S398" t="str">
        <f t="shared" si="56"/>
        <v>OK</v>
      </c>
      <c r="T398" s="8" t="str">
        <f t="shared" si="52"/>
        <v>OK</v>
      </c>
      <c r="U398" t="str">
        <f t="shared" si="53"/>
        <v>OK</v>
      </c>
      <c r="V398">
        <f t="shared" si="54"/>
        <v>8</v>
      </c>
      <c r="W398" s="4">
        <f t="shared" si="55"/>
        <v>45646</v>
      </c>
    </row>
    <row r="399" spans="1:23" hidden="1" x14ac:dyDescent="0.25">
      <c r="A399" t="s">
        <v>412</v>
      </c>
      <c r="B399" s="4">
        <v>45914</v>
      </c>
      <c r="C399" s="4">
        <v>45923</v>
      </c>
      <c r="D399" t="s">
        <v>646</v>
      </c>
      <c r="E399" t="s">
        <v>661</v>
      </c>
      <c r="F399" t="s">
        <v>687</v>
      </c>
      <c r="G399" t="s">
        <v>703</v>
      </c>
      <c r="H399" t="s">
        <v>708</v>
      </c>
      <c r="I399" t="s">
        <v>726</v>
      </c>
      <c r="J399" t="s">
        <v>727</v>
      </c>
      <c r="K399" t="s">
        <v>1131</v>
      </c>
      <c r="L399" s="6">
        <v>1310.3</v>
      </c>
      <c r="M399" s="6">
        <v>2875.8</v>
      </c>
      <c r="N399" s="8">
        <v>8.3000000000000004E-2</v>
      </c>
      <c r="O399" s="6">
        <v>5</v>
      </c>
      <c r="P399" s="7" t="str">
        <f t="shared" si="49"/>
        <v>Durban</v>
      </c>
      <c r="Q399" s="7" t="str">
        <f t="shared" si="50"/>
        <v>D. Smith</v>
      </c>
      <c r="R399" s="7" t="str">
        <f t="shared" si="51"/>
        <v>Online</v>
      </c>
      <c r="S399" t="str">
        <f t="shared" si="56"/>
        <v>OK</v>
      </c>
      <c r="T399" s="8" t="str">
        <f t="shared" si="52"/>
        <v>OK</v>
      </c>
      <c r="U399" t="str">
        <f t="shared" si="53"/>
        <v>OK</v>
      </c>
      <c r="V399">
        <f t="shared" si="54"/>
        <v>9</v>
      </c>
      <c r="W399" s="4">
        <f t="shared" si="55"/>
        <v>45923</v>
      </c>
    </row>
    <row r="400" spans="1:23" hidden="1" x14ac:dyDescent="0.25">
      <c r="A400" t="s">
        <v>413</v>
      </c>
      <c r="B400" s="4">
        <v>45541</v>
      </c>
      <c r="C400" s="4">
        <v>45569</v>
      </c>
      <c r="D400" t="s">
        <v>646</v>
      </c>
      <c r="E400" t="s">
        <v>661</v>
      </c>
      <c r="F400" t="s">
        <v>695</v>
      </c>
      <c r="G400" t="s">
        <v>701</v>
      </c>
      <c r="H400" t="s">
        <v>709</v>
      </c>
      <c r="I400" t="s">
        <v>726</v>
      </c>
      <c r="J400" t="s">
        <v>732</v>
      </c>
      <c r="K400" t="s">
        <v>1132</v>
      </c>
      <c r="L400" s="6">
        <v>1174.17</v>
      </c>
      <c r="M400" s="6">
        <v>1641.61</v>
      </c>
      <c r="N400" s="8">
        <v>0.122</v>
      </c>
      <c r="O400" s="6">
        <v>9</v>
      </c>
      <c r="P400" s="7" t="str">
        <f t="shared" si="49"/>
        <v>Cape Town</v>
      </c>
      <c r="Q400" s="7" t="str">
        <f t="shared" si="50"/>
        <v>D. Smith</v>
      </c>
      <c r="R400" s="7" t="str">
        <f t="shared" si="51"/>
        <v>Marketplace</v>
      </c>
      <c r="S400" t="str">
        <f t="shared" si="56"/>
        <v>OK</v>
      </c>
      <c r="T400" s="8" t="str">
        <f t="shared" si="52"/>
        <v>OK</v>
      </c>
      <c r="U400" t="str">
        <f t="shared" si="53"/>
        <v>OK</v>
      </c>
      <c r="V400">
        <f t="shared" si="54"/>
        <v>28</v>
      </c>
      <c r="W400" s="4">
        <f t="shared" si="55"/>
        <v>45569</v>
      </c>
    </row>
    <row r="401" spans="1:23" hidden="1" x14ac:dyDescent="0.25">
      <c r="A401" t="s">
        <v>414</v>
      </c>
      <c r="B401" s="4">
        <v>45759</v>
      </c>
      <c r="C401" s="4">
        <v>45777</v>
      </c>
      <c r="D401" t="s">
        <v>646</v>
      </c>
      <c r="E401" t="s">
        <v>650</v>
      </c>
      <c r="F401" t="s">
        <v>662</v>
      </c>
      <c r="G401" t="s">
        <v>701</v>
      </c>
      <c r="H401" t="s">
        <v>709</v>
      </c>
      <c r="I401" t="s">
        <v>721</v>
      </c>
      <c r="J401" t="s">
        <v>729</v>
      </c>
      <c r="K401" t="s">
        <v>1133</v>
      </c>
      <c r="L401" s="6">
        <v>1119.04</v>
      </c>
      <c r="M401" s="6">
        <v>1299.02</v>
      </c>
      <c r="N401" s="8">
        <v>2.5000000000000001E-2</v>
      </c>
      <c r="O401" s="6">
        <v>14</v>
      </c>
      <c r="P401" s="7" t="str">
        <f t="shared" si="49"/>
        <v>Kisumu</v>
      </c>
      <c r="Q401" s="7" t="str">
        <f t="shared" si="50"/>
        <v>F. Müller</v>
      </c>
      <c r="R401" s="7" t="str">
        <f t="shared" si="51"/>
        <v>Marketplace</v>
      </c>
      <c r="S401" t="str">
        <f t="shared" si="56"/>
        <v>OK</v>
      </c>
      <c r="T401" s="8" t="str">
        <f t="shared" si="52"/>
        <v>OK</v>
      </c>
      <c r="U401" t="str">
        <f t="shared" si="53"/>
        <v>OK</v>
      </c>
      <c r="V401">
        <f t="shared" si="54"/>
        <v>18</v>
      </c>
      <c r="W401" s="4">
        <f t="shared" si="55"/>
        <v>45777</v>
      </c>
    </row>
    <row r="402" spans="1:23" hidden="1" x14ac:dyDescent="0.25">
      <c r="A402" t="s">
        <v>415</v>
      </c>
      <c r="B402" s="4">
        <v>45516</v>
      </c>
      <c r="C402" s="4">
        <v>45519</v>
      </c>
      <c r="D402" t="s">
        <v>648</v>
      </c>
      <c r="E402" t="s">
        <v>660</v>
      </c>
      <c r="F402" t="s">
        <v>677</v>
      </c>
      <c r="G402" t="s">
        <v>701</v>
      </c>
      <c r="H402" t="s">
        <v>709</v>
      </c>
      <c r="I402" t="s">
        <v>726</v>
      </c>
      <c r="J402" t="s">
        <v>728</v>
      </c>
      <c r="K402" t="s">
        <v>1134</v>
      </c>
      <c r="L402" s="6">
        <v>850.7</v>
      </c>
      <c r="M402" s="6">
        <v>1118.56</v>
      </c>
      <c r="N402" s="8">
        <v>0.18</v>
      </c>
      <c r="O402" s="6">
        <v>19</v>
      </c>
      <c r="P402" s="7" t="str">
        <f t="shared" si="49"/>
        <v>Chicago</v>
      </c>
      <c r="Q402" s="7" t="str">
        <f t="shared" si="50"/>
        <v>D. Smith</v>
      </c>
      <c r="R402" s="7" t="str">
        <f t="shared" si="51"/>
        <v>Marketplace</v>
      </c>
      <c r="S402" t="str">
        <f t="shared" si="56"/>
        <v>OK</v>
      </c>
      <c r="T402" s="8" t="str">
        <f t="shared" si="52"/>
        <v>OK</v>
      </c>
      <c r="U402" t="str">
        <f t="shared" si="53"/>
        <v>OK</v>
      </c>
      <c r="V402">
        <f t="shared" si="54"/>
        <v>3</v>
      </c>
      <c r="W402" s="4">
        <f t="shared" si="55"/>
        <v>45519</v>
      </c>
    </row>
    <row r="403" spans="1:23" hidden="1" x14ac:dyDescent="0.25">
      <c r="A403" t="s">
        <v>416</v>
      </c>
      <c r="B403" s="4">
        <v>45601</v>
      </c>
      <c r="C403" s="4">
        <v>45604</v>
      </c>
      <c r="D403" t="s">
        <v>648</v>
      </c>
      <c r="E403" t="s">
        <v>653</v>
      </c>
      <c r="F403" t="s">
        <v>667</v>
      </c>
      <c r="G403" t="s">
        <v>702</v>
      </c>
      <c r="H403" t="s">
        <v>709</v>
      </c>
      <c r="I403" t="s">
        <v>719</v>
      </c>
      <c r="J403" t="s">
        <v>727</v>
      </c>
      <c r="K403" t="s">
        <v>1135</v>
      </c>
      <c r="L403" s="6">
        <v>1020.4</v>
      </c>
      <c r="M403" s="6">
        <v>1184.71</v>
      </c>
      <c r="N403" s="8">
        <v>0.106</v>
      </c>
      <c r="O403" s="6">
        <v>16</v>
      </c>
      <c r="P403" s="7" t="str">
        <f t="shared" si="49"/>
        <v>Toronto</v>
      </c>
      <c r="Q403" s="7" t="str">
        <f t="shared" si="50"/>
        <v>O. Wang</v>
      </c>
      <c r="R403" s="7" t="str">
        <f t="shared" si="51"/>
        <v>Marketplace</v>
      </c>
      <c r="S403" t="str">
        <f t="shared" si="56"/>
        <v>OK</v>
      </c>
      <c r="T403" s="8" t="str">
        <f t="shared" si="52"/>
        <v>OK</v>
      </c>
      <c r="U403" t="str">
        <f t="shared" si="53"/>
        <v>OK</v>
      </c>
      <c r="V403">
        <f t="shared" si="54"/>
        <v>3</v>
      </c>
      <c r="W403" s="4">
        <f t="shared" si="55"/>
        <v>45604</v>
      </c>
    </row>
    <row r="404" spans="1:23" hidden="1" x14ac:dyDescent="0.25">
      <c r="A404" t="s">
        <v>417</v>
      </c>
      <c r="B404" s="4">
        <v>45497</v>
      </c>
      <c r="C404" s="4">
        <v>45512</v>
      </c>
      <c r="D404" t="s">
        <v>649</v>
      </c>
      <c r="E404" t="s">
        <v>657</v>
      </c>
      <c r="F404" t="s">
        <v>673</v>
      </c>
      <c r="G404" t="s">
        <v>706</v>
      </c>
      <c r="H404" t="s">
        <v>709</v>
      </c>
      <c r="I404" t="s">
        <v>722</v>
      </c>
      <c r="J404" t="s">
        <v>731</v>
      </c>
      <c r="K404" t="s">
        <v>1136</v>
      </c>
      <c r="L404" s="6">
        <v>501.5</v>
      </c>
      <c r="M404" s="6">
        <v>1201.47</v>
      </c>
      <c r="N404" s="8">
        <v>0.126</v>
      </c>
      <c r="O404" s="6">
        <v>5</v>
      </c>
      <c r="P404" s="7" t="str">
        <f t="shared" si="49"/>
        <v>Marseille</v>
      </c>
      <c r="Q404" s="7" t="str">
        <f t="shared" si="50"/>
        <v>H. Kim</v>
      </c>
      <c r="R404" s="7" t="str">
        <f t="shared" si="51"/>
        <v>Marketplace</v>
      </c>
      <c r="S404" t="str">
        <f t="shared" si="56"/>
        <v>OK</v>
      </c>
      <c r="T404" s="8" t="str">
        <f t="shared" si="52"/>
        <v>OK</v>
      </c>
      <c r="U404" t="str">
        <f t="shared" si="53"/>
        <v>OK</v>
      </c>
      <c r="V404">
        <f t="shared" si="54"/>
        <v>15</v>
      </c>
      <c r="W404" s="4">
        <f t="shared" si="55"/>
        <v>45512</v>
      </c>
    </row>
    <row r="405" spans="1:23" hidden="1" x14ac:dyDescent="0.25">
      <c r="A405" t="s">
        <v>418</v>
      </c>
      <c r="B405" s="4">
        <v>45677</v>
      </c>
      <c r="C405" s="4">
        <v>45691</v>
      </c>
      <c r="D405" t="s">
        <v>648</v>
      </c>
      <c r="E405" t="s">
        <v>655</v>
      </c>
      <c r="F405" t="s">
        <v>672</v>
      </c>
      <c r="G405" t="s">
        <v>706</v>
      </c>
      <c r="H405" t="s">
        <v>709</v>
      </c>
      <c r="I405" t="s">
        <v>721</v>
      </c>
      <c r="J405" t="s">
        <v>727</v>
      </c>
      <c r="K405" t="s">
        <v>1137</v>
      </c>
      <c r="L405" s="6">
        <v>974.11</v>
      </c>
      <c r="M405" s="6">
        <v>880.99</v>
      </c>
      <c r="N405" s="8">
        <v>0.111</v>
      </c>
      <c r="O405" s="6">
        <v>10</v>
      </c>
      <c r="P405" s="7" t="str">
        <f t="shared" si="49"/>
        <v>Brasília</v>
      </c>
      <c r="Q405" s="7" t="str">
        <f t="shared" si="50"/>
        <v>F. Müller</v>
      </c>
      <c r="R405" s="7" t="str">
        <f t="shared" si="51"/>
        <v>Marketplace</v>
      </c>
      <c r="S405" t="str">
        <f t="shared" si="56"/>
        <v>OK</v>
      </c>
      <c r="T405" s="8" t="str">
        <f t="shared" si="52"/>
        <v>OK</v>
      </c>
      <c r="U405" t="str">
        <f t="shared" si="53"/>
        <v>OK</v>
      </c>
      <c r="V405">
        <f t="shared" si="54"/>
        <v>14</v>
      </c>
      <c r="W405" s="4">
        <f t="shared" si="55"/>
        <v>45691</v>
      </c>
    </row>
    <row r="406" spans="1:23" hidden="1" x14ac:dyDescent="0.25">
      <c r="A406" t="s">
        <v>419</v>
      </c>
      <c r="B406" s="4">
        <v>44991</v>
      </c>
      <c r="C406" s="4">
        <v>45020</v>
      </c>
      <c r="D406" t="s">
        <v>647</v>
      </c>
      <c r="E406" t="s">
        <v>659</v>
      </c>
      <c r="F406" t="s">
        <v>699</v>
      </c>
      <c r="G406" t="s">
        <v>705</v>
      </c>
      <c r="H406" t="s">
        <v>711</v>
      </c>
      <c r="I406" t="s">
        <v>712</v>
      </c>
      <c r="J406" t="s">
        <v>732</v>
      </c>
      <c r="K406" t="s">
        <v>1138</v>
      </c>
      <c r="L406" s="6">
        <v>1126.29</v>
      </c>
      <c r="M406" s="6">
        <v>2050.87</v>
      </c>
      <c r="N406" s="8">
        <v>6.4000000000000001E-2</v>
      </c>
      <c r="O406" s="6">
        <v>7</v>
      </c>
      <c r="P406" s="7" t="str">
        <f t="shared" si="49"/>
        <v>Beijing</v>
      </c>
      <c r="Q406" s="7" t="str">
        <f t="shared" si="50"/>
        <v>C. Otieno</v>
      </c>
      <c r="R406" s="7" t="str">
        <f t="shared" si="51"/>
        <v>Direct</v>
      </c>
      <c r="S406" t="str">
        <f t="shared" si="56"/>
        <v>OK</v>
      </c>
      <c r="T406" s="8" t="str">
        <f t="shared" si="52"/>
        <v>OK</v>
      </c>
      <c r="U406" t="str">
        <f t="shared" si="53"/>
        <v>OK</v>
      </c>
      <c r="V406">
        <f t="shared" si="54"/>
        <v>29</v>
      </c>
      <c r="W406" s="4">
        <f t="shared" si="55"/>
        <v>45020</v>
      </c>
    </row>
    <row r="407" spans="1:23" hidden="1" x14ac:dyDescent="0.25">
      <c r="A407" t="s">
        <v>420</v>
      </c>
      <c r="B407" s="4">
        <v>45646</v>
      </c>
      <c r="C407" s="4">
        <v>45671</v>
      </c>
      <c r="D407" t="s">
        <v>647</v>
      </c>
      <c r="E407" t="s">
        <v>654</v>
      </c>
      <c r="F407" t="s">
        <v>680</v>
      </c>
      <c r="G407" t="s">
        <v>705</v>
      </c>
      <c r="H407" t="s">
        <v>707</v>
      </c>
      <c r="I407" t="s">
        <v>724</v>
      </c>
      <c r="J407" t="s">
        <v>728</v>
      </c>
      <c r="K407" t="s">
        <v>1139</v>
      </c>
      <c r="L407" s="6">
        <v>1361.34</v>
      </c>
      <c r="M407" s="6">
        <v>1737.9</v>
      </c>
      <c r="N407" s="8">
        <v>7.6999999999999999E-2</v>
      </c>
      <c r="O407" s="6">
        <v>14</v>
      </c>
      <c r="P407" s="7" t="str">
        <f t="shared" si="49"/>
        <v>Delhi</v>
      </c>
      <c r="Q407" s="7" t="str">
        <f t="shared" si="50"/>
        <v>M. Rossi</v>
      </c>
      <c r="R407" s="7" t="str">
        <f t="shared" si="51"/>
        <v>Retail</v>
      </c>
      <c r="S407" t="str">
        <f t="shared" si="56"/>
        <v>OK</v>
      </c>
      <c r="T407" s="8" t="str">
        <f t="shared" si="52"/>
        <v>OK</v>
      </c>
      <c r="U407" t="str">
        <f t="shared" si="53"/>
        <v>OK</v>
      </c>
      <c r="V407">
        <f t="shared" si="54"/>
        <v>25</v>
      </c>
      <c r="W407" s="4">
        <f t="shared" si="55"/>
        <v>45671</v>
      </c>
    </row>
    <row r="408" spans="1:23" hidden="1" x14ac:dyDescent="0.25">
      <c r="A408" t="s">
        <v>421</v>
      </c>
      <c r="B408" s="4">
        <v>45709</v>
      </c>
      <c r="C408" s="4">
        <v>45737</v>
      </c>
      <c r="D408" t="s">
        <v>646</v>
      </c>
      <c r="E408" t="s">
        <v>651</v>
      </c>
      <c r="F408" t="s">
        <v>669</v>
      </c>
      <c r="G408" t="s">
        <v>706</v>
      </c>
      <c r="H408" t="s">
        <v>709</v>
      </c>
      <c r="I408" t="s">
        <v>714</v>
      </c>
      <c r="J408" t="s">
        <v>730</v>
      </c>
      <c r="K408" t="s">
        <v>1140</v>
      </c>
      <c r="L408" s="6">
        <v>1437.39</v>
      </c>
      <c r="M408" s="6">
        <v>1388.31</v>
      </c>
      <c r="N408" s="8">
        <v>0.13800000000000001</v>
      </c>
      <c r="O408" s="6">
        <v>18</v>
      </c>
      <c r="P408" s="7" t="str">
        <f t="shared" si="49"/>
        <v>Abuja</v>
      </c>
      <c r="Q408" s="7" t="str">
        <f t="shared" si="50"/>
        <v>I. Johnson</v>
      </c>
      <c r="R408" s="7" t="str">
        <f t="shared" si="51"/>
        <v>Marketplace</v>
      </c>
      <c r="S408" t="str">
        <f t="shared" si="56"/>
        <v>OK</v>
      </c>
      <c r="T408" s="8" t="str">
        <f t="shared" si="52"/>
        <v>OK</v>
      </c>
      <c r="U408" t="str">
        <f t="shared" si="53"/>
        <v>OK</v>
      </c>
      <c r="V408">
        <f t="shared" si="54"/>
        <v>28</v>
      </c>
      <c r="W408" s="4">
        <f t="shared" si="55"/>
        <v>45737</v>
      </c>
    </row>
    <row r="409" spans="1:23" hidden="1" x14ac:dyDescent="0.25">
      <c r="A409" t="s">
        <v>422</v>
      </c>
      <c r="B409" s="4">
        <v>45724</v>
      </c>
      <c r="C409" s="4">
        <v>45731</v>
      </c>
      <c r="D409" t="s">
        <v>647</v>
      </c>
      <c r="E409" t="s">
        <v>654</v>
      </c>
      <c r="F409" t="s">
        <v>668</v>
      </c>
      <c r="G409" t="s">
        <v>701</v>
      </c>
      <c r="H409" t="s">
        <v>710</v>
      </c>
      <c r="I409" t="s">
        <v>723</v>
      </c>
      <c r="J409" t="s">
        <v>731</v>
      </c>
      <c r="K409" t="s">
        <v>1141</v>
      </c>
      <c r="L409" s="6">
        <v>475.66</v>
      </c>
      <c r="M409" s="6">
        <v>529.14</v>
      </c>
      <c r="N409" s="8">
        <v>0.19600000000000001</v>
      </c>
      <c r="O409" s="6">
        <v>11</v>
      </c>
      <c r="P409" s="7" t="str">
        <f t="shared" si="49"/>
        <v>Bengaluru</v>
      </c>
      <c r="Q409" s="7" t="str">
        <f t="shared" si="50"/>
        <v>K. Singh</v>
      </c>
      <c r="R409" s="7" t="str">
        <f t="shared" si="51"/>
        <v>Distributor</v>
      </c>
      <c r="S409" t="str">
        <f t="shared" si="56"/>
        <v>OK</v>
      </c>
      <c r="T409" s="8" t="str">
        <f t="shared" si="52"/>
        <v>OK</v>
      </c>
      <c r="U409" t="str">
        <f t="shared" si="53"/>
        <v>OK</v>
      </c>
      <c r="V409">
        <f t="shared" si="54"/>
        <v>7</v>
      </c>
      <c r="W409" s="4">
        <f t="shared" si="55"/>
        <v>45731</v>
      </c>
    </row>
    <row r="410" spans="1:23" hidden="1" x14ac:dyDescent="0.25">
      <c r="A410" t="s">
        <v>423</v>
      </c>
      <c r="B410" s="4">
        <v>45276</v>
      </c>
      <c r="C410" s="4">
        <v>45279</v>
      </c>
      <c r="D410" t="s">
        <v>647</v>
      </c>
      <c r="E410" t="s">
        <v>659</v>
      </c>
      <c r="F410" t="s">
        <v>699</v>
      </c>
      <c r="G410" t="s">
        <v>702</v>
      </c>
      <c r="H410" t="s">
        <v>707</v>
      </c>
      <c r="I410" t="s">
        <v>720</v>
      </c>
      <c r="J410" t="s">
        <v>733</v>
      </c>
      <c r="K410" t="s">
        <v>1142</v>
      </c>
      <c r="L410" s="6">
        <v>1415.05</v>
      </c>
      <c r="M410" s="6">
        <v>1972.38</v>
      </c>
      <c r="N410" s="8">
        <v>0</v>
      </c>
      <c r="O410" s="6">
        <v>12</v>
      </c>
      <c r="P410" s="7" t="str">
        <f t="shared" si="49"/>
        <v>Beijing</v>
      </c>
      <c r="Q410" s="7" t="str">
        <f t="shared" si="50"/>
        <v>A. Patel</v>
      </c>
      <c r="R410" s="7" t="str">
        <f t="shared" si="51"/>
        <v>Retail</v>
      </c>
      <c r="S410" t="str">
        <f t="shared" si="56"/>
        <v>OK</v>
      </c>
      <c r="T410" s="8" t="str">
        <f t="shared" si="52"/>
        <v>OK</v>
      </c>
      <c r="U410" t="str">
        <f t="shared" si="53"/>
        <v>OK</v>
      </c>
      <c r="V410">
        <f t="shared" si="54"/>
        <v>3</v>
      </c>
      <c r="W410" s="4">
        <f t="shared" si="55"/>
        <v>45279</v>
      </c>
    </row>
    <row r="411" spans="1:23" hidden="1" x14ac:dyDescent="0.25">
      <c r="A411" t="s">
        <v>424</v>
      </c>
      <c r="B411" s="4">
        <v>45534</v>
      </c>
      <c r="C411" s="4">
        <v>45540</v>
      </c>
      <c r="D411" t="s">
        <v>647</v>
      </c>
      <c r="E411" t="s">
        <v>652</v>
      </c>
      <c r="F411" t="s">
        <v>694</v>
      </c>
      <c r="G411" t="s">
        <v>702</v>
      </c>
      <c r="H411" t="s">
        <v>708</v>
      </c>
      <c r="I411" t="s">
        <v>725</v>
      </c>
      <c r="J411" t="s">
        <v>731</v>
      </c>
      <c r="K411" t="s">
        <v>1143</v>
      </c>
      <c r="L411" s="6">
        <v>466.16</v>
      </c>
      <c r="M411" s="6">
        <v>876.81</v>
      </c>
      <c r="N411" s="8">
        <v>0.24099999999999999</v>
      </c>
      <c r="O411" s="6">
        <v>8</v>
      </c>
      <c r="P411" s="7" t="str">
        <f t="shared" si="49"/>
        <v>Nagoya</v>
      </c>
      <c r="Q411" s="7" t="str">
        <f t="shared" si="50"/>
        <v>N. Brown</v>
      </c>
      <c r="R411" s="7" t="str">
        <f t="shared" si="51"/>
        <v>Online</v>
      </c>
      <c r="S411" t="str">
        <f t="shared" si="56"/>
        <v>OK</v>
      </c>
      <c r="T411" s="8" t="str">
        <f t="shared" si="52"/>
        <v>OK</v>
      </c>
      <c r="U411" t="str">
        <f t="shared" si="53"/>
        <v>OK</v>
      </c>
      <c r="V411">
        <f t="shared" si="54"/>
        <v>6</v>
      </c>
      <c r="W411" s="4">
        <f t="shared" si="55"/>
        <v>45540</v>
      </c>
    </row>
    <row r="412" spans="1:23" hidden="1" x14ac:dyDescent="0.25">
      <c r="A412" t="s">
        <v>425</v>
      </c>
      <c r="B412" s="4">
        <v>45430</v>
      </c>
      <c r="C412" s="4">
        <v>45433</v>
      </c>
      <c r="D412" t="s">
        <v>649</v>
      </c>
      <c r="E412" t="s">
        <v>657</v>
      </c>
      <c r="F412" t="s">
        <v>673</v>
      </c>
      <c r="G412" t="s">
        <v>703</v>
      </c>
      <c r="H412" t="s">
        <v>709</v>
      </c>
      <c r="I412" t="s">
        <v>726</v>
      </c>
      <c r="J412" t="s">
        <v>728</v>
      </c>
      <c r="K412" t="s">
        <v>1144</v>
      </c>
      <c r="L412" s="6">
        <v>663.66</v>
      </c>
      <c r="M412" s="6">
        <v>824.26</v>
      </c>
      <c r="N412" s="8">
        <v>0.23899999999999999</v>
      </c>
      <c r="O412" s="6">
        <v>11</v>
      </c>
      <c r="P412" s="7" t="str">
        <f t="shared" si="49"/>
        <v>Marseille</v>
      </c>
      <c r="Q412" s="7" t="str">
        <f t="shared" si="50"/>
        <v>D. Smith</v>
      </c>
      <c r="R412" s="7" t="str">
        <f t="shared" si="51"/>
        <v>Marketplace</v>
      </c>
      <c r="S412" t="str">
        <f t="shared" si="56"/>
        <v>OK</v>
      </c>
      <c r="T412" s="8" t="str">
        <f t="shared" si="52"/>
        <v>OK</v>
      </c>
      <c r="U412" t="str">
        <f t="shared" si="53"/>
        <v>OK</v>
      </c>
      <c r="V412">
        <f t="shared" si="54"/>
        <v>3</v>
      </c>
      <c r="W412" s="4">
        <f t="shared" si="55"/>
        <v>45433</v>
      </c>
    </row>
    <row r="413" spans="1:23" hidden="1" x14ac:dyDescent="0.25">
      <c r="A413" t="s">
        <v>426</v>
      </c>
      <c r="B413" s="4">
        <v>45002</v>
      </c>
      <c r="C413" s="4">
        <v>45022</v>
      </c>
      <c r="D413" t="s">
        <v>649</v>
      </c>
      <c r="E413" t="s">
        <v>656</v>
      </c>
      <c r="F413" t="s">
        <v>684</v>
      </c>
      <c r="G413" t="s">
        <v>704</v>
      </c>
      <c r="H413" t="s">
        <v>707</v>
      </c>
      <c r="I413" t="s">
        <v>719</v>
      </c>
      <c r="J413" t="s">
        <v>730</v>
      </c>
      <c r="K413" t="s">
        <v>1145</v>
      </c>
      <c r="L413" s="6">
        <v>692.18</v>
      </c>
      <c r="M413" s="6">
        <v>1159.3499999999999</v>
      </c>
      <c r="N413" s="8">
        <v>0.112</v>
      </c>
      <c r="O413" s="6">
        <v>2</v>
      </c>
      <c r="P413" s="7" t="str">
        <f t="shared" si="49"/>
        <v>Munich</v>
      </c>
      <c r="Q413" s="7" t="str">
        <f t="shared" si="50"/>
        <v>O. Wang</v>
      </c>
      <c r="R413" s="7" t="str">
        <f t="shared" si="51"/>
        <v>Retail</v>
      </c>
      <c r="S413" t="str">
        <f t="shared" si="56"/>
        <v>OK</v>
      </c>
      <c r="T413" s="8" t="str">
        <f t="shared" si="52"/>
        <v>OK</v>
      </c>
      <c r="U413" t="str">
        <f t="shared" si="53"/>
        <v>OK</v>
      </c>
      <c r="V413">
        <f t="shared" si="54"/>
        <v>20</v>
      </c>
      <c r="W413" s="4">
        <f t="shared" si="55"/>
        <v>45022</v>
      </c>
    </row>
    <row r="414" spans="1:23" hidden="1" x14ac:dyDescent="0.25">
      <c r="A414" t="s">
        <v>427</v>
      </c>
      <c r="B414" s="4">
        <v>45163</v>
      </c>
      <c r="C414" s="4">
        <v>45185</v>
      </c>
      <c r="D414" t="s">
        <v>646</v>
      </c>
      <c r="E414" t="s">
        <v>651</v>
      </c>
      <c r="F414" t="s">
        <v>669</v>
      </c>
      <c r="G414" t="s">
        <v>701</v>
      </c>
      <c r="H414" t="s">
        <v>709</v>
      </c>
      <c r="I414" t="s">
        <v>716</v>
      </c>
      <c r="J414" t="s">
        <v>730</v>
      </c>
      <c r="K414" t="s">
        <v>1146</v>
      </c>
      <c r="L414" s="6">
        <v>1196.83</v>
      </c>
      <c r="M414" s="6">
        <v>2513.5100000000002</v>
      </c>
      <c r="N414" s="8">
        <v>8.3000000000000004E-2</v>
      </c>
      <c r="O414" s="6">
        <v>7</v>
      </c>
      <c r="P414" s="7" t="str">
        <f t="shared" si="49"/>
        <v>Abuja</v>
      </c>
      <c r="Q414" s="7" t="str">
        <f t="shared" si="50"/>
        <v>L. Okafor</v>
      </c>
      <c r="R414" s="7" t="str">
        <f t="shared" si="51"/>
        <v>Marketplace</v>
      </c>
      <c r="S414" t="str">
        <f t="shared" si="56"/>
        <v>OK</v>
      </c>
      <c r="T414" s="8" t="str">
        <f t="shared" si="52"/>
        <v>OK</v>
      </c>
      <c r="U414" t="str">
        <f t="shared" si="53"/>
        <v>OK</v>
      </c>
      <c r="V414">
        <f t="shared" si="54"/>
        <v>22</v>
      </c>
      <c r="W414" s="4">
        <f t="shared" si="55"/>
        <v>45185</v>
      </c>
    </row>
    <row r="415" spans="1:23" hidden="1" x14ac:dyDescent="0.25">
      <c r="A415" t="s">
        <v>428</v>
      </c>
      <c r="B415" s="4">
        <v>45449</v>
      </c>
      <c r="C415" s="4">
        <v>45467</v>
      </c>
      <c r="D415" t="s">
        <v>647</v>
      </c>
      <c r="E415" t="s">
        <v>654</v>
      </c>
      <c r="F415" t="s">
        <v>668</v>
      </c>
      <c r="G415" t="s">
        <v>705</v>
      </c>
      <c r="H415" t="s">
        <v>711</v>
      </c>
      <c r="I415" t="s">
        <v>722</v>
      </c>
      <c r="J415" t="s">
        <v>729</v>
      </c>
      <c r="K415" t="s">
        <v>1147</v>
      </c>
      <c r="L415" s="6">
        <v>1253.25</v>
      </c>
      <c r="M415" s="6">
        <v>3087.13</v>
      </c>
      <c r="N415" s="8">
        <v>7.1999999999999995E-2</v>
      </c>
      <c r="O415" s="6">
        <v>11</v>
      </c>
      <c r="P415" s="7" t="str">
        <f t="shared" si="49"/>
        <v>Bengaluru</v>
      </c>
      <c r="Q415" s="7" t="str">
        <f t="shared" si="50"/>
        <v>H. Kim</v>
      </c>
      <c r="R415" s="7" t="str">
        <f t="shared" si="51"/>
        <v>Direct</v>
      </c>
      <c r="S415" t="str">
        <f t="shared" si="56"/>
        <v>OK</v>
      </c>
      <c r="T415" s="8" t="str">
        <f t="shared" si="52"/>
        <v>OK</v>
      </c>
      <c r="U415" t="str">
        <f t="shared" si="53"/>
        <v>OK</v>
      </c>
      <c r="V415">
        <f t="shared" si="54"/>
        <v>18</v>
      </c>
      <c r="W415" s="4">
        <f t="shared" si="55"/>
        <v>45467</v>
      </c>
    </row>
    <row r="416" spans="1:23" hidden="1" x14ac:dyDescent="0.25">
      <c r="A416" t="s">
        <v>429</v>
      </c>
      <c r="B416" s="4">
        <v>45167</v>
      </c>
      <c r="C416" s="4">
        <v>45182</v>
      </c>
      <c r="D416" t="s">
        <v>648</v>
      </c>
      <c r="E416" t="s">
        <v>653</v>
      </c>
      <c r="F416" t="s">
        <v>688</v>
      </c>
      <c r="G416" t="s">
        <v>705</v>
      </c>
      <c r="H416" t="s">
        <v>709</v>
      </c>
      <c r="I416" t="s">
        <v>719</v>
      </c>
      <c r="J416" t="s">
        <v>728</v>
      </c>
      <c r="K416" t="s">
        <v>1148</v>
      </c>
      <c r="L416" s="6">
        <v>1287.6400000000001</v>
      </c>
      <c r="M416" s="6">
        <v>2717.15</v>
      </c>
      <c r="N416" s="8">
        <v>3.2000000000000001E-2</v>
      </c>
      <c r="O416" s="6">
        <v>7</v>
      </c>
      <c r="P416" s="7" t="str">
        <f t="shared" si="49"/>
        <v>Vancouver</v>
      </c>
      <c r="Q416" s="7" t="str">
        <f t="shared" si="50"/>
        <v>O. Wang</v>
      </c>
      <c r="R416" s="7" t="str">
        <f t="shared" si="51"/>
        <v>Marketplace</v>
      </c>
      <c r="S416" t="str">
        <f t="shared" si="56"/>
        <v>OK</v>
      </c>
      <c r="T416" s="8" t="str">
        <f t="shared" si="52"/>
        <v>OK</v>
      </c>
      <c r="U416" t="str">
        <f t="shared" si="53"/>
        <v>OK</v>
      </c>
      <c r="V416">
        <f t="shared" si="54"/>
        <v>15</v>
      </c>
      <c r="W416" s="4">
        <f t="shared" si="55"/>
        <v>45182</v>
      </c>
    </row>
    <row r="417" spans="1:23" hidden="1" x14ac:dyDescent="0.25">
      <c r="A417" t="s">
        <v>430</v>
      </c>
      <c r="B417" s="4">
        <v>45626</v>
      </c>
      <c r="C417" s="4">
        <v>45636</v>
      </c>
      <c r="D417" t="s">
        <v>647</v>
      </c>
      <c r="E417" t="s">
        <v>654</v>
      </c>
      <c r="F417" t="s">
        <v>696</v>
      </c>
      <c r="G417" t="s">
        <v>705</v>
      </c>
      <c r="H417" t="s">
        <v>707</v>
      </c>
      <c r="I417" t="s">
        <v>721</v>
      </c>
      <c r="J417" t="s">
        <v>733</v>
      </c>
      <c r="K417" t="s">
        <v>1149</v>
      </c>
      <c r="L417" s="6">
        <v>851.49</v>
      </c>
      <c r="M417" s="6">
        <v>901.79</v>
      </c>
      <c r="N417" s="8">
        <v>0.245</v>
      </c>
      <c r="O417" s="6">
        <v>16</v>
      </c>
      <c r="P417" s="7" t="str">
        <f t="shared" si="49"/>
        <v>Hyderabad</v>
      </c>
      <c r="Q417" s="7" t="str">
        <f t="shared" si="50"/>
        <v>F. Müller</v>
      </c>
      <c r="R417" s="7" t="str">
        <f t="shared" si="51"/>
        <v>Retail</v>
      </c>
      <c r="S417" t="str">
        <f t="shared" si="56"/>
        <v>OK</v>
      </c>
      <c r="T417" s="8" t="str">
        <f t="shared" si="52"/>
        <v>OK</v>
      </c>
      <c r="U417" t="str">
        <f t="shared" si="53"/>
        <v>OK</v>
      </c>
      <c r="V417">
        <f t="shared" si="54"/>
        <v>10</v>
      </c>
      <c r="W417" s="4">
        <f t="shared" si="55"/>
        <v>45636</v>
      </c>
    </row>
    <row r="418" spans="1:23" hidden="1" x14ac:dyDescent="0.25">
      <c r="A418" t="s">
        <v>431</v>
      </c>
      <c r="B418" s="4">
        <v>45813</v>
      </c>
      <c r="C418" s="4">
        <v>45822</v>
      </c>
      <c r="D418" t="s">
        <v>647</v>
      </c>
      <c r="E418" t="s">
        <v>654</v>
      </c>
      <c r="F418" t="s">
        <v>680</v>
      </c>
      <c r="G418" t="s">
        <v>703</v>
      </c>
      <c r="H418" t="s">
        <v>707</v>
      </c>
      <c r="I418" t="s">
        <v>720</v>
      </c>
      <c r="J418" t="s">
        <v>733</v>
      </c>
      <c r="K418" t="s">
        <v>1150</v>
      </c>
      <c r="L418" s="6">
        <v>618.69000000000005</v>
      </c>
      <c r="M418" s="6">
        <v>796.15</v>
      </c>
      <c r="N418" s="8">
        <v>0.09</v>
      </c>
      <c r="O418" s="6">
        <v>11</v>
      </c>
      <c r="P418" s="7" t="str">
        <f t="shared" si="49"/>
        <v>Delhi</v>
      </c>
      <c r="Q418" s="7" t="str">
        <f t="shared" si="50"/>
        <v>A. Patel</v>
      </c>
      <c r="R418" s="7" t="str">
        <f t="shared" si="51"/>
        <v>Retail</v>
      </c>
      <c r="S418" t="str">
        <f t="shared" si="56"/>
        <v>OK</v>
      </c>
      <c r="T418" s="8" t="str">
        <f t="shared" si="52"/>
        <v>OK</v>
      </c>
      <c r="U418" t="str">
        <f t="shared" si="53"/>
        <v>OK</v>
      </c>
      <c r="V418">
        <f t="shared" si="54"/>
        <v>9</v>
      </c>
      <c r="W418" s="4">
        <f t="shared" si="55"/>
        <v>45822</v>
      </c>
    </row>
    <row r="419" spans="1:23" hidden="1" x14ac:dyDescent="0.25">
      <c r="A419" t="s">
        <v>432</v>
      </c>
      <c r="B419" s="4">
        <v>45730</v>
      </c>
      <c r="C419" s="4">
        <v>45755</v>
      </c>
      <c r="D419" t="s">
        <v>647</v>
      </c>
      <c r="E419" t="s">
        <v>659</v>
      </c>
      <c r="F419" t="s">
        <v>1367</v>
      </c>
      <c r="G419" t="s">
        <v>701</v>
      </c>
      <c r="H419" t="s">
        <v>710</v>
      </c>
      <c r="I419" t="s">
        <v>726</v>
      </c>
      <c r="J419" t="s">
        <v>728</v>
      </c>
      <c r="K419" t="s">
        <v>1151</v>
      </c>
      <c r="L419" s="6">
        <v>80.59</v>
      </c>
      <c r="M419" s="6">
        <v>157.82</v>
      </c>
      <c r="N419" s="8">
        <v>0.217</v>
      </c>
      <c r="O419" s="6">
        <v>6</v>
      </c>
      <c r="P419" s="7" t="str">
        <f t="shared" si="49"/>
        <v>Unknown</v>
      </c>
      <c r="Q419" s="7" t="str">
        <f t="shared" si="50"/>
        <v>D. Smith</v>
      </c>
      <c r="R419" s="7" t="str">
        <f t="shared" si="51"/>
        <v>Distributor</v>
      </c>
      <c r="S419" t="str">
        <f t="shared" si="56"/>
        <v>OK</v>
      </c>
      <c r="T419" s="8" t="str">
        <f t="shared" si="52"/>
        <v>OK</v>
      </c>
      <c r="U419" t="str">
        <f t="shared" si="53"/>
        <v>OK</v>
      </c>
      <c r="V419">
        <f t="shared" si="54"/>
        <v>25</v>
      </c>
      <c r="W419" s="4">
        <f t="shared" si="55"/>
        <v>45755</v>
      </c>
    </row>
    <row r="420" spans="1:23" hidden="1" x14ac:dyDescent="0.25">
      <c r="A420" t="s">
        <v>433</v>
      </c>
      <c r="B420" s="4">
        <v>45307</v>
      </c>
      <c r="C420" s="4">
        <v>45333</v>
      </c>
      <c r="D420" t="s">
        <v>649</v>
      </c>
      <c r="E420" t="s">
        <v>656</v>
      </c>
      <c r="F420" t="s">
        <v>698</v>
      </c>
      <c r="G420" t="s">
        <v>703</v>
      </c>
      <c r="H420" t="s">
        <v>710</v>
      </c>
      <c r="I420" t="s">
        <v>718</v>
      </c>
      <c r="J420" t="s">
        <v>732</v>
      </c>
      <c r="K420" t="s">
        <v>1152</v>
      </c>
      <c r="L420" s="6">
        <v>504.93</v>
      </c>
      <c r="M420" s="6">
        <v>819.06</v>
      </c>
      <c r="N420" s="8">
        <v>0.22600000000000001</v>
      </c>
      <c r="O420" s="6">
        <v>15</v>
      </c>
      <c r="P420" s="7" t="str">
        <f t="shared" si="49"/>
        <v>Frankfurt</v>
      </c>
      <c r="Q420" s="7" t="str">
        <f t="shared" si="50"/>
        <v>E. Garcia</v>
      </c>
      <c r="R420" s="7" t="str">
        <f t="shared" si="51"/>
        <v>Distributor</v>
      </c>
      <c r="S420" t="str">
        <f t="shared" si="56"/>
        <v>OK</v>
      </c>
      <c r="T420" s="8" t="str">
        <f t="shared" si="52"/>
        <v>OK</v>
      </c>
      <c r="U420" t="str">
        <f t="shared" si="53"/>
        <v>OK</v>
      </c>
      <c r="V420">
        <f t="shared" si="54"/>
        <v>26</v>
      </c>
      <c r="W420" s="4">
        <f t="shared" si="55"/>
        <v>45333</v>
      </c>
    </row>
    <row r="421" spans="1:23" hidden="1" x14ac:dyDescent="0.25">
      <c r="A421" t="s">
        <v>434</v>
      </c>
      <c r="B421" s="4">
        <v>45211</v>
      </c>
      <c r="C421" s="4">
        <v>45228</v>
      </c>
      <c r="D421" t="s">
        <v>647</v>
      </c>
      <c r="E421" t="s">
        <v>652</v>
      </c>
      <c r="F421" t="s">
        <v>694</v>
      </c>
      <c r="G421" t="s">
        <v>703</v>
      </c>
      <c r="H421" t="s">
        <v>711</v>
      </c>
      <c r="I421" t="s">
        <v>722</v>
      </c>
      <c r="J421" t="s">
        <v>730</v>
      </c>
      <c r="K421" t="s">
        <v>1153</v>
      </c>
      <c r="L421" s="6">
        <v>1102.19</v>
      </c>
      <c r="M421" s="6">
        <v>1711.16</v>
      </c>
      <c r="N421" s="8">
        <v>0.151</v>
      </c>
      <c r="O421" s="6">
        <v>10</v>
      </c>
      <c r="P421" s="7" t="str">
        <f t="shared" si="49"/>
        <v>Nagoya</v>
      </c>
      <c r="Q421" s="7" t="str">
        <f t="shared" si="50"/>
        <v>H. Kim</v>
      </c>
      <c r="R421" s="7" t="str">
        <f t="shared" si="51"/>
        <v>Direct</v>
      </c>
      <c r="S421" t="str">
        <f t="shared" si="56"/>
        <v>OK</v>
      </c>
      <c r="T421" s="8" t="str">
        <f t="shared" si="52"/>
        <v>OK</v>
      </c>
      <c r="U421" t="str">
        <f t="shared" si="53"/>
        <v>OK</v>
      </c>
      <c r="V421">
        <f t="shared" si="54"/>
        <v>17</v>
      </c>
      <c r="W421" s="4">
        <f t="shared" si="55"/>
        <v>45228</v>
      </c>
    </row>
    <row r="422" spans="1:23" hidden="1" x14ac:dyDescent="0.25">
      <c r="A422" t="s">
        <v>435</v>
      </c>
      <c r="B422" s="4">
        <v>45713</v>
      </c>
      <c r="C422" s="4">
        <v>45733</v>
      </c>
      <c r="D422" t="s">
        <v>648</v>
      </c>
      <c r="E422" t="s">
        <v>660</v>
      </c>
      <c r="F422" t="s">
        <v>686</v>
      </c>
      <c r="G422" t="s">
        <v>703</v>
      </c>
      <c r="H422" t="s">
        <v>709</v>
      </c>
      <c r="I422" t="s">
        <v>722</v>
      </c>
      <c r="J422" t="s">
        <v>730</v>
      </c>
      <c r="K422" t="s">
        <v>1154</v>
      </c>
      <c r="L422" s="6">
        <v>1205.26</v>
      </c>
      <c r="M422" s="6">
        <v>1696.35</v>
      </c>
      <c r="N422" s="8">
        <v>1.9E-2</v>
      </c>
      <c r="O422" s="6">
        <v>6</v>
      </c>
      <c r="P422" s="7" t="str">
        <f t="shared" si="49"/>
        <v>San Francisco</v>
      </c>
      <c r="Q422" s="7" t="str">
        <f t="shared" si="50"/>
        <v>H. Kim</v>
      </c>
      <c r="R422" s="7" t="str">
        <f t="shared" si="51"/>
        <v>Marketplace</v>
      </c>
      <c r="S422" t="str">
        <f t="shared" si="56"/>
        <v>OK</v>
      </c>
      <c r="T422" s="8" t="str">
        <f t="shared" si="52"/>
        <v>OK</v>
      </c>
      <c r="U422" t="str">
        <f t="shared" si="53"/>
        <v>OK</v>
      </c>
      <c r="V422">
        <f t="shared" si="54"/>
        <v>20</v>
      </c>
      <c r="W422" s="4">
        <f t="shared" si="55"/>
        <v>45733</v>
      </c>
    </row>
    <row r="423" spans="1:23" hidden="1" x14ac:dyDescent="0.25">
      <c r="A423" t="s">
        <v>436</v>
      </c>
      <c r="B423" s="4">
        <v>45841</v>
      </c>
      <c r="C423" s="4">
        <v>45844</v>
      </c>
      <c r="D423" t="s">
        <v>646</v>
      </c>
      <c r="E423" t="s">
        <v>651</v>
      </c>
      <c r="F423" t="s">
        <v>665</v>
      </c>
      <c r="G423" t="s">
        <v>704</v>
      </c>
      <c r="H423" t="s">
        <v>708</v>
      </c>
      <c r="I423" t="s">
        <v>1368</v>
      </c>
      <c r="J423" t="s">
        <v>731</v>
      </c>
      <c r="K423" t="s">
        <v>1155</v>
      </c>
      <c r="L423" s="6">
        <v>1313.3</v>
      </c>
      <c r="M423" s="6">
        <v>2884.34</v>
      </c>
      <c r="N423" s="8">
        <v>0.157</v>
      </c>
      <c r="O423" s="6">
        <v>42</v>
      </c>
      <c r="P423" s="7" t="str">
        <f t="shared" si="49"/>
        <v>Lagos</v>
      </c>
      <c r="Q423" s="7" t="str">
        <f t="shared" si="50"/>
        <v>Unassigned</v>
      </c>
      <c r="R423" s="7" t="str">
        <f t="shared" si="51"/>
        <v>Online</v>
      </c>
      <c r="S423" t="str">
        <f t="shared" si="56"/>
        <v>OK</v>
      </c>
      <c r="T423" s="8" t="str">
        <f t="shared" si="52"/>
        <v>OK</v>
      </c>
      <c r="U423" t="str">
        <f t="shared" si="53"/>
        <v>OK</v>
      </c>
      <c r="V423">
        <f t="shared" si="54"/>
        <v>3</v>
      </c>
      <c r="W423" s="4">
        <f t="shared" si="55"/>
        <v>45844</v>
      </c>
    </row>
    <row r="424" spans="1:23" hidden="1" x14ac:dyDescent="0.25">
      <c r="A424" t="s">
        <v>437</v>
      </c>
      <c r="B424" s="4">
        <v>45915</v>
      </c>
      <c r="C424" s="4">
        <v>45925</v>
      </c>
      <c r="D424" t="s">
        <v>647</v>
      </c>
      <c r="E424" t="s">
        <v>654</v>
      </c>
      <c r="F424" t="s">
        <v>680</v>
      </c>
      <c r="G424" t="s">
        <v>704</v>
      </c>
      <c r="H424" t="s">
        <v>707</v>
      </c>
      <c r="I424" t="s">
        <v>720</v>
      </c>
      <c r="J424" t="s">
        <v>730</v>
      </c>
      <c r="K424" t="s">
        <v>1156</v>
      </c>
      <c r="L424" s="6">
        <v>1488.91</v>
      </c>
      <c r="M424" s="6">
        <v>1483.74</v>
      </c>
      <c r="N424" s="8">
        <v>0.16800000000000001</v>
      </c>
      <c r="O424" s="6">
        <v>24</v>
      </c>
      <c r="P424" s="7" t="str">
        <f t="shared" si="49"/>
        <v>Delhi</v>
      </c>
      <c r="Q424" s="7" t="str">
        <f t="shared" si="50"/>
        <v>A. Patel</v>
      </c>
      <c r="R424" s="7" t="str">
        <f t="shared" si="51"/>
        <v>Retail</v>
      </c>
      <c r="S424" t="str">
        <f t="shared" si="56"/>
        <v>OK</v>
      </c>
      <c r="T424" s="8" t="str">
        <f t="shared" si="52"/>
        <v>OK</v>
      </c>
      <c r="U424" t="str">
        <f t="shared" si="53"/>
        <v>OK</v>
      </c>
      <c r="V424">
        <f t="shared" si="54"/>
        <v>10</v>
      </c>
      <c r="W424" s="4">
        <f t="shared" si="55"/>
        <v>45925</v>
      </c>
    </row>
    <row r="425" spans="1:23" hidden="1" x14ac:dyDescent="0.25">
      <c r="A425" t="s">
        <v>438</v>
      </c>
      <c r="B425" s="4">
        <v>45341</v>
      </c>
      <c r="C425" s="4">
        <v>45357</v>
      </c>
      <c r="D425" t="s">
        <v>647</v>
      </c>
      <c r="E425" t="s">
        <v>659</v>
      </c>
      <c r="F425" t="s">
        <v>699</v>
      </c>
      <c r="G425" t="s">
        <v>702</v>
      </c>
      <c r="H425" t="s">
        <v>709</v>
      </c>
      <c r="I425" t="s">
        <v>719</v>
      </c>
      <c r="J425" t="s">
        <v>728</v>
      </c>
      <c r="K425" t="s">
        <v>1157</v>
      </c>
      <c r="L425" s="6">
        <v>1477.84</v>
      </c>
      <c r="M425" s="6">
        <v>3197.47</v>
      </c>
      <c r="N425" s="8">
        <v>0.24299999999999999</v>
      </c>
      <c r="O425" s="6">
        <v>24</v>
      </c>
      <c r="P425" s="7" t="str">
        <f t="shared" si="49"/>
        <v>Beijing</v>
      </c>
      <c r="Q425" s="7" t="str">
        <f t="shared" si="50"/>
        <v>O. Wang</v>
      </c>
      <c r="R425" s="7" t="str">
        <f t="shared" si="51"/>
        <v>Marketplace</v>
      </c>
      <c r="S425" t="str">
        <f t="shared" si="56"/>
        <v>OK</v>
      </c>
      <c r="T425" s="8" t="str">
        <f t="shared" si="52"/>
        <v>OK</v>
      </c>
      <c r="U425" t="str">
        <f t="shared" si="53"/>
        <v>OK</v>
      </c>
      <c r="V425">
        <f t="shared" si="54"/>
        <v>16</v>
      </c>
      <c r="W425" s="4">
        <f t="shared" si="55"/>
        <v>45357</v>
      </c>
    </row>
    <row r="426" spans="1:23" hidden="1" x14ac:dyDescent="0.25">
      <c r="A426" t="s">
        <v>439</v>
      </c>
      <c r="B426" s="4">
        <v>45349</v>
      </c>
      <c r="C426" s="4">
        <v>45377</v>
      </c>
      <c r="D426" t="s">
        <v>647</v>
      </c>
      <c r="E426" t="s">
        <v>654</v>
      </c>
      <c r="F426" t="s">
        <v>691</v>
      </c>
      <c r="G426" t="s">
        <v>702</v>
      </c>
      <c r="H426" t="s">
        <v>709</v>
      </c>
      <c r="I426" t="s">
        <v>715</v>
      </c>
      <c r="J426" t="s">
        <v>731</v>
      </c>
      <c r="K426" t="s">
        <v>1158</v>
      </c>
      <c r="L426" s="6">
        <v>1035.19</v>
      </c>
      <c r="M426" s="6">
        <v>2322.6999999999998</v>
      </c>
      <c r="N426" s="8">
        <v>0.17299999999999999</v>
      </c>
      <c r="O426" s="6">
        <v>8</v>
      </c>
      <c r="P426" s="7" t="str">
        <f t="shared" si="49"/>
        <v>Mumbai</v>
      </c>
      <c r="Q426" s="7" t="str">
        <f t="shared" si="50"/>
        <v>G. Dubois</v>
      </c>
      <c r="R426" s="7" t="str">
        <f t="shared" si="51"/>
        <v>Marketplace</v>
      </c>
      <c r="S426" t="str">
        <f t="shared" si="56"/>
        <v>OK</v>
      </c>
      <c r="T426" s="8" t="str">
        <f t="shared" si="52"/>
        <v>OK</v>
      </c>
      <c r="U426" t="str">
        <f t="shared" si="53"/>
        <v>OK</v>
      </c>
      <c r="V426">
        <f t="shared" si="54"/>
        <v>28</v>
      </c>
      <c r="W426" s="4">
        <f t="shared" si="55"/>
        <v>45377</v>
      </c>
    </row>
    <row r="427" spans="1:23" hidden="1" x14ac:dyDescent="0.25">
      <c r="A427" t="s">
        <v>440</v>
      </c>
      <c r="B427" s="4">
        <v>45897</v>
      </c>
      <c r="C427" s="4">
        <v>45905</v>
      </c>
      <c r="D427" t="s">
        <v>646</v>
      </c>
      <c r="E427" t="s">
        <v>651</v>
      </c>
      <c r="F427" t="s">
        <v>663</v>
      </c>
      <c r="G427" t="s">
        <v>705</v>
      </c>
      <c r="H427" t="s">
        <v>709</v>
      </c>
      <c r="I427" t="s">
        <v>718</v>
      </c>
      <c r="J427" t="s">
        <v>731</v>
      </c>
      <c r="K427" t="s">
        <v>1159</v>
      </c>
      <c r="L427" s="6">
        <v>1271.0999999999999</v>
      </c>
      <c r="M427" s="6">
        <v>1932.42</v>
      </c>
      <c r="N427" s="8">
        <v>0.25</v>
      </c>
      <c r="O427" s="6">
        <v>21</v>
      </c>
      <c r="P427" s="7" t="str">
        <f t="shared" si="49"/>
        <v>Port Harcourt</v>
      </c>
      <c r="Q427" s="7" t="str">
        <f t="shared" si="50"/>
        <v>E. Garcia</v>
      </c>
      <c r="R427" s="7" t="str">
        <f t="shared" si="51"/>
        <v>Marketplace</v>
      </c>
      <c r="S427" t="str">
        <f t="shared" si="56"/>
        <v>OK</v>
      </c>
      <c r="T427" s="8" t="str">
        <f t="shared" si="52"/>
        <v>OK</v>
      </c>
      <c r="U427" t="str">
        <f t="shared" si="53"/>
        <v>OK</v>
      </c>
      <c r="V427">
        <f t="shared" si="54"/>
        <v>8</v>
      </c>
      <c r="W427" s="4">
        <f t="shared" si="55"/>
        <v>45905</v>
      </c>
    </row>
    <row r="428" spans="1:23" hidden="1" x14ac:dyDescent="0.25">
      <c r="A428" t="s">
        <v>441</v>
      </c>
      <c r="B428" s="4">
        <v>45522</v>
      </c>
      <c r="C428" s="4">
        <v>45547</v>
      </c>
      <c r="D428" t="s">
        <v>647</v>
      </c>
      <c r="E428" t="s">
        <v>654</v>
      </c>
      <c r="F428" t="s">
        <v>691</v>
      </c>
      <c r="G428" t="s">
        <v>704</v>
      </c>
      <c r="H428" t="s">
        <v>709</v>
      </c>
      <c r="I428" t="s">
        <v>712</v>
      </c>
      <c r="J428" t="s">
        <v>730</v>
      </c>
      <c r="K428" t="s">
        <v>1160</v>
      </c>
      <c r="L428" s="6">
        <v>1154.03</v>
      </c>
      <c r="M428" s="6">
        <v>1590.36</v>
      </c>
      <c r="N428" s="8">
        <v>0.3</v>
      </c>
      <c r="O428" s="6">
        <v>18</v>
      </c>
      <c r="P428" s="7" t="str">
        <f t="shared" si="49"/>
        <v>Mumbai</v>
      </c>
      <c r="Q428" s="7" t="str">
        <f t="shared" si="50"/>
        <v>C. Otieno</v>
      </c>
      <c r="R428" s="7" t="str">
        <f t="shared" si="51"/>
        <v>Marketplace</v>
      </c>
      <c r="S428" t="str">
        <f t="shared" si="56"/>
        <v>OK</v>
      </c>
      <c r="T428" s="8" t="str">
        <f t="shared" si="52"/>
        <v>OK</v>
      </c>
      <c r="U428" t="str">
        <f t="shared" si="53"/>
        <v>OK</v>
      </c>
      <c r="V428">
        <f t="shared" si="54"/>
        <v>25</v>
      </c>
      <c r="W428" s="4">
        <f t="shared" si="55"/>
        <v>45547</v>
      </c>
    </row>
    <row r="429" spans="1:23" hidden="1" x14ac:dyDescent="0.25">
      <c r="A429" t="s">
        <v>442</v>
      </c>
      <c r="B429" s="4">
        <v>45347</v>
      </c>
      <c r="C429" s="4">
        <v>45360</v>
      </c>
      <c r="D429" t="s">
        <v>649</v>
      </c>
      <c r="E429" t="s">
        <v>657</v>
      </c>
      <c r="F429" t="s">
        <v>673</v>
      </c>
      <c r="G429" t="s">
        <v>705</v>
      </c>
      <c r="H429" t="s">
        <v>710</v>
      </c>
      <c r="I429" t="s">
        <v>718</v>
      </c>
      <c r="J429" t="s">
        <v>732</v>
      </c>
      <c r="K429" t="s">
        <v>1161</v>
      </c>
      <c r="L429" s="6">
        <v>322.44</v>
      </c>
      <c r="M429" s="6">
        <v>395.61</v>
      </c>
      <c r="N429" s="8">
        <v>0</v>
      </c>
      <c r="O429" s="6">
        <v>34</v>
      </c>
      <c r="P429" s="7" t="str">
        <f t="shared" si="49"/>
        <v>Marseille</v>
      </c>
      <c r="Q429" s="7" t="str">
        <f t="shared" si="50"/>
        <v>E. Garcia</v>
      </c>
      <c r="R429" s="7" t="str">
        <f t="shared" si="51"/>
        <v>Distributor</v>
      </c>
      <c r="S429" t="str">
        <f t="shared" si="56"/>
        <v>OK</v>
      </c>
      <c r="T429" s="8" t="str">
        <f t="shared" si="52"/>
        <v>OK</v>
      </c>
      <c r="U429" t="str">
        <f t="shared" si="53"/>
        <v>OK</v>
      </c>
      <c r="V429">
        <f t="shared" si="54"/>
        <v>13</v>
      </c>
      <c r="W429" s="4">
        <f t="shared" si="55"/>
        <v>45360</v>
      </c>
    </row>
    <row r="430" spans="1:23" hidden="1" x14ac:dyDescent="0.25">
      <c r="A430" t="s">
        <v>443</v>
      </c>
      <c r="B430" s="4">
        <v>45784</v>
      </c>
      <c r="C430" s="4">
        <v>45790</v>
      </c>
      <c r="D430" t="s">
        <v>647</v>
      </c>
      <c r="E430" t="s">
        <v>654</v>
      </c>
      <c r="F430" t="s">
        <v>668</v>
      </c>
      <c r="G430" t="s">
        <v>706</v>
      </c>
      <c r="H430" t="s">
        <v>711</v>
      </c>
      <c r="I430" t="s">
        <v>713</v>
      </c>
      <c r="J430" t="s">
        <v>730</v>
      </c>
      <c r="K430" t="s">
        <v>1162</v>
      </c>
      <c r="L430" s="6">
        <v>935.98</v>
      </c>
      <c r="M430" s="6">
        <v>2077.69</v>
      </c>
      <c r="N430" s="8">
        <v>0.17499999999999999</v>
      </c>
      <c r="O430" s="6">
        <v>24</v>
      </c>
      <c r="P430" s="7" t="str">
        <f t="shared" si="49"/>
        <v>Bengaluru</v>
      </c>
      <c r="Q430" s="7" t="str">
        <f t="shared" si="50"/>
        <v>J. Njeri</v>
      </c>
      <c r="R430" s="7" t="str">
        <f t="shared" si="51"/>
        <v>Direct</v>
      </c>
      <c r="S430" t="str">
        <f t="shared" si="56"/>
        <v>OK</v>
      </c>
      <c r="T430" s="8" t="str">
        <f t="shared" si="52"/>
        <v>OK</v>
      </c>
      <c r="U430" t="str">
        <f t="shared" si="53"/>
        <v>OK</v>
      </c>
      <c r="V430">
        <f t="shared" si="54"/>
        <v>6</v>
      </c>
      <c r="W430" s="4">
        <f t="shared" si="55"/>
        <v>45790</v>
      </c>
    </row>
    <row r="431" spans="1:23" hidden="1" x14ac:dyDescent="0.25">
      <c r="A431" t="s">
        <v>444</v>
      </c>
      <c r="B431" s="4">
        <v>45597</v>
      </c>
      <c r="C431" s="4">
        <v>45608</v>
      </c>
      <c r="D431" t="s">
        <v>649</v>
      </c>
      <c r="E431" t="s">
        <v>656</v>
      </c>
      <c r="F431" t="s">
        <v>698</v>
      </c>
      <c r="G431" t="s">
        <v>704</v>
      </c>
      <c r="H431" t="s">
        <v>708</v>
      </c>
      <c r="I431" t="s">
        <v>717</v>
      </c>
      <c r="J431" t="s">
        <v>728</v>
      </c>
      <c r="K431" t="s">
        <v>1163</v>
      </c>
      <c r="L431" s="6">
        <v>599.84</v>
      </c>
      <c r="M431" s="6">
        <v>1330.85</v>
      </c>
      <c r="N431" s="8">
        <v>0.115</v>
      </c>
      <c r="O431" s="6">
        <v>11</v>
      </c>
      <c r="P431" s="7" t="str">
        <f t="shared" si="49"/>
        <v>Frankfurt</v>
      </c>
      <c r="Q431" s="7" t="str">
        <f t="shared" si="50"/>
        <v>B. Chen</v>
      </c>
      <c r="R431" s="7" t="str">
        <f t="shared" si="51"/>
        <v>Online</v>
      </c>
      <c r="S431" t="str">
        <f t="shared" si="56"/>
        <v>OK</v>
      </c>
      <c r="T431" s="8" t="str">
        <f t="shared" si="52"/>
        <v>OK</v>
      </c>
      <c r="U431" t="str">
        <f t="shared" si="53"/>
        <v>OK</v>
      </c>
      <c r="V431">
        <f t="shared" si="54"/>
        <v>11</v>
      </c>
      <c r="W431" s="4">
        <f t="shared" si="55"/>
        <v>45608</v>
      </c>
    </row>
    <row r="432" spans="1:23" hidden="1" x14ac:dyDescent="0.25">
      <c r="A432" t="s">
        <v>445</v>
      </c>
      <c r="B432" s="4">
        <v>45654</v>
      </c>
      <c r="C432" s="4">
        <v>45665</v>
      </c>
      <c r="D432" t="s">
        <v>647</v>
      </c>
      <c r="E432" t="s">
        <v>659</v>
      </c>
      <c r="F432" t="s">
        <v>676</v>
      </c>
      <c r="G432" t="s">
        <v>706</v>
      </c>
      <c r="H432" t="s">
        <v>708</v>
      </c>
      <c r="I432" t="s">
        <v>723</v>
      </c>
      <c r="J432" t="s">
        <v>731</v>
      </c>
      <c r="K432" t="s">
        <v>1164</v>
      </c>
      <c r="L432" s="6">
        <v>1201.31</v>
      </c>
      <c r="M432" s="6">
        <v>2764.65</v>
      </c>
      <c r="N432" s="8">
        <v>0</v>
      </c>
      <c r="O432" s="6">
        <v>21</v>
      </c>
      <c r="P432" s="7" t="str">
        <f t="shared" si="49"/>
        <v>Shenzhen</v>
      </c>
      <c r="Q432" s="7" t="str">
        <f t="shared" si="50"/>
        <v>K. Singh</v>
      </c>
      <c r="R432" s="7" t="str">
        <f t="shared" si="51"/>
        <v>Online</v>
      </c>
      <c r="S432" t="str">
        <f t="shared" si="56"/>
        <v>OK</v>
      </c>
      <c r="T432" s="8" t="str">
        <f t="shared" si="52"/>
        <v>OK</v>
      </c>
      <c r="U432" t="str">
        <f t="shared" si="53"/>
        <v>OK</v>
      </c>
      <c r="V432">
        <f t="shared" si="54"/>
        <v>11</v>
      </c>
      <c r="W432" s="4">
        <f t="shared" si="55"/>
        <v>45665</v>
      </c>
    </row>
    <row r="433" spans="1:23" hidden="1" x14ac:dyDescent="0.25">
      <c r="A433" t="s">
        <v>446</v>
      </c>
      <c r="B433" s="4">
        <v>45220</v>
      </c>
      <c r="C433" s="4">
        <v>45220</v>
      </c>
      <c r="D433" t="s">
        <v>649</v>
      </c>
      <c r="E433" t="s">
        <v>658</v>
      </c>
      <c r="F433" t="s">
        <v>693</v>
      </c>
      <c r="G433" t="s">
        <v>706</v>
      </c>
      <c r="H433" t="s">
        <v>710</v>
      </c>
      <c r="I433" t="s">
        <v>713</v>
      </c>
      <c r="J433" t="s">
        <v>732</v>
      </c>
      <c r="K433" t="s">
        <v>1165</v>
      </c>
      <c r="L433" s="6">
        <v>384.19</v>
      </c>
      <c r="M433" s="6">
        <v>278.35000000000002</v>
      </c>
      <c r="N433" s="8">
        <v>5.6000000000000001E-2</v>
      </c>
      <c r="O433" s="6">
        <v>10</v>
      </c>
      <c r="P433" s="7" t="str">
        <f t="shared" si="49"/>
        <v>Manchester</v>
      </c>
      <c r="Q433" s="7" t="str">
        <f t="shared" si="50"/>
        <v>J. Njeri</v>
      </c>
      <c r="R433" s="7" t="str">
        <f t="shared" si="51"/>
        <v>Distributor</v>
      </c>
      <c r="S433" t="str">
        <f t="shared" si="56"/>
        <v>OK</v>
      </c>
      <c r="T433" s="8" t="str">
        <f t="shared" si="52"/>
        <v>OK</v>
      </c>
      <c r="U433" t="str">
        <f t="shared" si="53"/>
        <v>OK</v>
      </c>
      <c r="V433">
        <f t="shared" si="54"/>
        <v>0</v>
      </c>
      <c r="W433" s="4">
        <f t="shared" si="55"/>
        <v>45220</v>
      </c>
    </row>
    <row r="434" spans="1:23" hidden="1" x14ac:dyDescent="0.25">
      <c r="A434" t="s">
        <v>447</v>
      </c>
      <c r="B434" s="4">
        <v>45636</v>
      </c>
      <c r="C434" s="4">
        <v>45645</v>
      </c>
      <c r="D434" t="s">
        <v>646</v>
      </c>
      <c r="E434" t="s">
        <v>651</v>
      </c>
      <c r="F434" t="s">
        <v>665</v>
      </c>
      <c r="G434" t="s">
        <v>701</v>
      </c>
      <c r="H434" t="s">
        <v>707</v>
      </c>
      <c r="I434" t="s">
        <v>719</v>
      </c>
      <c r="J434" t="s">
        <v>732</v>
      </c>
      <c r="K434" t="s">
        <v>1166</v>
      </c>
      <c r="L434" s="6">
        <v>488.68</v>
      </c>
      <c r="M434" s="6">
        <v>984.36</v>
      </c>
      <c r="N434" s="8">
        <v>5.8999999999999997E-2</v>
      </c>
      <c r="O434" s="6">
        <v>14</v>
      </c>
      <c r="P434" s="7" t="str">
        <f t="shared" si="49"/>
        <v>Lagos</v>
      </c>
      <c r="Q434" s="7" t="str">
        <f t="shared" si="50"/>
        <v>O. Wang</v>
      </c>
      <c r="R434" s="7" t="str">
        <f t="shared" si="51"/>
        <v>Retail</v>
      </c>
      <c r="S434" t="str">
        <f t="shared" si="56"/>
        <v>OK</v>
      </c>
      <c r="T434" s="8" t="str">
        <f t="shared" si="52"/>
        <v>OK</v>
      </c>
      <c r="U434" t="str">
        <f t="shared" si="53"/>
        <v>OK</v>
      </c>
      <c r="V434">
        <f t="shared" si="54"/>
        <v>9</v>
      </c>
      <c r="W434" s="4">
        <f t="shared" si="55"/>
        <v>45645</v>
      </c>
    </row>
    <row r="435" spans="1:23" hidden="1" x14ac:dyDescent="0.25">
      <c r="A435" t="s">
        <v>448</v>
      </c>
      <c r="B435" s="4">
        <v>45542</v>
      </c>
      <c r="C435" s="4">
        <v>45553</v>
      </c>
      <c r="D435" t="s">
        <v>647</v>
      </c>
      <c r="E435" t="s">
        <v>659</v>
      </c>
      <c r="F435" t="s">
        <v>699</v>
      </c>
      <c r="G435" t="s">
        <v>704</v>
      </c>
      <c r="H435" t="s">
        <v>710</v>
      </c>
      <c r="I435" t="s">
        <v>719</v>
      </c>
      <c r="J435" t="s">
        <v>729</v>
      </c>
      <c r="K435" t="s">
        <v>1167</v>
      </c>
      <c r="L435" s="6">
        <v>181.74</v>
      </c>
      <c r="M435" s="6">
        <v>190.84</v>
      </c>
      <c r="N435" s="8">
        <v>0.214</v>
      </c>
      <c r="O435" s="6">
        <v>13</v>
      </c>
      <c r="P435" s="7" t="str">
        <f t="shared" si="49"/>
        <v>Beijing</v>
      </c>
      <c r="Q435" s="7" t="str">
        <f t="shared" si="50"/>
        <v>O. Wang</v>
      </c>
      <c r="R435" s="7" t="str">
        <f t="shared" si="51"/>
        <v>Distributor</v>
      </c>
      <c r="S435" t="str">
        <f t="shared" si="56"/>
        <v>OK</v>
      </c>
      <c r="T435" s="8" t="str">
        <f t="shared" si="52"/>
        <v>OK</v>
      </c>
      <c r="U435" t="str">
        <f t="shared" si="53"/>
        <v>OK</v>
      </c>
      <c r="V435">
        <f t="shared" si="54"/>
        <v>11</v>
      </c>
      <c r="W435" s="4">
        <f t="shared" si="55"/>
        <v>45553</v>
      </c>
    </row>
    <row r="436" spans="1:23" hidden="1" x14ac:dyDescent="0.25">
      <c r="A436" t="s">
        <v>449</v>
      </c>
      <c r="B436" s="4">
        <v>45217</v>
      </c>
      <c r="C436" s="4">
        <v>45219</v>
      </c>
      <c r="D436" t="s">
        <v>646</v>
      </c>
      <c r="E436" t="s">
        <v>650</v>
      </c>
      <c r="F436" t="s">
        <v>662</v>
      </c>
      <c r="G436" t="s">
        <v>704</v>
      </c>
      <c r="H436" t="s">
        <v>707</v>
      </c>
      <c r="I436" t="s">
        <v>713</v>
      </c>
      <c r="J436" t="s">
        <v>730</v>
      </c>
      <c r="K436" t="s">
        <v>1168</v>
      </c>
      <c r="L436" s="6">
        <v>774.12</v>
      </c>
      <c r="M436" s="6">
        <v>908.3</v>
      </c>
      <c r="N436" s="8">
        <v>0</v>
      </c>
      <c r="O436" s="6">
        <v>30</v>
      </c>
      <c r="P436" s="7" t="str">
        <f t="shared" si="49"/>
        <v>Kisumu</v>
      </c>
      <c r="Q436" s="7" t="str">
        <f t="shared" si="50"/>
        <v>J. Njeri</v>
      </c>
      <c r="R436" s="7" t="str">
        <f t="shared" si="51"/>
        <v>Retail</v>
      </c>
      <c r="S436" t="str">
        <f t="shared" si="56"/>
        <v>OK</v>
      </c>
      <c r="T436" s="8" t="str">
        <f t="shared" si="52"/>
        <v>OK</v>
      </c>
      <c r="U436" t="str">
        <f t="shared" si="53"/>
        <v>OK</v>
      </c>
      <c r="V436">
        <f t="shared" si="54"/>
        <v>2</v>
      </c>
      <c r="W436" s="4">
        <f t="shared" si="55"/>
        <v>45219</v>
      </c>
    </row>
    <row r="437" spans="1:23" hidden="1" x14ac:dyDescent="0.25">
      <c r="A437" t="s">
        <v>450</v>
      </c>
      <c r="B437" s="4">
        <v>45650</v>
      </c>
      <c r="C437" s="4">
        <v>45670</v>
      </c>
      <c r="D437" t="s">
        <v>647</v>
      </c>
      <c r="E437" t="s">
        <v>654</v>
      </c>
      <c r="F437" t="s">
        <v>668</v>
      </c>
      <c r="G437" t="s">
        <v>701</v>
      </c>
      <c r="H437" t="s">
        <v>709</v>
      </c>
      <c r="I437" t="s">
        <v>726</v>
      </c>
      <c r="J437" t="s">
        <v>729</v>
      </c>
      <c r="K437" t="s">
        <v>1169</v>
      </c>
      <c r="L437" s="6">
        <v>126.15</v>
      </c>
      <c r="M437" s="6">
        <v>284.23</v>
      </c>
      <c r="N437" s="8">
        <v>0.113</v>
      </c>
      <c r="O437" s="6">
        <v>22</v>
      </c>
      <c r="P437" s="7" t="str">
        <f t="shared" si="49"/>
        <v>Bengaluru</v>
      </c>
      <c r="Q437" s="7" t="str">
        <f t="shared" si="50"/>
        <v>D. Smith</v>
      </c>
      <c r="R437" s="7" t="str">
        <f t="shared" si="51"/>
        <v>Marketplace</v>
      </c>
      <c r="S437" t="str">
        <f t="shared" si="56"/>
        <v>OK</v>
      </c>
      <c r="T437" s="8" t="str">
        <f t="shared" si="52"/>
        <v>OK</v>
      </c>
      <c r="U437" t="str">
        <f t="shared" si="53"/>
        <v>OK</v>
      </c>
      <c r="V437">
        <f t="shared" si="54"/>
        <v>20</v>
      </c>
      <c r="W437" s="4">
        <f t="shared" si="55"/>
        <v>45670</v>
      </c>
    </row>
    <row r="438" spans="1:23" hidden="1" x14ac:dyDescent="0.25">
      <c r="A438" t="s">
        <v>451</v>
      </c>
      <c r="B438" s="4">
        <v>45037</v>
      </c>
      <c r="C438" s="4">
        <v>45052</v>
      </c>
      <c r="D438" t="s">
        <v>647</v>
      </c>
      <c r="E438" t="s">
        <v>652</v>
      </c>
      <c r="F438" t="s">
        <v>694</v>
      </c>
      <c r="G438" t="s">
        <v>705</v>
      </c>
      <c r="H438" t="s">
        <v>711</v>
      </c>
      <c r="I438" t="s">
        <v>724</v>
      </c>
      <c r="J438" t="s">
        <v>727</v>
      </c>
      <c r="K438" t="s">
        <v>1170</v>
      </c>
      <c r="L438" s="6">
        <v>607.04</v>
      </c>
      <c r="M438" s="6">
        <v>1229.3399999999999</v>
      </c>
      <c r="N438" s="8">
        <v>0.14699999999999999</v>
      </c>
      <c r="O438" s="6">
        <v>7</v>
      </c>
      <c r="P438" s="7" t="str">
        <f t="shared" si="49"/>
        <v>Nagoya</v>
      </c>
      <c r="Q438" s="7" t="str">
        <f t="shared" si="50"/>
        <v>M. Rossi</v>
      </c>
      <c r="R438" s="7" t="str">
        <f t="shared" si="51"/>
        <v>Direct</v>
      </c>
      <c r="S438" t="str">
        <f t="shared" si="56"/>
        <v>OK</v>
      </c>
      <c r="T438" s="8" t="str">
        <f t="shared" si="52"/>
        <v>OK</v>
      </c>
      <c r="U438" t="str">
        <f t="shared" si="53"/>
        <v>OK</v>
      </c>
      <c r="V438">
        <f t="shared" si="54"/>
        <v>15</v>
      </c>
      <c r="W438" s="4">
        <f t="shared" si="55"/>
        <v>45052</v>
      </c>
    </row>
    <row r="439" spans="1:23" hidden="1" x14ac:dyDescent="0.25">
      <c r="A439" t="s">
        <v>452</v>
      </c>
      <c r="B439" s="4">
        <v>45290</v>
      </c>
      <c r="C439" s="4">
        <v>45299</v>
      </c>
      <c r="D439" t="s">
        <v>649</v>
      </c>
      <c r="E439" t="s">
        <v>657</v>
      </c>
      <c r="F439" t="s">
        <v>673</v>
      </c>
      <c r="G439" t="s">
        <v>704</v>
      </c>
      <c r="H439" t="s">
        <v>709</v>
      </c>
      <c r="I439" t="s">
        <v>716</v>
      </c>
      <c r="J439" t="s">
        <v>733</v>
      </c>
      <c r="K439" t="s">
        <v>1171</v>
      </c>
      <c r="L439" s="6">
        <v>861.1</v>
      </c>
      <c r="M439" s="6">
        <v>1224.72</v>
      </c>
      <c r="N439" s="8">
        <v>0.17399999999999999</v>
      </c>
      <c r="O439" s="6">
        <v>24</v>
      </c>
      <c r="P439" s="7" t="str">
        <f t="shared" si="49"/>
        <v>Marseille</v>
      </c>
      <c r="Q439" s="7" t="str">
        <f t="shared" si="50"/>
        <v>L. Okafor</v>
      </c>
      <c r="R439" s="7" t="str">
        <f t="shared" si="51"/>
        <v>Marketplace</v>
      </c>
      <c r="S439" t="str">
        <f t="shared" si="56"/>
        <v>OK</v>
      </c>
      <c r="T439" s="8" t="str">
        <f t="shared" si="52"/>
        <v>OK</v>
      </c>
      <c r="U439" t="str">
        <f t="shared" si="53"/>
        <v>OK</v>
      </c>
      <c r="V439">
        <f t="shared" si="54"/>
        <v>9</v>
      </c>
      <c r="W439" s="4">
        <f t="shared" si="55"/>
        <v>45299</v>
      </c>
    </row>
    <row r="440" spans="1:23" hidden="1" x14ac:dyDescent="0.25">
      <c r="A440" t="s">
        <v>453</v>
      </c>
      <c r="B440" s="4">
        <v>44978</v>
      </c>
      <c r="C440" s="4">
        <v>44997</v>
      </c>
      <c r="D440" t="s">
        <v>646</v>
      </c>
      <c r="E440" t="s">
        <v>650</v>
      </c>
      <c r="F440" t="s">
        <v>678</v>
      </c>
      <c r="G440" t="s">
        <v>701</v>
      </c>
      <c r="H440" t="s">
        <v>708</v>
      </c>
      <c r="I440" t="s">
        <v>721</v>
      </c>
      <c r="J440" t="s">
        <v>729</v>
      </c>
      <c r="K440" t="s">
        <v>1172</v>
      </c>
      <c r="L440" s="6">
        <v>352.65</v>
      </c>
      <c r="M440" s="6">
        <v>485.86</v>
      </c>
      <c r="N440" s="8">
        <v>4.1000000000000002E-2</v>
      </c>
      <c r="O440" s="6">
        <v>6</v>
      </c>
      <c r="P440" s="7" t="str">
        <f t="shared" si="49"/>
        <v>Nakuru</v>
      </c>
      <c r="Q440" s="7" t="str">
        <f t="shared" si="50"/>
        <v>F. Müller</v>
      </c>
      <c r="R440" s="7" t="str">
        <f t="shared" si="51"/>
        <v>Online</v>
      </c>
      <c r="S440" t="str">
        <f t="shared" si="56"/>
        <v>OK</v>
      </c>
      <c r="T440" s="8" t="str">
        <f t="shared" si="52"/>
        <v>OK</v>
      </c>
      <c r="U440" t="str">
        <f t="shared" si="53"/>
        <v>OK</v>
      </c>
      <c r="V440">
        <f t="shared" si="54"/>
        <v>19</v>
      </c>
      <c r="W440" s="4">
        <f t="shared" si="55"/>
        <v>44997</v>
      </c>
    </row>
    <row r="441" spans="1:23" hidden="1" x14ac:dyDescent="0.25">
      <c r="A441" t="s">
        <v>454</v>
      </c>
      <c r="B441" s="4">
        <v>45063</v>
      </c>
      <c r="C441" s="4">
        <v>45080</v>
      </c>
      <c r="D441" t="s">
        <v>647</v>
      </c>
      <c r="E441" t="s">
        <v>659</v>
      </c>
      <c r="F441" t="s">
        <v>699</v>
      </c>
      <c r="G441" t="s">
        <v>703</v>
      </c>
      <c r="H441" t="s">
        <v>710</v>
      </c>
      <c r="I441" t="s">
        <v>724</v>
      </c>
      <c r="J441" t="s">
        <v>728</v>
      </c>
      <c r="K441" t="s">
        <v>1173</v>
      </c>
      <c r="L441" s="6">
        <v>979.59</v>
      </c>
      <c r="M441" s="6">
        <v>2210.94</v>
      </c>
      <c r="N441" s="8">
        <v>0.15</v>
      </c>
      <c r="O441" s="6">
        <v>11</v>
      </c>
      <c r="P441" s="7" t="str">
        <f t="shared" si="49"/>
        <v>Beijing</v>
      </c>
      <c r="Q441" s="7" t="str">
        <f t="shared" si="50"/>
        <v>M. Rossi</v>
      </c>
      <c r="R441" s="7" t="str">
        <f t="shared" si="51"/>
        <v>Distributor</v>
      </c>
      <c r="S441" t="str">
        <f t="shared" si="56"/>
        <v>OK</v>
      </c>
      <c r="T441" s="8" t="str">
        <f t="shared" si="52"/>
        <v>OK</v>
      </c>
      <c r="U441" t="str">
        <f t="shared" si="53"/>
        <v>OK</v>
      </c>
      <c r="V441">
        <f t="shared" si="54"/>
        <v>17</v>
      </c>
      <c r="W441" s="4">
        <f t="shared" si="55"/>
        <v>45080</v>
      </c>
    </row>
    <row r="442" spans="1:23" hidden="1" x14ac:dyDescent="0.25">
      <c r="A442" t="s">
        <v>455</v>
      </c>
      <c r="B442" s="4">
        <v>45374</v>
      </c>
      <c r="C442" s="4">
        <v>45377</v>
      </c>
      <c r="D442" t="s">
        <v>647</v>
      </c>
      <c r="E442" t="s">
        <v>654</v>
      </c>
      <c r="F442" t="s">
        <v>668</v>
      </c>
      <c r="G442" t="s">
        <v>702</v>
      </c>
      <c r="H442" t="s">
        <v>711</v>
      </c>
      <c r="I442" t="s">
        <v>715</v>
      </c>
      <c r="J442" t="s">
        <v>730</v>
      </c>
      <c r="K442" t="s">
        <v>1174</v>
      </c>
      <c r="L442" s="6">
        <v>382.21</v>
      </c>
      <c r="M442" s="6">
        <v>571.89</v>
      </c>
      <c r="N442" s="8">
        <v>0.14799999999999999</v>
      </c>
      <c r="O442" s="6">
        <v>26</v>
      </c>
      <c r="P442" s="7" t="str">
        <f t="shared" si="49"/>
        <v>Bengaluru</v>
      </c>
      <c r="Q442" s="7" t="str">
        <f t="shared" si="50"/>
        <v>G. Dubois</v>
      </c>
      <c r="R442" s="7" t="str">
        <f t="shared" si="51"/>
        <v>Direct</v>
      </c>
      <c r="S442" t="str">
        <f t="shared" si="56"/>
        <v>OK</v>
      </c>
      <c r="T442" s="8" t="str">
        <f t="shared" si="52"/>
        <v>OK</v>
      </c>
      <c r="U442" t="str">
        <f t="shared" si="53"/>
        <v>OK</v>
      </c>
      <c r="V442">
        <f t="shared" si="54"/>
        <v>3</v>
      </c>
      <c r="W442" s="4">
        <f t="shared" si="55"/>
        <v>45377</v>
      </c>
    </row>
    <row r="443" spans="1:23" hidden="1" x14ac:dyDescent="0.25">
      <c r="A443" t="s">
        <v>456</v>
      </c>
      <c r="B443" s="4">
        <v>45189</v>
      </c>
      <c r="C443" s="4">
        <v>45197</v>
      </c>
      <c r="D443" t="s">
        <v>647</v>
      </c>
      <c r="E443" t="s">
        <v>654</v>
      </c>
      <c r="F443" t="s">
        <v>1367</v>
      </c>
      <c r="G443" t="s">
        <v>701</v>
      </c>
      <c r="H443" t="s">
        <v>1379</v>
      </c>
      <c r="I443" t="s">
        <v>717</v>
      </c>
      <c r="J443" t="s">
        <v>733</v>
      </c>
      <c r="K443" t="s">
        <v>1175</v>
      </c>
      <c r="L443" s="6">
        <v>1362.06</v>
      </c>
      <c r="M443" s="6">
        <v>3398.37</v>
      </c>
      <c r="N443" s="8">
        <v>0.157</v>
      </c>
      <c r="O443" s="6">
        <v>11</v>
      </c>
      <c r="P443" s="7" t="str">
        <f t="shared" si="49"/>
        <v>Unknown</v>
      </c>
      <c r="Q443" s="7" t="str">
        <f t="shared" si="50"/>
        <v>B. Chen</v>
      </c>
      <c r="R443" s="7" t="str">
        <f t="shared" si="51"/>
        <v>Unspecified</v>
      </c>
      <c r="S443" t="str">
        <f t="shared" si="56"/>
        <v>OK</v>
      </c>
      <c r="T443" s="8" t="str">
        <f t="shared" si="52"/>
        <v>OK</v>
      </c>
      <c r="U443" t="str">
        <f t="shared" si="53"/>
        <v>OK</v>
      </c>
      <c r="V443">
        <f t="shared" si="54"/>
        <v>8</v>
      </c>
      <c r="W443" s="4">
        <f t="shared" si="55"/>
        <v>45197</v>
      </c>
    </row>
    <row r="444" spans="1:23" hidden="1" x14ac:dyDescent="0.25">
      <c r="A444" t="s">
        <v>457</v>
      </c>
      <c r="B444" s="4">
        <v>45526</v>
      </c>
      <c r="C444" s="4">
        <v>45539</v>
      </c>
      <c r="D444" t="s">
        <v>649</v>
      </c>
      <c r="E444" t="s">
        <v>656</v>
      </c>
      <c r="F444" t="s">
        <v>698</v>
      </c>
      <c r="G444" t="s">
        <v>703</v>
      </c>
      <c r="H444" t="s">
        <v>707</v>
      </c>
      <c r="I444" t="s">
        <v>716</v>
      </c>
      <c r="J444" t="s">
        <v>728</v>
      </c>
      <c r="K444" t="s">
        <v>1176</v>
      </c>
      <c r="L444" s="6">
        <v>90.04</v>
      </c>
      <c r="M444" s="6">
        <v>194.62</v>
      </c>
      <c r="N444" s="8">
        <v>4.2999999999999997E-2</v>
      </c>
      <c r="O444" s="6">
        <v>32</v>
      </c>
      <c r="P444" s="7" t="str">
        <f t="shared" si="49"/>
        <v>Frankfurt</v>
      </c>
      <c r="Q444" s="7" t="str">
        <f t="shared" si="50"/>
        <v>L. Okafor</v>
      </c>
      <c r="R444" s="7" t="str">
        <f t="shared" si="51"/>
        <v>Retail</v>
      </c>
      <c r="S444" t="str">
        <f t="shared" si="56"/>
        <v>OK</v>
      </c>
      <c r="T444" s="8" t="str">
        <f t="shared" si="52"/>
        <v>OK</v>
      </c>
      <c r="U444" t="str">
        <f t="shared" si="53"/>
        <v>OK</v>
      </c>
      <c r="V444">
        <f t="shared" si="54"/>
        <v>13</v>
      </c>
      <c r="W444" s="4">
        <f t="shared" si="55"/>
        <v>45539</v>
      </c>
    </row>
    <row r="445" spans="1:23" hidden="1" x14ac:dyDescent="0.25">
      <c r="A445" t="s">
        <v>458</v>
      </c>
      <c r="B445" s="4">
        <v>45560</v>
      </c>
      <c r="C445" s="4">
        <v>45568</v>
      </c>
      <c r="D445" t="s">
        <v>648</v>
      </c>
      <c r="E445" t="s">
        <v>653</v>
      </c>
      <c r="F445" t="s">
        <v>667</v>
      </c>
      <c r="G445" t="s">
        <v>704</v>
      </c>
      <c r="H445" t="s">
        <v>708</v>
      </c>
      <c r="I445" t="s">
        <v>718</v>
      </c>
      <c r="J445" t="s">
        <v>728</v>
      </c>
      <c r="K445" t="s">
        <v>1177</v>
      </c>
      <c r="L445" s="6">
        <v>558.19000000000005</v>
      </c>
      <c r="M445" s="6">
        <v>1031.6400000000001</v>
      </c>
      <c r="N445" s="8">
        <v>0</v>
      </c>
      <c r="O445" s="6">
        <v>21</v>
      </c>
      <c r="P445" s="7" t="str">
        <f t="shared" si="49"/>
        <v>Toronto</v>
      </c>
      <c r="Q445" s="7" t="str">
        <f t="shared" si="50"/>
        <v>E. Garcia</v>
      </c>
      <c r="R445" s="7" t="str">
        <f t="shared" si="51"/>
        <v>Online</v>
      </c>
      <c r="S445" t="str">
        <f t="shared" si="56"/>
        <v>OK</v>
      </c>
      <c r="T445" s="8" t="str">
        <f t="shared" si="52"/>
        <v>OK</v>
      </c>
      <c r="U445" t="str">
        <f t="shared" si="53"/>
        <v>OK</v>
      </c>
      <c r="V445">
        <f t="shared" si="54"/>
        <v>8</v>
      </c>
      <c r="W445" s="4">
        <f t="shared" si="55"/>
        <v>45568</v>
      </c>
    </row>
    <row r="446" spans="1:23" hidden="1" x14ac:dyDescent="0.25">
      <c r="A446" t="s">
        <v>459</v>
      </c>
      <c r="B446" s="4">
        <v>45090</v>
      </c>
      <c r="C446" s="4">
        <v>45101</v>
      </c>
      <c r="D446" t="s">
        <v>648</v>
      </c>
      <c r="E446" t="s">
        <v>653</v>
      </c>
      <c r="F446" t="s">
        <v>667</v>
      </c>
      <c r="G446" t="s">
        <v>701</v>
      </c>
      <c r="H446" t="s">
        <v>708</v>
      </c>
      <c r="I446" t="s">
        <v>712</v>
      </c>
      <c r="J446" t="s">
        <v>728</v>
      </c>
      <c r="K446" t="s">
        <v>1178</v>
      </c>
      <c r="L446" s="6">
        <v>247.07</v>
      </c>
      <c r="M446" s="6">
        <v>495.19</v>
      </c>
      <c r="N446" s="8">
        <v>2.8000000000000001E-2</v>
      </c>
      <c r="O446" s="6">
        <v>4</v>
      </c>
      <c r="P446" s="7" t="str">
        <f t="shared" si="49"/>
        <v>Toronto</v>
      </c>
      <c r="Q446" s="7" t="str">
        <f t="shared" si="50"/>
        <v>C. Otieno</v>
      </c>
      <c r="R446" s="7" t="str">
        <f t="shared" si="51"/>
        <v>Online</v>
      </c>
      <c r="S446" t="str">
        <f t="shared" si="56"/>
        <v>OK</v>
      </c>
      <c r="T446" s="8" t="str">
        <f t="shared" si="52"/>
        <v>OK</v>
      </c>
      <c r="U446" t="str">
        <f t="shared" si="53"/>
        <v>OK</v>
      </c>
      <c r="V446">
        <f t="shared" si="54"/>
        <v>11</v>
      </c>
      <c r="W446" s="4">
        <f t="shared" si="55"/>
        <v>45101</v>
      </c>
    </row>
    <row r="447" spans="1:23" hidden="1" x14ac:dyDescent="0.25">
      <c r="A447" t="s">
        <v>460</v>
      </c>
      <c r="B447" s="4">
        <v>45284</v>
      </c>
      <c r="C447" s="4">
        <v>45304</v>
      </c>
      <c r="D447" t="s">
        <v>647</v>
      </c>
      <c r="E447" t="s">
        <v>652</v>
      </c>
      <c r="F447" t="s">
        <v>694</v>
      </c>
      <c r="G447" t="s">
        <v>702</v>
      </c>
      <c r="H447" t="s">
        <v>711</v>
      </c>
      <c r="I447" t="s">
        <v>717</v>
      </c>
      <c r="J447" t="s">
        <v>731</v>
      </c>
      <c r="K447" t="s">
        <v>1179</v>
      </c>
      <c r="L447" s="6">
        <v>625.37</v>
      </c>
      <c r="M447" s="6">
        <v>1319.04</v>
      </c>
      <c r="N447" s="8">
        <v>7.3999999999999996E-2</v>
      </c>
      <c r="O447" s="6">
        <v>8</v>
      </c>
      <c r="P447" s="7" t="str">
        <f t="shared" si="49"/>
        <v>Nagoya</v>
      </c>
      <c r="Q447" s="7" t="str">
        <f t="shared" si="50"/>
        <v>B. Chen</v>
      </c>
      <c r="R447" s="7" t="str">
        <f t="shared" si="51"/>
        <v>Direct</v>
      </c>
      <c r="S447" t="str">
        <f t="shared" si="56"/>
        <v>OK</v>
      </c>
      <c r="T447" s="8" t="str">
        <f t="shared" si="52"/>
        <v>OK</v>
      </c>
      <c r="U447" t="str">
        <f t="shared" si="53"/>
        <v>OK</v>
      </c>
      <c r="V447">
        <f t="shared" si="54"/>
        <v>20</v>
      </c>
      <c r="W447" s="4">
        <f t="shared" si="55"/>
        <v>45304</v>
      </c>
    </row>
    <row r="448" spans="1:23" hidden="1" x14ac:dyDescent="0.25">
      <c r="A448" t="s">
        <v>461</v>
      </c>
      <c r="B448" s="4">
        <v>45746</v>
      </c>
      <c r="C448" s="4">
        <v>45776</v>
      </c>
      <c r="D448" t="s">
        <v>646</v>
      </c>
      <c r="E448" t="s">
        <v>661</v>
      </c>
      <c r="F448" t="s">
        <v>687</v>
      </c>
      <c r="G448" t="s">
        <v>704</v>
      </c>
      <c r="H448" t="s">
        <v>709</v>
      </c>
      <c r="I448" t="s">
        <v>713</v>
      </c>
      <c r="J448" t="s">
        <v>732</v>
      </c>
      <c r="K448" t="s">
        <v>1180</v>
      </c>
      <c r="L448" s="6">
        <v>194.6</v>
      </c>
      <c r="M448" s="6">
        <v>314.87</v>
      </c>
      <c r="N448" s="8">
        <v>0.29299999999999998</v>
      </c>
      <c r="O448" s="6">
        <v>25</v>
      </c>
      <c r="P448" s="7" t="str">
        <f t="shared" si="49"/>
        <v>Durban</v>
      </c>
      <c r="Q448" s="7" t="str">
        <f t="shared" si="50"/>
        <v>J. Njeri</v>
      </c>
      <c r="R448" s="7" t="str">
        <f t="shared" si="51"/>
        <v>Marketplace</v>
      </c>
      <c r="S448" t="str">
        <f t="shared" si="56"/>
        <v>OK</v>
      </c>
      <c r="T448" s="8" t="str">
        <f t="shared" si="52"/>
        <v>OK</v>
      </c>
      <c r="U448" t="str">
        <f t="shared" si="53"/>
        <v>OK</v>
      </c>
      <c r="V448">
        <f t="shared" si="54"/>
        <v>30</v>
      </c>
      <c r="W448" s="4">
        <f t="shared" si="55"/>
        <v>45776</v>
      </c>
    </row>
    <row r="449" spans="1:23" hidden="1" x14ac:dyDescent="0.25">
      <c r="A449" t="s">
        <v>462</v>
      </c>
      <c r="B449" s="4">
        <v>45446</v>
      </c>
      <c r="C449" s="4">
        <v>45467</v>
      </c>
      <c r="D449" t="s">
        <v>648</v>
      </c>
      <c r="E449" t="s">
        <v>653</v>
      </c>
      <c r="F449" t="s">
        <v>667</v>
      </c>
      <c r="G449" t="s">
        <v>705</v>
      </c>
      <c r="H449" t="s">
        <v>711</v>
      </c>
      <c r="I449" t="s">
        <v>715</v>
      </c>
      <c r="J449" t="s">
        <v>732</v>
      </c>
      <c r="K449" t="s">
        <v>1181</v>
      </c>
      <c r="L449" s="6">
        <v>1205.5</v>
      </c>
      <c r="M449" s="6">
        <v>2210.17</v>
      </c>
      <c r="N449" s="8">
        <v>0.104</v>
      </c>
      <c r="O449" s="6">
        <v>23</v>
      </c>
      <c r="P449" s="7" t="str">
        <f t="shared" si="49"/>
        <v>Toronto</v>
      </c>
      <c r="Q449" s="7" t="str">
        <f t="shared" si="50"/>
        <v>G. Dubois</v>
      </c>
      <c r="R449" s="7" t="str">
        <f t="shared" si="51"/>
        <v>Direct</v>
      </c>
      <c r="S449" t="str">
        <f t="shared" si="56"/>
        <v>OK</v>
      </c>
      <c r="T449" s="8" t="str">
        <f t="shared" si="52"/>
        <v>OK</v>
      </c>
      <c r="U449" t="str">
        <f t="shared" si="53"/>
        <v>OK</v>
      </c>
      <c r="V449">
        <f t="shared" si="54"/>
        <v>21</v>
      </c>
      <c r="W449" s="4">
        <f t="shared" si="55"/>
        <v>45467</v>
      </c>
    </row>
    <row r="450" spans="1:23" hidden="1" x14ac:dyDescent="0.25">
      <c r="A450" t="s">
        <v>463</v>
      </c>
      <c r="B450" s="4">
        <v>45454</v>
      </c>
      <c r="C450" s="4">
        <v>45482</v>
      </c>
      <c r="D450" t="s">
        <v>646</v>
      </c>
      <c r="E450" t="s">
        <v>651</v>
      </c>
      <c r="F450" t="s">
        <v>663</v>
      </c>
      <c r="G450" t="s">
        <v>701</v>
      </c>
      <c r="H450" t="s">
        <v>709</v>
      </c>
      <c r="I450" t="s">
        <v>714</v>
      </c>
      <c r="J450" t="s">
        <v>730</v>
      </c>
      <c r="K450" t="s">
        <v>1182</v>
      </c>
      <c r="L450" s="6">
        <v>895.54</v>
      </c>
      <c r="M450" s="6">
        <v>1045</v>
      </c>
      <c r="N450" s="8">
        <v>0.216</v>
      </c>
      <c r="O450" s="6">
        <v>15</v>
      </c>
      <c r="P450" s="7" t="str">
        <f t="shared" si="49"/>
        <v>Port Harcourt</v>
      </c>
      <c r="Q450" s="7" t="str">
        <f t="shared" si="50"/>
        <v>I. Johnson</v>
      </c>
      <c r="R450" s="7" t="str">
        <f t="shared" si="51"/>
        <v>Marketplace</v>
      </c>
      <c r="S450" t="str">
        <f t="shared" si="56"/>
        <v>OK</v>
      </c>
      <c r="T450" s="8" t="str">
        <f t="shared" si="52"/>
        <v>OK</v>
      </c>
      <c r="U450" t="str">
        <f t="shared" si="53"/>
        <v>OK</v>
      </c>
      <c r="V450">
        <f t="shared" si="54"/>
        <v>28</v>
      </c>
      <c r="W450" s="4">
        <f t="shared" si="55"/>
        <v>45482</v>
      </c>
    </row>
    <row r="451" spans="1:23" hidden="1" x14ac:dyDescent="0.25">
      <c r="A451" t="s">
        <v>464</v>
      </c>
      <c r="B451" s="4">
        <v>45129</v>
      </c>
      <c r="C451" s="4">
        <v>45144</v>
      </c>
      <c r="D451" t="s">
        <v>647</v>
      </c>
      <c r="E451" t="s">
        <v>654</v>
      </c>
      <c r="F451" t="s">
        <v>680</v>
      </c>
      <c r="G451" t="s">
        <v>705</v>
      </c>
      <c r="H451" t="s">
        <v>710</v>
      </c>
      <c r="I451" t="s">
        <v>718</v>
      </c>
      <c r="J451" t="s">
        <v>728</v>
      </c>
      <c r="K451" t="s">
        <v>1183</v>
      </c>
      <c r="L451" s="6">
        <v>946.99</v>
      </c>
      <c r="M451" s="6">
        <v>2132.19</v>
      </c>
      <c r="N451" s="8">
        <v>0.16500000000000001</v>
      </c>
      <c r="O451" s="6">
        <v>7</v>
      </c>
      <c r="P451" s="7" t="str">
        <f t="shared" ref="P451:P514" si="57">IF(OR(F451=" ", ISBLANK(F451)), "Unknown", F451)</f>
        <v>Delhi</v>
      </c>
      <c r="Q451" s="7" t="str">
        <f t="shared" ref="Q451:Q514" si="58">IF(OR(I451=" ", ISBLANK(I451)), "Unassigned", I451)</f>
        <v>E. Garcia</v>
      </c>
      <c r="R451" s="7" t="str">
        <f t="shared" ref="R451:R514" si="59">IF(OR(H451=" ", ISBLANK(H451)), "Unspecified", H451)</f>
        <v>Distributor</v>
      </c>
      <c r="S451" t="str">
        <f t="shared" si="56"/>
        <v>OK</v>
      </c>
      <c r="T451" s="8" t="str">
        <f t="shared" ref="T451:T514" si="60">IFERROR(IF(N451&gt;0.3, "Cap at 30%", "OK"), "Error")</f>
        <v>OK</v>
      </c>
      <c r="U451" t="str">
        <f t="shared" ref="U451:U514" si="61">IFERROR(IF(C451&lt;B451,"Correct", "OK"), "Error")</f>
        <v>OK</v>
      </c>
      <c r="V451">
        <f t="shared" ref="V451:V514" si="62">_xlfn.DAYS(C451,B451)</f>
        <v>15</v>
      </c>
      <c r="W451" s="4">
        <f t="shared" si="55"/>
        <v>45144</v>
      </c>
    </row>
    <row r="452" spans="1:23" hidden="1" x14ac:dyDescent="0.25">
      <c r="A452" t="s">
        <v>465</v>
      </c>
      <c r="B452" s="4">
        <v>44945</v>
      </c>
      <c r="C452" s="4">
        <v>44960</v>
      </c>
      <c r="D452" t="s">
        <v>649</v>
      </c>
      <c r="E452" t="s">
        <v>658</v>
      </c>
      <c r="F452" t="s">
        <v>683</v>
      </c>
      <c r="G452" t="s">
        <v>706</v>
      </c>
      <c r="H452" t="s">
        <v>710</v>
      </c>
      <c r="I452" t="s">
        <v>715</v>
      </c>
      <c r="J452" t="s">
        <v>733</v>
      </c>
      <c r="K452" t="s">
        <v>1184</v>
      </c>
      <c r="L452" s="6">
        <v>873.06</v>
      </c>
      <c r="M452" s="6">
        <v>2101.5500000000002</v>
      </c>
      <c r="N452" s="8">
        <v>6.6000000000000003E-2</v>
      </c>
      <c r="O452" s="6">
        <v>10</v>
      </c>
      <c r="P452" s="7" t="str">
        <f t="shared" si="57"/>
        <v>London</v>
      </c>
      <c r="Q452" s="7" t="str">
        <f t="shared" si="58"/>
        <v>G. Dubois</v>
      </c>
      <c r="R452" s="7" t="str">
        <f t="shared" si="59"/>
        <v>Distributor</v>
      </c>
      <c r="S452" t="str">
        <f t="shared" si="56"/>
        <v>OK</v>
      </c>
      <c r="T452" s="8" t="str">
        <f t="shared" si="60"/>
        <v>OK</v>
      </c>
      <c r="U452" t="str">
        <f t="shared" si="61"/>
        <v>OK</v>
      </c>
      <c r="V452">
        <f t="shared" si="62"/>
        <v>15</v>
      </c>
      <c r="W452" s="4">
        <f t="shared" ref="W452:W515" si="63">IFERROR(IF(C452&lt;B452, B452+15, C452), "Error")</f>
        <v>44960</v>
      </c>
    </row>
    <row r="453" spans="1:23" hidden="1" x14ac:dyDescent="0.25">
      <c r="A453" t="s">
        <v>466</v>
      </c>
      <c r="B453" s="4">
        <v>45413</v>
      </c>
      <c r="C453" s="4">
        <v>45428</v>
      </c>
      <c r="D453" t="s">
        <v>647</v>
      </c>
      <c r="E453" t="s">
        <v>654</v>
      </c>
      <c r="F453" t="s">
        <v>668</v>
      </c>
      <c r="G453" t="s">
        <v>705</v>
      </c>
      <c r="H453" t="s">
        <v>707</v>
      </c>
      <c r="I453" t="s">
        <v>716</v>
      </c>
      <c r="J453" t="s">
        <v>727</v>
      </c>
      <c r="K453" t="s">
        <v>1185</v>
      </c>
      <c r="L453" s="6">
        <v>901.19</v>
      </c>
      <c r="M453" s="6">
        <v>2125.44</v>
      </c>
      <c r="N453" s="8">
        <v>7.0999999999999994E-2</v>
      </c>
      <c r="O453" s="6">
        <v>12</v>
      </c>
      <c r="P453" s="7" t="str">
        <f t="shared" si="57"/>
        <v>Bengaluru</v>
      </c>
      <c r="Q453" s="7" t="str">
        <f t="shared" si="58"/>
        <v>L. Okafor</v>
      </c>
      <c r="R453" s="7" t="str">
        <f t="shared" si="59"/>
        <v>Retail</v>
      </c>
      <c r="S453" t="str">
        <f t="shared" si="56"/>
        <v>OK</v>
      </c>
      <c r="T453" s="8" t="str">
        <f t="shared" si="60"/>
        <v>OK</v>
      </c>
      <c r="U453" t="str">
        <f t="shared" si="61"/>
        <v>OK</v>
      </c>
      <c r="V453">
        <f t="shared" si="62"/>
        <v>15</v>
      </c>
      <c r="W453" s="4">
        <f t="shared" si="63"/>
        <v>45428</v>
      </c>
    </row>
    <row r="454" spans="1:23" hidden="1" x14ac:dyDescent="0.25">
      <c r="A454" t="s">
        <v>467</v>
      </c>
      <c r="B454" s="4">
        <v>45817</v>
      </c>
      <c r="C454" s="4">
        <v>45832</v>
      </c>
      <c r="D454" t="s">
        <v>647</v>
      </c>
      <c r="E454" t="s">
        <v>652</v>
      </c>
      <c r="F454" t="s">
        <v>694</v>
      </c>
      <c r="G454" t="s">
        <v>701</v>
      </c>
      <c r="H454" t="s">
        <v>711</v>
      </c>
      <c r="I454" t="s">
        <v>717</v>
      </c>
      <c r="J454" t="s">
        <v>730</v>
      </c>
      <c r="K454" t="s">
        <v>1186</v>
      </c>
      <c r="L454" s="6">
        <v>400.39</v>
      </c>
      <c r="M454" s="6">
        <v>712.75</v>
      </c>
      <c r="N454" s="8">
        <v>0.115</v>
      </c>
      <c r="O454" s="6">
        <v>19</v>
      </c>
      <c r="P454" s="7" t="str">
        <f t="shared" si="57"/>
        <v>Nagoya</v>
      </c>
      <c r="Q454" s="7" t="str">
        <f t="shared" si="58"/>
        <v>B. Chen</v>
      </c>
      <c r="R454" s="7" t="str">
        <f t="shared" si="59"/>
        <v>Direct</v>
      </c>
      <c r="S454" t="str">
        <f t="shared" ref="S454:S517" si="64">IFERROR(IF(M454&lt;0,"Correct (Negative Price)","OK"),"Error")</f>
        <v>OK</v>
      </c>
      <c r="T454" s="8" t="str">
        <f t="shared" si="60"/>
        <v>OK</v>
      </c>
      <c r="U454" t="str">
        <f t="shared" si="61"/>
        <v>OK</v>
      </c>
      <c r="V454">
        <f t="shared" si="62"/>
        <v>15</v>
      </c>
      <c r="W454" s="4">
        <f t="shared" si="63"/>
        <v>45832</v>
      </c>
    </row>
    <row r="455" spans="1:23" hidden="1" x14ac:dyDescent="0.25">
      <c r="A455" t="s">
        <v>468</v>
      </c>
      <c r="B455" s="4">
        <v>45070</v>
      </c>
      <c r="C455" s="4">
        <v>45098</v>
      </c>
      <c r="D455" t="s">
        <v>648</v>
      </c>
      <c r="E455" t="s">
        <v>660</v>
      </c>
      <c r="F455" t="s">
        <v>697</v>
      </c>
      <c r="G455" t="s">
        <v>705</v>
      </c>
      <c r="H455" t="s">
        <v>709</v>
      </c>
      <c r="I455" t="s">
        <v>715</v>
      </c>
      <c r="J455" t="s">
        <v>732</v>
      </c>
      <c r="K455" t="s">
        <v>1187</v>
      </c>
      <c r="L455" s="6">
        <v>813.97</v>
      </c>
      <c r="M455" s="6">
        <v>1568.83</v>
      </c>
      <c r="N455" s="8">
        <v>1.7000000000000001E-2</v>
      </c>
      <c r="O455" s="6">
        <v>15</v>
      </c>
      <c r="P455" s="7" t="str">
        <f t="shared" si="57"/>
        <v>Austin</v>
      </c>
      <c r="Q455" s="7" t="str">
        <f t="shared" si="58"/>
        <v>G. Dubois</v>
      </c>
      <c r="R455" s="7" t="str">
        <f t="shared" si="59"/>
        <v>Marketplace</v>
      </c>
      <c r="S455" t="str">
        <f t="shared" si="64"/>
        <v>OK</v>
      </c>
      <c r="T455" s="8" t="str">
        <f t="shared" si="60"/>
        <v>OK</v>
      </c>
      <c r="U455" t="str">
        <f t="shared" si="61"/>
        <v>OK</v>
      </c>
      <c r="V455">
        <f t="shared" si="62"/>
        <v>28</v>
      </c>
      <c r="W455" s="4">
        <f t="shared" si="63"/>
        <v>45098</v>
      </c>
    </row>
    <row r="456" spans="1:23" hidden="1" x14ac:dyDescent="0.25">
      <c r="A456" t="s">
        <v>469</v>
      </c>
      <c r="B456" s="4">
        <v>45653</v>
      </c>
      <c r="C456" s="4">
        <v>45655</v>
      </c>
      <c r="D456" t="s">
        <v>648</v>
      </c>
      <c r="E456" t="s">
        <v>653</v>
      </c>
      <c r="F456" t="s">
        <v>688</v>
      </c>
      <c r="G456" t="s">
        <v>706</v>
      </c>
      <c r="H456" t="s">
        <v>709</v>
      </c>
      <c r="I456" t="s">
        <v>712</v>
      </c>
      <c r="J456" t="s">
        <v>733</v>
      </c>
      <c r="K456" t="s">
        <v>1188</v>
      </c>
      <c r="L456" s="6">
        <v>1146.72</v>
      </c>
      <c r="M456" s="6">
        <v>2074.34</v>
      </c>
      <c r="N456" s="8">
        <v>0.111</v>
      </c>
      <c r="O456" s="6">
        <v>8</v>
      </c>
      <c r="P456" s="7" t="str">
        <f t="shared" si="57"/>
        <v>Vancouver</v>
      </c>
      <c r="Q456" s="7" t="str">
        <f t="shared" si="58"/>
        <v>C. Otieno</v>
      </c>
      <c r="R456" s="7" t="str">
        <f t="shared" si="59"/>
        <v>Marketplace</v>
      </c>
      <c r="S456" t="str">
        <f t="shared" si="64"/>
        <v>OK</v>
      </c>
      <c r="T456" s="8" t="str">
        <f t="shared" si="60"/>
        <v>OK</v>
      </c>
      <c r="U456" t="str">
        <f t="shared" si="61"/>
        <v>OK</v>
      </c>
      <c r="V456">
        <f t="shared" si="62"/>
        <v>2</v>
      </c>
      <c r="W456" s="4">
        <f t="shared" si="63"/>
        <v>45655</v>
      </c>
    </row>
    <row r="457" spans="1:23" hidden="1" x14ac:dyDescent="0.25">
      <c r="A457" t="s">
        <v>470</v>
      </c>
      <c r="B457" s="4">
        <v>45265</v>
      </c>
      <c r="C457" s="4">
        <v>45272</v>
      </c>
      <c r="D457" t="s">
        <v>648</v>
      </c>
      <c r="E457" t="s">
        <v>655</v>
      </c>
      <c r="F457" t="s">
        <v>672</v>
      </c>
      <c r="G457" t="s">
        <v>701</v>
      </c>
      <c r="H457" t="s">
        <v>711</v>
      </c>
      <c r="I457" t="s">
        <v>721</v>
      </c>
      <c r="J457" t="s">
        <v>730</v>
      </c>
      <c r="K457" t="s">
        <v>1189</v>
      </c>
      <c r="L457" s="6">
        <v>307.43</v>
      </c>
      <c r="M457" s="6">
        <v>495.19</v>
      </c>
      <c r="N457" s="8">
        <v>0</v>
      </c>
      <c r="O457" s="6">
        <v>42</v>
      </c>
      <c r="P457" s="7" t="str">
        <f t="shared" si="57"/>
        <v>Brasília</v>
      </c>
      <c r="Q457" s="7" t="str">
        <f t="shared" si="58"/>
        <v>F. Müller</v>
      </c>
      <c r="R457" s="7" t="str">
        <f t="shared" si="59"/>
        <v>Direct</v>
      </c>
      <c r="S457" t="str">
        <f t="shared" si="64"/>
        <v>OK</v>
      </c>
      <c r="T457" s="8" t="str">
        <f t="shared" si="60"/>
        <v>OK</v>
      </c>
      <c r="U457" t="str">
        <f t="shared" si="61"/>
        <v>OK</v>
      </c>
      <c r="V457">
        <f t="shared" si="62"/>
        <v>7</v>
      </c>
      <c r="W457" s="4">
        <f t="shared" si="63"/>
        <v>45272</v>
      </c>
    </row>
    <row r="458" spans="1:23" hidden="1" x14ac:dyDescent="0.25">
      <c r="A458" t="s">
        <v>471</v>
      </c>
      <c r="B458" s="4">
        <v>45048</v>
      </c>
      <c r="C458" s="4">
        <v>45065</v>
      </c>
      <c r="D458" t="s">
        <v>647</v>
      </c>
      <c r="E458" t="s">
        <v>659</v>
      </c>
      <c r="F458" t="s">
        <v>685</v>
      </c>
      <c r="G458" t="s">
        <v>703</v>
      </c>
      <c r="H458" t="s">
        <v>711</v>
      </c>
      <c r="I458" t="s">
        <v>713</v>
      </c>
      <c r="J458" t="s">
        <v>732</v>
      </c>
      <c r="K458" t="s">
        <v>1190</v>
      </c>
      <c r="L458" s="6">
        <v>714.28</v>
      </c>
      <c r="M458" s="6">
        <v>757.59</v>
      </c>
      <c r="N458" s="8">
        <v>0.13600000000000001</v>
      </c>
      <c r="O458" s="6">
        <v>12</v>
      </c>
      <c r="P458" s="7" t="str">
        <f t="shared" si="57"/>
        <v>Shanghai</v>
      </c>
      <c r="Q458" s="7" t="str">
        <f t="shared" si="58"/>
        <v>J. Njeri</v>
      </c>
      <c r="R458" s="7" t="str">
        <f t="shared" si="59"/>
        <v>Direct</v>
      </c>
      <c r="S458" t="str">
        <f t="shared" si="64"/>
        <v>OK</v>
      </c>
      <c r="T458" s="8" t="str">
        <f t="shared" si="60"/>
        <v>OK</v>
      </c>
      <c r="U458" t="str">
        <f t="shared" si="61"/>
        <v>OK</v>
      </c>
      <c r="V458">
        <f t="shared" si="62"/>
        <v>17</v>
      </c>
      <c r="W458" s="4">
        <f t="shared" si="63"/>
        <v>45065</v>
      </c>
    </row>
    <row r="459" spans="1:23" hidden="1" x14ac:dyDescent="0.25">
      <c r="A459" t="s">
        <v>472</v>
      </c>
      <c r="B459" s="4">
        <v>45260</v>
      </c>
      <c r="C459" s="4">
        <v>45270</v>
      </c>
      <c r="D459" t="s">
        <v>649</v>
      </c>
      <c r="E459" t="s">
        <v>656</v>
      </c>
      <c r="F459" t="s">
        <v>684</v>
      </c>
      <c r="G459" t="s">
        <v>705</v>
      </c>
      <c r="H459" t="s">
        <v>711</v>
      </c>
      <c r="I459" t="s">
        <v>721</v>
      </c>
      <c r="J459" t="s">
        <v>731</v>
      </c>
      <c r="K459" t="s">
        <v>1191</v>
      </c>
      <c r="L459" s="6">
        <v>174.74</v>
      </c>
      <c r="M459" s="6">
        <v>415.96</v>
      </c>
      <c r="N459" s="8">
        <v>0.125</v>
      </c>
      <c r="O459" s="6">
        <v>21</v>
      </c>
      <c r="P459" s="7" t="str">
        <f t="shared" si="57"/>
        <v>Munich</v>
      </c>
      <c r="Q459" s="7" t="str">
        <f t="shared" si="58"/>
        <v>F. Müller</v>
      </c>
      <c r="R459" s="7" t="str">
        <f t="shared" si="59"/>
        <v>Direct</v>
      </c>
      <c r="S459" t="str">
        <f t="shared" si="64"/>
        <v>OK</v>
      </c>
      <c r="T459" s="8" t="str">
        <f t="shared" si="60"/>
        <v>OK</v>
      </c>
      <c r="U459" t="str">
        <f t="shared" si="61"/>
        <v>OK</v>
      </c>
      <c r="V459">
        <f t="shared" si="62"/>
        <v>10</v>
      </c>
      <c r="W459" s="4">
        <f t="shared" si="63"/>
        <v>45270</v>
      </c>
    </row>
    <row r="460" spans="1:23" hidden="1" x14ac:dyDescent="0.25">
      <c r="A460" t="s">
        <v>473</v>
      </c>
      <c r="B460" s="4">
        <v>45417</v>
      </c>
      <c r="C460" s="4">
        <v>45430</v>
      </c>
      <c r="D460" t="s">
        <v>649</v>
      </c>
      <c r="E460" t="s">
        <v>657</v>
      </c>
      <c r="F460" t="s">
        <v>673</v>
      </c>
      <c r="G460" t="s">
        <v>701</v>
      </c>
      <c r="H460" t="s">
        <v>709</v>
      </c>
      <c r="I460" t="s">
        <v>720</v>
      </c>
      <c r="J460" t="s">
        <v>727</v>
      </c>
      <c r="K460" t="s">
        <v>1192</v>
      </c>
      <c r="L460" s="6">
        <v>1264.04</v>
      </c>
      <c r="M460" s="6">
        <v>1870.89</v>
      </c>
      <c r="N460" s="8">
        <v>0</v>
      </c>
      <c r="O460" s="6">
        <v>13</v>
      </c>
      <c r="P460" s="7" t="str">
        <f t="shared" si="57"/>
        <v>Marseille</v>
      </c>
      <c r="Q460" s="7" t="str">
        <f t="shared" si="58"/>
        <v>A. Patel</v>
      </c>
      <c r="R460" s="7" t="str">
        <f t="shared" si="59"/>
        <v>Marketplace</v>
      </c>
      <c r="S460" t="str">
        <f t="shared" si="64"/>
        <v>OK</v>
      </c>
      <c r="T460" s="8" t="str">
        <f t="shared" si="60"/>
        <v>OK</v>
      </c>
      <c r="U460" t="str">
        <f t="shared" si="61"/>
        <v>OK</v>
      </c>
      <c r="V460">
        <f t="shared" si="62"/>
        <v>13</v>
      </c>
      <c r="W460" s="4">
        <f t="shared" si="63"/>
        <v>45430</v>
      </c>
    </row>
    <row r="461" spans="1:23" hidden="1" x14ac:dyDescent="0.25">
      <c r="A461" t="s">
        <v>474</v>
      </c>
      <c r="B461" s="4">
        <v>45116</v>
      </c>
      <c r="C461" s="4">
        <v>45126</v>
      </c>
      <c r="D461" t="s">
        <v>647</v>
      </c>
      <c r="E461" t="s">
        <v>652</v>
      </c>
      <c r="F461" t="s">
        <v>689</v>
      </c>
      <c r="G461" t="s">
        <v>706</v>
      </c>
      <c r="H461" t="s">
        <v>710</v>
      </c>
      <c r="I461" t="s">
        <v>725</v>
      </c>
      <c r="J461" t="s">
        <v>727</v>
      </c>
      <c r="K461" t="s">
        <v>1193</v>
      </c>
      <c r="L461" s="6">
        <v>141.26</v>
      </c>
      <c r="M461" s="6">
        <v>206.88</v>
      </c>
      <c r="N461" s="8">
        <v>0.107</v>
      </c>
      <c r="O461" s="6">
        <v>9</v>
      </c>
      <c r="P461" s="7" t="str">
        <f t="shared" si="57"/>
        <v>Tokyo</v>
      </c>
      <c r="Q461" s="7" t="str">
        <f t="shared" si="58"/>
        <v>N. Brown</v>
      </c>
      <c r="R461" s="7" t="str">
        <f t="shared" si="59"/>
        <v>Distributor</v>
      </c>
      <c r="S461" t="str">
        <f t="shared" si="64"/>
        <v>OK</v>
      </c>
      <c r="T461" s="8" t="str">
        <f t="shared" si="60"/>
        <v>OK</v>
      </c>
      <c r="U461" t="str">
        <f t="shared" si="61"/>
        <v>OK</v>
      </c>
      <c r="V461">
        <f t="shared" si="62"/>
        <v>10</v>
      </c>
      <c r="W461" s="4">
        <f t="shared" si="63"/>
        <v>45126</v>
      </c>
    </row>
    <row r="462" spans="1:23" hidden="1" x14ac:dyDescent="0.25">
      <c r="A462" t="s">
        <v>475</v>
      </c>
      <c r="B462" s="4">
        <v>45063</v>
      </c>
      <c r="C462" s="4">
        <v>45092</v>
      </c>
      <c r="D462" t="s">
        <v>646</v>
      </c>
      <c r="E462" t="s">
        <v>661</v>
      </c>
      <c r="F462" t="s">
        <v>687</v>
      </c>
      <c r="G462" t="s">
        <v>706</v>
      </c>
      <c r="H462" t="s">
        <v>707</v>
      </c>
      <c r="I462" t="s">
        <v>723</v>
      </c>
      <c r="J462" t="s">
        <v>733</v>
      </c>
      <c r="K462" t="s">
        <v>1194</v>
      </c>
      <c r="L462" s="6">
        <v>40.89</v>
      </c>
      <c r="M462" s="6">
        <v>62.82</v>
      </c>
      <c r="N462" s="8">
        <v>0.129</v>
      </c>
      <c r="O462" s="6">
        <v>17</v>
      </c>
      <c r="P462" s="7" t="str">
        <f t="shared" si="57"/>
        <v>Durban</v>
      </c>
      <c r="Q462" s="7" t="str">
        <f t="shared" si="58"/>
        <v>K. Singh</v>
      </c>
      <c r="R462" s="7" t="str">
        <f t="shared" si="59"/>
        <v>Retail</v>
      </c>
      <c r="S462" t="str">
        <f t="shared" si="64"/>
        <v>OK</v>
      </c>
      <c r="T462" s="8" t="str">
        <f t="shared" si="60"/>
        <v>OK</v>
      </c>
      <c r="U462" t="str">
        <f t="shared" si="61"/>
        <v>OK</v>
      </c>
      <c r="V462">
        <f t="shared" si="62"/>
        <v>29</v>
      </c>
      <c r="W462" s="4">
        <f t="shared" si="63"/>
        <v>45092</v>
      </c>
    </row>
    <row r="463" spans="1:23" hidden="1" x14ac:dyDescent="0.25">
      <c r="A463" t="s">
        <v>476</v>
      </c>
      <c r="B463" s="4">
        <v>45358</v>
      </c>
      <c r="C463" s="4">
        <v>45385</v>
      </c>
      <c r="D463" t="s">
        <v>649</v>
      </c>
      <c r="E463" t="s">
        <v>656</v>
      </c>
      <c r="F463" t="s">
        <v>698</v>
      </c>
      <c r="G463" t="s">
        <v>701</v>
      </c>
      <c r="H463" t="s">
        <v>711</v>
      </c>
      <c r="I463" t="s">
        <v>724</v>
      </c>
      <c r="J463" t="s">
        <v>728</v>
      </c>
      <c r="K463" t="s">
        <v>1195</v>
      </c>
      <c r="L463" s="6">
        <v>738.16</v>
      </c>
      <c r="M463" s="6">
        <v>956.49</v>
      </c>
      <c r="N463" s="8">
        <v>0.152</v>
      </c>
      <c r="O463" s="6">
        <v>5</v>
      </c>
      <c r="P463" s="7" t="str">
        <f t="shared" si="57"/>
        <v>Frankfurt</v>
      </c>
      <c r="Q463" s="7" t="str">
        <f t="shared" si="58"/>
        <v>M. Rossi</v>
      </c>
      <c r="R463" s="7" t="str">
        <f t="shared" si="59"/>
        <v>Direct</v>
      </c>
      <c r="S463" t="str">
        <f t="shared" si="64"/>
        <v>OK</v>
      </c>
      <c r="T463" s="8" t="str">
        <f t="shared" si="60"/>
        <v>OK</v>
      </c>
      <c r="U463" t="str">
        <f t="shared" si="61"/>
        <v>OK</v>
      </c>
      <c r="V463">
        <f t="shared" si="62"/>
        <v>27</v>
      </c>
      <c r="W463" s="4">
        <f t="shared" si="63"/>
        <v>45385</v>
      </c>
    </row>
    <row r="464" spans="1:23" hidden="1" x14ac:dyDescent="0.25">
      <c r="A464" t="s">
        <v>477</v>
      </c>
      <c r="B464" s="4">
        <v>45757</v>
      </c>
      <c r="C464" s="4">
        <v>45766</v>
      </c>
      <c r="D464" t="s">
        <v>646</v>
      </c>
      <c r="E464" t="s">
        <v>661</v>
      </c>
      <c r="F464" t="s">
        <v>687</v>
      </c>
      <c r="G464" t="s">
        <v>706</v>
      </c>
      <c r="H464" t="s">
        <v>1379</v>
      </c>
      <c r="I464" t="s">
        <v>715</v>
      </c>
      <c r="J464" t="s">
        <v>729</v>
      </c>
      <c r="K464" t="s">
        <v>1196</v>
      </c>
      <c r="L464" s="6">
        <v>113.74</v>
      </c>
      <c r="M464" s="6">
        <v>165.7</v>
      </c>
      <c r="N464" s="8">
        <v>0.124</v>
      </c>
      <c r="O464" s="6">
        <v>13</v>
      </c>
      <c r="P464" s="7" t="str">
        <f t="shared" si="57"/>
        <v>Durban</v>
      </c>
      <c r="Q464" s="7" t="str">
        <f t="shared" si="58"/>
        <v>G. Dubois</v>
      </c>
      <c r="R464" s="7" t="str">
        <f t="shared" si="59"/>
        <v>Unspecified</v>
      </c>
      <c r="S464" t="str">
        <f t="shared" si="64"/>
        <v>OK</v>
      </c>
      <c r="T464" s="8" t="str">
        <f t="shared" si="60"/>
        <v>OK</v>
      </c>
      <c r="U464" t="str">
        <f t="shared" si="61"/>
        <v>OK</v>
      </c>
      <c r="V464">
        <f t="shared" si="62"/>
        <v>9</v>
      </c>
      <c r="W464" s="4">
        <f t="shared" si="63"/>
        <v>45766</v>
      </c>
    </row>
    <row r="465" spans="1:23" hidden="1" x14ac:dyDescent="0.25">
      <c r="A465" t="s">
        <v>478</v>
      </c>
      <c r="B465" s="4">
        <v>45865</v>
      </c>
      <c r="C465" s="4">
        <v>45884</v>
      </c>
      <c r="D465" t="s">
        <v>647</v>
      </c>
      <c r="E465" t="s">
        <v>652</v>
      </c>
      <c r="F465" t="s">
        <v>689</v>
      </c>
      <c r="G465" t="s">
        <v>705</v>
      </c>
      <c r="H465" t="s">
        <v>709</v>
      </c>
      <c r="I465" t="s">
        <v>713</v>
      </c>
      <c r="J465" t="s">
        <v>727</v>
      </c>
      <c r="K465" t="s">
        <v>1197</v>
      </c>
      <c r="L465" s="6">
        <v>275.43</v>
      </c>
      <c r="M465" s="6">
        <v>608.36</v>
      </c>
      <c r="N465" s="8">
        <v>0.25700000000000001</v>
      </c>
      <c r="O465" s="6">
        <v>4</v>
      </c>
      <c r="P465" s="7" t="str">
        <f t="shared" si="57"/>
        <v>Tokyo</v>
      </c>
      <c r="Q465" s="7" t="str">
        <f t="shared" si="58"/>
        <v>J. Njeri</v>
      </c>
      <c r="R465" s="7" t="str">
        <f t="shared" si="59"/>
        <v>Marketplace</v>
      </c>
      <c r="S465" t="str">
        <f t="shared" si="64"/>
        <v>OK</v>
      </c>
      <c r="T465" s="8" t="str">
        <f t="shared" si="60"/>
        <v>OK</v>
      </c>
      <c r="U465" t="str">
        <f t="shared" si="61"/>
        <v>OK</v>
      </c>
      <c r="V465">
        <f t="shared" si="62"/>
        <v>19</v>
      </c>
      <c r="W465" s="4">
        <f t="shared" si="63"/>
        <v>45884</v>
      </c>
    </row>
    <row r="466" spans="1:23" hidden="1" x14ac:dyDescent="0.25">
      <c r="A466" t="s">
        <v>479</v>
      </c>
      <c r="B466" s="4">
        <v>45618</v>
      </c>
      <c r="C466" s="4">
        <v>45641</v>
      </c>
      <c r="D466" t="s">
        <v>646</v>
      </c>
      <c r="E466" t="s">
        <v>650</v>
      </c>
      <c r="F466" t="s">
        <v>675</v>
      </c>
      <c r="G466" t="s">
        <v>703</v>
      </c>
      <c r="H466" t="s">
        <v>710</v>
      </c>
      <c r="I466" t="s">
        <v>712</v>
      </c>
      <c r="J466" t="s">
        <v>727</v>
      </c>
      <c r="K466" t="s">
        <v>1198</v>
      </c>
      <c r="L466" s="6">
        <v>1335.76</v>
      </c>
      <c r="M466" s="6">
        <v>2665.91</v>
      </c>
      <c r="N466" s="8">
        <v>0.21099999999999999</v>
      </c>
      <c r="O466" s="6">
        <v>40</v>
      </c>
      <c r="P466" s="7" t="str">
        <f t="shared" si="57"/>
        <v>Mombasa</v>
      </c>
      <c r="Q466" s="7" t="str">
        <f t="shared" si="58"/>
        <v>C. Otieno</v>
      </c>
      <c r="R466" s="7" t="str">
        <f t="shared" si="59"/>
        <v>Distributor</v>
      </c>
      <c r="S466" t="str">
        <f t="shared" si="64"/>
        <v>OK</v>
      </c>
      <c r="T466" s="8" t="str">
        <f t="shared" si="60"/>
        <v>OK</v>
      </c>
      <c r="U466" t="str">
        <f t="shared" si="61"/>
        <v>OK</v>
      </c>
      <c r="V466">
        <f t="shared" si="62"/>
        <v>23</v>
      </c>
      <c r="W466" s="4">
        <f t="shared" si="63"/>
        <v>45641</v>
      </c>
    </row>
    <row r="467" spans="1:23" hidden="1" x14ac:dyDescent="0.25">
      <c r="A467" t="s">
        <v>480</v>
      </c>
      <c r="B467" s="4">
        <v>45466</v>
      </c>
      <c r="C467" s="4">
        <v>45471</v>
      </c>
      <c r="D467" t="s">
        <v>646</v>
      </c>
      <c r="E467" t="s">
        <v>651</v>
      </c>
      <c r="F467" t="s">
        <v>663</v>
      </c>
      <c r="G467" t="s">
        <v>703</v>
      </c>
      <c r="H467" t="s">
        <v>711</v>
      </c>
      <c r="I467" t="s">
        <v>724</v>
      </c>
      <c r="J467" t="s">
        <v>733</v>
      </c>
      <c r="K467" t="s">
        <v>1199</v>
      </c>
      <c r="L467" s="6">
        <v>242.31</v>
      </c>
      <c r="M467" s="6">
        <v>587.95000000000005</v>
      </c>
      <c r="N467" s="8">
        <v>0.22900000000000001</v>
      </c>
      <c r="O467" s="6">
        <v>6</v>
      </c>
      <c r="P467" s="7" t="str">
        <f t="shared" si="57"/>
        <v>Port Harcourt</v>
      </c>
      <c r="Q467" s="7" t="str">
        <f t="shared" si="58"/>
        <v>M. Rossi</v>
      </c>
      <c r="R467" s="7" t="str">
        <f t="shared" si="59"/>
        <v>Direct</v>
      </c>
      <c r="S467" t="str">
        <f t="shared" si="64"/>
        <v>OK</v>
      </c>
      <c r="T467" s="8" t="str">
        <f t="shared" si="60"/>
        <v>OK</v>
      </c>
      <c r="U467" t="str">
        <f t="shared" si="61"/>
        <v>OK</v>
      </c>
      <c r="V467">
        <f t="shared" si="62"/>
        <v>5</v>
      </c>
      <c r="W467" s="4">
        <f t="shared" si="63"/>
        <v>45471</v>
      </c>
    </row>
    <row r="468" spans="1:23" hidden="1" x14ac:dyDescent="0.25">
      <c r="A468" t="s">
        <v>481</v>
      </c>
      <c r="B468" s="4">
        <v>45278</v>
      </c>
      <c r="C468" s="4">
        <v>45305</v>
      </c>
      <c r="D468" t="s">
        <v>647</v>
      </c>
      <c r="E468" t="s">
        <v>654</v>
      </c>
      <c r="F468" t="s">
        <v>691</v>
      </c>
      <c r="G468" t="s">
        <v>704</v>
      </c>
      <c r="H468" t="s">
        <v>710</v>
      </c>
      <c r="I468" t="s">
        <v>726</v>
      </c>
      <c r="J468" t="s">
        <v>729</v>
      </c>
      <c r="K468" t="s">
        <v>1200</v>
      </c>
      <c r="L468" s="6">
        <v>1408.3</v>
      </c>
      <c r="M468" s="6">
        <v>2193.13</v>
      </c>
      <c r="N468" s="8">
        <v>7.0999999999999994E-2</v>
      </c>
      <c r="O468" s="6">
        <v>7</v>
      </c>
      <c r="P468" s="7" t="str">
        <f t="shared" si="57"/>
        <v>Mumbai</v>
      </c>
      <c r="Q468" s="7" t="str">
        <f t="shared" si="58"/>
        <v>D. Smith</v>
      </c>
      <c r="R468" s="7" t="str">
        <f t="shared" si="59"/>
        <v>Distributor</v>
      </c>
      <c r="S468" t="str">
        <f t="shared" si="64"/>
        <v>OK</v>
      </c>
      <c r="T468" s="8" t="str">
        <f t="shared" si="60"/>
        <v>OK</v>
      </c>
      <c r="U468" t="str">
        <f t="shared" si="61"/>
        <v>OK</v>
      </c>
      <c r="V468">
        <f t="shared" si="62"/>
        <v>27</v>
      </c>
      <c r="W468" s="4">
        <f t="shared" si="63"/>
        <v>45305</v>
      </c>
    </row>
    <row r="469" spans="1:23" hidden="1" x14ac:dyDescent="0.25">
      <c r="A469" t="s">
        <v>482</v>
      </c>
      <c r="B469" s="4">
        <v>45809</v>
      </c>
      <c r="C469" s="4">
        <v>45813</v>
      </c>
      <c r="D469" t="s">
        <v>649</v>
      </c>
      <c r="E469" t="s">
        <v>656</v>
      </c>
      <c r="F469" t="s">
        <v>684</v>
      </c>
      <c r="G469" t="s">
        <v>706</v>
      </c>
      <c r="H469" t="s">
        <v>711</v>
      </c>
      <c r="I469" t="s">
        <v>724</v>
      </c>
      <c r="J469" t="s">
        <v>727</v>
      </c>
      <c r="K469" t="s">
        <v>1201</v>
      </c>
      <c r="L469" s="6">
        <v>1171.42</v>
      </c>
      <c r="M469" s="6">
        <v>2187.8000000000002</v>
      </c>
      <c r="N469" s="8">
        <v>0.23</v>
      </c>
      <c r="O469" s="6">
        <v>15</v>
      </c>
      <c r="P469" s="7" t="str">
        <f t="shared" si="57"/>
        <v>Munich</v>
      </c>
      <c r="Q469" s="7" t="str">
        <f t="shared" si="58"/>
        <v>M. Rossi</v>
      </c>
      <c r="R469" s="7" t="str">
        <f t="shared" si="59"/>
        <v>Direct</v>
      </c>
      <c r="S469" t="str">
        <f t="shared" si="64"/>
        <v>OK</v>
      </c>
      <c r="T469" s="8" t="str">
        <f t="shared" si="60"/>
        <v>OK</v>
      </c>
      <c r="U469" t="str">
        <f t="shared" si="61"/>
        <v>OK</v>
      </c>
      <c r="V469">
        <f t="shared" si="62"/>
        <v>4</v>
      </c>
      <c r="W469" s="4">
        <f t="shared" si="63"/>
        <v>45813</v>
      </c>
    </row>
    <row r="470" spans="1:23" hidden="1" x14ac:dyDescent="0.25">
      <c r="A470" t="s">
        <v>483</v>
      </c>
      <c r="B470" s="4">
        <v>45739</v>
      </c>
      <c r="C470" s="4">
        <v>45749</v>
      </c>
      <c r="D470" t="s">
        <v>649</v>
      </c>
      <c r="E470" t="s">
        <v>656</v>
      </c>
      <c r="F470" t="s">
        <v>671</v>
      </c>
      <c r="G470" t="s">
        <v>706</v>
      </c>
      <c r="H470" t="s">
        <v>708</v>
      </c>
      <c r="I470" t="s">
        <v>718</v>
      </c>
      <c r="J470" t="s">
        <v>728</v>
      </c>
      <c r="K470" t="s">
        <v>1202</v>
      </c>
      <c r="L470" s="6">
        <v>663.61</v>
      </c>
      <c r="M470" s="6">
        <v>1002.11</v>
      </c>
      <c r="N470" s="8">
        <v>4.5999999999999999E-2</v>
      </c>
      <c r="O470" s="6">
        <v>17</v>
      </c>
      <c r="P470" s="7" t="str">
        <f t="shared" si="57"/>
        <v>Berlin</v>
      </c>
      <c r="Q470" s="7" t="str">
        <f t="shared" si="58"/>
        <v>E. Garcia</v>
      </c>
      <c r="R470" s="7" t="str">
        <f t="shared" si="59"/>
        <v>Online</v>
      </c>
      <c r="S470" t="str">
        <f t="shared" si="64"/>
        <v>OK</v>
      </c>
      <c r="T470" s="8" t="str">
        <f t="shared" si="60"/>
        <v>OK</v>
      </c>
      <c r="U470" t="str">
        <f t="shared" si="61"/>
        <v>OK</v>
      </c>
      <c r="V470">
        <f t="shared" si="62"/>
        <v>10</v>
      </c>
      <c r="W470" s="4">
        <f t="shared" si="63"/>
        <v>45749</v>
      </c>
    </row>
    <row r="471" spans="1:23" hidden="1" x14ac:dyDescent="0.25">
      <c r="A471" t="s">
        <v>484</v>
      </c>
      <c r="B471" s="4">
        <v>45060</v>
      </c>
      <c r="C471" s="4">
        <v>45068</v>
      </c>
      <c r="D471" t="s">
        <v>646</v>
      </c>
      <c r="E471" t="s">
        <v>650</v>
      </c>
      <c r="F471" t="s">
        <v>675</v>
      </c>
      <c r="G471" t="s">
        <v>705</v>
      </c>
      <c r="H471" t="s">
        <v>710</v>
      </c>
      <c r="I471" t="s">
        <v>721</v>
      </c>
      <c r="J471" t="s">
        <v>728</v>
      </c>
      <c r="K471" t="s">
        <v>1203</v>
      </c>
      <c r="L471" s="6">
        <v>432.01</v>
      </c>
      <c r="M471" s="6">
        <v>913.78</v>
      </c>
      <c r="N471" s="8">
        <v>4.9000000000000002E-2</v>
      </c>
      <c r="O471" s="6">
        <v>12</v>
      </c>
      <c r="P471" s="7" t="str">
        <f t="shared" si="57"/>
        <v>Mombasa</v>
      </c>
      <c r="Q471" s="7" t="str">
        <f t="shared" si="58"/>
        <v>F. Müller</v>
      </c>
      <c r="R471" s="7" t="str">
        <f t="shared" si="59"/>
        <v>Distributor</v>
      </c>
      <c r="S471" t="str">
        <f t="shared" si="64"/>
        <v>OK</v>
      </c>
      <c r="T471" s="8" t="str">
        <f t="shared" si="60"/>
        <v>OK</v>
      </c>
      <c r="U471" t="str">
        <f t="shared" si="61"/>
        <v>OK</v>
      </c>
      <c r="V471">
        <f t="shared" si="62"/>
        <v>8</v>
      </c>
      <c r="W471" s="4">
        <f t="shared" si="63"/>
        <v>45068</v>
      </c>
    </row>
    <row r="472" spans="1:23" hidden="1" x14ac:dyDescent="0.25">
      <c r="A472" t="s">
        <v>485</v>
      </c>
      <c r="B472" s="4">
        <v>45167</v>
      </c>
      <c r="C472" s="4">
        <v>45188</v>
      </c>
      <c r="D472" t="s">
        <v>649</v>
      </c>
      <c r="E472" t="s">
        <v>657</v>
      </c>
      <c r="F472" t="s">
        <v>679</v>
      </c>
      <c r="G472" t="s">
        <v>705</v>
      </c>
      <c r="H472" t="s">
        <v>711</v>
      </c>
      <c r="I472" t="s">
        <v>717</v>
      </c>
      <c r="J472" t="s">
        <v>728</v>
      </c>
      <c r="K472" t="s">
        <v>1204</v>
      </c>
      <c r="L472" s="6">
        <v>784.46</v>
      </c>
      <c r="M472" s="6">
        <v>1843.51</v>
      </c>
      <c r="N472" s="8">
        <v>0.13800000000000001</v>
      </c>
      <c r="O472" s="6">
        <v>23</v>
      </c>
      <c r="P472" s="7" t="str">
        <f t="shared" si="57"/>
        <v>Lyon</v>
      </c>
      <c r="Q472" s="7" t="str">
        <f t="shared" si="58"/>
        <v>B. Chen</v>
      </c>
      <c r="R472" s="7" t="str">
        <f t="shared" si="59"/>
        <v>Direct</v>
      </c>
      <c r="S472" t="str">
        <f t="shared" si="64"/>
        <v>OK</v>
      </c>
      <c r="T472" s="8" t="str">
        <f t="shared" si="60"/>
        <v>OK</v>
      </c>
      <c r="U472" t="str">
        <f t="shared" si="61"/>
        <v>OK</v>
      </c>
      <c r="V472">
        <f t="shared" si="62"/>
        <v>21</v>
      </c>
      <c r="W472" s="4">
        <f t="shared" si="63"/>
        <v>45188</v>
      </c>
    </row>
    <row r="473" spans="1:23" hidden="1" x14ac:dyDescent="0.25">
      <c r="A473" t="s">
        <v>486</v>
      </c>
      <c r="B473" s="4">
        <v>45841</v>
      </c>
      <c r="C473" s="4">
        <v>45861</v>
      </c>
      <c r="D473" t="s">
        <v>647</v>
      </c>
      <c r="E473" t="s">
        <v>659</v>
      </c>
      <c r="F473" t="s">
        <v>699</v>
      </c>
      <c r="G473" t="s">
        <v>705</v>
      </c>
      <c r="H473" t="s">
        <v>708</v>
      </c>
      <c r="I473" t="s">
        <v>724</v>
      </c>
      <c r="J473" t="s">
        <v>727</v>
      </c>
      <c r="K473" t="s">
        <v>1205</v>
      </c>
      <c r="L473" s="6">
        <v>647.36</v>
      </c>
      <c r="M473" s="6">
        <v>1383.6</v>
      </c>
      <c r="N473" s="8">
        <v>7.3999999999999996E-2</v>
      </c>
      <c r="O473" s="6">
        <v>12</v>
      </c>
      <c r="P473" s="7" t="str">
        <f t="shared" si="57"/>
        <v>Beijing</v>
      </c>
      <c r="Q473" s="7" t="str">
        <f t="shared" si="58"/>
        <v>M. Rossi</v>
      </c>
      <c r="R473" s="7" t="str">
        <f t="shared" si="59"/>
        <v>Online</v>
      </c>
      <c r="S473" t="str">
        <f t="shared" si="64"/>
        <v>OK</v>
      </c>
      <c r="T473" s="8" t="str">
        <f t="shared" si="60"/>
        <v>OK</v>
      </c>
      <c r="U473" t="str">
        <f t="shared" si="61"/>
        <v>OK</v>
      </c>
      <c r="V473">
        <f t="shared" si="62"/>
        <v>20</v>
      </c>
      <c r="W473" s="4">
        <f t="shared" si="63"/>
        <v>45861</v>
      </c>
    </row>
    <row r="474" spans="1:23" hidden="1" x14ac:dyDescent="0.25">
      <c r="A474" t="s">
        <v>487</v>
      </c>
      <c r="B474" s="4">
        <v>45328</v>
      </c>
      <c r="C474" s="4">
        <v>45350</v>
      </c>
      <c r="D474" t="s">
        <v>646</v>
      </c>
      <c r="E474" t="s">
        <v>650</v>
      </c>
      <c r="F474" t="s">
        <v>662</v>
      </c>
      <c r="G474" t="s">
        <v>703</v>
      </c>
      <c r="H474" t="s">
        <v>708</v>
      </c>
      <c r="I474" t="s">
        <v>723</v>
      </c>
      <c r="J474" t="s">
        <v>732</v>
      </c>
      <c r="K474" t="s">
        <v>1206</v>
      </c>
      <c r="L474" s="6">
        <v>834.93</v>
      </c>
      <c r="M474" s="6">
        <v>1588.53</v>
      </c>
      <c r="N474" s="8">
        <v>0.126</v>
      </c>
      <c r="O474" s="6">
        <v>6</v>
      </c>
      <c r="P474" s="7" t="str">
        <f t="shared" si="57"/>
        <v>Kisumu</v>
      </c>
      <c r="Q474" s="7" t="str">
        <f t="shared" si="58"/>
        <v>K. Singh</v>
      </c>
      <c r="R474" s="7" t="str">
        <f t="shared" si="59"/>
        <v>Online</v>
      </c>
      <c r="S474" t="str">
        <f t="shared" si="64"/>
        <v>OK</v>
      </c>
      <c r="T474" s="8" t="str">
        <f t="shared" si="60"/>
        <v>OK</v>
      </c>
      <c r="U474" t="str">
        <f t="shared" si="61"/>
        <v>OK</v>
      </c>
      <c r="V474">
        <f t="shared" si="62"/>
        <v>22</v>
      </c>
      <c r="W474" s="4">
        <f t="shared" si="63"/>
        <v>45350</v>
      </c>
    </row>
    <row r="475" spans="1:23" hidden="1" x14ac:dyDescent="0.25">
      <c r="A475" t="s">
        <v>488</v>
      </c>
      <c r="B475" s="4">
        <v>45882</v>
      </c>
      <c r="C475" s="4">
        <v>45903</v>
      </c>
      <c r="D475" t="s">
        <v>649</v>
      </c>
      <c r="E475" t="s">
        <v>657</v>
      </c>
      <c r="F475" t="s">
        <v>690</v>
      </c>
      <c r="G475" t="s">
        <v>702</v>
      </c>
      <c r="H475" t="s">
        <v>707</v>
      </c>
      <c r="I475" t="s">
        <v>714</v>
      </c>
      <c r="J475" t="s">
        <v>730</v>
      </c>
      <c r="K475" t="s">
        <v>1207</v>
      </c>
      <c r="L475" s="6">
        <v>603.47</v>
      </c>
      <c r="M475" s="6">
        <v>1344.05</v>
      </c>
      <c r="N475" s="8">
        <v>0.20499999999999999</v>
      </c>
      <c r="O475" s="6">
        <v>18</v>
      </c>
      <c r="P475" s="7" t="str">
        <f t="shared" si="57"/>
        <v>Paris</v>
      </c>
      <c r="Q475" s="7" t="str">
        <f t="shared" si="58"/>
        <v>I. Johnson</v>
      </c>
      <c r="R475" s="7" t="str">
        <f t="shared" si="59"/>
        <v>Retail</v>
      </c>
      <c r="S475" t="str">
        <f t="shared" si="64"/>
        <v>OK</v>
      </c>
      <c r="T475" s="8" t="str">
        <f t="shared" si="60"/>
        <v>OK</v>
      </c>
      <c r="U475" t="str">
        <f t="shared" si="61"/>
        <v>OK</v>
      </c>
      <c r="V475">
        <f t="shared" si="62"/>
        <v>21</v>
      </c>
      <c r="W475" s="4">
        <f t="shared" si="63"/>
        <v>45903</v>
      </c>
    </row>
    <row r="476" spans="1:23" hidden="1" x14ac:dyDescent="0.25">
      <c r="A476" t="s">
        <v>489</v>
      </c>
      <c r="B476" s="4">
        <v>45069</v>
      </c>
      <c r="C476" s="4">
        <v>45071</v>
      </c>
      <c r="D476" t="s">
        <v>648</v>
      </c>
      <c r="E476" t="s">
        <v>655</v>
      </c>
      <c r="F476" t="s">
        <v>692</v>
      </c>
      <c r="G476" t="s">
        <v>706</v>
      </c>
      <c r="H476" t="s">
        <v>707</v>
      </c>
      <c r="I476" t="s">
        <v>724</v>
      </c>
      <c r="J476" t="s">
        <v>728</v>
      </c>
      <c r="K476" t="s">
        <v>1208</v>
      </c>
      <c r="L476" s="6">
        <v>690.49</v>
      </c>
      <c r="M476" s="6">
        <v>1290.29</v>
      </c>
      <c r="N476" s="8">
        <v>4.2000000000000003E-2</v>
      </c>
      <c r="O476" s="6">
        <v>22</v>
      </c>
      <c r="P476" s="7" t="str">
        <f t="shared" si="57"/>
        <v>Rio de Janeiro</v>
      </c>
      <c r="Q476" s="7" t="str">
        <f t="shared" si="58"/>
        <v>M. Rossi</v>
      </c>
      <c r="R476" s="7" t="str">
        <f t="shared" si="59"/>
        <v>Retail</v>
      </c>
      <c r="S476" t="str">
        <f t="shared" si="64"/>
        <v>OK</v>
      </c>
      <c r="T476" s="8" t="str">
        <f t="shared" si="60"/>
        <v>OK</v>
      </c>
      <c r="U476" t="str">
        <f t="shared" si="61"/>
        <v>OK</v>
      </c>
      <c r="V476">
        <f t="shared" si="62"/>
        <v>2</v>
      </c>
      <c r="W476" s="4">
        <f t="shared" si="63"/>
        <v>45071</v>
      </c>
    </row>
    <row r="477" spans="1:23" hidden="1" x14ac:dyDescent="0.25">
      <c r="A477" t="s">
        <v>490</v>
      </c>
      <c r="B477" s="4">
        <v>45422</v>
      </c>
      <c r="C477" s="4">
        <v>45428</v>
      </c>
      <c r="D477" t="s">
        <v>649</v>
      </c>
      <c r="E477" t="s">
        <v>658</v>
      </c>
      <c r="F477" t="s">
        <v>674</v>
      </c>
      <c r="G477" t="s">
        <v>703</v>
      </c>
      <c r="H477" t="s">
        <v>711</v>
      </c>
      <c r="I477" t="s">
        <v>715</v>
      </c>
      <c r="J477" t="s">
        <v>731</v>
      </c>
      <c r="K477" t="s">
        <v>1209</v>
      </c>
      <c r="L477" s="6">
        <v>210.76</v>
      </c>
      <c r="M477" s="6">
        <v>221.58</v>
      </c>
      <c r="N477" s="8">
        <v>8.8999999999999996E-2</v>
      </c>
      <c r="O477" s="6">
        <v>5</v>
      </c>
      <c r="P477" s="7" t="str">
        <f t="shared" si="57"/>
        <v>Birmingham</v>
      </c>
      <c r="Q477" s="7" t="str">
        <f t="shared" si="58"/>
        <v>G. Dubois</v>
      </c>
      <c r="R477" s="7" t="str">
        <f t="shared" si="59"/>
        <v>Direct</v>
      </c>
      <c r="S477" t="str">
        <f t="shared" si="64"/>
        <v>OK</v>
      </c>
      <c r="T477" s="8" t="str">
        <f t="shared" si="60"/>
        <v>OK</v>
      </c>
      <c r="U477" t="str">
        <f t="shared" si="61"/>
        <v>OK</v>
      </c>
      <c r="V477">
        <f t="shared" si="62"/>
        <v>6</v>
      </c>
      <c r="W477" s="4">
        <f t="shared" si="63"/>
        <v>45428</v>
      </c>
    </row>
    <row r="478" spans="1:23" hidden="1" x14ac:dyDescent="0.25">
      <c r="A478" t="s">
        <v>491</v>
      </c>
      <c r="B478" s="4">
        <v>44999</v>
      </c>
      <c r="C478" s="4">
        <v>45003</v>
      </c>
      <c r="D478" t="s">
        <v>649</v>
      </c>
      <c r="E478" t="s">
        <v>656</v>
      </c>
      <c r="F478" t="s">
        <v>698</v>
      </c>
      <c r="G478" t="s">
        <v>706</v>
      </c>
      <c r="H478" t="s">
        <v>711</v>
      </c>
      <c r="I478" t="s">
        <v>720</v>
      </c>
      <c r="J478" t="s">
        <v>727</v>
      </c>
      <c r="K478" t="s">
        <v>1210</v>
      </c>
      <c r="L478" s="6">
        <v>472.33</v>
      </c>
      <c r="M478" s="6">
        <v>360.34</v>
      </c>
      <c r="N478" s="8">
        <v>0.16500000000000001</v>
      </c>
      <c r="O478" s="6">
        <v>14</v>
      </c>
      <c r="P478" s="7" t="str">
        <f t="shared" si="57"/>
        <v>Frankfurt</v>
      </c>
      <c r="Q478" s="7" t="str">
        <f t="shared" si="58"/>
        <v>A. Patel</v>
      </c>
      <c r="R478" s="7" t="str">
        <f t="shared" si="59"/>
        <v>Direct</v>
      </c>
      <c r="S478" t="str">
        <f t="shared" si="64"/>
        <v>OK</v>
      </c>
      <c r="T478" s="8" t="str">
        <f t="shared" si="60"/>
        <v>OK</v>
      </c>
      <c r="U478" t="str">
        <f t="shared" si="61"/>
        <v>OK</v>
      </c>
      <c r="V478">
        <f t="shared" si="62"/>
        <v>4</v>
      </c>
      <c r="W478" s="4">
        <f t="shared" si="63"/>
        <v>45003</v>
      </c>
    </row>
    <row r="479" spans="1:23" hidden="1" x14ac:dyDescent="0.25">
      <c r="A479" t="s">
        <v>492</v>
      </c>
      <c r="B479" s="4">
        <v>45123</v>
      </c>
      <c r="C479" s="4">
        <v>45151</v>
      </c>
      <c r="D479" t="s">
        <v>649</v>
      </c>
      <c r="E479" t="s">
        <v>658</v>
      </c>
      <c r="F479" t="s">
        <v>693</v>
      </c>
      <c r="G479" t="s">
        <v>703</v>
      </c>
      <c r="H479" t="s">
        <v>708</v>
      </c>
      <c r="I479" t="s">
        <v>713</v>
      </c>
      <c r="J479" t="s">
        <v>731</v>
      </c>
      <c r="K479" t="s">
        <v>1211</v>
      </c>
      <c r="L479" s="6">
        <v>1039.03</v>
      </c>
      <c r="M479" s="6">
        <v>2545.81</v>
      </c>
      <c r="N479" s="8">
        <v>0.216</v>
      </c>
      <c r="O479" s="6">
        <v>21</v>
      </c>
      <c r="P479" s="7" t="str">
        <f t="shared" si="57"/>
        <v>Manchester</v>
      </c>
      <c r="Q479" s="7" t="str">
        <f t="shared" si="58"/>
        <v>J. Njeri</v>
      </c>
      <c r="R479" s="7" t="str">
        <f t="shared" si="59"/>
        <v>Online</v>
      </c>
      <c r="S479" t="str">
        <f t="shared" si="64"/>
        <v>OK</v>
      </c>
      <c r="T479" s="8" t="str">
        <f t="shared" si="60"/>
        <v>OK</v>
      </c>
      <c r="U479" t="str">
        <f t="shared" si="61"/>
        <v>OK</v>
      </c>
      <c r="V479">
        <f t="shared" si="62"/>
        <v>28</v>
      </c>
      <c r="W479" s="4">
        <f t="shared" si="63"/>
        <v>45151</v>
      </c>
    </row>
    <row r="480" spans="1:23" hidden="1" x14ac:dyDescent="0.25">
      <c r="A480" t="s">
        <v>493</v>
      </c>
      <c r="B480" s="4">
        <v>45032</v>
      </c>
      <c r="C480" s="4">
        <v>45035</v>
      </c>
      <c r="D480" t="s">
        <v>649</v>
      </c>
      <c r="E480" t="s">
        <v>656</v>
      </c>
      <c r="F480" t="s">
        <v>684</v>
      </c>
      <c r="G480" t="s">
        <v>701</v>
      </c>
      <c r="H480" t="s">
        <v>711</v>
      </c>
      <c r="I480" t="s">
        <v>717</v>
      </c>
      <c r="J480" t="s">
        <v>733</v>
      </c>
      <c r="K480" t="s">
        <v>1212</v>
      </c>
      <c r="L480" s="6">
        <v>553.61</v>
      </c>
      <c r="M480" s="6">
        <v>699.47</v>
      </c>
      <c r="N480" s="8">
        <v>0.02</v>
      </c>
      <c r="O480" s="6">
        <v>33</v>
      </c>
      <c r="P480" s="7" t="str">
        <f t="shared" si="57"/>
        <v>Munich</v>
      </c>
      <c r="Q480" s="7" t="str">
        <f t="shared" si="58"/>
        <v>B. Chen</v>
      </c>
      <c r="R480" s="7" t="str">
        <f t="shared" si="59"/>
        <v>Direct</v>
      </c>
      <c r="S480" t="str">
        <f t="shared" si="64"/>
        <v>OK</v>
      </c>
      <c r="T480" s="8" t="str">
        <f t="shared" si="60"/>
        <v>OK</v>
      </c>
      <c r="U480" t="str">
        <f t="shared" si="61"/>
        <v>OK</v>
      </c>
      <c r="V480">
        <f t="shared" si="62"/>
        <v>3</v>
      </c>
      <c r="W480" s="4">
        <f t="shared" si="63"/>
        <v>45035</v>
      </c>
    </row>
    <row r="481" spans="1:23" hidden="1" x14ac:dyDescent="0.25">
      <c r="A481" t="s">
        <v>494</v>
      </c>
      <c r="B481" s="4">
        <v>45293</v>
      </c>
      <c r="C481" s="4">
        <v>45306</v>
      </c>
      <c r="D481" t="s">
        <v>647</v>
      </c>
      <c r="E481" t="s">
        <v>652</v>
      </c>
      <c r="F481" t="s">
        <v>694</v>
      </c>
      <c r="G481" t="s">
        <v>705</v>
      </c>
      <c r="H481" t="s">
        <v>709</v>
      </c>
      <c r="I481" t="s">
        <v>715</v>
      </c>
      <c r="J481" t="s">
        <v>729</v>
      </c>
      <c r="K481" t="s">
        <v>1213</v>
      </c>
      <c r="L481" s="6">
        <v>1219.06</v>
      </c>
      <c r="M481" s="6">
        <v>2738.69</v>
      </c>
      <c r="N481" s="8">
        <v>7.5999999999999998E-2</v>
      </c>
      <c r="O481" s="6">
        <v>16</v>
      </c>
      <c r="P481" s="7" t="str">
        <f t="shared" si="57"/>
        <v>Nagoya</v>
      </c>
      <c r="Q481" s="7" t="str">
        <f t="shared" si="58"/>
        <v>G. Dubois</v>
      </c>
      <c r="R481" s="7" t="str">
        <f t="shared" si="59"/>
        <v>Marketplace</v>
      </c>
      <c r="S481" t="str">
        <f t="shared" si="64"/>
        <v>OK</v>
      </c>
      <c r="T481" s="8" t="str">
        <f t="shared" si="60"/>
        <v>OK</v>
      </c>
      <c r="U481" t="str">
        <f t="shared" si="61"/>
        <v>OK</v>
      </c>
      <c r="V481">
        <f t="shared" si="62"/>
        <v>13</v>
      </c>
      <c r="W481" s="4">
        <f t="shared" si="63"/>
        <v>45306</v>
      </c>
    </row>
    <row r="482" spans="1:23" hidden="1" x14ac:dyDescent="0.25">
      <c r="A482" t="s">
        <v>495</v>
      </c>
      <c r="B482" s="4">
        <v>45538</v>
      </c>
      <c r="C482" s="4">
        <v>45542</v>
      </c>
      <c r="D482" t="s">
        <v>647</v>
      </c>
      <c r="E482" t="s">
        <v>652</v>
      </c>
      <c r="F482" t="s">
        <v>689</v>
      </c>
      <c r="G482" t="s">
        <v>705</v>
      </c>
      <c r="H482" t="s">
        <v>710</v>
      </c>
      <c r="I482" t="s">
        <v>725</v>
      </c>
      <c r="J482" t="s">
        <v>728</v>
      </c>
      <c r="K482" t="s">
        <v>1214</v>
      </c>
      <c r="L482" s="6">
        <v>43.23</v>
      </c>
      <c r="M482" s="6">
        <v>94.78</v>
      </c>
      <c r="N482" s="8">
        <v>9.0999999999999998E-2</v>
      </c>
      <c r="O482" s="6">
        <v>55</v>
      </c>
      <c r="P482" s="7" t="str">
        <f t="shared" si="57"/>
        <v>Tokyo</v>
      </c>
      <c r="Q482" s="7" t="str">
        <f t="shared" si="58"/>
        <v>N. Brown</v>
      </c>
      <c r="R482" s="7" t="str">
        <f t="shared" si="59"/>
        <v>Distributor</v>
      </c>
      <c r="S482" t="str">
        <f t="shared" si="64"/>
        <v>OK</v>
      </c>
      <c r="T482" s="8" t="str">
        <f t="shared" si="60"/>
        <v>OK</v>
      </c>
      <c r="U482" t="str">
        <f t="shared" si="61"/>
        <v>OK</v>
      </c>
      <c r="V482">
        <f t="shared" si="62"/>
        <v>4</v>
      </c>
      <c r="W482" s="4">
        <f t="shared" si="63"/>
        <v>45542</v>
      </c>
    </row>
    <row r="483" spans="1:23" hidden="1" x14ac:dyDescent="0.25">
      <c r="A483" t="s">
        <v>496</v>
      </c>
      <c r="B483" s="4">
        <v>45899</v>
      </c>
      <c r="C483" s="4">
        <v>45903</v>
      </c>
      <c r="D483" t="s">
        <v>649</v>
      </c>
      <c r="E483" t="s">
        <v>657</v>
      </c>
      <c r="F483" t="s">
        <v>673</v>
      </c>
      <c r="G483" t="s">
        <v>705</v>
      </c>
      <c r="H483" t="s">
        <v>709</v>
      </c>
      <c r="I483" t="s">
        <v>713</v>
      </c>
      <c r="J483" t="s">
        <v>731</v>
      </c>
      <c r="K483" t="s">
        <v>1215</v>
      </c>
      <c r="L483" s="6">
        <v>1286.56</v>
      </c>
      <c r="M483" s="6">
        <v>2777.35</v>
      </c>
      <c r="N483" s="8">
        <v>0.13200000000000001</v>
      </c>
      <c r="O483" s="6">
        <v>15</v>
      </c>
      <c r="P483" s="7" t="str">
        <f t="shared" si="57"/>
        <v>Marseille</v>
      </c>
      <c r="Q483" s="7" t="str">
        <f t="shared" si="58"/>
        <v>J. Njeri</v>
      </c>
      <c r="R483" s="7" t="str">
        <f t="shared" si="59"/>
        <v>Marketplace</v>
      </c>
      <c r="S483" t="str">
        <f t="shared" si="64"/>
        <v>OK</v>
      </c>
      <c r="T483" s="8" t="str">
        <f t="shared" si="60"/>
        <v>OK</v>
      </c>
      <c r="U483" t="str">
        <f t="shared" si="61"/>
        <v>OK</v>
      </c>
      <c r="V483">
        <f t="shared" si="62"/>
        <v>4</v>
      </c>
      <c r="W483" s="4">
        <f t="shared" si="63"/>
        <v>45903</v>
      </c>
    </row>
    <row r="484" spans="1:23" hidden="1" x14ac:dyDescent="0.25">
      <c r="A484" t="s">
        <v>497</v>
      </c>
      <c r="B484" s="4">
        <v>45775</v>
      </c>
      <c r="C484" s="4">
        <v>45796</v>
      </c>
      <c r="D484" t="s">
        <v>649</v>
      </c>
      <c r="E484" t="s">
        <v>656</v>
      </c>
      <c r="F484" t="s">
        <v>671</v>
      </c>
      <c r="G484" t="s">
        <v>701</v>
      </c>
      <c r="H484" t="s">
        <v>710</v>
      </c>
      <c r="I484" t="s">
        <v>717</v>
      </c>
      <c r="J484" t="s">
        <v>730</v>
      </c>
      <c r="K484" t="s">
        <v>1216</v>
      </c>
      <c r="L484" s="6">
        <v>350.76</v>
      </c>
      <c r="M484" s="6">
        <v>492.18</v>
      </c>
      <c r="N484" s="8">
        <v>5.2999999999999999E-2</v>
      </c>
      <c r="O484" s="6">
        <v>11</v>
      </c>
      <c r="P484" s="7" t="str">
        <f t="shared" si="57"/>
        <v>Berlin</v>
      </c>
      <c r="Q484" s="7" t="str">
        <f t="shared" si="58"/>
        <v>B. Chen</v>
      </c>
      <c r="R484" s="7" t="str">
        <f t="shared" si="59"/>
        <v>Distributor</v>
      </c>
      <c r="S484" t="str">
        <f t="shared" si="64"/>
        <v>OK</v>
      </c>
      <c r="T484" s="8" t="str">
        <f t="shared" si="60"/>
        <v>OK</v>
      </c>
      <c r="U484" t="str">
        <f t="shared" si="61"/>
        <v>OK</v>
      </c>
      <c r="V484">
        <f t="shared" si="62"/>
        <v>21</v>
      </c>
      <c r="W484" s="4">
        <f t="shared" si="63"/>
        <v>45796</v>
      </c>
    </row>
    <row r="485" spans="1:23" hidden="1" x14ac:dyDescent="0.25">
      <c r="A485" t="s">
        <v>498</v>
      </c>
      <c r="B485" s="4">
        <v>45148</v>
      </c>
      <c r="C485" s="4">
        <v>45153</v>
      </c>
      <c r="D485" t="s">
        <v>648</v>
      </c>
      <c r="E485" t="s">
        <v>655</v>
      </c>
      <c r="F485" t="s">
        <v>670</v>
      </c>
      <c r="G485" t="s">
        <v>702</v>
      </c>
      <c r="H485" t="s">
        <v>711</v>
      </c>
      <c r="I485" t="s">
        <v>715</v>
      </c>
      <c r="J485" t="s">
        <v>729</v>
      </c>
      <c r="K485" t="s">
        <v>1217</v>
      </c>
      <c r="L485" s="6">
        <v>1307.52</v>
      </c>
      <c r="M485" s="6">
        <v>1921.65</v>
      </c>
      <c r="N485" s="8">
        <v>0.123</v>
      </c>
      <c r="O485" s="6">
        <v>13</v>
      </c>
      <c r="P485" s="7" t="str">
        <f t="shared" si="57"/>
        <v>São Paulo</v>
      </c>
      <c r="Q485" s="7" t="str">
        <f t="shared" si="58"/>
        <v>G. Dubois</v>
      </c>
      <c r="R485" s="7" t="str">
        <f t="shared" si="59"/>
        <v>Direct</v>
      </c>
      <c r="S485" t="str">
        <f t="shared" si="64"/>
        <v>OK</v>
      </c>
      <c r="T485" s="8" t="str">
        <f t="shared" si="60"/>
        <v>OK</v>
      </c>
      <c r="U485" t="str">
        <f t="shared" si="61"/>
        <v>OK</v>
      </c>
      <c r="V485">
        <f t="shared" si="62"/>
        <v>5</v>
      </c>
      <c r="W485" s="4">
        <f t="shared" si="63"/>
        <v>45153</v>
      </c>
    </row>
    <row r="486" spans="1:23" hidden="1" x14ac:dyDescent="0.25">
      <c r="A486" t="s">
        <v>499</v>
      </c>
      <c r="B486" s="4">
        <v>45634</v>
      </c>
      <c r="C486" s="4">
        <v>45634</v>
      </c>
      <c r="D486" t="s">
        <v>649</v>
      </c>
      <c r="E486" t="s">
        <v>657</v>
      </c>
      <c r="F486" t="s">
        <v>679</v>
      </c>
      <c r="G486" t="s">
        <v>706</v>
      </c>
      <c r="H486" t="s">
        <v>707</v>
      </c>
      <c r="I486" t="s">
        <v>722</v>
      </c>
      <c r="J486" t="s">
        <v>727</v>
      </c>
      <c r="K486" t="s">
        <v>1218</v>
      </c>
      <c r="L486" s="6">
        <v>257.44</v>
      </c>
      <c r="M486" s="6">
        <v>290.33</v>
      </c>
      <c r="N486" s="8">
        <v>9.1999999999999998E-2</v>
      </c>
      <c r="O486" s="6">
        <v>23</v>
      </c>
      <c r="P486" s="7" t="str">
        <f t="shared" si="57"/>
        <v>Lyon</v>
      </c>
      <c r="Q486" s="7" t="str">
        <f t="shared" si="58"/>
        <v>H. Kim</v>
      </c>
      <c r="R486" s="7" t="str">
        <f t="shared" si="59"/>
        <v>Retail</v>
      </c>
      <c r="S486" t="str">
        <f t="shared" si="64"/>
        <v>OK</v>
      </c>
      <c r="T486" s="8" t="str">
        <f t="shared" si="60"/>
        <v>OK</v>
      </c>
      <c r="U486" t="str">
        <f t="shared" si="61"/>
        <v>OK</v>
      </c>
      <c r="V486">
        <f t="shared" si="62"/>
        <v>0</v>
      </c>
      <c r="W486" s="4">
        <f t="shared" si="63"/>
        <v>45634</v>
      </c>
    </row>
    <row r="487" spans="1:23" hidden="1" x14ac:dyDescent="0.25">
      <c r="A487" t="s">
        <v>500</v>
      </c>
      <c r="B487" s="4">
        <v>45224</v>
      </c>
      <c r="C487" s="4">
        <v>45254</v>
      </c>
      <c r="D487" t="s">
        <v>649</v>
      </c>
      <c r="E487" t="s">
        <v>657</v>
      </c>
      <c r="F487" t="s">
        <v>690</v>
      </c>
      <c r="G487" t="s">
        <v>706</v>
      </c>
      <c r="H487" t="s">
        <v>710</v>
      </c>
      <c r="I487" t="s">
        <v>712</v>
      </c>
      <c r="J487" t="s">
        <v>730</v>
      </c>
      <c r="K487" t="s">
        <v>1219</v>
      </c>
      <c r="L487" s="6">
        <v>287.85000000000002</v>
      </c>
      <c r="M487" s="6">
        <v>602.91999999999996</v>
      </c>
      <c r="N487" s="8">
        <v>0.222</v>
      </c>
      <c r="O487" s="6">
        <v>11</v>
      </c>
      <c r="P487" s="7" t="str">
        <f t="shared" si="57"/>
        <v>Paris</v>
      </c>
      <c r="Q487" s="7" t="str">
        <f t="shared" si="58"/>
        <v>C. Otieno</v>
      </c>
      <c r="R487" s="7" t="str">
        <f t="shared" si="59"/>
        <v>Distributor</v>
      </c>
      <c r="S487" t="str">
        <f t="shared" si="64"/>
        <v>OK</v>
      </c>
      <c r="T487" s="8" t="str">
        <f t="shared" si="60"/>
        <v>OK</v>
      </c>
      <c r="U487" t="str">
        <f t="shared" si="61"/>
        <v>OK</v>
      </c>
      <c r="V487">
        <f t="shared" si="62"/>
        <v>30</v>
      </c>
      <c r="W487" s="4">
        <f t="shared" si="63"/>
        <v>45254</v>
      </c>
    </row>
    <row r="488" spans="1:23" hidden="1" x14ac:dyDescent="0.25">
      <c r="A488" t="s">
        <v>501</v>
      </c>
      <c r="B488" s="4">
        <v>45613</v>
      </c>
      <c r="C488" s="4">
        <v>45624</v>
      </c>
      <c r="D488" t="s">
        <v>648</v>
      </c>
      <c r="E488" t="s">
        <v>653</v>
      </c>
      <c r="F488" t="s">
        <v>1367</v>
      </c>
      <c r="G488" t="s">
        <v>704</v>
      </c>
      <c r="H488" t="s">
        <v>710</v>
      </c>
      <c r="I488" t="s">
        <v>720</v>
      </c>
      <c r="J488" t="s">
        <v>728</v>
      </c>
      <c r="K488" t="s">
        <v>1220</v>
      </c>
      <c r="L488" s="6">
        <v>1008.16</v>
      </c>
      <c r="M488" s="6">
        <v>2077.5</v>
      </c>
      <c r="N488" s="8">
        <v>7.3999999999999996E-2</v>
      </c>
      <c r="O488" s="6">
        <v>15</v>
      </c>
      <c r="P488" s="7" t="str">
        <f t="shared" si="57"/>
        <v>Unknown</v>
      </c>
      <c r="Q488" s="7" t="str">
        <f t="shared" si="58"/>
        <v>A. Patel</v>
      </c>
      <c r="R488" s="7" t="str">
        <f t="shared" si="59"/>
        <v>Distributor</v>
      </c>
      <c r="S488" t="str">
        <f t="shared" si="64"/>
        <v>OK</v>
      </c>
      <c r="T488" s="8" t="str">
        <f t="shared" si="60"/>
        <v>OK</v>
      </c>
      <c r="U488" t="str">
        <f t="shared" si="61"/>
        <v>OK</v>
      </c>
      <c r="V488">
        <f t="shared" si="62"/>
        <v>11</v>
      </c>
      <c r="W488" s="4">
        <f t="shared" si="63"/>
        <v>45624</v>
      </c>
    </row>
    <row r="489" spans="1:23" hidden="1" x14ac:dyDescent="0.25">
      <c r="A489" t="s">
        <v>502</v>
      </c>
      <c r="B489" s="4">
        <v>45424</v>
      </c>
      <c r="C489" s="4">
        <v>45436</v>
      </c>
      <c r="D489" t="s">
        <v>649</v>
      </c>
      <c r="E489" t="s">
        <v>658</v>
      </c>
      <c r="F489" t="s">
        <v>693</v>
      </c>
      <c r="G489" t="s">
        <v>702</v>
      </c>
      <c r="H489" t="s">
        <v>709</v>
      </c>
      <c r="I489" t="s">
        <v>723</v>
      </c>
      <c r="J489" t="s">
        <v>728</v>
      </c>
      <c r="K489" t="s">
        <v>1221</v>
      </c>
      <c r="L489" s="6">
        <v>111.02</v>
      </c>
      <c r="M489" s="6">
        <v>172.88</v>
      </c>
      <c r="N489" s="8">
        <v>0.19700000000000001</v>
      </c>
      <c r="O489" s="6">
        <v>29</v>
      </c>
      <c r="P489" s="7" t="str">
        <f t="shared" si="57"/>
        <v>Manchester</v>
      </c>
      <c r="Q489" s="7" t="str">
        <f t="shared" si="58"/>
        <v>K. Singh</v>
      </c>
      <c r="R489" s="7" t="str">
        <f t="shared" si="59"/>
        <v>Marketplace</v>
      </c>
      <c r="S489" t="str">
        <f t="shared" si="64"/>
        <v>OK</v>
      </c>
      <c r="T489" s="8" t="str">
        <f t="shared" si="60"/>
        <v>OK</v>
      </c>
      <c r="U489" t="str">
        <f t="shared" si="61"/>
        <v>OK</v>
      </c>
      <c r="V489">
        <f t="shared" si="62"/>
        <v>12</v>
      </c>
      <c r="W489" s="4">
        <f t="shared" si="63"/>
        <v>45436</v>
      </c>
    </row>
    <row r="490" spans="1:23" hidden="1" x14ac:dyDescent="0.25">
      <c r="A490" t="s">
        <v>503</v>
      </c>
      <c r="B490" s="4">
        <v>45792</v>
      </c>
      <c r="C490" s="4">
        <v>45813</v>
      </c>
      <c r="D490" t="s">
        <v>647</v>
      </c>
      <c r="E490" t="s">
        <v>652</v>
      </c>
      <c r="F490" t="s">
        <v>666</v>
      </c>
      <c r="G490" t="s">
        <v>706</v>
      </c>
      <c r="H490" t="s">
        <v>711</v>
      </c>
      <c r="I490" t="s">
        <v>722</v>
      </c>
      <c r="J490" t="s">
        <v>730</v>
      </c>
      <c r="K490" t="s">
        <v>1222</v>
      </c>
      <c r="L490" s="6">
        <v>1466.5</v>
      </c>
      <c r="M490" s="6">
        <v>2778.74</v>
      </c>
      <c r="N490" s="8">
        <v>0.13500000000000001</v>
      </c>
      <c r="O490" s="6">
        <v>4</v>
      </c>
      <c r="P490" s="7" t="str">
        <f t="shared" si="57"/>
        <v>Osaka</v>
      </c>
      <c r="Q490" s="7" t="str">
        <f t="shared" si="58"/>
        <v>H. Kim</v>
      </c>
      <c r="R490" s="7" t="str">
        <f t="shared" si="59"/>
        <v>Direct</v>
      </c>
      <c r="S490" t="str">
        <f t="shared" si="64"/>
        <v>OK</v>
      </c>
      <c r="T490" s="8" t="str">
        <f t="shared" si="60"/>
        <v>OK</v>
      </c>
      <c r="U490" t="str">
        <f t="shared" si="61"/>
        <v>OK</v>
      </c>
      <c r="V490">
        <f t="shared" si="62"/>
        <v>21</v>
      </c>
      <c r="W490" s="4">
        <f t="shared" si="63"/>
        <v>45813</v>
      </c>
    </row>
    <row r="491" spans="1:23" hidden="1" x14ac:dyDescent="0.25">
      <c r="A491" t="s">
        <v>504</v>
      </c>
      <c r="B491" s="4">
        <v>45403</v>
      </c>
      <c r="C491" s="4">
        <v>45431</v>
      </c>
      <c r="D491" t="s">
        <v>646</v>
      </c>
      <c r="E491" t="s">
        <v>651</v>
      </c>
      <c r="F491" t="s">
        <v>665</v>
      </c>
      <c r="G491" t="s">
        <v>701</v>
      </c>
      <c r="H491" t="s">
        <v>710</v>
      </c>
      <c r="I491" t="s">
        <v>720</v>
      </c>
      <c r="J491" t="s">
        <v>733</v>
      </c>
      <c r="K491" t="s">
        <v>1223</v>
      </c>
      <c r="L491" s="6">
        <v>187.22</v>
      </c>
      <c r="M491" s="6">
        <v>309.47000000000003</v>
      </c>
      <c r="N491" s="8">
        <v>0</v>
      </c>
      <c r="O491" s="6">
        <v>5</v>
      </c>
      <c r="P491" s="7" t="str">
        <f t="shared" si="57"/>
        <v>Lagos</v>
      </c>
      <c r="Q491" s="7" t="str">
        <f t="shared" si="58"/>
        <v>A. Patel</v>
      </c>
      <c r="R491" s="7" t="str">
        <f t="shared" si="59"/>
        <v>Distributor</v>
      </c>
      <c r="S491" t="str">
        <f t="shared" si="64"/>
        <v>OK</v>
      </c>
      <c r="T491" s="8" t="str">
        <f t="shared" si="60"/>
        <v>OK</v>
      </c>
      <c r="U491" t="str">
        <f t="shared" si="61"/>
        <v>OK</v>
      </c>
      <c r="V491">
        <f t="shared" si="62"/>
        <v>28</v>
      </c>
      <c r="W491" s="4">
        <f t="shared" si="63"/>
        <v>45431</v>
      </c>
    </row>
    <row r="492" spans="1:23" hidden="1" x14ac:dyDescent="0.25">
      <c r="A492" t="s">
        <v>505</v>
      </c>
      <c r="B492" s="4">
        <v>45523</v>
      </c>
      <c r="C492" s="4">
        <v>45542</v>
      </c>
      <c r="D492" t="s">
        <v>649</v>
      </c>
      <c r="E492" t="s">
        <v>657</v>
      </c>
      <c r="F492" t="s">
        <v>679</v>
      </c>
      <c r="G492" t="s">
        <v>701</v>
      </c>
      <c r="H492" t="s">
        <v>711</v>
      </c>
      <c r="I492" t="s">
        <v>713</v>
      </c>
      <c r="J492" t="s">
        <v>727</v>
      </c>
      <c r="K492" t="s">
        <v>1224</v>
      </c>
      <c r="L492" s="6">
        <v>297.58999999999997</v>
      </c>
      <c r="M492" s="6">
        <v>666.41</v>
      </c>
      <c r="N492" s="8">
        <v>0</v>
      </c>
      <c r="O492" s="6">
        <v>10</v>
      </c>
      <c r="P492" s="7" t="str">
        <f t="shared" si="57"/>
        <v>Lyon</v>
      </c>
      <c r="Q492" s="7" t="str">
        <f t="shared" si="58"/>
        <v>J. Njeri</v>
      </c>
      <c r="R492" s="7" t="str">
        <f t="shared" si="59"/>
        <v>Direct</v>
      </c>
      <c r="S492" t="str">
        <f t="shared" si="64"/>
        <v>OK</v>
      </c>
      <c r="T492" s="8" t="str">
        <f t="shared" si="60"/>
        <v>OK</v>
      </c>
      <c r="U492" t="str">
        <f t="shared" si="61"/>
        <v>OK</v>
      </c>
      <c r="V492">
        <f t="shared" si="62"/>
        <v>19</v>
      </c>
      <c r="W492" s="4">
        <f t="shared" si="63"/>
        <v>45542</v>
      </c>
    </row>
    <row r="493" spans="1:23" hidden="1" x14ac:dyDescent="0.25">
      <c r="A493" t="s">
        <v>506</v>
      </c>
      <c r="B493" s="4">
        <v>45861</v>
      </c>
      <c r="C493" s="4">
        <v>45888</v>
      </c>
      <c r="D493" t="s">
        <v>647</v>
      </c>
      <c r="E493" t="s">
        <v>652</v>
      </c>
      <c r="F493" t="s">
        <v>694</v>
      </c>
      <c r="G493" t="s">
        <v>704</v>
      </c>
      <c r="H493" t="s">
        <v>709</v>
      </c>
      <c r="I493" t="s">
        <v>717</v>
      </c>
      <c r="J493" t="s">
        <v>733</v>
      </c>
      <c r="K493" t="s">
        <v>1225</v>
      </c>
      <c r="L493" s="6">
        <v>896.09</v>
      </c>
      <c r="M493" s="6">
        <v>744.27</v>
      </c>
      <c r="N493" s="8">
        <v>8.3000000000000004E-2</v>
      </c>
      <c r="O493" s="6">
        <v>11</v>
      </c>
      <c r="P493" s="7" t="str">
        <f t="shared" si="57"/>
        <v>Nagoya</v>
      </c>
      <c r="Q493" s="7" t="str">
        <f t="shared" si="58"/>
        <v>B. Chen</v>
      </c>
      <c r="R493" s="7" t="str">
        <f t="shared" si="59"/>
        <v>Marketplace</v>
      </c>
      <c r="S493" t="str">
        <f t="shared" si="64"/>
        <v>OK</v>
      </c>
      <c r="T493" s="8" t="str">
        <f t="shared" si="60"/>
        <v>OK</v>
      </c>
      <c r="U493" t="str">
        <f t="shared" si="61"/>
        <v>OK</v>
      </c>
      <c r="V493">
        <f t="shared" si="62"/>
        <v>27</v>
      </c>
      <c r="W493" s="4">
        <f t="shared" si="63"/>
        <v>45888</v>
      </c>
    </row>
    <row r="494" spans="1:23" hidden="1" x14ac:dyDescent="0.25">
      <c r="A494" t="s">
        <v>507</v>
      </c>
      <c r="B494" s="4">
        <v>45352</v>
      </c>
      <c r="C494" s="4">
        <v>45367</v>
      </c>
      <c r="D494" t="s">
        <v>648</v>
      </c>
      <c r="E494" t="s">
        <v>655</v>
      </c>
      <c r="F494" t="s">
        <v>670</v>
      </c>
      <c r="G494" t="s">
        <v>703</v>
      </c>
      <c r="H494" t="s">
        <v>711</v>
      </c>
      <c r="I494" t="s">
        <v>714</v>
      </c>
      <c r="J494" t="s">
        <v>730</v>
      </c>
      <c r="K494" t="s">
        <v>1226</v>
      </c>
      <c r="L494" s="6">
        <v>5.34</v>
      </c>
      <c r="M494" s="6">
        <v>12.69</v>
      </c>
      <c r="N494" s="8">
        <v>0.13200000000000001</v>
      </c>
      <c r="O494" s="6">
        <v>10</v>
      </c>
      <c r="P494" s="7" t="str">
        <f t="shared" si="57"/>
        <v>São Paulo</v>
      </c>
      <c r="Q494" s="7" t="str">
        <f t="shared" si="58"/>
        <v>I. Johnson</v>
      </c>
      <c r="R494" s="7" t="str">
        <f t="shared" si="59"/>
        <v>Direct</v>
      </c>
      <c r="S494" t="str">
        <f t="shared" si="64"/>
        <v>OK</v>
      </c>
      <c r="T494" s="8" t="str">
        <f t="shared" si="60"/>
        <v>OK</v>
      </c>
      <c r="U494" t="str">
        <f t="shared" si="61"/>
        <v>OK</v>
      </c>
      <c r="V494">
        <f t="shared" si="62"/>
        <v>15</v>
      </c>
      <c r="W494" s="4">
        <f t="shared" si="63"/>
        <v>45367</v>
      </c>
    </row>
    <row r="495" spans="1:23" hidden="1" x14ac:dyDescent="0.25">
      <c r="A495" t="s">
        <v>508</v>
      </c>
      <c r="B495" s="4">
        <v>45439</v>
      </c>
      <c r="C495" s="4">
        <v>45460</v>
      </c>
      <c r="D495" t="s">
        <v>647</v>
      </c>
      <c r="E495" t="s">
        <v>654</v>
      </c>
      <c r="F495" t="s">
        <v>680</v>
      </c>
      <c r="G495" t="s">
        <v>705</v>
      </c>
      <c r="H495" t="s">
        <v>708</v>
      </c>
      <c r="I495" t="s">
        <v>722</v>
      </c>
      <c r="J495" t="s">
        <v>733</v>
      </c>
      <c r="K495" t="s">
        <v>1227</v>
      </c>
      <c r="L495" s="6">
        <v>465.02</v>
      </c>
      <c r="M495" s="6">
        <v>651.55999999999995</v>
      </c>
      <c r="N495" s="8">
        <v>4.2000000000000003E-2</v>
      </c>
      <c r="O495" s="6">
        <v>19</v>
      </c>
      <c r="P495" s="7" t="str">
        <f t="shared" si="57"/>
        <v>Delhi</v>
      </c>
      <c r="Q495" s="7" t="str">
        <f t="shared" si="58"/>
        <v>H. Kim</v>
      </c>
      <c r="R495" s="7" t="str">
        <f t="shared" si="59"/>
        <v>Online</v>
      </c>
      <c r="S495" t="str">
        <f t="shared" si="64"/>
        <v>OK</v>
      </c>
      <c r="T495" s="8" t="str">
        <f t="shared" si="60"/>
        <v>OK</v>
      </c>
      <c r="U495" t="str">
        <f t="shared" si="61"/>
        <v>OK</v>
      </c>
      <c r="V495">
        <f t="shared" si="62"/>
        <v>21</v>
      </c>
      <c r="W495" s="4">
        <f t="shared" si="63"/>
        <v>45460</v>
      </c>
    </row>
    <row r="496" spans="1:23" hidden="1" x14ac:dyDescent="0.25">
      <c r="A496" t="s">
        <v>509</v>
      </c>
      <c r="B496" s="4">
        <v>45508</v>
      </c>
      <c r="C496" s="4">
        <v>45521</v>
      </c>
      <c r="D496" t="s">
        <v>648</v>
      </c>
      <c r="E496" t="s">
        <v>660</v>
      </c>
      <c r="F496" t="s">
        <v>697</v>
      </c>
      <c r="G496" t="s">
        <v>704</v>
      </c>
      <c r="H496" t="s">
        <v>707</v>
      </c>
      <c r="I496" t="s">
        <v>726</v>
      </c>
      <c r="J496" t="s">
        <v>732</v>
      </c>
      <c r="K496" t="s">
        <v>1228</v>
      </c>
      <c r="L496" s="6">
        <v>352.79</v>
      </c>
      <c r="M496" s="6">
        <v>754.22</v>
      </c>
      <c r="N496" s="8">
        <v>0.113</v>
      </c>
      <c r="O496" s="6">
        <v>7</v>
      </c>
      <c r="P496" s="7" t="str">
        <f t="shared" si="57"/>
        <v>Austin</v>
      </c>
      <c r="Q496" s="7" t="str">
        <f t="shared" si="58"/>
        <v>D. Smith</v>
      </c>
      <c r="R496" s="7" t="str">
        <f t="shared" si="59"/>
        <v>Retail</v>
      </c>
      <c r="S496" t="str">
        <f t="shared" si="64"/>
        <v>OK</v>
      </c>
      <c r="T496" s="8" t="str">
        <f t="shared" si="60"/>
        <v>OK</v>
      </c>
      <c r="U496" t="str">
        <f t="shared" si="61"/>
        <v>OK</v>
      </c>
      <c r="V496">
        <f t="shared" si="62"/>
        <v>13</v>
      </c>
      <c r="W496" s="4">
        <f t="shared" si="63"/>
        <v>45521</v>
      </c>
    </row>
    <row r="497" spans="1:23" hidden="1" x14ac:dyDescent="0.25">
      <c r="A497" t="s">
        <v>510</v>
      </c>
      <c r="B497" s="4">
        <v>45097</v>
      </c>
      <c r="C497" s="4">
        <v>45111</v>
      </c>
      <c r="D497" t="s">
        <v>648</v>
      </c>
      <c r="E497" t="s">
        <v>655</v>
      </c>
      <c r="F497" t="s">
        <v>672</v>
      </c>
      <c r="G497" t="s">
        <v>703</v>
      </c>
      <c r="H497" t="s">
        <v>711</v>
      </c>
      <c r="I497" t="s">
        <v>712</v>
      </c>
      <c r="J497" t="s">
        <v>729</v>
      </c>
      <c r="K497" t="s">
        <v>1229</v>
      </c>
      <c r="L497" s="6">
        <v>1292.8599999999999</v>
      </c>
      <c r="M497" s="6">
        <v>2981.01</v>
      </c>
      <c r="N497" s="8">
        <v>0.14199999999999999</v>
      </c>
      <c r="O497" s="6">
        <v>12</v>
      </c>
      <c r="P497" s="7" t="str">
        <f t="shared" si="57"/>
        <v>Brasília</v>
      </c>
      <c r="Q497" s="7" t="str">
        <f t="shared" si="58"/>
        <v>C. Otieno</v>
      </c>
      <c r="R497" s="7" t="str">
        <f t="shared" si="59"/>
        <v>Direct</v>
      </c>
      <c r="S497" t="str">
        <f t="shared" si="64"/>
        <v>OK</v>
      </c>
      <c r="T497" s="8" t="str">
        <f t="shared" si="60"/>
        <v>OK</v>
      </c>
      <c r="U497" t="str">
        <f t="shared" si="61"/>
        <v>OK</v>
      </c>
      <c r="V497">
        <f t="shared" si="62"/>
        <v>14</v>
      </c>
      <c r="W497" s="4">
        <f t="shared" si="63"/>
        <v>45111</v>
      </c>
    </row>
    <row r="498" spans="1:23" hidden="1" x14ac:dyDescent="0.25">
      <c r="A498" t="s">
        <v>511</v>
      </c>
      <c r="B498" s="4">
        <v>45544</v>
      </c>
      <c r="C498" s="4">
        <v>45548</v>
      </c>
      <c r="D498" t="s">
        <v>649</v>
      </c>
      <c r="E498" t="s">
        <v>658</v>
      </c>
      <c r="F498" t="s">
        <v>683</v>
      </c>
      <c r="G498" t="s">
        <v>704</v>
      </c>
      <c r="H498" t="s">
        <v>709</v>
      </c>
      <c r="I498" t="s">
        <v>721</v>
      </c>
      <c r="J498" t="s">
        <v>729</v>
      </c>
      <c r="K498" t="s">
        <v>1230</v>
      </c>
      <c r="L498" s="6">
        <v>1133.08</v>
      </c>
      <c r="M498" s="6">
        <v>976.17</v>
      </c>
      <c r="N498" s="8">
        <v>4.2000000000000003E-2</v>
      </c>
      <c r="O498" s="6">
        <v>27</v>
      </c>
      <c r="P498" s="7" t="str">
        <f t="shared" si="57"/>
        <v>London</v>
      </c>
      <c r="Q498" s="7" t="str">
        <f t="shared" si="58"/>
        <v>F. Müller</v>
      </c>
      <c r="R498" s="7" t="str">
        <f t="shared" si="59"/>
        <v>Marketplace</v>
      </c>
      <c r="S498" t="str">
        <f t="shared" si="64"/>
        <v>OK</v>
      </c>
      <c r="T498" s="8" t="str">
        <f t="shared" si="60"/>
        <v>OK</v>
      </c>
      <c r="U498" t="str">
        <f t="shared" si="61"/>
        <v>OK</v>
      </c>
      <c r="V498">
        <f t="shared" si="62"/>
        <v>4</v>
      </c>
      <c r="W498" s="4">
        <f t="shared" si="63"/>
        <v>45548</v>
      </c>
    </row>
    <row r="499" spans="1:23" hidden="1" x14ac:dyDescent="0.25">
      <c r="A499" t="s">
        <v>512</v>
      </c>
      <c r="B499" s="4">
        <v>45224</v>
      </c>
      <c r="C499" s="4">
        <v>45227</v>
      </c>
      <c r="D499" t="s">
        <v>648</v>
      </c>
      <c r="E499" t="s">
        <v>655</v>
      </c>
      <c r="F499" t="s">
        <v>672</v>
      </c>
      <c r="G499" t="s">
        <v>701</v>
      </c>
      <c r="H499" t="s">
        <v>710</v>
      </c>
      <c r="I499" t="s">
        <v>716</v>
      </c>
      <c r="J499" t="s">
        <v>733</v>
      </c>
      <c r="K499" t="s">
        <v>1231</v>
      </c>
      <c r="L499" s="6">
        <v>509.31</v>
      </c>
      <c r="M499" s="6">
        <v>1145.9000000000001</v>
      </c>
      <c r="N499" s="8">
        <v>5.7000000000000002E-2</v>
      </c>
      <c r="O499" s="6">
        <v>8</v>
      </c>
      <c r="P499" s="7" t="str">
        <f t="shared" si="57"/>
        <v>Brasília</v>
      </c>
      <c r="Q499" s="7" t="str">
        <f t="shared" si="58"/>
        <v>L. Okafor</v>
      </c>
      <c r="R499" s="7" t="str">
        <f t="shared" si="59"/>
        <v>Distributor</v>
      </c>
      <c r="S499" t="str">
        <f t="shared" si="64"/>
        <v>OK</v>
      </c>
      <c r="T499" s="8" t="str">
        <f t="shared" si="60"/>
        <v>OK</v>
      </c>
      <c r="U499" t="str">
        <f t="shared" si="61"/>
        <v>OK</v>
      </c>
      <c r="V499">
        <f t="shared" si="62"/>
        <v>3</v>
      </c>
      <c r="W499" s="4">
        <f t="shared" si="63"/>
        <v>45227</v>
      </c>
    </row>
    <row r="500" spans="1:23" hidden="1" x14ac:dyDescent="0.25">
      <c r="A500" t="s">
        <v>513</v>
      </c>
      <c r="B500" s="4">
        <v>45908</v>
      </c>
      <c r="C500" s="4">
        <v>45935</v>
      </c>
      <c r="D500" t="s">
        <v>648</v>
      </c>
      <c r="E500" t="s">
        <v>655</v>
      </c>
      <c r="F500" t="s">
        <v>692</v>
      </c>
      <c r="G500" t="s">
        <v>702</v>
      </c>
      <c r="H500" t="s">
        <v>708</v>
      </c>
      <c r="I500" t="s">
        <v>712</v>
      </c>
      <c r="J500" t="s">
        <v>732</v>
      </c>
      <c r="K500" t="s">
        <v>1232</v>
      </c>
      <c r="L500" s="6">
        <v>660.78</v>
      </c>
      <c r="M500" s="6">
        <v>1630.39</v>
      </c>
      <c r="N500" s="8">
        <v>0.218</v>
      </c>
      <c r="O500" s="6">
        <v>13</v>
      </c>
      <c r="P500" s="7" t="str">
        <f t="shared" si="57"/>
        <v>Rio de Janeiro</v>
      </c>
      <c r="Q500" s="7" t="str">
        <f t="shared" si="58"/>
        <v>C. Otieno</v>
      </c>
      <c r="R500" s="7" t="str">
        <f t="shared" si="59"/>
        <v>Online</v>
      </c>
      <c r="S500" t="str">
        <f t="shared" si="64"/>
        <v>OK</v>
      </c>
      <c r="T500" s="8" t="str">
        <f t="shared" si="60"/>
        <v>OK</v>
      </c>
      <c r="U500" t="str">
        <f t="shared" si="61"/>
        <v>OK</v>
      </c>
      <c r="V500">
        <f t="shared" si="62"/>
        <v>27</v>
      </c>
      <c r="W500" s="4">
        <f t="shared" si="63"/>
        <v>45935</v>
      </c>
    </row>
    <row r="501" spans="1:23" hidden="1" x14ac:dyDescent="0.25">
      <c r="A501" t="s">
        <v>514</v>
      </c>
      <c r="B501" s="4">
        <v>45048</v>
      </c>
      <c r="C501" s="4">
        <v>45062</v>
      </c>
      <c r="D501" t="s">
        <v>647</v>
      </c>
      <c r="E501" t="s">
        <v>654</v>
      </c>
      <c r="F501" t="s">
        <v>668</v>
      </c>
      <c r="G501" t="s">
        <v>703</v>
      </c>
      <c r="H501" t="s">
        <v>707</v>
      </c>
      <c r="I501" t="s">
        <v>716</v>
      </c>
      <c r="J501" t="s">
        <v>732</v>
      </c>
      <c r="K501" t="s">
        <v>1233</v>
      </c>
      <c r="L501" s="6">
        <v>475.37</v>
      </c>
      <c r="M501" s="6">
        <v>963.73</v>
      </c>
      <c r="N501" s="8">
        <v>4.1000000000000002E-2</v>
      </c>
      <c r="O501" s="6">
        <v>22</v>
      </c>
      <c r="P501" s="7" t="str">
        <f t="shared" si="57"/>
        <v>Bengaluru</v>
      </c>
      <c r="Q501" s="7" t="str">
        <f t="shared" si="58"/>
        <v>L. Okafor</v>
      </c>
      <c r="R501" s="7" t="str">
        <f t="shared" si="59"/>
        <v>Retail</v>
      </c>
      <c r="S501" t="str">
        <f t="shared" si="64"/>
        <v>OK</v>
      </c>
      <c r="T501" s="8" t="str">
        <f t="shared" si="60"/>
        <v>OK</v>
      </c>
      <c r="U501" t="str">
        <f t="shared" si="61"/>
        <v>OK</v>
      </c>
      <c r="V501">
        <f t="shared" si="62"/>
        <v>14</v>
      </c>
      <c r="W501" s="4">
        <f t="shared" si="63"/>
        <v>45062</v>
      </c>
    </row>
    <row r="502" spans="1:23" hidden="1" x14ac:dyDescent="0.25">
      <c r="A502" t="s">
        <v>515</v>
      </c>
      <c r="B502" s="4">
        <v>45408</v>
      </c>
      <c r="C502" s="4">
        <v>45423</v>
      </c>
      <c r="D502" t="s">
        <v>649</v>
      </c>
      <c r="E502" t="s">
        <v>658</v>
      </c>
      <c r="F502" t="s">
        <v>683</v>
      </c>
      <c r="G502" t="s">
        <v>703</v>
      </c>
      <c r="H502" t="s">
        <v>710</v>
      </c>
      <c r="I502" t="s">
        <v>725</v>
      </c>
      <c r="J502" t="s">
        <v>730</v>
      </c>
      <c r="K502" t="s">
        <v>1234</v>
      </c>
      <c r="L502" s="6">
        <v>1232.77</v>
      </c>
      <c r="M502" s="6">
        <v>891.73</v>
      </c>
      <c r="N502" s="8">
        <v>0.16700000000000001</v>
      </c>
      <c r="O502" s="6">
        <v>10</v>
      </c>
      <c r="P502" s="7" t="str">
        <f t="shared" si="57"/>
        <v>London</v>
      </c>
      <c r="Q502" s="7" t="str">
        <f t="shared" si="58"/>
        <v>N. Brown</v>
      </c>
      <c r="R502" s="7" t="str">
        <f t="shared" si="59"/>
        <v>Distributor</v>
      </c>
      <c r="S502" t="str">
        <f t="shared" si="64"/>
        <v>OK</v>
      </c>
      <c r="T502" s="8" t="str">
        <f t="shared" si="60"/>
        <v>OK</v>
      </c>
      <c r="U502" t="str">
        <f t="shared" si="61"/>
        <v>OK</v>
      </c>
      <c r="V502">
        <f t="shared" si="62"/>
        <v>15</v>
      </c>
      <c r="W502" s="4">
        <f t="shared" si="63"/>
        <v>45423</v>
      </c>
    </row>
    <row r="503" spans="1:23" hidden="1" x14ac:dyDescent="0.25">
      <c r="A503" t="s">
        <v>516</v>
      </c>
      <c r="B503" s="4">
        <v>44980</v>
      </c>
      <c r="C503" s="4">
        <v>45003</v>
      </c>
      <c r="D503" t="s">
        <v>647</v>
      </c>
      <c r="E503" t="s">
        <v>659</v>
      </c>
      <c r="F503" t="s">
        <v>699</v>
      </c>
      <c r="G503" t="s">
        <v>702</v>
      </c>
      <c r="H503" t="s">
        <v>710</v>
      </c>
      <c r="I503" t="s">
        <v>723</v>
      </c>
      <c r="J503" t="s">
        <v>728</v>
      </c>
      <c r="K503" t="s">
        <v>1235</v>
      </c>
      <c r="L503" s="6">
        <v>770.11</v>
      </c>
      <c r="M503" s="6">
        <v>1667.82</v>
      </c>
      <c r="N503" s="8">
        <v>6.9000000000000006E-2</v>
      </c>
      <c r="O503" s="6">
        <v>7</v>
      </c>
      <c r="P503" s="7" t="str">
        <f t="shared" si="57"/>
        <v>Beijing</v>
      </c>
      <c r="Q503" s="7" t="str">
        <f t="shared" si="58"/>
        <v>K. Singh</v>
      </c>
      <c r="R503" s="7" t="str">
        <f t="shared" si="59"/>
        <v>Distributor</v>
      </c>
      <c r="S503" t="str">
        <f t="shared" si="64"/>
        <v>OK</v>
      </c>
      <c r="T503" s="8" t="str">
        <f t="shared" si="60"/>
        <v>OK</v>
      </c>
      <c r="U503" t="str">
        <f t="shared" si="61"/>
        <v>OK</v>
      </c>
      <c r="V503">
        <f t="shared" si="62"/>
        <v>23</v>
      </c>
      <c r="W503" s="4">
        <f t="shared" si="63"/>
        <v>45003</v>
      </c>
    </row>
    <row r="504" spans="1:23" hidden="1" x14ac:dyDescent="0.25">
      <c r="A504" t="s">
        <v>517</v>
      </c>
      <c r="B504" s="4">
        <v>45740</v>
      </c>
      <c r="C504" s="4">
        <v>45741</v>
      </c>
      <c r="D504" t="s">
        <v>647</v>
      </c>
      <c r="E504" t="s">
        <v>659</v>
      </c>
      <c r="F504" t="s">
        <v>699</v>
      </c>
      <c r="G504" t="s">
        <v>703</v>
      </c>
      <c r="H504" t="s">
        <v>708</v>
      </c>
      <c r="I504" t="s">
        <v>715</v>
      </c>
      <c r="J504" t="s">
        <v>729</v>
      </c>
      <c r="K504" t="s">
        <v>1236</v>
      </c>
      <c r="L504" s="6">
        <v>1133.03</v>
      </c>
      <c r="M504" s="6">
        <v>1921.51</v>
      </c>
      <c r="N504" s="8">
        <v>0.10100000000000001</v>
      </c>
      <c r="O504" s="6">
        <v>5</v>
      </c>
      <c r="P504" s="7" t="str">
        <f t="shared" si="57"/>
        <v>Beijing</v>
      </c>
      <c r="Q504" s="7" t="str">
        <f t="shared" si="58"/>
        <v>G. Dubois</v>
      </c>
      <c r="R504" s="7" t="str">
        <f t="shared" si="59"/>
        <v>Online</v>
      </c>
      <c r="S504" t="str">
        <f t="shared" si="64"/>
        <v>OK</v>
      </c>
      <c r="T504" s="8" t="str">
        <f t="shared" si="60"/>
        <v>OK</v>
      </c>
      <c r="U504" t="str">
        <f t="shared" si="61"/>
        <v>OK</v>
      </c>
      <c r="V504">
        <f t="shared" si="62"/>
        <v>1</v>
      </c>
      <c r="W504" s="4">
        <f t="shared" si="63"/>
        <v>45741</v>
      </c>
    </row>
    <row r="505" spans="1:23" hidden="1" x14ac:dyDescent="0.25">
      <c r="A505" t="s">
        <v>518</v>
      </c>
      <c r="B505" s="4">
        <v>45726</v>
      </c>
      <c r="C505" s="4">
        <v>45743</v>
      </c>
      <c r="D505" t="s">
        <v>648</v>
      </c>
      <c r="E505" t="s">
        <v>655</v>
      </c>
      <c r="F505" t="s">
        <v>692</v>
      </c>
      <c r="G505" t="s">
        <v>706</v>
      </c>
      <c r="H505" t="s">
        <v>711</v>
      </c>
      <c r="I505" t="s">
        <v>721</v>
      </c>
      <c r="J505" t="s">
        <v>729</v>
      </c>
      <c r="K505" t="s">
        <v>1237</v>
      </c>
      <c r="L505" s="6">
        <v>996.73</v>
      </c>
      <c r="M505" s="6">
        <v>1217.43</v>
      </c>
      <c r="N505" s="8">
        <v>7.0000000000000007E-2</v>
      </c>
      <c r="O505" s="6">
        <v>9</v>
      </c>
      <c r="P505" s="7" t="str">
        <f t="shared" si="57"/>
        <v>Rio de Janeiro</v>
      </c>
      <c r="Q505" s="7" t="str">
        <f t="shared" si="58"/>
        <v>F. Müller</v>
      </c>
      <c r="R505" s="7" t="str">
        <f t="shared" si="59"/>
        <v>Direct</v>
      </c>
      <c r="S505" t="str">
        <f t="shared" si="64"/>
        <v>OK</v>
      </c>
      <c r="T505" s="8" t="str">
        <f t="shared" si="60"/>
        <v>OK</v>
      </c>
      <c r="U505" t="str">
        <f t="shared" si="61"/>
        <v>OK</v>
      </c>
      <c r="V505">
        <f t="shared" si="62"/>
        <v>17</v>
      </c>
      <c r="W505" s="4">
        <f t="shared" si="63"/>
        <v>45743</v>
      </c>
    </row>
    <row r="506" spans="1:23" hidden="1" x14ac:dyDescent="0.25">
      <c r="A506" t="s">
        <v>519</v>
      </c>
      <c r="B506" s="4">
        <v>45387</v>
      </c>
      <c r="C506" s="4">
        <v>45391</v>
      </c>
      <c r="D506" t="s">
        <v>646</v>
      </c>
      <c r="E506" t="s">
        <v>651</v>
      </c>
      <c r="F506" t="s">
        <v>665</v>
      </c>
      <c r="G506" t="s">
        <v>703</v>
      </c>
      <c r="H506" t="s">
        <v>711</v>
      </c>
      <c r="I506" t="s">
        <v>723</v>
      </c>
      <c r="J506" t="s">
        <v>727</v>
      </c>
      <c r="K506" t="s">
        <v>1238</v>
      </c>
      <c r="L506" s="6">
        <v>395.07</v>
      </c>
      <c r="M506" s="6">
        <v>970.27</v>
      </c>
      <c r="N506" s="8">
        <v>0.123</v>
      </c>
      <c r="O506" s="6">
        <v>38</v>
      </c>
      <c r="P506" s="7" t="str">
        <f t="shared" si="57"/>
        <v>Lagos</v>
      </c>
      <c r="Q506" s="7" t="str">
        <f t="shared" si="58"/>
        <v>K. Singh</v>
      </c>
      <c r="R506" s="7" t="str">
        <f t="shared" si="59"/>
        <v>Direct</v>
      </c>
      <c r="S506" t="str">
        <f t="shared" si="64"/>
        <v>OK</v>
      </c>
      <c r="T506" s="8" t="str">
        <f t="shared" si="60"/>
        <v>OK</v>
      </c>
      <c r="U506" t="str">
        <f t="shared" si="61"/>
        <v>OK</v>
      </c>
      <c r="V506">
        <f t="shared" si="62"/>
        <v>4</v>
      </c>
      <c r="W506" s="4">
        <f t="shared" si="63"/>
        <v>45391</v>
      </c>
    </row>
    <row r="507" spans="1:23" hidden="1" x14ac:dyDescent="0.25">
      <c r="A507" t="s">
        <v>520</v>
      </c>
      <c r="B507" s="4">
        <v>45774</v>
      </c>
      <c r="C507" s="4">
        <v>45794</v>
      </c>
      <c r="D507" t="s">
        <v>648</v>
      </c>
      <c r="E507" t="s">
        <v>660</v>
      </c>
      <c r="F507" t="s">
        <v>697</v>
      </c>
      <c r="G507" t="s">
        <v>701</v>
      </c>
      <c r="H507" t="s">
        <v>711</v>
      </c>
      <c r="I507" t="s">
        <v>725</v>
      </c>
      <c r="J507" t="s">
        <v>730</v>
      </c>
      <c r="K507" t="s">
        <v>1239</v>
      </c>
      <c r="L507" s="6">
        <v>932.26</v>
      </c>
      <c r="M507" s="6">
        <v>1624.67</v>
      </c>
      <c r="N507" s="8">
        <v>0.23499999999999999</v>
      </c>
      <c r="O507" s="6">
        <v>28</v>
      </c>
      <c r="P507" s="7" t="str">
        <f t="shared" si="57"/>
        <v>Austin</v>
      </c>
      <c r="Q507" s="7" t="str">
        <f t="shared" si="58"/>
        <v>N. Brown</v>
      </c>
      <c r="R507" s="7" t="str">
        <f t="shared" si="59"/>
        <v>Direct</v>
      </c>
      <c r="S507" t="str">
        <f t="shared" si="64"/>
        <v>OK</v>
      </c>
      <c r="T507" s="8" t="str">
        <f t="shared" si="60"/>
        <v>OK</v>
      </c>
      <c r="U507" t="str">
        <f t="shared" si="61"/>
        <v>OK</v>
      </c>
      <c r="V507">
        <f t="shared" si="62"/>
        <v>20</v>
      </c>
      <c r="W507" s="4">
        <f t="shared" si="63"/>
        <v>45794</v>
      </c>
    </row>
    <row r="508" spans="1:23" hidden="1" x14ac:dyDescent="0.25">
      <c r="A508" t="s">
        <v>521</v>
      </c>
      <c r="B508" s="4">
        <v>45589</v>
      </c>
      <c r="C508" s="4">
        <v>45593</v>
      </c>
      <c r="D508" t="s">
        <v>647</v>
      </c>
      <c r="E508" t="s">
        <v>659</v>
      </c>
      <c r="F508" t="s">
        <v>685</v>
      </c>
      <c r="G508" t="s">
        <v>705</v>
      </c>
      <c r="H508" t="s">
        <v>710</v>
      </c>
      <c r="I508" t="s">
        <v>714</v>
      </c>
      <c r="J508" t="s">
        <v>729</v>
      </c>
      <c r="K508" t="s">
        <v>1240</v>
      </c>
      <c r="L508" s="6">
        <v>1331.77</v>
      </c>
      <c r="M508" s="6">
        <v>2606.11</v>
      </c>
      <c r="N508" s="8">
        <v>0.02</v>
      </c>
      <c r="O508" s="6">
        <v>6</v>
      </c>
      <c r="P508" s="7" t="str">
        <f t="shared" si="57"/>
        <v>Shanghai</v>
      </c>
      <c r="Q508" s="7" t="str">
        <f t="shared" si="58"/>
        <v>I. Johnson</v>
      </c>
      <c r="R508" s="7" t="str">
        <f t="shared" si="59"/>
        <v>Distributor</v>
      </c>
      <c r="S508" t="str">
        <f t="shared" si="64"/>
        <v>OK</v>
      </c>
      <c r="T508" s="8" t="str">
        <f t="shared" si="60"/>
        <v>OK</v>
      </c>
      <c r="U508" t="str">
        <f t="shared" si="61"/>
        <v>OK</v>
      </c>
      <c r="V508">
        <f t="shared" si="62"/>
        <v>4</v>
      </c>
      <c r="W508" s="4">
        <f t="shared" si="63"/>
        <v>45593</v>
      </c>
    </row>
    <row r="509" spans="1:23" hidden="1" x14ac:dyDescent="0.25">
      <c r="A509" t="s">
        <v>522</v>
      </c>
      <c r="B509" s="4">
        <v>45029</v>
      </c>
      <c r="C509" s="4">
        <v>45036</v>
      </c>
      <c r="D509" t="s">
        <v>649</v>
      </c>
      <c r="E509" t="s">
        <v>657</v>
      </c>
      <c r="F509" t="s">
        <v>679</v>
      </c>
      <c r="G509" t="s">
        <v>705</v>
      </c>
      <c r="H509" t="s">
        <v>708</v>
      </c>
      <c r="I509" t="s">
        <v>720</v>
      </c>
      <c r="J509" t="s">
        <v>731</v>
      </c>
      <c r="K509" t="s">
        <v>1241</v>
      </c>
      <c r="L509" s="6">
        <v>227.02</v>
      </c>
      <c r="M509" s="6">
        <v>434.72</v>
      </c>
      <c r="N509" s="8">
        <v>9.8000000000000004E-2</v>
      </c>
      <c r="O509" s="6">
        <v>10</v>
      </c>
      <c r="P509" s="7" t="str">
        <f t="shared" si="57"/>
        <v>Lyon</v>
      </c>
      <c r="Q509" s="7" t="str">
        <f t="shared" si="58"/>
        <v>A. Patel</v>
      </c>
      <c r="R509" s="7" t="str">
        <f t="shared" si="59"/>
        <v>Online</v>
      </c>
      <c r="S509" t="str">
        <f t="shared" si="64"/>
        <v>OK</v>
      </c>
      <c r="T509" s="8" t="str">
        <f t="shared" si="60"/>
        <v>OK</v>
      </c>
      <c r="U509" t="str">
        <f t="shared" si="61"/>
        <v>OK</v>
      </c>
      <c r="V509">
        <f t="shared" si="62"/>
        <v>7</v>
      </c>
      <c r="W509" s="4">
        <f t="shared" si="63"/>
        <v>45036</v>
      </c>
    </row>
    <row r="510" spans="1:23" hidden="1" x14ac:dyDescent="0.25">
      <c r="A510" t="s">
        <v>523</v>
      </c>
      <c r="B510" s="4">
        <v>45608</v>
      </c>
      <c r="C510" s="4">
        <v>45617</v>
      </c>
      <c r="D510" t="s">
        <v>647</v>
      </c>
      <c r="E510" t="s">
        <v>654</v>
      </c>
      <c r="F510" t="s">
        <v>691</v>
      </c>
      <c r="G510" t="s">
        <v>701</v>
      </c>
      <c r="H510" t="s">
        <v>711</v>
      </c>
      <c r="I510" t="s">
        <v>722</v>
      </c>
      <c r="J510" t="s">
        <v>731</v>
      </c>
      <c r="K510" t="s">
        <v>1242</v>
      </c>
      <c r="L510" s="6">
        <v>903.41</v>
      </c>
      <c r="M510" s="6">
        <v>1860.41</v>
      </c>
      <c r="N510" s="8">
        <v>0.108</v>
      </c>
      <c r="O510" s="6">
        <v>5</v>
      </c>
      <c r="P510" s="7" t="str">
        <f t="shared" si="57"/>
        <v>Mumbai</v>
      </c>
      <c r="Q510" s="7" t="str">
        <f t="shared" si="58"/>
        <v>H. Kim</v>
      </c>
      <c r="R510" s="7" t="str">
        <f t="shared" si="59"/>
        <v>Direct</v>
      </c>
      <c r="S510" t="str">
        <f t="shared" si="64"/>
        <v>OK</v>
      </c>
      <c r="T510" s="8" t="str">
        <f t="shared" si="60"/>
        <v>OK</v>
      </c>
      <c r="U510" t="str">
        <f t="shared" si="61"/>
        <v>OK</v>
      </c>
      <c r="V510">
        <f t="shared" si="62"/>
        <v>9</v>
      </c>
      <c r="W510" s="4">
        <f t="shared" si="63"/>
        <v>45617</v>
      </c>
    </row>
    <row r="511" spans="1:23" hidden="1" x14ac:dyDescent="0.25">
      <c r="A511" t="s">
        <v>524</v>
      </c>
      <c r="B511" s="4">
        <v>45056</v>
      </c>
      <c r="C511" s="4">
        <v>45060</v>
      </c>
      <c r="D511" t="s">
        <v>647</v>
      </c>
      <c r="E511" t="s">
        <v>654</v>
      </c>
      <c r="F511" t="s">
        <v>680</v>
      </c>
      <c r="G511" t="s">
        <v>703</v>
      </c>
      <c r="H511" t="s">
        <v>710</v>
      </c>
      <c r="I511" t="s">
        <v>712</v>
      </c>
      <c r="J511" t="s">
        <v>732</v>
      </c>
      <c r="K511" t="s">
        <v>1243</v>
      </c>
      <c r="L511" s="6">
        <v>622.6</v>
      </c>
      <c r="M511" s="6">
        <v>833.69</v>
      </c>
      <c r="N511" s="8">
        <v>0.20899999999999999</v>
      </c>
      <c r="O511" s="6">
        <v>14</v>
      </c>
      <c r="P511" s="7" t="str">
        <f t="shared" si="57"/>
        <v>Delhi</v>
      </c>
      <c r="Q511" s="7" t="str">
        <f t="shared" si="58"/>
        <v>C. Otieno</v>
      </c>
      <c r="R511" s="7" t="str">
        <f t="shared" si="59"/>
        <v>Distributor</v>
      </c>
      <c r="S511" t="str">
        <f t="shared" si="64"/>
        <v>OK</v>
      </c>
      <c r="T511" s="8" t="str">
        <f t="shared" si="60"/>
        <v>OK</v>
      </c>
      <c r="U511" t="str">
        <f t="shared" si="61"/>
        <v>OK</v>
      </c>
      <c r="V511">
        <f t="shared" si="62"/>
        <v>4</v>
      </c>
      <c r="W511" s="4">
        <f t="shared" si="63"/>
        <v>45060</v>
      </c>
    </row>
    <row r="512" spans="1:23" hidden="1" x14ac:dyDescent="0.25">
      <c r="A512" t="s">
        <v>525</v>
      </c>
      <c r="B512" s="4">
        <v>45353</v>
      </c>
      <c r="C512" s="4">
        <v>45374</v>
      </c>
      <c r="D512" t="s">
        <v>648</v>
      </c>
      <c r="E512" t="s">
        <v>660</v>
      </c>
      <c r="F512" t="s">
        <v>677</v>
      </c>
      <c r="G512" t="s">
        <v>705</v>
      </c>
      <c r="H512" t="s">
        <v>708</v>
      </c>
      <c r="I512" t="s">
        <v>721</v>
      </c>
      <c r="J512" t="s">
        <v>727</v>
      </c>
      <c r="K512" t="s">
        <v>1244</v>
      </c>
      <c r="L512" s="6">
        <v>225.01</v>
      </c>
      <c r="M512" s="6">
        <v>333.48</v>
      </c>
      <c r="N512" s="8">
        <v>0.11899999999999999</v>
      </c>
      <c r="O512" s="6">
        <v>12</v>
      </c>
      <c r="P512" s="7" t="str">
        <f t="shared" si="57"/>
        <v>Chicago</v>
      </c>
      <c r="Q512" s="7" t="str">
        <f t="shared" si="58"/>
        <v>F. Müller</v>
      </c>
      <c r="R512" s="7" t="str">
        <f t="shared" si="59"/>
        <v>Online</v>
      </c>
      <c r="S512" t="str">
        <f t="shared" si="64"/>
        <v>OK</v>
      </c>
      <c r="T512" s="8" t="str">
        <f t="shared" si="60"/>
        <v>OK</v>
      </c>
      <c r="U512" t="str">
        <f t="shared" si="61"/>
        <v>OK</v>
      </c>
      <c r="V512">
        <f t="shared" si="62"/>
        <v>21</v>
      </c>
      <c r="W512" s="4">
        <f t="shared" si="63"/>
        <v>45374</v>
      </c>
    </row>
    <row r="513" spans="1:23" hidden="1" x14ac:dyDescent="0.25">
      <c r="A513" t="s">
        <v>526</v>
      </c>
      <c r="B513" s="4">
        <v>45575</v>
      </c>
      <c r="C513" s="4">
        <v>45576</v>
      </c>
      <c r="D513" t="s">
        <v>649</v>
      </c>
      <c r="E513" t="s">
        <v>658</v>
      </c>
      <c r="F513" t="s">
        <v>693</v>
      </c>
      <c r="G513" t="s">
        <v>703</v>
      </c>
      <c r="H513" t="s">
        <v>710</v>
      </c>
      <c r="I513" t="s">
        <v>716</v>
      </c>
      <c r="J513" t="s">
        <v>727</v>
      </c>
      <c r="K513" t="s">
        <v>1245</v>
      </c>
      <c r="L513" s="6">
        <v>1389.46</v>
      </c>
      <c r="M513" s="6">
        <v>1784.7</v>
      </c>
      <c r="N513" s="8">
        <v>0.14599999999999999</v>
      </c>
      <c r="O513" s="6">
        <v>33</v>
      </c>
      <c r="P513" s="7" t="str">
        <f t="shared" si="57"/>
        <v>Manchester</v>
      </c>
      <c r="Q513" s="7" t="str">
        <f t="shared" si="58"/>
        <v>L. Okafor</v>
      </c>
      <c r="R513" s="7" t="str">
        <f t="shared" si="59"/>
        <v>Distributor</v>
      </c>
      <c r="S513" t="str">
        <f t="shared" si="64"/>
        <v>OK</v>
      </c>
      <c r="T513" s="8" t="str">
        <f t="shared" si="60"/>
        <v>OK</v>
      </c>
      <c r="U513" t="str">
        <f t="shared" si="61"/>
        <v>OK</v>
      </c>
      <c r="V513">
        <f t="shared" si="62"/>
        <v>1</v>
      </c>
      <c r="W513" s="4">
        <f t="shared" si="63"/>
        <v>45576</v>
      </c>
    </row>
    <row r="514" spans="1:23" hidden="1" x14ac:dyDescent="0.25">
      <c r="A514" t="s">
        <v>527</v>
      </c>
      <c r="B514" s="4">
        <v>45078</v>
      </c>
      <c r="C514" s="4">
        <v>45085</v>
      </c>
      <c r="D514" t="s">
        <v>649</v>
      </c>
      <c r="E514" t="s">
        <v>656</v>
      </c>
      <c r="F514" t="s">
        <v>698</v>
      </c>
      <c r="G514" t="s">
        <v>704</v>
      </c>
      <c r="H514" t="s">
        <v>708</v>
      </c>
      <c r="I514" t="s">
        <v>720</v>
      </c>
      <c r="J514" t="s">
        <v>730</v>
      </c>
      <c r="K514" t="s">
        <v>1246</v>
      </c>
      <c r="L514" s="6">
        <v>804.17</v>
      </c>
      <c r="M514" s="6">
        <v>1072.29</v>
      </c>
      <c r="N514" s="8">
        <v>3.2000000000000001E-2</v>
      </c>
      <c r="O514" s="6">
        <v>5</v>
      </c>
      <c r="P514" s="7" t="str">
        <f t="shared" si="57"/>
        <v>Frankfurt</v>
      </c>
      <c r="Q514" s="7" t="str">
        <f t="shared" si="58"/>
        <v>A. Patel</v>
      </c>
      <c r="R514" s="7" t="str">
        <f t="shared" si="59"/>
        <v>Online</v>
      </c>
      <c r="S514" t="str">
        <f t="shared" si="64"/>
        <v>OK</v>
      </c>
      <c r="T514" s="8" t="str">
        <f t="shared" si="60"/>
        <v>OK</v>
      </c>
      <c r="U514" t="str">
        <f t="shared" si="61"/>
        <v>OK</v>
      </c>
      <c r="V514">
        <f t="shared" si="62"/>
        <v>7</v>
      </c>
      <c r="W514" s="4">
        <f t="shared" si="63"/>
        <v>45085</v>
      </c>
    </row>
    <row r="515" spans="1:23" hidden="1" x14ac:dyDescent="0.25">
      <c r="A515" t="s">
        <v>528</v>
      </c>
      <c r="B515" s="4">
        <v>45661</v>
      </c>
      <c r="C515" s="4">
        <v>45662</v>
      </c>
      <c r="D515" t="s">
        <v>647</v>
      </c>
      <c r="E515" t="s">
        <v>654</v>
      </c>
      <c r="F515" t="s">
        <v>680</v>
      </c>
      <c r="G515" t="s">
        <v>702</v>
      </c>
      <c r="H515" t="s">
        <v>707</v>
      </c>
      <c r="I515" t="s">
        <v>714</v>
      </c>
      <c r="J515" t="s">
        <v>727</v>
      </c>
      <c r="K515" t="s">
        <v>1247</v>
      </c>
      <c r="L515" s="6">
        <v>1428.33</v>
      </c>
      <c r="M515" s="6">
        <v>3028.05</v>
      </c>
      <c r="N515" s="8">
        <v>0</v>
      </c>
      <c r="O515" s="6">
        <v>11</v>
      </c>
      <c r="P515" s="7" t="str">
        <f t="shared" ref="P515:P578" si="65">IF(OR(F515=" ", ISBLANK(F515)), "Unknown", F515)</f>
        <v>Delhi</v>
      </c>
      <c r="Q515" s="7" t="str">
        <f t="shared" ref="Q515:Q578" si="66">IF(OR(I515=" ", ISBLANK(I515)), "Unassigned", I515)</f>
        <v>I. Johnson</v>
      </c>
      <c r="R515" s="7" t="str">
        <f t="shared" ref="R515:R578" si="67">IF(OR(H515=" ", ISBLANK(H515)), "Unspecified", H515)</f>
        <v>Retail</v>
      </c>
      <c r="S515" t="str">
        <f t="shared" si="64"/>
        <v>OK</v>
      </c>
      <c r="T515" s="8" t="str">
        <f t="shared" ref="T515:T578" si="68">IFERROR(IF(N515&gt;0.3, "Cap at 30%", "OK"), "Error")</f>
        <v>OK</v>
      </c>
      <c r="U515" t="str">
        <f t="shared" ref="U515:U578" si="69">IFERROR(IF(C515&lt;B515,"Correct", "OK"), "Error")</f>
        <v>OK</v>
      </c>
      <c r="V515">
        <f t="shared" ref="V515:V578" si="70">_xlfn.DAYS(C515,B515)</f>
        <v>1</v>
      </c>
      <c r="W515" s="4">
        <f t="shared" si="63"/>
        <v>45662</v>
      </c>
    </row>
    <row r="516" spans="1:23" hidden="1" x14ac:dyDescent="0.25">
      <c r="A516" t="s">
        <v>529</v>
      </c>
      <c r="B516" s="4">
        <v>45874</v>
      </c>
      <c r="C516" s="4">
        <v>45897</v>
      </c>
      <c r="D516" t="s">
        <v>647</v>
      </c>
      <c r="E516" t="s">
        <v>654</v>
      </c>
      <c r="F516" t="s">
        <v>691</v>
      </c>
      <c r="G516" t="s">
        <v>703</v>
      </c>
      <c r="H516" t="s">
        <v>710</v>
      </c>
      <c r="I516" t="s">
        <v>725</v>
      </c>
      <c r="J516" t="s">
        <v>731</v>
      </c>
      <c r="K516" t="s">
        <v>1248</v>
      </c>
      <c r="L516" s="6">
        <v>638.54</v>
      </c>
      <c r="M516" s="6">
        <v>987.24</v>
      </c>
      <c r="N516" s="8">
        <v>0</v>
      </c>
      <c r="O516" s="6">
        <v>11</v>
      </c>
      <c r="P516" s="7" t="str">
        <f t="shared" si="65"/>
        <v>Mumbai</v>
      </c>
      <c r="Q516" s="7" t="str">
        <f t="shared" si="66"/>
        <v>N. Brown</v>
      </c>
      <c r="R516" s="7" t="str">
        <f t="shared" si="67"/>
        <v>Distributor</v>
      </c>
      <c r="S516" t="str">
        <f t="shared" si="64"/>
        <v>OK</v>
      </c>
      <c r="T516" s="8" t="str">
        <f t="shared" si="68"/>
        <v>OK</v>
      </c>
      <c r="U516" t="str">
        <f t="shared" si="69"/>
        <v>OK</v>
      </c>
      <c r="V516">
        <f t="shared" si="70"/>
        <v>23</v>
      </c>
      <c r="W516" s="4">
        <f t="shared" ref="W516:W579" si="71">IFERROR(IF(C516&lt;B516, B516+15, C516), "Error")</f>
        <v>45897</v>
      </c>
    </row>
    <row r="517" spans="1:23" hidden="1" x14ac:dyDescent="0.25">
      <c r="A517" t="s">
        <v>530</v>
      </c>
      <c r="B517" s="4">
        <v>45199</v>
      </c>
      <c r="C517" s="4">
        <v>45229</v>
      </c>
      <c r="D517" t="s">
        <v>647</v>
      </c>
      <c r="E517" t="s">
        <v>652</v>
      </c>
      <c r="F517" t="s">
        <v>689</v>
      </c>
      <c r="G517" t="s">
        <v>706</v>
      </c>
      <c r="H517" t="s">
        <v>708</v>
      </c>
      <c r="I517" t="s">
        <v>726</v>
      </c>
      <c r="J517" t="s">
        <v>728</v>
      </c>
      <c r="K517" t="s">
        <v>1249</v>
      </c>
      <c r="L517" s="6">
        <v>649.13</v>
      </c>
      <c r="M517" s="6">
        <v>975.43</v>
      </c>
      <c r="N517" s="8">
        <v>0.157</v>
      </c>
      <c r="O517" s="6">
        <v>27</v>
      </c>
      <c r="P517" s="7" t="str">
        <f t="shared" si="65"/>
        <v>Tokyo</v>
      </c>
      <c r="Q517" s="7" t="str">
        <f t="shared" si="66"/>
        <v>D. Smith</v>
      </c>
      <c r="R517" s="7" t="str">
        <f t="shared" si="67"/>
        <v>Online</v>
      </c>
      <c r="S517" t="str">
        <f t="shared" si="64"/>
        <v>OK</v>
      </c>
      <c r="T517" s="8" t="str">
        <f t="shared" si="68"/>
        <v>OK</v>
      </c>
      <c r="U517" t="str">
        <f t="shared" si="69"/>
        <v>OK</v>
      </c>
      <c r="V517">
        <f t="shared" si="70"/>
        <v>30</v>
      </c>
      <c r="W517" s="4">
        <f t="shared" si="71"/>
        <v>45229</v>
      </c>
    </row>
    <row r="518" spans="1:23" hidden="1" x14ac:dyDescent="0.25">
      <c r="A518" t="s">
        <v>531</v>
      </c>
      <c r="B518" s="4">
        <v>45794</v>
      </c>
      <c r="C518" s="4">
        <v>45807</v>
      </c>
      <c r="D518" t="s">
        <v>646</v>
      </c>
      <c r="E518" t="s">
        <v>651</v>
      </c>
      <c r="F518" t="s">
        <v>665</v>
      </c>
      <c r="G518" t="s">
        <v>704</v>
      </c>
      <c r="H518" t="s">
        <v>710</v>
      </c>
      <c r="I518" t="s">
        <v>721</v>
      </c>
      <c r="J518" t="s">
        <v>733</v>
      </c>
      <c r="K518" t="s">
        <v>1250</v>
      </c>
      <c r="L518" s="6">
        <v>66.400000000000006</v>
      </c>
      <c r="M518" s="6">
        <v>141.43</v>
      </c>
      <c r="N518" s="8">
        <v>0.107</v>
      </c>
      <c r="O518" s="6">
        <v>8</v>
      </c>
      <c r="P518" s="7" t="str">
        <f t="shared" si="65"/>
        <v>Lagos</v>
      </c>
      <c r="Q518" s="7" t="str">
        <f t="shared" si="66"/>
        <v>F. Müller</v>
      </c>
      <c r="R518" s="7" t="str">
        <f t="shared" si="67"/>
        <v>Distributor</v>
      </c>
      <c r="S518" t="str">
        <f t="shared" ref="S518:S581" si="72">IFERROR(IF(M518&lt;0,"Correct (Negative Price)","OK"),"Error")</f>
        <v>OK</v>
      </c>
      <c r="T518" s="8" t="str">
        <f t="shared" si="68"/>
        <v>OK</v>
      </c>
      <c r="U518" t="str">
        <f t="shared" si="69"/>
        <v>OK</v>
      </c>
      <c r="V518">
        <f t="shared" si="70"/>
        <v>13</v>
      </c>
      <c r="W518" s="4">
        <f t="shared" si="71"/>
        <v>45807</v>
      </c>
    </row>
    <row r="519" spans="1:23" hidden="1" x14ac:dyDescent="0.25">
      <c r="A519" t="s">
        <v>532</v>
      </c>
      <c r="B519" s="4">
        <v>45413</v>
      </c>
      <c r="C519" s="4">
        <v>45438</v>
      </c>
      <c r="D519" t="s">
        <v>649</v>
      </c>
      <c r="E519" t="s">
        <v>656</v>
      </c>
      <c r="F519" t="s">
        <v>671</v>
      </c>
      <c r="G519" t="s">
        <v>703</v>
      </c>
      <c r="H519" t="s">
        <v>707</v>
      </c>
      <c r="I519" t="s">
        <v>717</v>
      </c>
      <c r="J519" t="s">
        <v>729</v>
      </c>
      <c r="K519" t="s">
        <v>1251</v>
      </c>
      <c r="L519" s="6">
        <v>930.71</v>
      </c>
      <c r="M519" s="6">
        <v>1625.42</v>
      </c>
      <c r="N519" s="8">
        <v>0.13800000000000001</v>
      </c>
      <c r="O519" s="6">
        <v>7</v>
      </c>
      <c r="P519" s="7" t="str">
        <f t="shared" si="65"/>
        <v>Berlin</v>
      </c>
      <c r="Q519" s="7" t="str">
        <f t="shared" si="66"/>
        <v>B. Chen</v>
      </c>
      <c r="R519" s="7" t="str">
        <f t="shared" si="67"/>
        <v>Retail</v>
      </c>
      <c r="S519" t="str">
        <f t="shared" si="72"/>
        <v>OK</v>
      </c>
      <c r="T519" s="8" t="str">
        <f t="shared" si="68"/>
        <v>OK</v>
      </c>
      <c r="U519" t="str">
        <f t="shared" si="69"/>
        <v>OK</v>
      </c>
      <c r="V519">
        <f t="shared" si="70"/>
        <v>25</v>
      </c>
      <c r="W519" s="4">
        <f t="shared" si="71"/>
        <v>45438</v>
      </c>
    </row>
    <row r="520" spans="1:23" hidden="1" x14ac:dyDescent="0.25">
      <c r="A520" t="s">
        <v>533</v>
      </c>
      <c r="B520" s="4">
        <v>45047</v>
      </c>
      <c r="C520" s="4">
        <v>45064</v>
      </c>
      <c r="D520" t="s">
        <v>646</v>
      </c>
      <c r="E520" t="s">
        <v>651</v>
      </c>
      <c r="F520" t="s">
        <v>663</v>
      </c>
      <c r="G520" t="s">
        <v>701</v>
      </c>
      <c r="H520" t="s">
        <v>711</v>
      </c>
      <c r="I520" t="s">
        <v>721</v>
      </c>
      <c r="J520" t="s">
        <v>727</v>
      </c>
      <c r="K520" t="s">
        <v>1252</v>
      </c>
      <c r="L520" s="6">
        <v>327.97</v>
      </c>
      <c r="M520" s="6">
        <v>299.94</v>
      </c>
      <c r="N520" s="8">
        <v>4.9000000000000002E-2</v>
      </c>
      <c r="O520" s="6">
        <v>3</v>
      </c>
      <c r="P520" s="7" t="str">
        <f t="shared" si="65"/>
        <v>Port Harcourt</v>
      </c>
      <c r="Q520" s="7" t="str">
        <f t="shared" si="66"/>
        <v>F. Müller</v>
      </c>
      <c r="R520" s="7" t="str">
        <f t="shared" si="67"/>
        <v>Direct</v>
      </c>
      <c r="S520" t="str">
        <f t="shared" si="72"/>
        <v>OK</v>
      </c>
      <c r="T520" s="8" t="str">
        <f t="shared" si="68"/>
        <v>OK</v>
      </c>
      <c r="U520" t="str">
        <f t="shared" si="69"/>
        <v>OK</v>
      </c>
      <c r="V520">
        <f t="shared" si="70"/>
        <v>17</v>
      </c>
      <c r="W520" s="4">
        <f t="shared" si="71"/>
        <v>45064</v>
      </c>
    </row>
    <row r="521" spans="1:23" hidden="1" x14ac:dyDescent="0.25">
      <c r="A521" t="s">
        <v>534</v>
      </c>
      <c r="B521" s="4">
        <v>45482</v>
      </c>
      <c r="C521" s="4">
        <v>45512</v>
      </c>
      <c r="D521" t="s">
        <v>649</v>
      </c>
      <c r="E521" t="s">
        <v>657</v>
      </c>
      <c r="F521" t="s">
        <v>673</v>
      </c>
      <c r="G521" t="s">
        <v>701</v>
      </c>
      <c r="H521" t="s">
        <v>711</v>
      </c>
      <c r="I521" t="s">
        <v>713</v>
      </c>
      <c r="J521" t="s">
        <v>727</v>
      </c>
      <c r="K521" t="s">
        <v>1253</v>
      </c>
      <c r="L521" s="6">
        <v>1062.3800000000001</v>
      </c>
      <c r="M521" s="6">
        <v>1503.96</v>
      </c>
      <c r="N521" s="8">
        <v>0.18</v>
      </c>
      <c r="O521" s="6">
        <v>6</v>
      </c>
      <c r="P521" s="7" t="str">
        <f t="shared" si="65"/>
        <v>Marseille</v>
      </c>
      <c r="Q521" s="7" t="str">
        <f t="shared" si="66"/>
        <v>J. Njeri</v>
      </c>
      <c r="R521" s="7" t="str">
        <f t="shared" si="67"/>
        <v>Direct</v>
      </c>
      <c r="S521" t="str">
        <f t="shared" si="72"/>
        <v>OK</v>
      </c>
      <c r="T521" s="8" t="str">
        <f t="shared" si="68"/>
        <v>OK</v>
      </c>
      <c r="U521" t="str">
        <f t="shared" si="69"/>
        <v>OK</v>
      </c>
      <c r="V521">
        <f t="shared" si="70"/>
        <v>30</v>
      </c>
      <c r="W521" s="4">
        <f t="shared" si="71"/>
        <v>45512</v>
      </c>
    </row>
    <row r="522" spans="1:23" hidden="1" x14ac:dyDescent="0.25">
      <c r="A522" t="s">
        <v>535</v>
      </c>
      <c r="B522" s="4">
        <v>45056</v>
      </c>
      <c r="C522" s="4">
        <v>45073</v>
      </c>
      <c r="D522" t="s">
        <v>647</v>
      </c>
      <c r="E522" t="s">
        <v>654</v>
      </c>
      <c r="F522" t="s">
        <v>691</v>
      </c>
      <c r="G522" t="s">
        <v>704</v>
      </c>
      <c r="H522" t="s">
        <v>707</v>
      </c>
      <c r="I522" t="s">
        <v>724</v>
      </c>
      <c r="J522" t="s">
        <v>731</v>
      </c>
      <c r="K522" t="s">
        <v>1254</v>
      </c>
      <c r="L522" s="6">
        <v>1286.1600000000001</v>
      </c>
      <c r="M522" s="6">
        <v>3101.11</v>
      </c>
      <c r="N522" s="8">
        <v>0.1</v>
      </c>
      <c r="O522" s="6">
        <v>23</v>
      </c>
      <c r="P522" s="7" t="str">
        <f t="shared" si="65"/>
        <v>Mumbai</v>
      </c>
      <c r="Q522" s="7" t="str">
        <f t="shared" si="66"/>
        <v>M. Rossi</v>
      </c>
      <c r="R522" s="7" t="str">
        <f t="shared" si="67"/>
        <v>Retail</v>
      </c>
      <c r="S522" t="str">
        <f t="shared" si="72"/>
        <v>OK</v>
      </c>
      <c r="T522" s="8" t="str">
        <f t="shared" si="68"/>
        <v>OK</v>
      </c>
      <c r="U522" t="str">
        <f t="shared" si="69"/>
        <v>OK</v>
      </c>
      <c r="V522">
        <f t="shared" si="70"/>
        <v>17</v>
      </c>
      <c r="W522" s="4">
        <f t="shared" si="71"/>
        <v>45073</v>
      </c>
    </row>
    <row r="523" spans="1:23" hidden="1" x14ac:dyDescent="0.25">
      <c r="A523" t="s">
        <v>536</v>
      </c>
      <c r="B523" s="4">
        <v>45482</v>
      </c>
      <c r="C523" s="4">
        <v>45485</v>
      </c>
      <c r="D523" t="s">
        <v>647</v>
      </c>
      <c r="E523" t="s">
        <v>659</v>
      </c>
      <c r="F523" t="s">
        <v>685</v>
      </c>
      <c r="G523" t="s">
        <v>705</v>
      </c>
      <c r="H523" t="s">
        <v>707</v>
      </c>
      <c r="I523" t="s">
        <v>726</v>
      </c>
      <c r="J523" t="s">
        <v>733</v>
      </c>
      <c r="K523" t="s">
        <v>1255</v>
      </c>
      <c r="L523" s="6">
        <v>748.39</v>
      </c>
      <c r="M523" s="6">
        <v>979.42</v>
      </c>
      <c r="N523" s="8">
        <v>0</v>
      </c>
      <c r="O523" s="6">
        <v>23</v>
      </c>
      <c r="P523" s="7" t="str">
        <f t="shared" si="65"/>
        <v>Shanghai</v>
      </c>
      <c r="Q523" s="7" t="str">
        <f t="shared" si="66"/>
        <v>D. Smith</v>
      </c>
      <c r="R523" s="7" t="str">
        <f t="shared" si="67"/>
        <v>Retail</v>
      </c>
      <c r="S523" t="str">
        <f t="shared" si="72"/>
        <v>OK</v>
      </c>
      <c r="T523" s="8" t="str">
        <f t="shared" si="68"/>
        <v>OK</v>
      </c>
      <c r="U523" t="str">
        <f t="shared" si="69"/>
        <v>OK</v>
      </c>
      <c r="V523">
        <f t="shared" si="70"/>
        <v>3</v>
      </c>
      <c r="W523" s="4">
        <f t="shared" si="71"/>
        <v>45485</v>
      </c>
    </row>
    <row r="524" spans="1:23" hidden="1" x14ac:dyDescent="0.25">
      <c r="A524" t="s">
        <v>537</v>
      </c>
      <c r="B524" s="4">
        <v>45406</v>
      </c>
      <c r="C524" s="4">
        <v>45422</v>
      </c>
      <c r="D524" t="s">
        <v>646</v>
      </c>
      <c r="E524" t="s">
        <v>650</v>
      </c>
      <c r="F524" t="s">
        <v>662</v>
      </c>
      <c r="G524" t="s">
        <v>703</v>
      </c>
      <c r="H524" t="s">
        <v>708</v>
      </c>
      <c r="I524" t="s">
        <v>725</v>
      </c>
      <c r="J524" t="s">
        <v>732</v>
      </c>
      <c r="K524" t="s">
        <v>1256</v>
      </c>
      <c r="L524" s="6">
        <v>513.30999999999995</v>
      </c>
      <c r="M524" s="6">
        <v>1186.26</v>
      </c>
      <c r="N524" s="8">
        <v>9.4E-2</v>
      </c>
      <c r="O524" s="6">
        <v>15</v>
      </c>
      <c r="P524" s="7" t="str">
        <f t="shared" si="65"/>
        <v>Kisumu</v>
      </c>
      <c r="Q524" s="7" t="str">
        <f t="shared" si="66"/>
        <v>N. Brown</v>
      </c>
      <c r="R524" s="7" t="str">
        <f t="shared" si="67"/>
        <v>Online</v>
      </c>
      <c r="S524" t="str">
        <f t="shared" si="72"/>
        <v>OK</v>
      </c>
      <c r="T524" s="8" t="str">
        <f t="shared" si="68"/>
        <v>OK</v>
      </c>
      <c r="U524" t="str">
        <f t="shared" si="69"/>
        <v>OK</v>
      </c>
      <c r="V524">
        <f t="shared" si="70"/>
        <v>16</v>
      </c>
      <c r="W524" s="4">
        <f t="shared" si="71"/>
        <v>45422</v>
      </c>
    </row>
    <row r="525" spans="1:23" hidden="1" x14ac:dyDescent="0.25">
      <c r="A525" t="s">
        <v>538</v>
      </c>
      <c r="B525" s="4">
        <v>45304</v>
      </c>
      <c r="C525" s="4">
        <v>45306</v>
      </c>
      <c r="D525" t="s">
        <v>648</v>
      </c>
      <c r="E525" t="s">
        <v>660</v>
      </c>
      <c r="F525" t="s">
        <v>686</v>
      </c>
      <c r="G525" t="s">
        <v>703</v>
      </c>
      <c r="H525" t="s">
        <v>711</v>
      </c>
      <c r="I525" t="s">
        <v>718</v>
      </c>
      <c r="J525" t="s">
        <v>727</v>
      </c>
      <c r="K525" t="s">
        <v>1257</v>
      </c>
      <c r="L525" s="6">
        <v>1061.3699999999999</v>
      </c>
      <c r="M525" s="6">
        <v>1938.33</v>
      </c>
      <c r="N525" s="8">
        <v>0.17</v>
      </c>
      <c r="O525" s="6">
        <v>4</v>
      </c>
      <c r="P525" s="7" t="str">
        <f t="shared" si="65"/>
        <v>San Francisco</v>
      </c>
      <c r="Q525" s="7" t="str">
        <f t="shared" si="66"/>
        <v>E. Garcia</v>
      </c>
      <c r="R525" s="7" t="str">
        <f t="shared" si="67"/>
        <v>Direct</v>
      </c>
      <c r="S525" t="str">
        <f t="shared" si="72"/>
        <v>OK</v>
      </c>
      <c r="T525" s="8" t="str">
        <f t="shared" si="68"/>
        <v>OK</v>
      </c>
      <c r="U525" t="str">
        <f t="shared" si="69"/>
        <v>OK</v>
      </c>
      <c r="V525">
        <f t="shared" si="70"/>
        <v>2</v>
      </c>
      <c r="W525" s="4">
        <f t="shared" si="71"/>
        <v>45306</v>
      </c>
    </row>
    <row r="526" spans="1:23" hidden="1" x14ac:dyDescent="0.25">
      <c r="A526" t="s">
        <v>539</v>
      </c>
      <c r="B526" s="4">
        <v>45398</v>
      </c>
      <c r="C526" s="4">
        <v>45409</v>
      </c>
      <c r="D526" t="s">
        <v>646</v>
      </c>
      <c r="E526" t="s">
        <v>650</v>
      </c>
      <c r="F526" t="s">
        <v>678</v>
      </c>
      <c r="G526" t="s">
        <v>706</v>
      </c>
      <c r="H526" t="s">
        <v>708</v>
      </c>
      <c r="I526" t="s">
        <v>726</v>
      </c>
      <c r="J526" t="s">
        <v>728</v>
      </c>
      <c r="K526" t="s">
        <v>1258</v>
      </c>
      <c r="L526" s="6">
        <v>401.3</v>
      </c>
      <c r="M526" s="6">
        <v>826.47</v>
      </c>
      <c r="N526" s="8">
        <v>0.22500000000000001</v>
      </c>
      <c r="O526" s="6">
        <v>13</v>
      </c>
      <c r="P526" s="7" t="str">
        <f t="shared" si="65"/>
        <v>Nakuru</v>
      </c>
      <c r="Q526" s="7" t="str">
        <f t="shared" si="66"/>
        <v>D. Smith</v>
      </c>
      <c r="R526" s="7" t="str">
        <f t="shared" si="67"/>
        <v>Online</v>
      </c>
      <c r="S526" t="str">
        <f t="shared" si="72"/>
        <v>OK</v>
      </c>
      <c r="T526" s="8" t="str">
        <f t="shared" si="68"/>
        <v>OK</v>
      </c>
      <c r="U526" t="str">
        <f t="shared" si="69"/>
        <v>OK</v>
      </c>
      <c r="V526">
        <f t="shared" si="70"/>
        <v>11</v>
      </c>
      <c r="W526" s="4">
        <f t="shared" si="71"/>
        <v>45409</v>
      </c>
    </row>
    <row r="527" spans="1:23" hidden="1" x14ac:dyDescent="0.25">
      <c r="A527" t="s">
        <v>540</v>
      </c>
      <c r="B527" s="4">
        <v>45695</v>
      </c>
      <c r="C527" s="4">
        <v>45704</v>
      </c>
      <c r="D527" t="s">
        <v>646</v>
      </c>
      <c r="E527" t="s">
        <v>651</v>
      </c>
      <c r="F527" t="s">
        <v>665</v>
      </c>
      <c r="G527" t="s">
        <v>705</v>
      </c>
      <c r="H527" t="s">
        <v>710</v>
      </c>
      <c r="I527" t="s">
        <v>712</v>
      </c>
      <c r="J527" t="s">
        <v>728</v>
      </c>
      <c r="K527" t="s">
        <v>1259</v>
      </c>
      <c r="L527" s="6">
        <v>90.68</v>
      </c>
      <c r="M527" s="6">
        <v>118.17</v>
      </c>
      <c r="N527" s="8">
        <v>0.13500000000000001</v>
      </c>
      <c r="O527" s="6">
        <v>21</v>
      </c>
      <c r="P527" s="7" t="str">
        <f t="shared" si="65"/>
        <v>Lagos</v>
      </c>
      <c r="Q527" s="7" t="str">
        <f t="shared" si="66"/>
        <v>C. Otieno</v>
      </c>
      <c r="R527" s="7" t="str">
        <f t="shared" si="67"/>
        <v>Distributor</v>
      </c>
      <c r="S527" t="str">
        <f t="shared" si="72"/>
        <v>OK</v>
      </c>
      <c r="T527" s="8" t="str">
        <f t="shared" si="68"/>
        <v>OK</v>
      </c>
      <c r="U527" t="str">
        <f t="shared" si="69"/>
        <v>OK</v>
      </c>
      <c r="V527">
        <f t="shared" si="70"/>
        <v>9</v>
      </c>
      <c r="W527" s="4">
        <f t="shared" si="71"/>
        <v>45704</v>
      </c>
    </row>
    <row r="528" spans="1:23" hidden="1" x14ac:dyDescent="0.25">
      <c r="A528" t="s">
        <v>541</v>
      </c>
      <c r="B528" s="4">
        <v>44938</v>
      </c>
      <c r="C528" s="4">
        <v>44952</v>
      </c>
      <c r="D528" t="s">
        <v>647</v>
      </c>
      <c r="E528" t="s">
        <v>659</v>
      </c>
      <c r="F528" t="s">
        <v>676</v>
      </c>
      <c r="G528" t="s">
        <v>703</v>
      </c>
      <c r="H528" t="s">
        <v>707</v>
      </c>
      <c r="I528" t="s">
        <v>724</v>
      </c>
      <c r="J528" t="s">
        <v>728</v>
      </c>
      <c r="K528" t="s">
        <v>1260</v>
      </c>
      <c r="L528" s="6">
        <v>1083.0899999999999</v>
      </c>
      <c r="M528" s="6">
        <v>1425.87</v>
      </c>
      <c r="N528" s="8">
        <v>0</v>
      </c>
      <c r="O528" s="6">
        <v>8</v>
      </c>
      <c r="P528" s="7" t="str">
        <f t="shared" si="65"/>
        <v>Shenzhen</v>
      </c>
      <c r="Q528" s="7" t="str">
        <f t="shared" si="66"/>
        <v>M. Rossi</v>
      </c>
      <c r="R528" s="7" t="str">
        <f t="shared" si="67"/>
        <v>Retail</v>
      </c>
      <c r="S528" t="str">
        <f t="shared" si="72"/>
        <v>OK</v>
      </c>
      <c r="T528" s="8" t="str">
        <f t="shared" si="68"/>
        <v>OK</v>
      </c>
      <c r="U528" t="str">
        <f t="shared" si="69"/>
        <v>OK</v>
      </c>
      <c r="V528">
        <f t="shared" si="70"/>
        <v>14</v>
      </c>
      <c r="W528" s="4">
        <f t="shared" si="71"/>
        <v>44952</v>
      </c>
    </row>
    <row r="529" spans="1:23" hidden="1" x14ac:dyDescent="0.25">
      <c r="A529" t="s">
        <v>542</v>
      </c>
      <c r="B529" s="4">
        <v>45448</v>
      </c>
      <c r="C529" s="4">
        <v>45466</v>
      </c>
      <c r="D529" t="s">
        <v>646</v>
      </c>
      <c r="E529" t="s">
        <v>650</v>
      </c>
      <c r="F529" t="s">
        <v>664</v>
      </c>
      <c r="G529" t="s">
        <v>704</v>
      </c>
      <c r="H529" t="s">
        <v>710</v>
      </c>
      <c r="I529" t="s">
        <v>726</v>
      </c>
      <c r="J529" t="s">
        <v>731</v>
      </c>
      <c r="K529" t="s">
        <v>1261</v>
      </c>
      <c r="L529" s="6">
        <v>1208.74</v>
      </c>
      <c r="M529" s="6">
        <v>1594.78</v>
      </c>
      <c r="N529" s="8">
        <v>5.8999999999999997E-2</v>
      </c>
      <c r="O529" s="6">
        <v>39</v>
      </c>
      <c r="P529" s="7" t="str">
        <f t="shared" si="65"/>
        <v>Nairobi</v>
      </c>
      <c r="Q529" s="7" t="str">
        <f t="shared" si="66"/>
        <v>D. Smith</v>
      </c>
      <c r="R529" s="7" t="str">
        <f t="shared" si="67"/>
        <v>Distributor</v>
      </c>
      <c r="S529" t="str">
        <f t="shared" si="72"/>
        <v>OK</v>
      </c>
      <c r="T529" s="8" t="str">
        <f t="shared" si="68"/>
        <v>OK</v>
      </c>
      <c r="U529" t="str">
        <f t="shared" si="69"/>
        <v>OK</v>
      </c>
      <c r="V529">
        <f t="shared" si="70"/>
        <v>18</v>
      </c>
      <c r="W529" s="4">
        <f t="shared" si="71"/>
        <v>45466</v>
      </c>
    </row>
    <row r="530" spans="1:23" hidden="1" x14ac:dyDescent="0.25">
      <c r="A530" t="s">
        <v>543</v>
      </c>
      <c r="B530" s="4">
        <v>45162</v>
      </c>
      <c r="C530" s="4">
        <v>45189</v>
      </c>
      <c r="D530" t="s">
        <v>646</v>
      </c>
      <c r="E530" t="s">
        <v>661</v>
      </c>
      <c r="F530" t="s">
        <v>687</v>
      </c>
      <c r="G530" t="s">
        <v>705</v>
      </c>
      <c r="H530" t="s">
        <v>709</v>
      </c>
      <c r="I530" t="s">
        <v>724</v>
      </c>
      <c r="J530" t="s">
        <v>728</v>
      </c>
      <c r="K530" t="s">
        <v>1262</v>
      </c>
      <c r="L530" s="6">
        <v>1399.64</v>
      </c>
      <c r="M530" s="6">
        <v>3342.11</v>
      </c>
      <c r="N530" s="8">
        <v>0</v>
      </c>
      <c r="O530" s="6">
        <v>10</v>
      </c>
      <c r="P530" s="7" t="str">
        <f t="shared" si="65"/>
        <v>Durban</v>
      </c>
      <c r="Q530" s="7" t="str">
        <f t="shared" si="66"/>
        <v>M. Rossi</v>
      </c>
      <c r="R530" s="7" t="str">
        <f t="shared" si="67"/>
        <v>Marketplace</v>
      </c>
      <c r="S530" t="str">
        <f t="shared" si="72"/>
        <v>OK</v>
      </c>
      <c r="T530" s="8" t="str">
        <f t="shared" si="68"/>
        <v>OK</v>
      </c>
      <c r="U530" t="str">
        <f t="shared" si="69"/>
        <v>OK</v>
      </c>
      <c r="V530">
        <f t="shared" si="70"/>
        <v>27</v>
      </c>
      <c r="W530" s="4">
        <f t="shared" si="71"/>
        <v>45189</v>
      </c>
    </row>
    <row r="531" spans="1:23" hidden="1" x14ac:dyDescent="0.25">
      <c r="A531" t="s">
        <v>544</v>
      </c>
      <c r="B531" s="4">
        <v>45316</v>
      </c>
      <c r="C531" s="4">
        <v>45330</v>
      </c>
      <c r="D531" t="s">
        <v>647</v>
      </c>
      <c r="E531" t="s">
        <v>652</v>
      </c>
      <c r="F531" t="s">
        <v>666</v>
      </c>
      <c r="G531" t="s">
        <v>704</v>
      </c>
      <c r="H531" t="s">
        <v>709</v>
      </c>
      <c r="I531" t="s">
        <v>714</v>
      </c>
      <c r="J531" t="s">
        <v>729</v>
      </c>
      <c r="K531" t="s">
        <v>1263</v>
      </c>
      <c r="L531" s="6">
        <v>937.16</v>
      </c>
      <c r="M531" s="6">
        <v>1069.77</v>
      </c>
      <c r="N531" s="8">
        <v>3.7999999999999999E-2</v>
      </c>
      <c r="O531" s="6">
        <v>9</v>
      </c>
      <c r="P531" s="7" t="str">
        <f t="shared" si="65"/>
        <v>Osaka</v>
      </c>
      <c r="Q531" s="7" t="str">
        <f t="shared" si="66"/>
        <v>I. Johnson</v>
      </c>
      <c r="R531" s="7" t="str">
        <f t="shared" si="67"/>
        <v>Marketplace</v>
      </c>
      <c r="S531" t="str">
        <f t="shared" si="72"/>
        <v>OK</v>
      </c>
      <c r="T531" s="8" t="str">
        <f t="shared" si="68"/>
        <v>OK</v>
      </c>
      <c r="U531" t="str">
        <f t="shared" si="69"/>
        <v>OK</v>
      </c>
      <c r="V531">
        <f t="shared" si="70"/>
        <v>14</v>
      </c>
      <c r="W531" s="4">
        <f t="shared" si="71"/>
        <v>45330</v>
      </c>
    </row>
    <row r="532" spans="1:23" hidden="1" x14ac:dyDescent="0.25">
      <c r="A532" t="s">
        <v>545</v>
      </c>
      <c r="B532" s="4">
        <v>45727</v>
      </c>
      <c r="C532" s="4">
        <v>45742</v>
      </c>
      <c r="D532" t="s">
        <v>649</v>
      </c>
      <c r="E532" t="s">
        <v>656</v>
      </c>
      <c r="F532" t="s">
        <v>671</v>
      </c>
      <c r="G532" t="s">
        <v>705</v>
      </c>
      <c r="H532" t="s">
        <v>708</v>
      </c>
      <c r="I532" t="s">
        <v>714</v>
      </c>
      <c r="J532" t="s">
        <v>730</v>
      </c>
      <c r="K532" t="s">
        <v>1264</v>
      </c>
      <c r="L532" s="6">
        <v>116.97</v>
      </c>
      <c r="M532" s="6">
        <v>140.82</v>
      </c>
      <c r="N532" s="8">
        <v>0.122</v>
      </c>
      <c r="O532" s="6">
        <v>5</v>
      </c>
      <c r="P532" s="7" t="str">
        <f t="shared" si="65"/>
        <v>Berlin</v>
      </c>
      <c r="Q532" s="7" t="str">
        <f t="shared" si="66"/>
        <v>I. Johnson</v>
      </c>
      <c r="R532" s="7" t="str">
        <f t="shared" si="67"/>
        <v>Online</v>
      </c>
      <c r="S532" t="str">
        <f t="shared" si="72"/>
        <v>OK</v>
      </c>
      <c r="T532" s="8" t="str">
        <f t="shared" si="68"/>
        <v>OK</v>
      </c>
      <c r="U532" t="str">
        <f t="shared" si="69"/>
        <v>OK</v>
      </c>
      <c r="V532">
        <f t="shared" si="70"/>
        <v>15</v>
      </c>
      <c r="W532" s="4">
        <f t="shared" si="71"/>
        <v>45742</v>
      </c>
    </row>
    <row r="533" spans="1:23" hidden="1" x14ac:dyDescent="0.25">
      <c r="A533" t="s">
        <v>546</v>
      </c>
      <c r="B533" s="4">
        <v>45769</v>
      </c>
      <c r="C533" s="4">
        <v>45789</v>
      </c>
      <c r="D533" t="s">
        <v>649</v>
      </c>
      <c r="E533" t="s">
        <v>657</v>
      </c>
      <c r="F533" t="s">
        <v>679</v>
      </c>
      <c r="G533" t="s">
        <v>706</v>
      </c>
      <c r="H533" t="s">
        <v>709</v>
      </c>
      <c r="I533" t="s">
        <v>723</v>
      </c>
      <c r="J533" t="s">
        <v>732</v>
      </c>
      <c r="K533" t="s">
        <v>1265</v>
      </c>
      <c r="L533" s="6">
        <v>59.51</v>
      </c>
      <c r="M533" s="6">
        <v>67.040000000000006</v>
      </c>
      <c r="N533" s="8">
        <v>0.114</v>
      </c>
      <c r="O533" s="6">
        <v>9</v>
      </c>
      <c r="P533" s="7" t="str">
        <f t="shared" si="65"/>
        <v>Lyon</v>
      </c>
      <c r="Q533" s="7" t="str">
        <f t="shared" si="66"/>
        <v>K. Singh</v>
      </c>
      <c r="R533" s="7" t="str">
        <f t="shared" si="67"/>
        <v>Marketplace</v>
      </c>
      <c r="S533" t="str">
        <f t="shared" si="72"/>
        <v>OK</v>
      </c>
      <c r="T533" s="8" t="str">
        <f t="shared" si="68"/>
        <v>OK</v>
      </c>
      <c r="U533" t="str">
        <f t="shared" si="69"/>
        <v>OK</v>
      </c>
      <c r="V533">
        <f t="shared" si="70"/>
        <v>20</v>
      </c>
      <c r="W533" s="4">
        <f t="shared" si="71"/>
        <v>45789</v>
      </c>
    </row>
    <row r="534" spans="1:23" hidden="1" x14ac:dyDescent="0.25">
      <c r="A534" t="s">
        <v>547</v>
      </c>
      <c r="B534" s="4">
        <v>45155</v>
      </c>
      <c r="C534" s="4">
        <v>45172</v>
      </c>
      <c r="D534" t="s">
        <v>646</v>
      </c>
      <c r="E534" t="s">
        <v>661</v>
      </c>
      <c r="F534" t="s">
        <v>687</v>
      </c>
      <c r="G534" t="s">
        <v>706</v>
      </c>
      <c r="H534" t="s">
        <v>707</v>
      </c>
      <c r="I534" t="s">
        <v>720</v>
      </c>
      <c r="J534" t="s">
        <v>730</v>
      </c>
      <c r="K534" t="s">
        <v>1266</v>
      </c>
      <c r="L534" s="6">
        <v>676.37</v>
      </c>
      <c r="M534" s="6">
        <v>1276.67</v>
      </c>
      <c r="N534" s="8">
        <v>6.6000000000000003E-2</v>
      </c>
      <c r="O534" s="6">
        <v>10</v>
      </c>
      <c r="P534" s="7" t="str">
        <f t="shared" si="65"/>
        <v>Durban</v>
      </c>
      <c r="Q534" s="7" t="str">
        <f t="shared" si="66"/>
        <v>A. Patel</v>
      </c>
      <c r="R534" s="7" t="str">
        <f t="shared" si="67"/>
        <v>Retail</v>
      </c>
      <c r="S534" t="str">
        <f t="shared" si="72"/>
        <v>OK</v>
      </c>
      <c r="T534" s="8" t="str">
        <f t="shared" si="68"/>
        <v>OK</v>
      </c>
      <c r="U534" t="str">
        <f t="shared" si="69"/>
        <v>OK</v>
      </c>
      <c r="V534">
        <f t="shared" si="70"/>
        <v>17</v>
      </c>
      <c r="W534" s="4">
        <f t="shared" si="71"/>
        <v>45172</v>
      </c>
    </row>
    <row r="535" spans="1:23" hidden="1" x14ac:dyDescent="0.25">
      <c r="A535" t="s">
        <v>548</v>
      </c>
      <c r="B535" s="4">
        <v>45832</v>
      </c>
      <c r="C535" s="4">
        <v>45852</v>
      </c>
      <c r="D535" t="s">
        <v>646</v>
      </c>
      <c r="E535" t="s">
        <v>661</v>
      </c>
      <c r="F535" t="s">
        <v>682</v>
      </c>
      <c r="G535" t="s">
        <v>706</v>
      </c>
      <c r="H535" t="s">
        <v>709</v>
      </c>
      <c r="I535" t="s">
        <v>713</v>
      </c>
      <c r="J535" t="s">
        <v>731</v>
      </c>
      <c r="K535" t="s">
        <v>1267</v>
      </c>
      <c r="L535" s="6">
        <v>1151.06</v>
      </c>
      <c r="M535" s="6">
        <v>2821.36</v>
      </c>
      <c r="N535" s="8">
        <v>0.248</v>
      </c>
      <c r="O535" s="6">
        <v>20</v>
      </c>
      <c r="P535" s="7" t="str">
        <f t="shared" si="65"/>
        <v>Johannesburg</v>
      </c>
      <c r="Q535" s="7" t="str">
        <f t="shared" si="66"/>
        <v>J. Njeri</v>
      </c>
      <c r="R535" s="7" t="str">
        <f t="shared" si="67"/>
        <v>Marketplace</v>
      </c>
      <c r="S535" t="str">
        <f t="shared" si="72"/>
        <v>OK</v>
      </c>
      <c r="T535" s="8" t="str">
        <f t="shared" si="68"/>
        <v>OK</v>
      </c>
      <c r="U535" t="str">
        <f t="shared" si="69"/>
        <v>OK</v>
      </c>
      <c r="V535">
        <f t="shared" si="70"/>
        <v>20</v>
      </c>
      <c r="W535" s="4">
        <f t="shared" si="71"/>
        <v>45852</v>
      </c>
    </row>
    <row r="536" spans="1:23" hidden="1" x14ac:dyDescent="0.25">
      <c r="A536" t="s">
        <v>549</v>
      </c>
      <c r="B536" s="4">
        <v>45667</v>
      </c>
      <c r="C536" s="4">
        <v>45694</v>
      </c>
      <c r="D536" t="s">
        <v>648</v>
      </c>
      <c r="E536" t="s">
        <v>655</v>
      </c>
      <c r="F536" t="s">
        <v>672</v>
      </c>
      <c r="G536" t="s">
        <v>703</v>
      </c>
      <c r="H536" t="s">
        <v>707</v>
      </c>
      <c r="I536" t="s">
        <v>717</v>
      </c>
      <c r="J536" t="s">
        <v>731</v>
      </c>
      <c r="K536" t="s">
        <v>1268</v>
      </c>
      <c r="L536" s="6">
        <v>725.62</v>
      </c>
      <c r="M536" s="6">
        <v>1559.19</v>
      </c>
      <c r="N536" s="8">
        <v>0.19</v>
      </c>
      <c r="O536" s="6">
        <v>12</v>
      </c>
      <c r="P536" s="7" t="str">
        <f t="shared" si="65"/>
        <v>Brasília</v>
      </c>
      <c r="Q536" s="7" t="str">
        <f t="shared" si="66"/>
        <v>B. Chen</v>
      </c>
      <c r="R536" s="7" t="str">
        <f t="shared" si="67"/>
        <v>Retail</v>
      </c>
      <c r="S536" t="str">
        <f t="shared" si="72"/>
        <v>OK</v>
      </c>
      <c r="T536" s="8" t="str">
        <f t="shared" si="68"/>
        <v>OK</v>
      </c>
      <c r="U536" t="str">
        <f t="shared" si="69"/>
        <v>OK</v>
      </c>
      <c r="V536">
        <f t="shared" si="70"/>
        <v>27</v>
      </c>
      <c r="W536" s="4">
        <f t="shared" si="71"/>
        <v>45694</v>
      </c>
    </row>
    <row r="537" spans="1:23" hidden="1" x14ac:dyDescent="0.25">
      <c r="A537" t="s">
        <v>550</v>
      </c>
      <c r="B537" s="4">
        <v>45108</v>
      </c>
      <c r="C537" s="4">
        <v>45118</v>
      </c>
      <c r="D537" t="s">
        <v>649</v>
      </c>
      <c r="E537" t="s">
        <v>657</v>
      </c>
      <c r="F537" t="s">
        <v>690</v>
      </c>
      <c r="G537" t="s">
        <v>701</v>
      </c>
      <c r="H537" t="s">
        <v>711</v>
      </c>
      <c r="I537" t="s">
        <v>721</v>
      </c>
      <c r="J537" t="s">
        <v>729</v>
      </c>
      <c r="K537" t="s">
        <v>1269</v>
      </c>
      <c r="L537" s="6">
        <v>479.5</v>
      </c>
      <c r="M537" s="6">
        <v>656.66</v>
      </c>
      <c r="N537" s="8">
        <v>0.14899999999999999</v>
      </c>
      <c r="O537" s="6">
        <v>14</v>
      </c>
      <c r="P537" s="7" t="str">
        <f t="shared" si="65"/>
        <v>Paris</v>
      </c>
      <c r="Q537" s="7" t="str">
        <f t="shared" si="66"/>
        <v>F. Müller</v>
      </c>
      <c r="R537" s="7" t="str">
        <f t="shared" si="67"/>
        <v>Direct</v>
      </c>
      <c r="S537" t="str">
        <f t="shared" si="72"/>
        <v>OK</v>
      </c>
      <c r="T537" s="8" t="str">
        <f t="shared" si="68"/>
        <v>OK</v>
      </c>
      <c r="U537" t="str">
        <f t="shared" si="69"/>
        <v>OK</v>
      </c>
      <c r="V537">
        <f t="shared" si="70"/>
        <v>10</v>
      </c>
      <c r="W537" s="4">
        <f t="shared" si="71"/>
        <v>45118</v>
      </c>
    </row>
    <row r="538" spans="1:23" hidden="1" x14ac:dyDescent="0.25">
      <c r="A538" t="s">
        <v>551</v>
      </c>
      <c r="B538" s="4">
        <v>45520</v>
      </c>
      <c r="C538" s="4">
        <v>45530</v>
      </c>
      <c r="D538" t="s">
        <v>648</v>
      </c>
      <c r="E538" t="s">
        <v>660</v>
      </c>
      <c r="F538" t="s">
        <v>677</v>
      </c>
      <c r="G538" t="s">
        <v>701</v>
      </c>
      <c r="H538" t="s">
        <v>710</v>
      </c>
      <c r="I538" t="s">
        <v>716</v>
      </c>
      <c r="J538" t="s">
        <v>731</v>
      </c>
      <c r="K538" t="s">
        <v>1121</v>
      </c>
      <c r="L538" s="6">
        <v>1291.7</v>
      </c>
      <c r="M538" s="6">
        <v>2657.84</v>
      </c>
      <c r="N538" s="8">
        <v>8.6999999999999994E-2</v>
      </c>
      <c r="O538" s="6">
        <v>21</v>
      </c>
      <c r="P538" s="7" t="str">
        <f t="shared" si="65"/>
        <v>Chicago</v>
      </c>
      <c r="Q538" s="7" t="str">
        <f t="shared" si="66"/>
        <v>L. Okafor</v>
      </c>
      <c r="R538" s="7" t="str">
        <f t="shared" si="67"/>
        <v>Distributor</v>
      </c>
      <c r="S538" t="str">
        <f t="shared" si="72"/>
        <v>OK</v>
      </c>
      <c r="T538" s="8" t="str">
        <f t="shared" si="68"/>
        <v>OK</v>
      </c>
      <c r="U538" t="str">
        <f t="shared" si="69"/>
        <v>OK</v>
      </c>
      <c r="V538">
        <f t="shared" si="70"/>
        <v>10</v>
      </c>
      <c r="W538" s="4">
        <f t="shared" si="71"/>
        <v>45530</v>
      </c>
    </row>
    <row r="539" spans="1:23" hidden="1" x14ac:dyDescent="0.25">
      <c r="A539" t="s">
        <v>552</v>
      </c>
      <c r="B539" s="4">
        <v>45114</v>
      </c>
      <c r="C539" s="4">
        <v>45120</v>
      </c>
      <c r="D539" t="s">
        <v>646</v>
      </c>
      <c r="E539" t="s">
        <v>661</v>
      </c>
      <c r="F539" t="s">
        <v>695</v>
      </c>
      <c r="G539" t="s">
        <v>705</v>
      </c>
      <c r="H539" t="s">
        <v>709</v>
      </c>
      <c r="I539" t="s">
        <v>717</v>
      </c>
      <c r="J539" t="s">
        <v>733</v>
      </c>
      <c r="K539" t="s">
        <v>1270</v>
      </c>
      <c r="L539" s="6">
        <v>612.59</v>
      </c>
      <c r="M539" s="6">
        <v>1424.74</v>
      </c>
      <c r="N539" s="8">
        <v>4.3999999999999997E-2</v>
      </c>
      <c r="O539" s="6">
        <v>15</v>
      </c>
      <c r="P539" s="7" t="str">
        <f t="shared" si="65"/>
        <v>Cape Town</v>
      </c>
      <c r="Q539" s="7" t="str">
        <f t="shared" si="66"/>
        <v>B. Chen</v>
      </c>
      <c r="R539" s="7" t="str">
        <f t="shared" si="67"/>
        <v>Marketplace</v>
      </c>
      <c r="S539" t="str">
        <f t="shared" si="72"/>
        <v>OK</v>
      </c>
      <c r="T539" s="8" t="str">
        <f t="shared" si="68"/>
        <v>OK</v>
      </c>
      <c r="U539" t="str">
        <f t="shared" si="69"/>
        <v>OK</v>
      </c>
      <c r="V539">
        <f t="shared" si="70"/>
        <v>6</v>
      </c>
      <c r="W539" s="4">
        <f t="shared" si="71"/>
        <v>45120</v>
      </c>
    </row>
    <row r="540" spans="1:23" hidden="1" x14ac:dyDescent="0.25">
      <c r="A540" t="s">
        <v>553</v>
      </c>
      <c r="B540" s="4">
        <v>45288</v>
      </c>
      <c r="C540" s="4">
        <v>45292</v>
      </c>
      <c r="D540" t="s">
        <v>646</v>
      </c>
      <c r="E540" t="s">
        <v>661</v>
      </c>
      <c r="F540" t="s">
        <v>695</v>
      </c>
      <c r="G540" t="s">
        <v>702</v>
      </c>
      <c r="H540" t="s">
        <v>710</v>
      </c>
      <c r="I540" t="s">
        <v>720</v>
      </c>
      <c r="J540" t="s">
        <v>728</v>
      </c>
      <c r="K540" t="s">
        <v>1271</v>
      </c>
      <c r="L540" s="6">
        <v>1141.8</v>
      </c>
      <c r="M540" s="6">
        <v>2318.7399999999998</v>
      </c>
      <c r="N540" s="8">
        <v>0.107</v>
      </c>
      <c r="O540" s="6">
        <v>32</v>
      </c>
      <c r="P540" s="7" t="str">
        <f t="shared" si="65"/>
        <v>Cape Town</v>
      </c>
      <c r="Q540" s="7" t="str">
        <f t="shared" si="66"/>
        <v>A. Patel</v>
      </c>
      <c r="R540" s="7" t="str">
        <f t="shared" si="67"/>
        <v>Distributor</v>
      </c>
      <c r="S540" t="str">
        <f t="shared" si="72"/>
        <v>OK</v>
      </c>
      <c r="T540" s="8" t="str">
        <f t="shared" si="68"/>
        <v>OK</v>
      </c>
      <c r="U540" t="str">
        <f t="shared" si="69"/>
        <v>OK</v>
      </c>
      <c r="V540">
        <f t="shared" si="70"/>
        <v>4</v>
      </c>
      <c r="W540" s="4">
        <f t="shared" si="71"/>
        <v>45292</v>
      </c>
    </row>
    <row r="541" spans="1:23" hidden="1" x14ac:dyDescent="0.25">
      <c r="A541" t="s">
        <v>554</v>
      </c>
      <c r="B541" s="4">
        <v>44952</v>
      </c>
      <c r="C541" s="4">
        <v>44972</v>
      </c>
      <c r="D541" t="s">
        <v>649</v>
      </c>
      <c r="E541" t="s">
        <v>656</v>
      </c>
      <c r="F541" t="s">
        <v>671</v>
      </c>
      <c r="G541" t="s">
        <v>705</v>
      </c>
      <c r="H541" t="s">
        <v>708</v>
      </c>
      <c r="I541" t="s">
        <v>719</v>
      </c>
      <c r="J541" t="s">
        <v>729</v>
      </c>
      <c r="K541" t="s">
        <v>1272</v>
      </c>
      <c r="L541" s="6">
        <v>492.62</v>
      </c>
      <c r="M541" s="6">
        <v>366.7</v>
      </c>
      <c r="N541" s="8">
        <v>8.8999999999999996E-2</v>
      </c>
      <c r="O541" s="6">
        <v>10</v>
      </c>
      <c r="P541" s="7" t="str">
        <f t="shared" si="65"/>
        <v>Berlin</v>
      </c>
      <c r="Q541" s="7" t="str">
        <f t="shared" si="66"/>
        <v>O. Wang</v>
      </c>
      <c r="R541" s="7" t="str">
        <f t="shared" si="67"/>
        <v>Online</v>
      </c>
      <c r="S541" t="str">
        <f t="shared" si="72"/>
        <v>OK</v>
      </c>
      <c r="T541" s="8" t="str">
        <f t="shared" si="68"/>
        <v>OK</v>
      </c>
      <c r="U541" t="str">
        <f t="shared" si="69"/>
        <v>OK</v>
      </c>
      <c r="V541">
        <f t="shared" si="70"/>
        <v>20</v>
      </c>
      <c r="W541" s="4">
        <f t="shared" si="71"/>
        <v>44972</v>
      </c>
    </row>
    <row r="542" spans="1:23" hidden="1" x14ac:dyDescent="0.25">
      <c r="A542" t="s">
        <v>555</v>
      </c>
      <c r="B542" s="4">
        <v>45115</v>
      </c>
      <c r="C542" s="4">
        <v>45116</v>
      </c>
      <c r="D542" t="s">
        <v>646</v>
      </c>
      <c r="E542" t="s">
        <v>650</v>
      </c>
      <c r="F542" t="s">
        <v>664</v>
      </c>
      <c r="G542" t="s">
        <v>704</v>
      </c>
      <c r="H542" t="s">
        <v>708</v>
      </c>
      <c r="I542" t="s">
        <v>726</v>
      </c>
      <c r="J542" t="s">
        <v>731</v>
      </c>
      <c r="K542" t="s">
        <v>1273</v>
      </c>
      <c r="L542" s="6">
        <v>1258.72</v>
      </c>
      <c r="M542" s="6">
        <v>2797.41</v>
      </c>
      <c r="N542" s="8">
        <v>0</v>
      </c>
      <c r="O542" s="6">
        <v>7</v>
      </c>
      <c r="P542" s="7" t="str">
        <f t="shared" si="65"/>
        <v>Nairobi</v>
      </c>
      <c r="Q542" s="7" t="str">
        <f t="shared" si="66"/>
        <v>D. Smith</v>
      </c>
      <c r="R542" s="7" t="str">
        <f t="shared" si="67"/>
        <v>Online</v>
      </c>
      <c r="S542" t="str">
        <f t="shared" si="72"/>
        <v>OK</v>
      </c>
      <c r="T542" s="8" t="str">
        <f t="shared" si="68"/>
        <v>OK</v>
      </c>
      <c r="U542" t="str">
        <f t="shared" si="69"/>
        <v>OK</v>
      </c>
      <c r="V542">
        <f t="shared" si="70"/>
        <v>1</v>
      </c>
      <c r="W542" s="4">
        <f t="shared" si="71"/>
        <v>45116</v>
      </c>
    </row>
    <row r="543" spans="1:23" hidden="1" x14ac:dyDescent="0.25">
      <c r="A543" t="s">
        <v>556</v>
      </c>
      <c r="B543" s="4">
        <v>45450</v>
      </c>
      <c r="C543" s="4">
        <v>45452</v>
      </c>
      <c r="D543" t="s">
        <v>647</v>
      </c>
      <c r="E543" t="s">
        <v>659</v>
      </c>
      <c r="F543" t="s">
        <v>685</v>
      </c>
      <c r="G543" t="s">
        <v>701</v>
      </c>
      <c r="H543" t="s">
        <v>707</v>
      </c>
      <c r="I543" t="s">
        <v>719</v>
      </c>
      <c r="J543" t="s">
        <v>732</v>
      </c>
      <c r="K543" t="s">
        <v>1274</v>
      </c>
      <c r="L543" s="6">
        <v>1370.28</v>
      </c>
      <c r="M543" s="6">
        <v>2209.66</v>
      </c>
      <c r="N543" s="8">
        <v>0.13300000000000001</v>
      </c>
      <c r="O543" s="6">
        <v>16</v>
      </c>
      <c r="P543" s="7" t="str">
        <f t="shared" si="65"/>
        <v>Shanghai</v>
      </c>
      <c r="Q543" s="7" t="str">
        <f t="shared" si="66"/>
        <v>O. Wang</v>
      </c>
      <c r="R543" s="7" t="str">
        <f t="shared" si="67"/>
        <v>Retail</v>
      </c>
      <c r="S543" t="str">
        <f t="shared" si="72"/>
        <v>OK</v>
      </c>
      <c r="T543" s="8" t="str">
        <f t="shared" si="68"/>
        <v>OK</v>
      </c>
      <c r="U543" t="str">
        <f t="shared" si="69"/>
        <v>OK</v>
      </c>
      <c r="V543">
        <f t="shared" si="70"/>
        <v>2</v>
      </c>
      <c r="W543" s="4">
        <f t="shared" si="71"/>
        <v>45452</v>
      </c>
    </row>
    <row r="544" spans="1:23" hidden="1" x14ac:dyDescent="0.25">
      <c r="A544" t="s">
        <v>557</v>
      </c>
      <c r="B544" s="4">
        <v>44968</v>
      </c>
      <c r="C544" s="4">
        <v>44969</v>
      </c>
      <c r="D544" t="s">
        <v>646</v>
      </c>
      <c r="E544" t="s">
        <v>651</v>
      </c>
      <c r="F544" t="s">
        <v>663</v>
      </c>
      <c r="G544" t="s">
        <v>703</v>
      </c>
      <c r="H544" t="s">
        <v>711</v>
      </c>
      <c r="I544" t="s">
        <v>726</v>
      </c>
      <c r="J544" t="s">
        <v>733</v>
      </c>
      <c r="K544" t="s">
        <v>1275</v>
      </c>
      <c r="L544" s="6">
        <v>944.61</v>
      </c>
      <c r="M544" s="6">
        <v>839.04</v>
      </c>
      <c r="N544" s="8">
        <v>5.8999999999999997E-2</v>
      </c>
      <c r="O544" s="6">
        <v>6</v>
      </c>
      <c r="P544" s="7" t="str">
        <f t="shared" si="65"/>
        <v>Port Harcourt</v>
      </c>
      <c r="Q544" s="7" t="str">
        <f t="shared" si="66"/>
        <v>D. Smith</v>
      </c>
      <c r="R544" s="7" t="str">
        <f t="shared" si="67"/>
        <v>Direct</v>
      </c>
      <c r="S544" t="str">
        <f t="shared" si="72"/>
        <v>OK</v>
      </c>
      <c r="T544" s="8" t="str">
        <f t="shared" si="68"/>
        <v>OK</v>
      </c>
      <c r="U544" t="str">
        <f t="shared" si="69"/>
        <v>OK</v>
      </c>
      <c r="V544">
        <f t="shared" si="70"/>
        <v>1</v>
      </c>
      <c r="W544" s="4">
        <f t="shared" si="71"/>
        <v>44969</v>
      </c>
    </row>
    <row r="545" spans="1:23" hidden="1" x14ac:dyDescent="0.25">
      <c r="A545" t="s">
        <v>558</v>
      </c>
      <c r="B545" s="4">
        <v>45108</v>
      </c>
      <c r="C545" s="4">
        <v>45115</v>
      </c>
      <c r="D545" t="s">
        <v>649</v>
      </c>
      <c r="E545" t="s">
        <v>656</v>
      </c>
      <c r="F545" t="s">
        <v>698</v>
      </c>
      <c r="G545" t="s">
        <v>705</v>
      </c>
      <c r="H545" t="s">
        <v>710</v>
      </c>
      <c r="I545" t="s">
        <v>725</v>
      </c>
      <c r="J545" t="s">
        <v>731</v>
      </c>
      <c r="K545" t="s">
        <v>1276</v>
      </c>
      <c r="L545" s="6">
        <v>460.21</v>
      </c>
      <c r="M545" s="6">
        <v>1139.1500000000001</v>
      </c>
      <c r="N545" s="8">
        <v>0.115</v>
      </c>
      <c r="O545" s="6">
        <v>14</v>
      </c>
      <c r="P545" s="7" t="str">
        <f t="shared" si="65"/>
        <v>Frankfurt</v>
      </c>
      <c r="Q545" s="7" t="str">
        <f t="shared" si="66"/>
        <v>N. Brown</v>
      </c>
      <c r="R545" s="7" t="str">
        <f t="shared" si="67"/>
        <v>Distributor</v>
      </c>
      <c r="S545" t="str">
        <f t="shared" si="72"/>
        <v>OK</v>
      </c>
      <c r="T545" s="8" t="str">
        <f t="shared" si="68"/>
        <v>OK</v>
      </c>
      <c r="U545" t="str">
        <f t="shared" si="69"/>
        <v>OK</v>
      </c>
      <c r="V545">
        <f t="shared" si="70"/>
        <v>7</v>
      </c>
      <c r="W545" s="4">
        <f t="shared" si="71"/>
        <v>45115</v>
      </c>
    </row>
    <row r="546" spans="1:23" hidden="1" x14ac:dyDescent="0.25">
      <c r="A546" t="s">
        <v>559</v>
      </c>
      <c r="B546" s="4">
        <v>45889</v>
      </c>
      <c r="C546" s="4">
        <v>45895</v>
      </c>
      <c r="D546" t="s">
        <v>648</v>
      </c>
      <c r="E546" t="s">
        <v>660</v>
      </c>
      <c r="F546" t="s">
        <v>700</v>
      </c>
      <c r="G546" t="s">
        <v>701</v>
      </c>
      <c r="H546" t="s">
        <v>707</v>
      </c>
      <c r="I546" t="s">
        <v>724</v>
      </c>
      <c r="J546" t="s">
        <v>729</v>
      </c>
      <c r="K546" t="s">
        <v>1277</v>
      </c>
      <c r="L546" s="6">
        <v>1304.95</v>
      </c>
      <c r="M546" s="6">
        <v>1712.03</v>
      </c>
      <c r="N546" s="8">
        <v>0.21199999999999999</v>
      </c>
      <c r="O546" s="6">
        <v>8</v>
      </c>
      <c r="P546" s="7" t="str">
        <f t="shared" si="65"/>
        <v>New York</v>
      </c>
      <c r="Q546" s="7" t="str">
        <f t="shared" si="66"/>
        <v>M. Rossi</v>
      </c>
      <c r="R546" s="7" t="str">
        <f t="shared" si="67"/>
        <v>Retail</v>
      </c>
      <c r="S546" t="str">
        <f t="shared" si="72"/>
        <v>OK</v>
      </c>
      <c r="T546" s="8" t="str">
        <f t="shared" si="68"/>
        <v>OK</v>
      </c>
      <c r="U546" t="str">
        <f t="shared" si="69"/>
        <v>OK</v>
      </c>
      <c r="V546">
        <f t="shared" si="70"/>
        <v>6</v>
      </c>
      <c r="W546" s="4">
        <f t="shared" si="71"/>
        <v>45895</v>
      </c>
    </row>
    <row r="547" spans="1:23" hidden="1" x14ac:dyDescent="0.25">
      <c r="A547" t="s">
        <v>560</v>
      </c>
      <c r="B547" s="4">
        <v>45355</v>
      </c>
      <c r="C547" s="4">
        <v>45367</v>
      </c>
      <c r="D547" t="s">
        <v>646</v>
      </c>
      <c r="E547" t="s">
        <v>661</v>
      </c>
      <c r="F547" t="s">
        <v>682</v>
      </c>
      <c r="G547" t="s">
        <v>706</v>
      </c>
      <c r="H547" t="s">
        <v>710</v>
      </c>
      <c r="I547" t="s">
        <v>724</v>
      </c>
      <c r="J547" t="s">
        <v>732</v>
      </c>
      <c r="K547" t="s">
        <v>1278</v>
      </c>
      <c r="L547" s="6">
        <v>441.08</v>
      </c>
      <c r="M547" s="6">
        <v>1054.29</v>
      </c>
      <c r="N547" s="8">
        <v>0.23699999999999999</v>
      </c>
      <c r="O547" s="6">
        <v>6</v>
      </c>
      <c r="P547" s="7" t="str">
        <f t="shared" si="65"/>
        <v>Johannesburg</v>
      </c>
      <c r="Q547" s="7" t="str">
        <f t="shared" si="66"/>
        <v>M. Rossi</v>
      </c>
      <c r="R547" s="7" t="str">
        <f t="shared" si="67"/>
        <v>Distributor</v>
      </c>
      <c r="S547" t="str">
        <f t="shared" si="72"/>
        <v>OK</v>
      </c>
      <c r="T547" s="8" t="str">
        <f t="shared" si="68"/>
        <v>OK</v>
      </c>
      <c r="U547" t="str">
        <f t="shared" si="69"/>
        <v>OK</v>
      </c>
      <c r="V547">
        <f t="shared" si="70"/>
        <v>12</v>
      </c>
      <c r="W547" s="4">
        <f t="shared" si="71"/>
        <v>45367</v>
      </c>
    </row>
    <row r="548" spans="1:23" hidden="1" x14ac:dyDescent="0.25">
      <c r="A548" t="s">
        <v>561</v>
      </c>
      <c r="B548" s="4">
        <v>45177</v>
      </c>
      <c r="C548" s="4">
        <v>45201</v>
      </c>
      <c r="D548" t="s">
        <v>648</v>
      </c>
      <c r="E548" t="s">
        <v>653</v>
      </c>
      <c r="F548" t="s">
        <v>667</v>
      </c>
      <c r="G548" t="s">
        <v>702</v>
      </c>
      <c r="H548" t="s">
        <v>711</v>
      </c>
      <c r="I548" t="s">
        <v>720</v>
      </c>
      <c r="J548" t="s">
        <v>733</v>
      </c>
      <c r="K548" t="s">
        <v>1279</v>
      </c>
      <c r="L548" s="6">
        <v>1299.03</v>
      </c>
      <c r="M548" s="6">
        <v>2451.2199999999998</v>
      </c>
      <c r="N548" s="8">
        <v>0.20799999999999999</v>
      </c>
      <c r="O548" s="6">
        <v>8</v>
      </c>
      <c r="P548" s="7" t="str">
        <f t="shared" si="65"/>
        <v>Toronto</v>
      </c>
      <c r="Q548" s="7" t="str">
        <f t="shared" si="66"/>
        <v>A. Patel</v>
      </c>
      <c r="R548" s="7" t="str">
        <f t="shared" si="67"/>
        <v>Direct</v>
      </c>
      <c r="S548" t="str">
        <f t="shared" si="72"/>
        <v>OK</v>
      </c>
      <c r="T548" s="8" t="str">
        <f t="shared" si="68"/>
        <v>OK</v>
      </c>
      <c r="U548" t="str">
        <f t="shared" si="69"/>
        <v>OK</v>
      </c>
      <c r="V548">
        <f t="shared" si="70"/>
        <v>24</v>
      </c>
      <c r="W548" s="4">
        <f t="shared" si="71"/>
        <v>45201</v>
      </c>
    </row>
    <row r="549" spans="1:23" hidden="1" x14ac:dyDescent="0.25">
      <c r="A549" t="s">
        <v>562</v>
      </c>
      <c r="B549" s="4">
        <v>44985</v>
      </c>
      <c r="C549" s="4">
        <v>44991</v>
      </c>
      <c r="D549" t="s">
        <v>649</v>
      </c>
      <c r="E549" t="s">
        <v>656</v>
      </c>
      <c r="F549" t="s">
        <v>698</v>
      </c>
      <c r="G549" t="s">
        <v>705</v>
      </c>
      <c r="H549" t="s">
        <v>709</v>
      </c>
      <c r="I549" t="s">
        <v>726</v>
      </c>
      <c r="J549" t="s">
        <v>728</v>
      </c>
      <c r="K549" t="s">
        <v>1280</v>
      </c>
      <c r="L549" s="6">
        <v>880.02</v>
      </c>
      <c r="M549" s="6">
        <v>1251.21</v>
      </c>
      <c r="N549" s="8">
        <v>0.123</v>
      </c>
      <c r="O549" s="6">
        <v>29</v>
      </c>
      <c r="P549" s="7" t="str">
        <f t="shared" si="65"/>
        <v>Frankfurt</v>
      </c>
      <c r="Q549" s="7" t="str">
        <f t="shared" si="66"/>
        <v>D. Smith</v>
      </c>
      <c r="R549" s="7" t="str">
        <f t="shared" si="67"/>
        <v>Marketplace</v>
      </c>
      <c r="S549" t="str">
        <f t="shared" si="72"/>
        <v>OK</v>
      </c>
      <c r="T549" s="8" t="str">
        <f t="shared" si="68"/>
        <v>OK</v>
      </c>
      <c r="U549" t="str">
        <f t="shared" si="69"/>
        <v>OK</v>
      </c>
      <c r="V549">
        <f t="shared" si="70"/>
        <v>6</v>
      </c>
      <c r="W549" s="4">
        <f t="shared" si="71"/>
        <v>44991</v>
      </c>
    </row>
    <row r="550" spans="1:23" hidden="1" x14ac:dyDescent="0.25">
      <c r="A550" t="s">
        <v>563</v>
      </c>
      <c r="B550" s="4">
        <v>45486</v>
      </c>
      <c r="C550" s="4">
        <v>45507</v>
      </c>
      <c r="D550" t="s">
        <v>648</v>
      </c>
      <c r="E550" t="s">
        <v>655</v>
      </c>
      <c r="F550" t="s">
        <v>692</v>
      </c>
      <c r="G550" t="s">
        <v>701</v>
      </c>
      <c r="H550" t="s">
        <v>709</v>
      </c>
      <c r="I550" t="s">
        <v>724</v>
      </c>
      <c r="J550" t="s">
        <v>732</v>
      </c>
      <c r="K550" t="s">
        <v>1281</v>
      </c>
      <c r="L550" s="6">
        <v>702.98</v>
      </c>
      <c r="M550" s="6">
        <v>1104.8</v>
      </c>
      <c r="N550" s="8">
        <v>0.17499999999999999</v>
      </c>
      <c r="O550" s="6">
        <v>12</v>
      </c>
      <c r="P550" s="7" t="str">
        <f t="shared" si="65"/>
        <v>Rio de Janeiro</v>
      </c>
      <c r="Q550" s="7" t="str">
        <f t="shared" si="66"/>
        <v>M. Rossi</v>
      </c>
      <c r="R550" s="7" t="str">
        <f t="shared" si="67"/>
        <v>Marketplace</v>
      </c>
      <c r="S550" t="str">
        <f t="shared" si="72"/>
        <v>OK</v>
      </c>
      <c r="T550" s="8" t="str">
        <f t="shared" si="68"/>
        <v>OK</v>
      </c>
      <c r="U550" t="str">
        <f t="shared" si="69"/>
        <v>OK</v>
      </c>
      <c r="V550">
        <f t="shared" si="70"/>
        <v>21</v>
      </c>
      <c r="W550" s="4">
        <f t="shared" si="71"/>
        <v>45507</v>
      </c>
    </row>
    <row r="551" spans="1:23" hidden="1" x14ac:dyDescent="0.25">
      <c r="A551" t="s">
        <v>564</v>
      </c>
      <c r="B551" s="4">
        <v>45633</v>
      </c>
      <c r="C551" s="4">
        <v>45652</v>
      </c>
      <c r="D551" t="s">
        <v>649</v>
      </c>
      <c r="E551" t="s">
        <v>658</v>
      </c>
      <c r="F551" t="s">
        <v>683</v>
      </c>
      <c r="G551" t="s">
        <v>706</v>
      </c>
      <c r="H551" t="s">
        <v>708</v>
      </c>
      <c r="I551" t="s">
        <v>726</v>
      </c>
      <c r="J551" t="s">
        <v>729</v>
      </c>
      <c r="K551" t="s">
        <v>1282</v>
      </c>
      <c r="L551" s="6">
        <v>1035.24</v>
      </c>
      <c r="M551" s="6">
        <v>2383.41</v>
      </c>
      <c r="N551" s="8">
        <v>0.17</v>
      </c>
      <c r="O551" s="6">
        <v>15</v>
      </c>
      <c r="P551" s="7" t="str">
        <f t="shared" si="65"/>
        <v>London</v>
      </c>
      <c r="Q551" s="7" t="str">
        <f t="shared" si="66"/>
        <v>D. Smith</v>
      </c>
      <c r="R551" s="7" t="str">
        <f t="shared" si="67"/>
        <v>Online</v>
      </c>
      <c r="S551" t="str">
        <f t="shared" si="72"/>
        <v>OK</v>
      </c>
      <c r="T551" s="8" t="str">
        <f t="shared" si="68"/>
        <v>OK</v>
      </c>
      <c r="U551" t="str">
        <f t="shared" si="69"/>
        <v>OK</v>
      </c>
      <c r="V551">
        <f t="shared" si="70"/>
        <v>19</v>
      </c>
      <c r="W551" s="4">
        <f t="shared" si="71"/>
        <v>45652</v>
      </c>
    </row>
    <row r="552" spans="1:23" hidden="1" x14ac:dyDescent="0.25">
      <c r="A552" t="s">
        <v>565</v>
      </c>
      <c r="B552" s="4">
        <v>45875</v>
      </c>
      <c r="C552" s="4">
        <v>45892</v>
      </c>
      <c r="D552" t="s">
        <v>648</v>
      </c>
      <c r="E552" t="s">
        <v>655</v>
      </c>
      <c r="F552" t="s">
        <v>672</v>
      </c>
      <c r="G552" t="s">
        <v>704</v>
      </c>
      <c r="H552" t="s">
        <v>710</v>
      </c>
      <c r="I552" t="s">
        <v>720</v>
      </c>
      <c r="J552" t="s">
        <v>732</v>
      </c>
      <c r="K552" t="s">
        <v>1283</v>
      </c>
      <c r="L552" s="6">
        <v>86.64</v>
      </c>
      <c r="M552" s="6">
        <v>213.06</v>
      </c>
      <c r="N552" s="8">
        <v>0.21199999999999999</v>
      </c>
      <c r="O552" s="6">
        <v>11</v>
      </c>
      <c r="P552" s="7" t="str">
        <f t="shared" si="65"/>
        <v>Brasília</v>
      </c>
      <c r="Q552" s="7" t="str">
        <f t="shared" si="66"/>
        <v>A. Patel</v>
      </c>
      <c r="R552" s="7" t="str">
        <f t="shared" si="67"/>
        <v>Distributor</v>
      </c>
      <c r="S552" t="str">
        <f t="shared" si="72"/>
        <v>OK</v>
      </c>
      <c r="T552" s="8" t="str">
        <f t="shared" si="68"/>
        <v>OK</v>
      </c>
      <c r="U552" t="str">
        <f t="shared" si="69"/>
        <v>OK</v>
      </c>
      <c r="V552">
        <f t="shared" si="70"/>
        <v>17</v>
      </c>
      <c r="W552" s="4">
        <f t="shared" si="71"/>
        <v>45892</v>
      </c>
    </row>
    <row r="553" spans="1:23" hidden="1" x14ac:dyDescent="0.25">
      <c r="A553" t="s">
        <v>566</v>
      </c>
      <c r="B553" s="4">
        <v>44988</v>
      </c>
      <c r="C553" s="4">
        <v>45005</v>
      </c>
      <c r="D553" t="s">
        <v>647</v>
      </c>
      <c r="E553" t="s">
        <v>652</v>
      </c>
      <c r="F553" t="s">
        <v>694</v>
      </c>
      <c r="G553" t="s">
        <v>705</v>
      </c>
      <c r="H553" t="s">
        <v>708</v>
      </c>
      <c r="I553" t="s">
        <v>726</v>
      </c>
      <c r="J553" t="s">
        <v>729</v>
      </c>
      <c r="K553" t="s">
        <v>1284</v>
      </c>
      <c r="L553" s="6">
        <v>1171.17</v>
      </c>
      <c r="M553" s="6">
        <v>2030.64</v>
      </c>
      <c r="N553" s="8">
        <v>0.157</v>
      </c>
      <c r="O553" s="6">
        <v>11</v>
      </c>
      <c r="P553" s="7" t="str">
        <f t="shared" si="65"/>
        <v>Nagoya</v>
      </c>
      <c r="Q553" s="7" t="str">
        <f t="shared" si="66"/>
        <v>D. Smith</v>
      </c>
      <c r="R553" s="7" t="str">
        <f t="shared" si="67"/>
        <v>Online</v>
      </c>
      <c r="S553" t="str">
        <f t="shared" si="72"/>
        <v>OK</v>
      </c>
      <c r="T553" s="8" t="str">
        <f t="shared" si="68"/>
        <v>OK</v>
      </c>
      <c r="U553" t="str">
        <f t="shared" si="69"/>
        <v>OK</v>
      </c>
      <c r="V553">
        <f t="shared" si="70"/>
        <v>17</v>
      </c>
      <c r="W553" s="4">
        <f t="shared" si="71"/>
        <v>45005</v>
      </c>
    </row>
    <row r="554" spans="1:23" hidden="1" x14ac:dyDescent="0.25">
      <c r="A554" t="s">
        <v>567</v>
      </c>
      <c r="B554" s="4">
        <v>45704</v>
      </c>
      <c r="C554" s="4">
        <v>45733</v>
      </c>
      <c r="D554" t="s">
        <v>649</v>
      </c>
      <c r="E554" t="s">
        <v>656</v>
      </c>
      <c r="F554" t="s">
        <v>684</v>
      </c>
      <c r="G554" t="s">
        <v>704</v>
      </c>
      <c r="H554" t="s">
        <v>707</v>
      </c>
      <c r="I554" t="s">
        <v>716</v>
      </c>
      <c r="J554" t="s">
        <v>733</v>
      </c>
      <c r="K554" t="s">
        <v>1285</v>
      </c>
      <c r="L554" s="6">
        <v>730.42</v>
      </c>
      <c r="M554" s="6">
        <v>956.7</v>
      </c>
      <c r="N554" s="8">
        <v>4.2000000000000003E-2</v>
      </c>
      <c r="O554" s="6">
        <v>22</v>
      </c>
      <c r="P554" s="7" t="str">
        <f t="shared" si="65"/>
        <v>Munich</v>
      </c>
      <c r="Q554" s="7" t="str">
        <f t="shared" si="66"/>
        <v>L. Okafor</v>
      </c>
      <c r="R554" s="7" t="str">
        <f t="shared" si="67"/>
        <v>Retail</v>
      </c>
      <c r="S554" t="str">
        <f t="shared" si="72"/>
        <v>OK</v>
      </c>
      <c r="T554" s="8" t="str">
        <f t="shared" si="68"/>
        <v>OK</v>
      </c>
      <c r="U554" t="str">
        <f t="shared" si="69"/>
        <v>OK</v>
      </c>
      <c r="V554">
        <f t="shared" si="70"/>
        <v>29</v>
      </c>
      <c r="W554" s="4">
        <f t="shared" si="71"/>
        <v>45733</v>
      </c>
    </row>
    <row r="555" spans="1:23" hidden="1" x14ac:dyDescent="0.25">
      <c r="A555" t="s">
        <v>568</v>
      </c>
      <c r="B555" s="4">
        <v>45703</v>
      </c>
      <c r="C555" s="4">
        <v>45717</v>
      </c>
      <c r="D555" t="s">
        <v>646</v>
      </c>
      <c r="E555" t="s">
        <v>650</v>
      </c>
      <c r="F555" t="s">
        <v>675</v>
      </c>
      <c r="G555" t="s">
        <v>702</v>
      </c>
      <c r="H555" t="s">
        <v>711</v>
      </c>
      <c r="I555" t="s">
        <v>716</v>
      </c>
      <c r="J555" t="s">
        <v>733</v>
      </c>
      <c r="K555" t="s">
        <v>1286</v>
      </c>
      <c r="L555" s="6">
        <v>1162.8599999999999</v>
      </c>
      <c r="M555" s="6">
        <v>1447.68</v>
      </c>
      <c r="N555" s="8">
        <v>8.6999999999999994E-2</v>
      </c>
      <c r="O555" s="6">
        <v>12</v>
      </c>
      <c r="P555" s="7" t="str">
        <f t="shared" si="65"/>
        <v>Mombasa</v>
      </c>
      <c r="Q555" s="7" t="str">
        <f t="shared" si="66"/>
        <v>L. Okafor</v>
      </c>
      <c r="R555" s="7" t="str">
        <f t="shared" si="67"/>
        <v>Direct</v>
      </c>
      <c r="S555" t="str">
        <f t="shared" si="72"/>
        <v>OK</v>
      </c>
      <c r="T555" s="8" t="str">
        <f t="shared" si="68"/>
        <v>OK</v>
      </c>
      <c r="U555" t="str">
        <f t="shared" si="69"/>
        <v>OK</v>
      </c>
      <c r="V555">
        <f t="shared" si="70"/>
        <v>14</v>
      </c>
      <c r="W555" s="4">
        <f t="shared" si="71"/>
        <v>45717</v>
      </c>
    </row>
    <row r="556" spans="1:23" hidden="1" x14ac:dyDescent="0.25">
      <c r="A556" t="s">
        <v>569</v>
      </c>
      <c r="B556" s="4">
        <v>45535</v>
      </c>
      <c r="C556" s="4">
        <v>45561</v>
      </c>
      <c r="D556" t="s">
        <v>647</v>
      </c>
      <c r="E556" t="s">
        <v>652</v>
      </c>
      <c r="F556" t="s">
        <v>689</v>
      </c>
      <c r="G556" t="s">
        <v>702</v>
      </c>
      <c r="H556" t="s">
        <v>708</v>
      </c>
      <c r="I556" t="s">
        <v>714</v>
      </c>
      <c r="J556" t="s">
        <v>730</v>
      </c>
      <c r="K556" t="s">
        <v>1287</v>
      </c>
      <c r="L556" s="6">
        <v>1189.03</v>
      </c>
      <c r="M556" s="6">
        <v>2949.62</v>
      </c>
      <c r="N556" s="8">
        <v>0.125</v>
      </c>
      <c r="O556" s="6">
        <v>13</v>
      </c>
      <c r="P556" s="7" t="str">
        <f t="shared" si="65"/>
        <v>Tokyo</v>
      </c>
      <c r="Q556" s="7" t="str">
        <f t="shared" si="66"/>
        <v>I. Johnson</v>
      </c>
      <c r="R556" s="7" t="str">
        <f t="shared" si="67"/>
        <v>Online</v>
      </c>
      <c r="S556" t="str">
        <f t="shared" si="72"/>
        <v>OK</v>
      </c>
      <c r="T556" s="8" t="str">
        <f t="shared" si="68"/>
        <v>OK</v>
      </c>
      <c r="U556" t="str">
        <f t="shared" si="69"/>
        <v>OK</v>
      </c>
      <c r="V556">
        <f t="shared" si="70"/>
        <v>26</v>
      </c>
      <c r="W556" s="4">
        <f t="shared" si="71"/>
        <v>45561</v>
      </c>
    </row>
    <row r="557" spans="1:23" hidden="1" x14ac:dyDescent="0.25">
      <c r="A557" t="s">
        <v>570</v>
      </c>
      <c r="B557" s="4">
        <v>45053</v>
      </c>
      <c r="C557" s="4">
        <v>45066</v>
      </c>
      <c r="D557" t="s">
        <v>647</v>
      </c>
      <c r="E557" t="s">
        <v>654</v>
      </c>
      <c r="F557" t="s">
        <v>691</v>
      </c>
      <c r="G557" t="s">
        <v>706</v>
      </c>
      <c r="H557" t="s">
        <v>707</v>
      </c>
      <c r="I557" t="s">
        <v>726</v>
      </c>
      <c r="J557" t="s">
        <v>733</v>
      </c>
      <c r="K557" t="s">
        <v>1288</v>
      </c>
      <c r="L557" s="6">
        <v>1443.28</v>
      </c>
      <c r="M557" s="6">
        <v>2580.5700000000002</v>
      </c>
      <c r="N557" s="8">
        <v>0</v>
      </c>
      <c r="O557" s="6">
        <v>18</v>
      </c>
      <c r="P557" s="7" t="str">
        <f t="shared" si="65"/>
        <v>Mumbai</v>
      </c>
      <c r="Q557" s="7" t="str">
        <f t="shared" si="66"/>
        <v>D. Smith</v>
      </c>
      <c r="R557" s="7" t="str">
        <f t="shared" si="67"/>
        <v>Retail</v>
      </c>
      <c r="S557" t="str">
        <f t="shared" si="72"/>
        <v>OK</v>
      </c>
      <c r="T557" s="8" t="str">
        <f t="shared" si="68"/>
        <v>OK</v>
      </c>
      <c r="U557" t="str">
        <f t="shared" si="69"/>
        <v>OK</v>
      </c>
      <c r="V557">
        <f t="shared" si="70"/>
        <v>13</v>
      </c>
      <c r="W557" s="4">
        <f t="shared" si="71"/>
        <v>45066</v>
      </c>
    </row>
    <row r="558" spans="1:23" hidden="1" x14ac:dyDescent="0.25">
      <c r="A558" t="s">
        <v>571</v>
      </c>
      <c r="B558" s="4">
        <v>45791</v>
      </c>
      <c r="C558" s="4">
        <v>45806</v>
      </c>
      <c r="D558" t="s">
        <v>648</v>
      </c>
      <c r="E558" t="s">
        <v>653</v>
      </c>
      <c r="F558" t="s">
        <v>688</v>
      </c>
      <c r="G558" t="s">
        <v>703</v>
      </c>
      <c r="H558" t="s">
        <v>710</v>
      </c>
      <c r="I558" t="s">
        <v>721</v>
      </c>
      <c r="J558" t="s">
        <v>728</v>
      </c>
      <c r="K558" t="s">
        <v>1289</v>
      </c>
      <c r="L558" s="6">
        <v>883.5</v>
      </c>
      <c r="M558" s="6">
        <v>1978.91</v>
      </c>
      <c r="N558" s="8">
        <v>5.3999999999999999E-2</v>
      </c>
      <c r="O558" s="6">
        <v>27</v>
      </c>
      <c r="P558" s="7" t="str">
        <f t="shared" si="65"/>
        <v>Vancouver</v>
      </c>
      <c r="Q558" s="7" t="str">
        <f t="shared" si="66"/>
        <v>F. Müller</v>
      </c>
      <c r="R558" s="7" t="str">
        <f t="shared" si="67"/>
        <v>Distributor</v>
      </c>
      <c r="S558" t="str">
        <f t="shared" si="72"/>
        <v>OK</v>
      </c>
      <c r="T558" s="8" t="str">
        <f t="shared" si="68"/>
        <v>OK</v>
      </c>
      <c r="U558" t="str">
        <f t="shared" si="69"/>
        <v>OK</v>
      </c>
      <c r="V558">
        <f t="shared" si="70"/>
        <v>15</v>
      </c>
      <c r="W558" s="4">
        <f t="shared" si="71"/>
        <v>45806</v>
      </c>
    </row>
    <row r="559" spans="1:23" hidden="1" x14ac:dyDescent="0.25">
      <c r="A559" t="s">
        <v>572</v>
      </c>
      <c r="B559" s="4">
        <v>45362</v>
      </c>
      <c r="C559" s="4">
        <v>45380</v>
      </c>
      <c r="D559" t="s">
        <v>648</v>
      </c>
      <c r="E559" t="s">
        <v>660</v>
      </c>
      <c r="F559" t="s">
        <v>700</v>
      </c>
      <c r="G559" t="s">
        <v>701</v>
      </c>
      <c r="H559" t="s">
        <v>707</v>
      </c>
      <c r="I559" t="s">
        <v>724</v>
      </c>
      <c r="J559" t="s">
        <v>732</v>
      </c>
      <c r="K559" t="s">
        <v>1290</v>
      </c>
      <c r="L559" s="6">
        <v>710.98</v>
      </c>
      <c r="M559" s="6">
        <v>1481.45</v>
      </c>
      <c r="N559" s="8">
        <v>0.21099999999999999</v>
      </c>
      <c r="O559" s="6">
        <v>9</v>
      </c>
      <c r="P559" s="7" t="str">
        <f t="shared" si="65"/>
        <v>New York</v>
      </c>
      <c r="Q559" s="7" t="str">
        <f t="shared" si="66"/>
        <v>M. Rossi</v>
      </c>
      <c r="R559" s="7" t="str">
        <f t="shared" si="67"/>
        <v>Retail</v>
      </c>
      <c r="S559" t="str">
        <f t="shared" si="72"/>
        <v>OK</v>
      </c>
      <c r="T559" s="8" t="str">
        <f t="shared" si="68"/>
        <v>OK</v>
      </c>
      <c r="U559" t="str">
        <f t="shared" si="69"/>
        <v>OK</v>
      </c>
      <c r="V559">
        <f t="shared" si="70"/>
        <v>18</v>
      </c>
      <c r="W559" s="4">
        <f t="shared" si="71"/>
        <v>45380</v>
      </c>
    </row>
    <row r="560" spans="1:23" hidden="1" x14ac:dyDescent="0.25">
      <c r="A560" t="s">
        <v>573</v>
      </c>
      <c r="B560" s="4">
        <v>45430</v>
      </c>
      <c r="C560" s="4">
        <v>45434</v>
      </c>
      <c r="D560" t="s">
        <v>646</v>
      </c>
      <c r="E560" t="s">
        <v>650</v>
      </c>
      <c r="F560" t="s">
        <v>664</v>
      </c>
      <c r="G560" t="s">
        <v>701</v>
      </c>
      <c r="H560" t="s">
        <v>711</v>
      </c>
      <c r="I560" t="s">
        <v>722</v>
      </c>
      <c r="J560" t="s">
        <v>733</v>
      </c>
      <c r="K560" t="s">
        <v>1291</v>
      </c>
      <c r="L560" s="6">
        <v>857.42</v>
      </c>
      <c r="M560" s="6">
        <v>1658.92</v>
      </c>
      <c r="N560" s="8">
        <v>0.122</v>
      </c>
      <c r="O560" s="6">
        <v>9</v>
      </c>
      <c r="P560" s="7" t="str">
        <f t="shared" si="65"/>
        <v>Nairobi</v>
      </c>
      <c r="Q560" s="7" t="str">
        <f t="shared" si="66"/>
        <v>H. Kim</v>
      </c>
      <c r="R560" s="7" t="str">
        <f t="shared" si="67"/>
        <v>Direct</v>
      </c>
      <c r="S560" t="str">
        <f t="shared" si="72"/>
        <v>OK</v>
      </c>
      <c r="T560" s="8" t="str">
        <f t="shared" si="68"/>
        <v>OK</v>
      </c>
      <c r="U560" t="str">
        <f t="shared" si="69"/>
        <v>OK</v>
      </c>
      <c r="V560">
        <f t="shared" si="70"/>
        <v>4</v>
      </c>
      <c r="W560" s="4">
        <f t="shared" si="71"/>
        <v>45434</v>
      </c>
    </row>
    <row r="561" spans="1:23" hidden="1" x14ac:dyDescent="0.25">
      <c r="A561" t="s">
        <v>574</v>
      </c>
      <c r="B561" s="4">
        <v>45299</v>
      </c>
      <c r="C561" s="4">
        <v>45303</v>
      </c>
      <c r="D561" t="s">
        <v>647</v>
      </c>
      <c r="E561" t="s">
        <v>654</v>
      </c>
      <c r="F561" t="s">
        <v>668</v>
      </c>
      <c r="G561" t="s">
        <v>701</v>
      </c>
      <c r="H561" t="s">
        <v>711</v>
      </c>
      <c r="I561" t="s">
        <v>718</v>
      </c>
      <c r="J561" t="s">
        <v>728</v>
      </c>
      <c r="K561" t="s">
        <v>1292</v>
      </c>
      <c r="L561" s="6">
        <v>802.32</v>
      </c>
      <c r="M561" s="6">
        <v>602.34</v>
      </c>
      <c r="N561" s="8">
        <v>0.12</v>
      </c>
      <c r="O561" s="6">
        <v>25</v>
      </c>
      <c r="P561" s="7" t="str">
        <f t="shared" si="65"/>
        <v>Bengaluru</v>
      </c>
      <c r="Q561" s="7" t="str">
        <f t="shared" si="66"/>
        <v>E. Garcia</v>
      </c>
      <c r="R561" s="7" t="str">
        <f t="shared" si="67"/>
        <v>Direct</v>
      </c>
      <c r="S561" t="str">
        <f t="shared" si="72"/>
        <v>OK</v>
      </c>
      <c r="T561" s="8" t="str">
        <f t="shared" si="68"/>
        <v>OK</v>
      </c>
      <c r="U561" t="str">
        <f t="shared" si="69"/>
        <v>OK</v>
      </c>
      <c r="V561">
        <f t="shared" si="70"/>
        <v>4</v>
      </c>
      <c r="W561" s="4">
        <f t="shared" si="71"/>
        <v>45303</v>
      </c>
    </row>
    <row r="562" spans="1:23" hidden="1" x14ac:dyDescent="0.25">
      <c r="A562" t="s">
        <v>575</v>
      </c>
      <c r="B562" s="4">
        <v>45590</v>
      </c>
      <c r="C562" s="4">
        <v>45601</v>
      </c>
      <c r="D562" t="s">
        <v>648</v>
      </c>
      <c r="E562" t="s">
        <v>660</v>
      </c>
      <c r="F562" t="s">
        <v>700</v>
      </c>
      <c r="G562" t="s">
        <v>701</v>
      </c>
      <c r="H562" t="s">
        <v>710</v>
      </c>
      <c r="I562" t="s">
        <v>725</v>
      </c>
      <c r="J562" t="s">
        <v>727</v>
      </c>
      <c r="K562" t="s">
        <v>1293</v>
      </c>
      <c r="L562" s="6">
        <v>446.66</v>
      </c>
      <c r="M562" s="6">
        <v>527.64</v>
      </c>
      <c r="N562" s="8">
        <v>0.14499999999999999</v>
      </c>
      <c r="O562" s="6">
        <v>15</v>
      </c>
      <c r="P562" s="7" t="str">
        <f t="shared" si="65"/>
        <v>New York</v>
      </c>
      <c r="Q562" s="7" t="str">
        <f t="shared" si="66"/>
        <v>N. Brown</v>
      </c>
      <c r="R562" s="7" t="str">
        <f t="shared" si="67"/>
        <v>Distributor</v>
      </c>
      <c r="S562" t="str">
        <f t="shared" si="72"/>
        <v>OK</v>
      </c>
      <c r="T562" s="8" t="str">
        <f t="shared" si="68"/>
        <v>OK</v>
      </c>
      <c r="U562" t="str">
        <f t="shared" si="69"/>
        <v>OK</v>
      </c>
      <c r="V562">
        <f t="shared" si="70"/>
        <v>11</v>
      </c>
      <c r="W562" s="4">
        <f t="shared" si="71"/>
        <v>45601</v>
      </c>
    </row>
    <row r="563" spans="1:23" hidden="1" x14ac:dyDescent="0.25">
      <c r="A563" t="s">
        <v>576</v>
      </c>
      <c r="B563" s="4">
        <v>45626</v>
      </c>
      <c r="C563" s="4">
        <v>45645</v>
      </c>
      <c r="D563" t="s">
        <v>646</v>
      </c>
      <c r="E563" t="s">
        <v>650</v>
      </c>
      <c r="F563" t="s">
        <v>662</v>
      </c>
      <c r="G563" t="s">
        <v>701</v>
      </c>
      <c r="H563" t="s">
        <v>708</v>
      </c>
      <c r="I563" t="s">
        <v>716</v>
      </c>
      <c r="J563" t="s">
        <v>730</v>
      </c>
      <c r="K563" t="s">
        <v>1294</v>
      </c>
      <c r="L563" s="6">
        <v>1195.98</v>
      </c>
      <c r="M563" s="6">
        <v>1841.9</v>
      </c>
      <c r="N563" s="8">
        <v>5.5E-2</v>
      </c>
      <c r="O563" s="6">
        <v>19</v>
      </c>
      <c r="P563" s="7" t="str">
        <f t="shared" si="65"/>
        <v>Kisumu</v>
      </c>
      <c r="Q563" s="7" t="str">
        <f t="shared" si="66"/>
        <v>L. Okafor</v>
      </c>
      <c r="R563" s="7" t="str">
        <f t="shared" si="67"/>
        <v>Online</v>
      </c>
      <c r="S563" t="str">
        <f t="shared" si="72"/>
        <v>OK</v>
      </c>
      <c r="T563" s="8" t="str">
        <f t="shared" si="68"/>
        <v>OK</v>
      </c>
      <c r="U563" t="str">
        <f t="shared" si="69"/>
        <v>OK</v>
      </c>
      <c r="V563">
        <f t="shared" si="70"/>
        <v>19</v>
      </c>
      <c r="W563" s="4">
        <f t="shared" si="71"/>
        <v>45645</v>
      </c>
    </row>
    <row r="564" spans="1:23" hidden="1" x14ac:dyDescent="0.25">
      <c r="A564" t="s">
        <v>577</v>
      </c>
      <c r="B564" s="4">
        <v>45029</v>
      </c>
      <c r="C564" s="4">
        <v>45048</v>
      </c>
      <c r="D564" t="s">
        <v>648</v>
      </c>
      <c r="E564" t="s">
        <v>653</v>
      </c>
      <c r="F564" t="s">
        <v>681</v>
      </c>
      <c r="G564" t="s">
        <v>704</v>
      </c>
      <c r="H564" t="s">
        <v>710</v>
      </c>
      <c r="I564" t="s">
        <v>718</v>
      </c>
      <c r="J564" t="s">
        <v>732</v>
      </c>
      <c r="K564" t="s">
        <v>1295</v>
      </c>
      <c r="L564" s="6">
        <v>671.05</v>
      </c>
      <c r="M564" s="6">
        <v>1645.48</v>
      </c>
      <c r="N564" s="8">
        <v>0.13700000000000001</v>
      </c>
      <c r="O564" s="6">
        <v>6</v>
      </c>
      <c r="P564" s="7" t="str">
        <f t="shared" si="65"/>
        <v>Montreal</v>
      </c>
      <c r="Q564" s="7" t="str">
        <f t="shared" si="66"/>
        <v>E. Garcia</v>
      </c>
      <c r="R564" s="7" t="str">
        <f t="shared" si="67"/>
        <v>Distributor</v>
      </c>
      <c r="S564" t="str">
        <f t="shared" si="72"/>
        <v>OK</v>
      </c>
      <c r="T564" s="8" t="str">
        <f t="shared" si="68"/>
        <v>OK</v>
      </c>
      <c r="U564" t="str">
        <f t="shared" si="69"/>
        <v>OK</v>
      </c>
      <c r="V564">
        <f t="shared" si="70"/>
        <v>19</v>
      </c>
      <c r="W564" s="4">
        <f t="shared" si="71"/>
        <v>45048</v>
      </c>
    </row>
    <row r="565" spans="1:23" hidden="1" x14ac:dyDescent="0.25">
      <c r="A565" t="s">
        <v>578</v>
      </c>
      <c r="B565" s="4">
        <v>45692</v>
      </c>
      <c r="C565" s="4">
        <v>45696</v>
      </c>
      <c r="D565" t="s">
        <v>649</v>
      </c>
      <c r="E565" t="s">
        <v>658</v>
      </c>
      <c r="F565" t="s">
        <v>693</v>
      </c>
      <c r="G565" t="s">
        <v>706</v>
      </c>
      <c r="H565" t="s">
        <v>709</v>
      </c>
      <c r="I565" t="s">
        <v>716</v>
      </c>
      <c r="J565" t="s">
        <v>729</v>
      </c>
      <c r="K565" t="s">
        <v>1296</v>
      </c>
      <c r="L565" s="6">
        <v>586.21</v>
      </c>
      <c r="M565" s="6">
        <v>727.22</v>
      </c>
      <c r="N565" s="8">
        <v>6.8000000000000005E-2</v>
      </c>
      <c r="O565" s="6">
        <v>15</v>
      </c>
      <c r="P565" s="7" t="str">
        <f t="shared" si="65"/>
        <v>Manchester</v>
      </c>
      <c r="Q565" s="7" t="str">
        <f t="shared" si="66"/>
        <v>L. Okafor</v>
      </c>
      <c r="R565" s="7" t="str">
        <f t="shared" si="67"/>
        <v>Marketplace</v>
      </c>
      <c r="S565" t="str">
        <f t="shared" si="72"/>
        <v>OK</v>
      </c>
      <c r="T565" s="8" t="str">
        <f t="shared" si="68"/>
        <v>OK</v>
      </c>
      <c r="U565" t="str">
        <f t="shared" si="69"/>
        <v>OK</v>
      </c>
      <c r="V565">
        <f t="shared" si="70"/>
        <v>4</v>
      </c>
      <c r="W565" s="4">
        <f t="shared" si="71"/>
        <v>45696</v>
      </c>
    </row>
    <row r="566" spans="1:23" hidden="1" x14ac:dyDescent="0.25">
      <c r="A566" t="s">
        <v>579</v>
      </c>
      <c r="B566" s="4">
        <v>45315</v>
      </c>
      <c r="C566" s="4">
        <v>45326</v>
      </c>
      <c r="D566" t="s">
        <v>649</v>
      </c>
      <c r="E566" t="s">
        <v>658</v>
      </c>
      <c r="F566" t="s">
        <v>693</v>
      </c>
      <c r="G566" t="s">
        <v>704</v>
      </c>
      <c r="H566" t="s">
        <v>707</v>
      </c>
      <c r="I566" t="s">
        <v>717</v>
      </c>
      <c r="J566" t="s">
        <v>731</v>
      </c>
      <c r="K566" t="s">
        <v>1297</v>
      </c>
      <c r="L566" s="6">
        <v>525.34</v>
      </c>
      <c r="M566" s="6">
        <v>1233.79</v>
      </c>
      <c r="N566" s="8">
        <v>0.14299999999999999</v>
      </c>
      <c r="O566" s="6">
        <v>4</v>
      </c>
      <c r="P566" s="7" t="str">
        <f t="shared" si="65"/>
        <v>Manchester</v>
      </c>
      <c r="Q566" s="7" t="str">
        <f t="shared" si="66"/>
        <v>B. Chen</v>
      </c>
      <c r="R566" s="7" t="str">
        <f t="shared" si="67"/>
        <v>Retail</v>
      </c>
      <c r="S566" t="str">
        <f t="shared" si="72"/>
        <v>OK</v>
      </c>
      <c r="T566" s="8" t="str">
        <f t="shared" si="68"/>
        <v>OK</v>
      </c>
      <c r="U566" t="str">
        <f t="shared" si="69"/>
        <v>OK</v>
      </c>
      <c r="V566">
        <f t="shared" si="70"/>
        <v>11</v>
      </c>
      <c r="W566" s="4">
        <f t="shared" si="71"/>
        <v>45326</v>
      </c>
    </row>
    <row r="567" spans="1:23" hidden="1" x14ac:dyDescent="0.25">
      <c r="A567" t="s">
        <v>580</v>
      </c>
      <c r="B567" s="4">
        <v>45330</v>
      </c>
      <c r="C567" s="4">
        <v>45331</v>
      </c>
      <c r="D567" t="s">
        <v>646</v>
      </c>
      <c r="E567" t="s">
        <v>650</v>
      </c>
      <c r="F567" t="s">
        <v>675</v>
      </c>
      <c r="G567" t="s">
        <v>701</v>
      </c>
      <c r="H567" t="s">
        <v>711</v>
      </c>
      <c r="I567" t="s">
        <v>721</v>
      </c>
      <c r="J567" t="s">
        <v>727</v>
      </c>
      <c r="K567" t="s">
        <v>1298</v>
      </c>
      <c r="L567" s="6">
        <v>1233.52</v>
      </c>
      <c r="M567" s="6">
        <v>1543.76</v>
      </c>
      <c r="N567" s="8">
        <v>0.126</v>
      </c>
      <c r="O567" s="6">
        <v>13</v>
      </c>
      <c r="P567" s="7" t="str">
        <f t="shared" si="65"/>
        <v>Mombasa</v>
      </c>
      <c r="Q567" s="7" t="str">
        <f t="shared" si="66"/>
        <v>F. Müller</v>
      </c>
      <c r="R567" s="7" t="str">
        <f t="shared" si="67"/>
        <v>Direct</v>
      </c>
      <c r="S567" t="str">
        <f t="shared" si="72"/>
        <v>OK</v>
      </c>
      <c r="T567" s="8" t="str">
        <f t="shared" si="68"/>
        <v>OK</v>
      </c>
      <c r="U567" t="str">
        <f t="shared" si="69"/>
        <v>OK</v>
      </c>
      <c r="V567">
        <f t="shared" si="70"/>
        <v>1</v>
      </c>
      <c r="W567" s="4">
        <f t="shared" si="71"/>
        <v>45331</v>
      </c>
    </row>
    <row r="568" spans="1:23" hidden="1" x14ac:dyDescent="0.25">
      <c r="A568" t="s">
        <v>581</v>
      </c>
      <c r="B568" s="4">
        <v>45834</v>
      </c>
      <c r="C568" s="4">
        <v>45849</v>
      </c>
      <c r="D568" t="s">
        <v>646</v>
      </c>
      <c r="E568" t="s">
        <v>651</v>
      </c>
      <c r="F568" t="s">
        <v>663</v>
      </c>
      <c r="G568" t="s">
        <v>705</v>
      </c>
      <c r="H568" t="s">
        <v>708</v>
      </c>
      <c r="I568" t="s">
        <v>720</v>
      </c>
      <c r="J568" t="s">
        <v>731</v>
      </c>
      <c r="K568" t="s">
        <v>1299</v>
      </c>
      <c r="L568" s="6">
        <v>1170.1500000000001</v>
      </c>
      <c r="M568" s="6">
        <v>2115.19</v>
      </c>
      <c r="N568" s="8">
        <v>9.1999999999999998E-2</v>
      </c>
      <c r="O568" s="6">
        <v>23</v>
      </c>
      <c r="P568" s="7" t="str">
        <f t="shared" si="65"/>
        <v>Port Harcourt</v>
      </c>
      <c r="Q568" s="7" t="str">
        <f t="shared" si="66"/>
        <v>A. Patel</v>
      </c>
      <c r="R568" s="7" t="str">
        <f t="shared" si="67"/>
        <v>Online</v>
      </c>
      <c r="S568" t="str">
        <f t="shared" si="72"/>
        <v>OK</v>
      </c>
      <c r="T568" s="8" t="str">
        <f t="shared" si="68"/>
        <v>OK</v>
      </c>
      <c r="U568" t="str">
        <f t="shared" si="69"/>
        <v>OK</v>
      </c>
      <c r="V568">
        <f t="shared" si="70"/>
        <v>15</v>
      </c>
      <c r="W568" s="4">
        <f t="shared" si="71"/>
        <v>45849</v>
      </c>
    </row>
    <row r="569" spans="1:23" hidden="1" x14ac:dyDescent="0.25">
      <c r="A569" t="s">
        <v>582</v>
      </c>
      <c r="B569" s="4">
        <v>45600</v>
      </c>
      <c r="C569" s="4">
        <v>45603</v>
      </c>
      <c r="D569" t="s">
        <v>649</v>
      </c>
      <c r="E569" t="s">
        <v>657</v>
      </c>
      <c r="F569" t="s">
        <v>679</v>
      </c>
      <c r="G569" t="s">
        <v>701</v>
      </c>
      <c r="H569" t="s">
        <v>708</v>
      </c>
      <c r="I569" t="s">
        <v>719</v>
      </c>
      <c r="J569" t="s">
        <v>732</v>
      </c>
      <c r="K569" t="s">
        <v>1300</v>
      </c>
      <c r="L569" s="6">
        <v>740.68</v>
      </c>
      <c r="M569" s="6">
        <v>1837.19</v>
      </c>
      <c r="N569" s="8">
        <v>0.19700000000000001</v>
      </c>
      <c r="O569" s="6">
        <v>17</v>
      </c>
      <c r="P569" s="7" t="str">
        <f t="shared" si="65"/>
        <v>Lyon</v>
      </c>
      <c r="Q569" s="7" t="str">
        <f t="shared" si="66"/>
        <v>O. Wang</v>
      </c>
      <c r="R569" s="7" t="str">
        <f t="shared" si="67"/>
        <v>Online</v>
      </c>
      <c r="S569" t="str">
        <f t="shared" si="72"/>
        <v>OK</v>
      </c>
      <c r="T569" s="8" t="str">
        <f t="shared" si="68"/>
        <v>OK</v>
      </c>
      <c r="U569" t="str">
        <f t="shared" si="69"/>
        <v>OK</v>
      </c>
      <c r="V569">
        <f t="shared" si="70"/>
        <v>3</v>
      </c>
      <c r="W569" s="4">
        <f t="shared" si="71"/>
        <v>45603</v>
      </c>
    </row>
    <row r="570" spans="1:23" hidden="1" x14ac:dyDescent="0.25">
      <c r="A570" t="s">
        <v>583</v>
      </c>
      <c r="B570" s="4">
        <v>45342</v>
      </c>
      <c r="C570" s="4">
        <v>45342</v>
      </c>
      <c r="D570" t="s">
        <v>648</v>
      </c>
      <c r="E570" t="s">
        <v>660</v>
      </c>
      <c r="F570" t="s">
        <v>700</v>
      </c>
      <c r="G570" t="s">
        <v>706</v>
      </c>
      <c r="H570" t="s">
        <v>708</v>
      </c>
      <c r="I570" t="s">
        <v>712</v>
      </c>
      <c r="J570" t="s">
        <v>729</v>
      </c>
      <c r="K570" t="s">
        <v>1301</v>
      </c>
      <c r="L570" s="6">
        <v>1407.05</v>
      </c>
      <c r="M570" s="6">
        <v>2858.93</v>
      </c>
      <c r="N570" s="8">
        <v>0</v>
      </c>
      <c r="O570" s="6">
        <v>12</v>
      </c>
      <c r="P570" s="7" t="str">
        <f t="shared" si="65"/>
        <v>New York</v>
      </c>
      <c r="Q570" s="7" t="str">
        <f t="shared" si="66"/>
        <v>C. Otieno</v>
      </c>
      <c r="R570" s="7" t="str">
        <f t="shared" si="67"/>
        <v>Online</v>
      </c>
      <c r="S570" t="str">
        <f t="shared" si="72"/>
        <v>OK</v>
      </c>
      <c r="T570" s="8" t="str">
        <f t="shared" si="68"/>
        <v>OK</v>
      </c>
      <c r="U570" t="str">
        <f t="shared" si="69"/>
        <v>OK</v>
      </c>
      <c r="V570">
        <f t="shared" si="70"/>
        <v>0</v>
      </c>
      <c r="W570" s="4">
        <f t="shared" si="71"/>
        <v>45342</v>
      </c>
    </row>
    <row r="571" spans="1:23" hidden="1" x14ac:dyDescent="0.25">
      <c r="A571" t="s">
        <v>584</v>
      </c>
      <c r="B571" s="4">
        <v>45760</v>
      </c>
      <c r="C571" s="4">
        <v>45761</v>
      </c>
      <c r="D571" t="s">
        <v>647</v>
      </c>
      <c r="E571" t="s">
        <v>652</v>
      </c>
      <c r="F571" t="s">
        <v>666</v>
      </c>
      <c r="G571" t="s">
        <v>706</v>
      </c>
      <c r="H571" t="s">
        <v>708</v>
      </c>
      <c r="I571" t="s">
        <v>715</v>
      </c>
      <c r="J571" t="s">
        <v>727</v>
      </c>
      <c r="K571" t="s">
        <v>1302</v>
      </c>
      <c r="L571" s="6">
        <v>138.9</v>
      </c>
      <c r="M571" s="6">
        <v>289.92</v>
      </c>
      <c r="N571" s="8">
        <v>2.9000000000000001E-2</v>
      </c>
      <c r="O571" s="6">
        <v>12</v>
      </c>
      <c r="P571" s="7" t="str">
        <f t="shared" si="65"/>
        <v>Osaka</v>
      </c>
      <c r="Q571" s="7" t="str">
        <f t="shared" si="66"/>
        <v>G. Dubois</v>
      </c>
      <c r="R571" s="7" t="str">
        <f t="shared" si="67"/>
        <v>Online</v>
      </c>
      <c r="S571" t="str">
        <f t="shared" si="72"/>
        <v>OK</v>
      </c>
      <c r="T571" s="8" t="str">
        <f t="shared" si="68"/>
        <v>OK</v>
      </c>
      <c r="U571" t="str">
        <f t="shared" si="69"/>
        <v>OK</v>
      </c>
      <c r="V571">
        <f t="shared" si="70"/>
        <v>1</v>
      </c>
      <c r="W571" s="4">
        <f t="shared" si="71"/>
        <v>45761</v>
      </c>
    </row>
    <row r="572" spans="1:23" hidden="1" x14ac:dyDescent="0.25">
      <c r="A572" t="s">
        <v>585</v>
      </c>
      <c r="B572" s="4">
        <v>45078</v>
      </c>
      <c r="C572" s="4">
        <v>45078</v>
      </c>
      <c r="D572" t="s">
        <v>647</v>
      </c>
      <c r="E572" t="s">
        <v>654</v>
      </c>
      <c r="F572" t="s">
        <v>668</v>
      </c>
      <c r="G572" t="s">
        <v>701</v>
      </c>
      <c r="H572" t="s">
        <v>707</v>
      </c>
      <c r="I572" t="s">
        <v>718</v>
      </c>
      <c r="J572" t="s">
        <v>733</v>
      </c>
      <c r="K572" t="s">
        <v>1303</v>
      </c>
      <c r="L572" s="6">
        <v>669.37</v>
      </c>
      <c r="M572" s="6">
        <v>997.2</v>
      </c>
      <c r="N572" s="8">
        <v>8.2000000000000003E-2</v>
      </c>
      <c r="O572" s="6">
        <v>5</v>
      </c>
      <c r="P572" s="7" t="str">
        <f t="shared" si="65"/>
        <v>Bengaluru</v>
      </c>
      <c r="Q572" s="7" t="str">
        <f t="shared" si="66"/>
        <v>E. Garcia</v>
      </c>
      <c r="R572" s="7" t="str">
        <f t="shared" si="67"/>
        <v>Retail</v>
      </c>
      <c r="S572" t="str">
        <f t="shared" si="72"/>
        <v>OK</v>
      </c>
      <c r="T572" s="8" t="str">
        <f t="shared" si="68"/>
        <v>OK</v>
      </c>
      <c r="U572" t="str">
        <f t="shared" si="69"/>
        <v>OK</v>
      </c>
      <c r="V572">
        <f t="shared" si="70"/>
        <v>0</v>
      </c>
      <c r="W572" s="4">
        <f t="shared" si="71"/>
        <v>45078</v>
      </c>
    </row>
    <row r="573" spans="1:23" hidden="1" x14ac:dyDescent="0.25">
      <c r="A573" t="s">
        <v>586</v>
      </c>
      <c r="B573" s="4">
        <v>45740</v>
      </c>
      <c r="C573" s="4">
        <v>45751</v>
      </c>
      <c r="D573" t="s">
        <v>647</v>
      </c>
      <c r="E573" t="s">
        <v>654</v>
      </c>
      <c r="F573" t="s">
        <v>691</v>
      </c>
      <c r="G573" t="s">
        <v>702</v>
      </c>
      <c r="H573" t="s">
        <v>709</v>
      </c>
      <c r="I573" t="s">
        <v>713</v>
      </c>
      <c r="J573" t="s">
        <v>730</v>
      </c>
      <c r="K573" t="s">
        <v>1304</v>
      </c>
      <c r="L573" s="6">
        <v>23.83</v>
      </c>
      <c r="M573" s="6">
        <v>47.29</v>
      </c>
      <c r="N573" s="8">
        <v>6.4000000000000001E-2</v>
      </c>
      <c r="O573" s="6">
        <v>19</v>
      </c>
      <c r="P573" s="7" t="str">
        <f t="shared" si="65"/>
        <v>Mumbai</v>
      </c>
      <c r="Q573" s="7" t="str">
        <f t="shared" si="66"/>
        <v>J. Njeri</v>
      </c>
      <c r="R573" s="7" t="str">
        <f t="shared" si="67"/>
        <v>Marketplace</v>
      </c>
      <c r="S573" t="str">
        <f t="shared" si="72"/>
        <v>OK</v>
      </c>
      <c r="T573" s="8" t="str">
        <f t="shared" si="68"/>
        <v>OK</v>
      </c>
      <c r="U573" t="str">
        <f t="shared" si="69"/>
        <v>OK</v>
      </c>
      <c r="V573">
        <f t="shared" si="70"/>
        <v>11</v>
      </c>
      <c r="W573" s="4">
        <f t="shared" si="71"/>
        <v>45751</v>
      </c>
    </row>
    <row r="574" spans="1:23" hidden="1" x14ac:dyDescent="0.25">
      <c r="A574" t="s">
        <v>587</v>
      </c>
      <c r="B574" s="4">
        <v>45293</v>
      </c>
      <c r="C574" s="4">
        <v>45293</v>
      </c>
      <c r="D574" t="s">
        <v>648</v>
      </c>
      <c r="E574" t="s">
        <v>653</v>
      </c>
      <c r="F574" t="s">
        <v>688</v>
      </c>
      <c r="G574" t="s">
        <v>702</v>
      </c>
      <c r="H574" t="s">
        <v>711</v>
      </c>
      <c r="I574" t="s">
        <v>720</v>
      </c>
      <c r="J574" t="s">
        <v>731</v>
      </c>
      <c r="K574" t="s">
        <v>1305</v>
      </c>
      <c r="L574" s="6">
        <v>444.41</v>
      </c>
      <c r="M574" s="6">
        <v>754.24</v>
      </c>
      <c r="N574" s="8">
        <v>0.20699999999999999</v>
      </c>
      <c r="O574" s="6">
        <v>32</v>
      </c>
      <c r="P574" s="7" t="str">
        <f t="shared" si="65"/>
        <v>Vancouver</v>
      </c>
      <c r="Q574" s="7" t="str">
        <f t="shared" si="66"/>
        <v>A. Patel</v>
      </c>
      <c r="R574" s="7" t="str">
        <f t="shared" si="67"/>
        <v>Direct</v>
      </c>
      <c r="S574" t="str">
        <f t="shared" si="72"/>
        <v>OK</v>
      </c>
      <c r="T574" s="8" t="str">
        <f t="shared" si="68"/>
        <v>OK</v>
      </c>
      <c r="U574" t="str">
        <f t="shared" si="69"/>
        <v>OK</v>
      </c>
      <c r="V574">
        <f t="shared" si="70"/>
        <v>0</v>
      </c>
      <c r="W574" s="4">
        <f t="shared" si="71"/>
        <v>45293</v>
      </c>
    </row>
    <row r="575" spans="1:23" hidden="1" x14ac:dyDescent="0.25">
      <c r="A575" t="s">
        <v>588</v>
      </c>
      <c r="B575" s="4">
        <v>45279</v>
      </c>
      <c r="C575" s="4">
        <v>45292</v>
      </c>
      <c r="D575" t="s">
        <v>648</v>
      </c>
      <c r="E575" t="s">
        <v>653</v>
      </c>
      <c r="F575" t="s">
        <v>667</v>
      </c>
      <c r="G575" t="s">
        <v>706</v>
      </c>
      <c r="H575" t="s">
        <v>707</v>
      </c>
      <c r="I575" t="s">
        <v>723</v>
      </c>
      <c r="J575" t="s">
        <v>732</v>
      </c>
      <c r="K575" t="s">
        <v>1306</v>
      </c>
      <c r="L575" s="6">
        <v>856.1</v>
      </c>
      <c r="M575" s="6">
        <v>901.48</v>
      </c>
      <c r="N575" s="8">
        <v>5.6000000000000001E-2</v>
      </c>
      <c r="O575" s="6">
        <v>17</v>
      </c>
      <c r="P575" s="7" t="str">
        <f t="shared" si="65"/>
        <v>Toronto</v>
      </c>
      <c r="Q575" s="7" t="str">
        <f t="shared" si="66"/>
        <v>K. Singh</v>
      </c>
      <c r="R575" s="7" t="str">
        <f t="shared" si="67"/>
        <v>Retail</v>
      </c>
      <c r="S575" t="str">
        <f t="shared" si="72"/>
        <v>OK</v>
      </c>
      <c r="T575" s="8" t="str">
        <f t="shared" si="68"/>
        <v>OK</v>
      </c>
      <c r="U575" t="str">
        <f t="shared" si="69"/>
        <v>OK</v>
      </c>
      <c r="V575">
        <f t="shared" si="70"/>
        <v>13</v>
      </c>
      <c r="W575" s="4">
        <f t="shared" si="71"/>
        <v>45292</v>
      </c>
    </row>
    <row r="576" spans="1:23" hidden="1" x14ac:dyDescent="0.25">
      <c r="A576" t="s">
        <v>589</v>
      </c>
      <c r="B576" s="4">
        <v>45042</v>
      </c>
      <c r="C576" s="4">
        <v>45042</v>
      </c>
      <c r="D576" t="s">
        <v>649</v>
      </c>
      <c r="E576" t="s">
        <v>657</v>
      </c>
      <c r="F576" t="s">
        <v>673</v>
      </c>
      <c r="G576" t="s">
        <v>704</v>
      </c>
      <c r="H576" t="s">
        <v>711</v>
      </c>
      <c r="I576" t="s">
        <v>724</v>
      </c>
      <c r="J576" t="s">
        <v>727</v>
      </c>
      <c r="K576" t="s">
        <v>1307</v>
      </c>
      <c r="L576" s="6">
        <v>81.489999999999995</v>
      </c>
      <c r="M576" s="6">
        <v>113.08</v>
      </c>
      <c r="N576" s="8">
        <v>0.121</v>
      </c>
      <c r="O576" s="6">
        <v>5</v>
      </c>
      <c r="P576" s="7" t="str">
        <f t="shared" si="65"/>
        <v>Marseille</v>
      </c>
      <c r="Q576" s="7" t="str">
        <f t="shared" si="66"/>
        <v>M. Rossi</v>
      </c>
      <c r="R576" s="7" t="str">
        <f t="shared" si="67"/>
        <v>Direct</v>
      </c>
      <c r="S576" t="str">
        <f t="shared" si="72"/>
        <v>OK</v>
      </c>
      <c r="T576" s="8" t="str">
        <f t="shared" si="68"/>
        <v>OK</v>
      </c>
      <c r="U576" t="str">
        <f t="shared" si="69"/>
        <v>OK</v>
      </c>
      <c r="V576">
        <f t="shared" si="70"/>
        <v>0</v>
      </c>
      <c r="W576" s="4">
        <f t="shared" si="71"/>
        <v>45042</v>
      </c>
    </row>
    <row r="577" spans="1:23" hidden="1" x14ac:dyDescent="0.25">
      <c r="A577" t="s">
        <v>590</v>
      </c>
      <c r="B577" s="4">
        <v>45872</v>
      </c>
      <c r="C577" s="4">
        <v>45885</v>
      </c>
      <c r="D577" t="s">
        <v>648</v>
      </c>
      <c r="E577" t="s">
        <v>653</v>
      </c>
      <c r="F577" t="s">
        <v>681</v>
      </c>
      <c r="G577" t="s">
        <v>706</v>
      </c>
      <c r="H577" t="s">
        <v>710</v>
      </c>
      <c r="I577" t="s">
        <v>719</v>
      </c>
      <c r="J577" t="s">
        <v>729</v>
      </c>
      <c r="K577" t="s">
        <v>1308</v>
      </c>
      <c r="L577" s="6">
        <v>698.66</v>
      </c>
      <c r="M577" s="6">
        <v>868.62</v>
      </c>
      <c r="N577" s="8">
        <v>7.1999999999999995E-2</v>
      </c>
      <c r="O577" s="6">
        <v>15</v>
      </c>
      <c r="P577" s="7" t="str">
        <f t="shared" si="65"/>
        <v>Montreal</v>
      </c>
      <c r="Q577" s="7" t="str">
        <f t="shared" si="66"/>
        <v>O. Wang</v>
      </c>
      <c r="R577" s="7" t="str">
        <f t="shared" si="67"/>
        <v>Distributor</v>
      </c>
      <c r="S577" t="str">
        <f t="shared" si="72"/>
        <v>OK</v>
      </c>
      <c r="T577" s="8" t="str">
        <f t="shared" si="68"/>
        <v>OK</v>
      </c>
      <c r="U577" t="str">
        <f t="shared" si="69"/>
        <v>OK</v>
      </c>
      <c r="V577">
        <f t="shared" si="70"/>
        <v>13</v>
      </c>
      <c r="W577" s="4">
        <f t="shared" si="71"/>
        <v>45885</v>
      </c>
    </row>
    <row r="578" spans="1:23" hidden="1" x14ac:dyDescent="0.25">
      <c r="A578" t="s">
        <v>591</v>
      </c>
      <c r="B578" s="4">
        <v>45140</v>
      </c>
      <c r="C578" s="4">
        <v>45157</v>
      </c>
      <c r="D578" t="s">
        <v>648</v>
      </c>
      <c r="E578" t="s">
        <v>653</v>
      </c>
      <c r="F578" t="s">
        <v>688</v>
      </c>
      <c r="G578" t="s">
        <v>701</v>
      </c>
      <c r="H578" t="s">
        <v>708</v>
      </c>
      <c r="I578" t="s">
        <v>721</v>
      </c>
      <c r="J578" t="s">
        <v>729</v>
      </c>
      <c r="K578" t="s">
        <v>1309</v>
      </c>
      <c r="L578" s="6">
        <v>175.38</v>
      </c>
      <c r="M578" s="6">
        <v>347.9</v>
      </c>
      <c r="N578" s="8">
        <v>7.1999999999999995E-2</v>
      </c>
      <c r="O578" s="6">
        <v>43</v>
      </c>
      <c r="P578" s="7" t="str">
        <f t="shared" si="65"/>
        <v>Vancouver</v>
      </c>
      <c r="Q578" s="7" t="str">
        <f t="shared" si="66"/>
        <v>F. Müller</v>
      </c>
      <c r="R578" s="7" t="str">
        <f t="shared" si="67"/>
        <v>Online</v>
      </c>
      <c r="S578" t="str">
        <f t="shared" si="72"/>
        <v>OK</v>
      </c>
      <c r="T578" s="8" t="str">
        <f t="shared" si="68"/>
        <v>OK</v>
      </c>
      <c r="U578" t="str">
        <f t="shared" si="69"/>
        <v>OK</v>
      </c>
      <c r="V578">
        <f t="shared" si="70"/>
        <v>17</v>
      </c>
      <c r="W578" s="4">
        <f t="shared" si="71"/>
        <v>45157</v>
      </c>
    </row>
    <row r="579" spans="1:23" hidden="1" x14ac:dyDescent="0.25">
      <c r="A579" t="s">
        <v>592</v>
      </c>
      <c r="B579" s="4">
        <v>45092</v>
      </c>
      <c r="C579" s="4">
        <v>45119</v>
      </c>
      <c r="D579" t="s">
        <v>649</v>
      </c>
      <c r="E579" t="s">
        <v>658</v>
      </c>
      <c r="F579" t="s">
        <v>693</v>
      </c>
      <c r="G579" t="s">
        <v>704</v>
      </c>
      <c r="H579" t="s">
        <v>711</v>
      </c>
      <c r="I579" t="s">
        <v>714</v>
      </c>
      <c r="J579" t="s">
        <v>733</v>
      </c>
      <c r="K579" t="s">
        <v>1310</v>
      </c>
      <c r="L579" s="6">
        <v>751.28</v>
      </c>
      <c r="M579" s="6">
        <v>1111.8800000000001</v>
      </c>
      <c r="N579" s="8">
        <v>0.13500000000000001</v>
      </c>
      <c r="O579" s="6">
        <v>7</v>
      </c>
      <c r="P579" s="7" t="str">
        <f t="shared" ref="P579:P632" si="73">IF(OR(F579=" ", ISBLANK(F579)), "Unknown", F579)</f>
        <v>Manchester</v>
      </c>
      <c r="Q579" s="7" t="str">
        <f t="shared" ref="Q579:Q632" si="74">IF(OR(I579=" ", ISBLANK(I579)), "Unassigned", I579)</f>
        <v>I. Johnson</v>
      </c>
      <c r="R579" s="7" t="str">
        <f t="shared" ref="R579:R632" si="75">IF(OR(H579=" ", ISBLANK(H579)), "Unspecified", H579)</f>
        <v>Direct</v>
      </c>
      <c r="S579" t="str">
        <f t="shared" si="72"/>
        <v>OK</v>
      </c>
      <c r="T579" s="8" t="str">
        <f t="shared" ref="T579:T632" si="76">IFERROR(IF(N579&gt;0.3, "Cap at 30%", "OK"), "Error")</f>
        <v>OK</v>
      </c>
      <c r="U579" t="str">
        <f t="shared" ref="U579:U632" si="77">IFERROR(IF(C579&lt;B579,"Correct", "OK"), "Error")</f>
        <v>OK</v>
      </c>
      <c r="V579">
        <f t="shared" ref="V579:V632" si="78">_xlfn.DAYS(C579,B579)</f>
        <v>27</v>
      </c>
      <c r="W579" s="4">
        <f t="shared" si="71"/>
        <v>45119</v>
      </c>
    </row>
    <row r="580" spans="1:23" hidden="1" x14ac:dyDescent="0.25">
      <c r="A580" t="s">
        <v>593</v>
      </c>
      <c r="B580" s="4">
        <v>45607</v>
      </c>
      <c r="C580" s="4">
        <v>45620</v>
      </c>
      <c r="D580" t="s">
        <v>649</v>
      </c>
      <c r="E580" t="s">
        <v>658</v>
      </c>
      <c r="F580" t="s">
        <v>683</v>
      </c>
      <c r="G580" t="s">
        <v>701</v>
      </c>
      <c r="H580" t="s">
        <v>707</v>
      </c>
      <c r="I580" t="s">
        <v>718</v>
      </c>
      <c r="J580" t="s">
        <v>729</v>
      </c>
      <c r="K580" t="s">
        <v>1311</v>
      </c>
      <c r="L580" s="6">
        <v>164.53</v>
      </c>
      <c r="M580" s="6">
        <v>327.72</v>
      </c>
      <c r="N580" s="8">
        <v>6.7000000000000004E-2</v>
      </c>
      <c r="O580" s="6">
        <v>14</v>
      </c>
      <c r="P580" s="7" t="str">
        <f t="shared" si="73"/>
        <v>London</v>
      </c>
      <c r="Q580" s="7" t="str">
        <f t="shared" si="74"/>
        <v>E. Garcia</v>
      </c>
      <c r="R580" s="7" t="str">
        <f t="shared" si="75"/>
        <v>Retail</v>
      </c>
      <c r="S580" t="str">
        <f t="shared" si="72"/>
        <v>OK</v>
      </c>
      <c r="T580" s="8" t="str">
        <f t="shared" si="76"/>
        <v>OK</v>
      </c>
      <c r="U580" t="str">
        <f t="shared" si="77"/>
        <v>OK</v>
      </c>
      <c r="V580">
        <f t="shared" si="78"/>
        <v>13</v>
      </c>
      <c r="W580" s="4">
        <f t="shared" ref="W580:W632" si="79">IFERROR(IF(C580&lt;B580, B580+15, C580), "Error")</f>
        <v>45620</v>
      </c>
    </row>
    <row r="581" spans="1:23" hidden="1" x14ac:dyDescent="0.25">
      <c r="A581" t="s">
        <v>594</v>
      </c>
      <c r="B581" s="4">
        <v>45849</v>
      </c>
      <c r="C581" s="4">
        <v>45872</v>
      </c>
      <c r="D581" t="s">
        <v>646</v>
      </c>
      <c r="E581" t="s">
        <v>650</v>
      </c>
      <c r="F581" t="s">
        <v>678</v>
      </c>
      <c r="G581" t="s">
        <v>705</v>
      </c>
      <c r="H581" t="s">
        <v>707</v>
      </c>
      <c r="I581" t="s">
        <v>712</v>
      </c>
      <c r="J581" t="s">
        <v>730</v>
      </c>
      <c r="K581" t="s">
        <v>1312</v>
      </c>
      <c r="L581" s="6">
        <v>389.93</v>
      </c>
      <c r="M581" s="6">
        <v>486.13</v>
      </c>
      <c r="N581" s="8">
        <v>0.13200000000000001</v>
      </c>
      <c r="O581" s="6">
        <v>17</v>
      </c>
      <c r="P581" s="7" t="str">
        <f t="shared" si="73"/>
        <v>Nakuru</v>
      </c>
      <c r="Q581" s="7" t="str">
        <f t="shared" si="74"/>
        <v>C. Otieno</v>
      </c>
      <c r="R581" s="7" t="str">
        <f t="shared" si="75"/>
        <v>Retail</v>
      </c>
      <c r="S581" t="str">
        <f t="shared" si="72"/>
        <v>OK</v>
      </c>
      <c r="T581" s="8" t="str">
        <f t="shared" si="76"/>
        <v>OK</v>
      </c>
      <c r="U581" t="str">
        <f t="shared" si="77"/>
        <v>OK</v>
      </c>
      <c r="V581">
        <f t="shared" si="78"/>
        <v>23</v>
      </c>
      <c r="W581" s="4">
        <f t="shared" si="79"/>
        <v>45872</v>
      </c>
    </row>
    <row r="582" spans="1:23" hidden="1" x14ac:dyDescent="0.25">
      <c r="A582" t="s">
        <v>595</v>
      </c>
      <c r="B582" s="4">
        <v>45080</v>
      </c>
      <c r="C582" s="4">
        <v>45108</v>
      </c>
      <c r="D582" t="s">
        <v>648</v>
      </c>
      <c r="E582" t="s">
        <v>655</v>
      </c>
      <c r="F582" t="s">
        <v>672</v>
      </c>
      <c r="G582" t="s">
        <v>705</v>
      </c>
      <c r="H582" t="s">
        <v>709</v>
      </c>
      <c r="I582" t="s">
        <v>720</v>
      </c>
      <c r="J582" t="s">
        <v>727</v>
      </c>
      <c r="K582" t="s">
        <v>1313</v>
      </c>
      <c r="L582" s="6">
        <v>860.4</v>
      </c>
      <c r="M582" s="6">
        <v>2066.6</v>
      </c>
      <c r="N582" s="8">
        <v>0.01</v>
      </c>
      <c r="O582" s="6">
        <v>3</v>
      </c>
      <c r="P582" s="7" t="str">
        <f t="shared" si="73"/>
        <v>Brasília</v>
      </c>
      <c r="Q582" s="7" t="str">
        <f t="shared" si="74"/>
        <v>A. Patel</v>
      </c>
      <c r="R582" s="7" t="str">
        <f t="shared" si="75"/>
        <v>Marketplace</v>
      </c>
      <c r="S582" t="str">
        <f t="shared" ref="S582:S632" si="80">IFERROR(IF(M582&lt;0,"Correct (Negative Price)","OK"),"Error")</f>
        <v>OK</v>
      </c>
      <c r="T582" s="8" t="str">
        <f t="shared" si="76"/>
        <v>OK</v>
      </c>
      <c r="U582" t="str">
        <f t="shared" si="77"/>
        <v>OK</v>
      </c>
      <c r="V582">
        <f t="shared" si="78"/>
        <v>28</v>
      </c>
      <c r="W582" s="4">
        <f t="shared" si="79"/>
        <v>45108</v>
      </c>
    </row>
    <row r="583" spans="1:23" hidden="1" x14ac:dyDescent="0.25">
      <c r="A583" t="s">
        <v>596</v>
      </c>
      <c r="B583" s="4">
        <v>44955</v>
      </c>
      <c r="C583" s="4">
        <v>44963</v>
      </c>
      <c r="D583" t="s">
        <v>648</v>
      </c>
      <c r="E583" t="s">
        <v>655</v>
      </c>
      <c r="F583" t="s">
        <v>672</v>
      </c>
      <c r="G583" t="s">
        <v>701</v>
      </c>
      <c r="H583" t="s">
        <v>709</v>
      </c>
      <c r="I583" t="s">
        <v>726</v>
      </c>
      <c r="J583" t="s">
        <v>732</v>
      </c>
      <c r="K583" t="s">
        <v>1314</v>
      </c>
      <c r="L583" s="6">
        <v>41.84</v>
      </c>
      <c r="M583" s="6">
        <v>86.2</v>
      </c>
      <c r="N583" s="8">
        <v>0.22600000000000001</v>
      </c>
      <c r="O583" s="6">
        <v>27</v>
      </c>
      <c r="P583" s="7" t="str">
        <f t="shared" si="73"/>
        <v>Brasília</v>
      </c>
      <c r="Q583" s="7" t="str">
        <f t="shared" si="74"/>
        <v>D. Smith</v>
      </c>
      <c r="R583" s="7" t="str">
        <f t="shared" si="75"/>
        <v>Marketplace</v>
      </c>
      <c r="S583" t="str">
        <f t="shared" si="80"/>
        <v>OK</v>
      </c>
      <c r="T583" s="8" t="str">
        <f t="shared" si="76"/>
        <v>OK</v>
      </c>
      <c r="U583" t="str">
        <f t="shared" si="77"/>
        <v>OK</v>
      </c>
      <c r="V583">
        <f t="shared" si="78"/>
        <v>8</v>
      </c>
      <c r="W583" s="4">
        <f t="shared" si="79"/>
        <v>44963</v>
      </c>
    </row>
    <row r="584" spans="1:23" hidden="1" x14ac:dyDescent="0.25">
      <c r="A584" t="s">
        <v>597</v>
      </c>
      <c r="B584" s="4">
        <v>45541</v>
      </c>
      <c r="C584" s="4">
        <v>45556</v>
      </c>
      <c r="D584" t="s">
        <v>647</v>
      </c>
      <c r="E584" t="s">
        <v>652</v>
      </c>
      <c r="F584" t="s">
        <v>666</v>
      </c>
      <c r="G584" t="s">
        <v>701</v>
      </c>
      <c r="H584" t="s">
        <v>711</v>
      </c>
      <c r="I584" t="s">
        <v>720</v>
      </c>
      <c r="J584" t="s">
        <v>731</v>
      </c>
      <c r="K584" t="s">
        <v>1315</v>
      </c>
      <c r="L584" s="6">
        <v>1368.17</v>
      </c>
      <c r="M584" s="6">
        <v>2307.75</v>
      </c>
      <c r="N584" s="8">
        <v>0.16300000000000001</v>
      </c>
      <c r="O584" s="6">
        <v>21</v>
      </c>
      <c r="P584" s="7" t="str">
        <f t="shared" si="73"/>
        <v>Osaka</v>
      </c>
      <c r="Q584" s="7" t="str">
        <f t="shared" si="74"/>
        <v>A. Patel</v>
      </c>
      <c r="R584" s="7" t="str">
        <f t="shared" si="75"/>
        <v>Direct</v>
      </c>
      <c r="S584" t="str">
        <f t="shared" si="80"/>
        <v>OK</v>
      </c>
      <c r="T584" s="8" t="str">
        <f t="shared" si="76"/>
        <v>OK</v>
      </c>
      <c r="U584" t="str">
        <f t="shared" si="77"/>
        <v>OK</v>
      </c>
      <c r="V584">
        <f t="shared" si="78"/>
        <v>15</v>
      </c>
      <c r="W584" s="4">
        <f t="shared" si="79"/>
        <v>45556</v>
      </c>
    </row>
    <row r="585" spans="1:23" hidden="1" x14ac:dyDescent="0.25">
      <c r="A585" t="s">
        <v>598</v>
      </c>
      <c r="B585" s="4">
        <v>45507</v>
      </c>
      <c r="C585" s="4">
        <v>45513</v>
      </c>
      <c r="D585" t="s">
        <v>646</v>
      </c>
      <c r="E585" t="s">
        <v>650</v>
      </c>
      <c r="F585" t="s">
        <v>675</v>
      </c>
      <c r="G585" t="s">
        <v>704</v>
      </c>
      <c r="H585" t="s">
        <v>709</v>
      </c>
      <c r="I585" t="s">
        <v>722</v>
      </c>
      <c r="J585" t="s">
        <v>731</v>
      </c>
      <c r="K585" t="s">
        <v>1316</v>
      </c>
      <c r="L585" s="6">
        <v>643.21</v>
      </c>
      <c r="M585" s="6">
        <v>1112.81</v>
      </c>
      <c r="N585" s="8">
        <v>0.14099999999999999</v>
      </c>
      <c r="O585" s="6">
        <v>4</v>
      </c>
      <c r="P585" s="7" t="str">
        <f t="shared" si="73"/>
        <v>Mombasa</v>
      </c>
      <c r="Q585" s="7" t="str">
        <f t="shared" si="74"/>
        <v>H. Kim</v>
      </c>
      <c r="R585" s="7" t="str">
        <f t="shared" si="75"/>
        <v>Marketplace</v>
      </c>
      <c r="S585" t="str">
        <f t="shared" si="80"/>
        <v>OK</v>
      </c>
      <c r="T585" s="8" t="str">
        <f t="shared" si="76"/>
        <v>OK</v>
      </c>
      <c r="U585" t="str">
        <f t="shared" si="77"/>
        <v>OK</v>
      </c>
      <c r="V585">
        <f t="shared" si="78"/>
        <v>6</v>
      </c>
      <c r="W585" s="4">
        <f t="shared" si="79"/>
        <v>45513</v>
      </c>
    </row>
    <row r="586" spans="1:23" hidden="1" x14ac:dyDescent="0.25">
      <c r="A586" t="s">
        <v>599</v>
      </c>
      <c r="B586" s="4">
        <v>45764</v>
      </c>
      <c r="C586" s="4">
        <v>45764</v>
      </c>
      <c r="D586" t="s">
        <v>648</v>
      </c>
      <c r="E586" t="s">
        <v>655</v>
      </c>
      <c r="F586" t="s">
        <v>670</v>
      </c>
      <c r="G586" t="s">
        <v>701</v>
      </c>
      <c r="H586" t="s">
        <v>710</v>
      </c>
      <c r="I586" t="s">
        <v>716</v>
      </c>
      <c r="J586" t="s">
        <v>730</v>
      </c>
      <c r="K586" t="s">
        <v>1317</v>
      </c>
      <c r="L586" s="6">
        <v>719.41</v>
      </c>
      <c r="M586" s="6">
        <v>1125.99</v>
      </c>
      <c r="N586" s="8">
        <v>4.1000000000000002E-2</v>
      </c>
      <c r="O586" s="6">
        <v>21</v>
      </c>
      <c r="P586" s="7" t="str">
        <f t="shared" si="73"/>
        <v>São Paulo</v>
      </c>
      <c r="Q586" s="7" t="str">
        <f t="shared" si="74"/>
        <v>L. Okafor</v>
      </c>
      <c r="R586" s="7" t="str">
        <f t="shared" si="75"/>
        <v>Distributor</v>
      </c>
      <c r="S586" t="str">
        <f t="shared" si="80"/>
        <v>OK</v>
      </c>
      <c r="T586" s="8" t="str">
        <f t="shared" si="76"/>
        <v>OK</v>
      </c>
      <c r="U586" t="str">
        <f t="shared" si="77"/>
        <v>OK</v>
      </c>
      <c r="V586">
        <f t="shared" si="78"/>
        <v>0</v>
      </c>
      <c r="W586" s="4">
        <f t="shared" si="79"/>
        <v>45764</v>
      </c>
    </row>
    <row r="587" spans="1:23" hidden="1" x14ac:dyDescent="0.25">
      <c r="A587" t="s">
        <v>600</v>
      </c>
      <c r="B587" s="4">
        <v>45049</v>
      </c>
      <c r="C587" s="4">
        <v>45062</v>
      </c>
      <c r="D587" t="s">
        <v>648</v>
      </c>
      <c r="E587" t="s">
        <v>660</v>
      </c>
      <c r="F587" t="s">
        <v>700</v>
      </c>
      <c r="G587" t="s">
        <v>701</v>
      </c>
      <c r="H587" t="s">
        <v>709</v>
      </c>
      <c r="I587" t="s">
        <v>716</v>
      </c>
      <c r="J587" t="s">
        <v>730</v>
      </c>
      <c r="K587" t="s">
        <v>1318</v>
      </c>
      <c r="L587" s="6">
        <v>64.5</v>
      </c>
      <c r="M587" s="6">
        <v>123.62</v>
      </c>
      <c r="N587" s="8">
        <v>0</v>
      </c>
      <c r="O587" s="6">
        <v>3</v>
      </c>
      <c r="P587" s="7" t="str">
        <f t="shared" si="73"/>
        <v>New York</v>
      </c>
      <c r="Q587" s="7" t="str">
        <f t="shared" si="74"/>
        <v>L. Okafor</v>
      </c>
      <c r="R587" s="7" t="str">
        <f t="shared" si="75"/>
        <v>Marketplace</v>
      </c>
      <c r="S587" t="str">
        <f t="shared" si="80"/>
        <v>OK</v>
      </c>
      <c r="T587" s="8" t="str">
        <f t="shared" si="76"/>
        <v>OK</v>
      </c>
      <c r="U587" t="str">
        <f t="shared" si="77"/>
        <v>OK</v>
      </c>
      <c r="V587">
        <f t="shared" si="78"/>
        <v>13</v>
      </c>
      <c r="W587" s="4">
        <f t="shared" si="79"/>
        <v>45062</v>
      </c>
    </row>
    <row r="588" spans="1:23" hidden="1" x14ac:dyDescent="0.25">
      <c r="A588" t="s">
        <v>601</v>
      </c>
      <c r="B588" s="4">
        <v>45364</v>
      </c>
      <c r="C588" s="4">
        <v>45388</v>
      </c>
      <c r="D588" t="s">
        <v>646</v>
      </c>
      <c r="E588" t="s">
        <v>651</v>
      </c>
      <c r="F588" t="s">
        <v>669</v>
      </c>
      <c r="G588" t="s">
        <v>704</v>
      </c>
      <c r="H588" t="s">
        <v>710</v>
      </c>
      <c r="I588" t="s">
        <v>716</v>
      </c>
      <c r="J588" t="s">
        <v>727</v>
      </c>
      <c r="K588" t="s">
        <v>1319</v>
      </c>
      <c r="L588" s="6">
        <v>1232.78</v>
      </c>
      <c r="M588" s="6">
        <v>1731.75</v>
      </c>
      <c r="N588" s="8">
        <v>9.2999999999999999E-2</v>
      </c>
      <c r="O588" s="6">
        <v>16</v>
      </c>
      <c r="P588" s="7" t="str">
        <f t="shared" si="73"/>
        <v>Abuja</v>
      </c>
      <c r="Q588" s="7" t="str">
        <f t="shared" si="74"/>
        <v>L. Okafor</v>
      </c>
      <c r="R588" s="7" t="str">
        <f t="shared" si="75"/>
        <v>Distributor</v>
      </c>
      <c r="S588" t="str">
        <f t="shared" si="80"/>
        <v>OK</v>
      </c>
      <c r="T588" s="8" t="str">
        <f t="shared" si="76"/>
        <v>OK</v>
      </c>
      <c r="U588" t="str">
        <f t="shared" si="77"/>
        <v>OK</v>
      </c>
      <c r="V588">
        <f t="shared" si="78"/>
        <v>24</v>
      </c>
      <c r="W588" s="4">
        <f t="shared" si="79"/>
        <v>45388</v>
      </c>
    </row>
    <row r="589" spans="1:23" hidden="1" x14ac:dyDescent="0.25">
      <c r="A589" t="s">
        <v>602</v>
      </c>
      <c r="B589" s="4">
        <v>45459</v>
      </c>
      <c r="C589" s="4">
        <v>45464</v>
      </c>
      <c r="D589" t="s">
        <v>647</v>
      </c>
      <c r="E589" t="s">
        <v>652</v>
      </c>
      <c r="F589" t="s">
        <v>689</v>
      </c>
      <c r="G589" t="s">
        <v>705</v>
      </c>
      <c r="H589" t="s">
        <v>710</v>
      </c>
      <c r="I589" t="s">
        <v>721</v>
      </c>
      <c r="J589" t="s">
        <v>730</v>
      </c>
      <c r="K589" t="s">
        <v>1320</v>
      </c>
      <c r="L589" s="6">
        <v>1367.13</v>
      </c>
      <c r="M589" s="6">
        <v>3062.01</v>
      </c>
      <c r="N589" s="8">
        <v>0.10299999999999999</v>
      </c>
      <c r="O589" s="6">
        <v>25</v>
      </c>
      <c r="P589" s="7" t="str">
        <f t="shared" si="73"/>
        <v>Tokyo</v>
      </c>
      <c r="Q589" s="7" t="str">
        <f t="shared" si="74"/>
        <v>F. Müller</v>
      </c>
      <c r="R589" s="7" t="str">
        <f t="shared" si="75"/>
        <v>Distributor</v>
      </c>
      <c r="S589" t="str">
        <f t="shared" si="80"/>
        <v>OK</v>
      </c>
      <c r="T589" s="8" t="str">
        <f t="shared" si="76"/>
        <v>OK</v>
      </c>
      <c r="U589" t="str">
        <f t="shared" si="77"/>
        <v>OK</v>
      </c>
      <c r="V589">
        <f t="shared" si="78"/>
        <v>5</v>
      </c>
      <c r="W589" s="4">
        <f t="shared" si="79"/>
        <v>45464</v>
      </c>
    </row>
    <row r="590" spans="1:23" hidden="1" x14ac:dyDescent="0.25">
      <c r="A590" t="s">
        <v>603</v>
      </c>
      <c r="B590" s="4">
        <v>45703</v>
      </c>
      <c r="C590" s="4">
        <v>45715</v>
      </c>
      <c r="D590" t="s">
        <v>649</v>
      </c>
      <c r="E590" t="s">
        <v>657</v>
      </c>
      <c r="F590" t="s">
        <v>679</v>
      </c>
      <c r="G590" t="s">
        <v>703</v>
      </c>
      <c r="H590" t="s">
        <v>711</v>
      </c>
      <c r="I590" t="s">
        <v>723</v>
      </c>
      <c r="J590" t="s">
        <v>733</v>
      </c>
      <c r="K590" t="s">
        <v>1321</v>
      </c>
      <c r="L590" s="6">
        <v>1027.26</v>
      </c>
      <c r="M590" s="6">
        <v>2200.41</v>
      </c>
      <c r="N590" s="8">
        <v>8.7999999999999995E-2</v>
      </c>
      <c r="O590" s="6">
        <v>6</v>
      </c>
      <c r="P590" s="7" t="str">
        <f t="shared" si="73"/>
        <v>Lyon</v>
      </c>
      <c r="Q590" s="7" t="str">
        <f t="shared" si="74"/>
        <v>K. Singh</v>
      </c>
      <c r="R590" s="7" t="str">
        <f t="shared" si="75"/>
        <v>Direct</v>
      </c>
      <c r="S590" t="str">
        <f t="shared" si="80"/>
        <v>OK</v>
      </c>
      <c r="T590" s="8" t="str">
        <f t="shared" si="76"/>
        <v>OK</v>
      </c>
      <c r="U590" t="str">
        <f t="shared" si="77"/>
        <v>OK</v>
      </c>
      <c r="V590">
        <f t="shared" si="78"/>
        <v>12</v>
      </c>
      <c r="W590" s="4">
        <f t="shared" si="79"/>
        <v>45715</v>
      </c>
    </row>
    <row r="591" spans="1:23" hidden="1" x14ac:dyDescent="0.25">
      <c r="A591" t="s">
        <v>604</v>
      </c>
      <c r="B591" s="4">
        <v>45019</v>
      </c>
      <c r="C591" s="4">
        <v>45032</v>
      </c>
      <c r="D591" t="s">
        <v>649</v>
      </c>
      <c r="E591" t="s">
        <v>657</v>
      </c>
      <c r="F591" t="s">
        <v>673</v>
      </c>
      <c r="G591" t="s">
        <v>703</v>
      </c>
      <c r="H591" t="s">
        <v>709</v>
      </c>
      <c r="I591" t="s">
        <v>724</v>
      </c>
      <c r="J591" t="s">
        <v>733</v>
      </c>
      <c r="K591" t="s">
        <v>1322</v>
      </c>
      <c r="L591" s="6">
        <v>790.54</v>
      </c>
      <c r="M591" s="6">
        <v>601.49</v>
      </c>
      <c r="N591" s="8">
        <v>0</v>
      </c>
      <c r="O591" s="6">
        <v>15</v>
      </c>
      <c r="P591" s="7" t="str">
        <f t="shared" si="73"/>
        <v>Marseille</v>
      </c>
      <c r="Q591" s="7" t="str">
        <f t="shared" si="74"/>
        <v>M. Rossi</v>
      </c>
      <c r="R591" s="7" t="str">
        <f t="shared" si="75"/>
        <v>Marketplace</v>
      </c>
      <c r="S591" t="str">
        <f t="shared" si="80"/>
        <v>OK</v>
      </c>
      <c r="T591" s="8" t="str">
        <f t="shared" si="76"/>
        <v>OK</v>
      </c>
      <c r="U591" t="str">
        <f t="shared" si="77"/>
        <v>OK</v>
      </c>
      <c r="V591">
        <f t="shared" si="78"/>
        <v>13</v>
      </c>
      <c r="W591" s="4">
        <f t="shared" si="79"/>
        <v>45032</v>
      </c>
    </row>
    <row r="592" spans="1:23" hidden="1" x14ac:dyDescent="0.25">
      <c r="A592" t="s">
        <v>605</v>
      </c>
      <c r="B592" s="4">
        <v>45899</v>
      </c>
      <c r="C592" s="4">
        <v>45922</v>
      </c>
      <c r="D592" t="s">
        <v>649</v>
      </c>
      <c r="E592" t="s">
        <v>657</v>
      </c>
      <c r="F592" t="s">
        <v>673</v>
      </c>
      <c r="G592" t="s">
        <v>701</v>
      </c>
      <c r="H592" t="s">
        <v>711</v>
      </c>
      <c r="I592" t="s">
        <v>718</v>
      </c>
      <c r="J592" t="s">
        <v>727</v>
      </c>
      <c r="K592" t="s">
        <v>1323</v>
      </c>
      <c r="L592" s="6">
        <v>663.9</v>
      </c>
      <c r="M592" s="6">
        <v>947.77</v>
      </c>
      <c r="N592" s="8">
        <v>0.17399999999999999</v>
      </c>
      <c r="O592" s="6">
        <v>15</v>
      </c>
      <c r="P592" s="7" t="str">
        <f t="shared" si="73"/>
        <v>Marseille</v>
      </c>
      <c r="Q592" s="7" t="str">
        <f t="shared" si="74"/>
        <v>E. Garcia</v>
      </c>
      <c r="R592" s="7" t="str">
        <f t="shared" si="75"/>
        <v>Direct</v>
      </c>
      <c r="S592" t="str">
        <f t="shared" si="80"/>
        <v>OK</v>
      </c>
      <c r="T592" s="8" t="str">
        <f t="shared" si="76"/>
        <v>OK</v>
      </c>
      <c r="U592" t="str">
        <f t="shared" si="77"/>
        <v>OK</v>
      </c>
      <c r="V592">
        <f t="shared" si="78"/>
        <v>23</v>
      </c>
      <c r="W592" s="4">
        <f t="shared" si="79"/>
        <v>45922</v>
      </c>
    </row>
    <row r="593" spans="1:23" hidden="1" x14ac:dyDescent="0.25">
      <c r="A593" t="s">
        <v>606</v>
      </c>
      <c r="B593" s="4">
        <v>44984</v>
      </c>
      <c r="C593" s="4">
        <v>44999</v>
      </c>
      <c r="D593" t="s">
        <v>648</v>
      </c>
      <c r="E593" t="s">
        <v>660</v>
      </c>
      <c r="F593" t="s">
        <v>686</v>
      </c>
      <c r="G593" t="s">
        <v>703</v>
      </c>
      <c r="H593" t="s">
        <v>708</v>
      </c>
      <c r="I593" t="s">
        <v>716</v>
      </c>
      <c r="J593" t="s">
        <v>729</v>
      </c>
      <c r="K593" t="s">
        <v>1324</v>
      </c>
      <c r="L593" s="6">
        <v>1015.91</v>
      </c>
      <c r="M593" s="6">
        <v>2331.48</v>
      </c>
      <c r="N593" s="8">
        <v>0.14599999999999999</v>
      </c>
      <c r="O593" s="6">
        <v>26</v>
      </c>
      <c r="P593" s="7" t="str">
        <f t="shared" si="73"/>
        <v>San Francisco</v>
      </c>
      <c r="Q593" s="7" t="str">
        <f t="shared" si="74"/>
        <v>L. Okafor</v>
      </c>
      <c r="R593" s="7" t="str">
        <f t="shared" si="75"/>
        <v>Online</v>
      </c>
      <c r="S593" t="str">
        <f t="shared" si="80"/>
        <v>OK</v>
      </c>
      <c r="T593" s="8" t="str">
        <f t="shared" si="76"/>
        <v>OK</v>
      </c>
      <c r="U593" t="str">
        <f t="shared" si="77"/>
        <v>OK</v>
      </c>
      <c r="V593">
        <f t="shared" si="78"/>
        <v>15</v>
      </c>
      <c r="W593" s="4">
        <f t="shared" si="79"/>
        <v>44999</v>
      </c>
    </row>
    <row r="594" spans="1:23" hidden="1" x14ac:dyDescent="0.25">
      <c r="A594" t="s">
        <v>607</v>
      </c>
      <c r="B594" s="4">
        <v>45504</v>
      </c>
      <c r="C594" s="4">
        <v>45519</v>
      </c>
      <c r="D594" t="s">
        <v>647</v>
      </c>
      <c r="E594" t="s">
        <v>652</v>
      </c>
      <c r="F594" t="s">
        <v>689</v>
      </c>
      <c r="G594" t="s">
        <v>701</v>
      </c>
      <c r="H594" t="s">
        <v>709</v>
      </c>
      <c r="I594" t="s">
        <v>721</v>
      </c>
      <c r="J594" t="s">
        <v>732</v>
      </c>
      <c r="K594" t="s">
        <v>1325</v>
      </c>
      <c r="L594" s="6">
        <v>1252.52</v>
      </c>
      <c r="M594" s="6">
        <v>1417.24</v>
      </c>
      <c r="N594" s="8">
        <v>0.192</v>
      </c>
      <c r="O594" s="6">
        <v>5</v>
      </c>
      <c r="P594" s="7" t="str">
        <f t="shared" si="73"/>
        <v>Tokyo</v>
      </c>
      <c r="Q594" s="7" t="str">
        <f t="shared" si="74"/>
        <v>F. Müller</v>
      </c>
      <c r="R594" s="7" t="str">
        <f t="shared" si="75"/>
        <v>Marketplace</v>
      </c>
      <c r="S594" t="str">
        <f t="shared" si="80"/>
        <v>OK</v>
      </c>
      <c r="T594" s="8" t="str">
        <f t="shared" si="76"/>
        <v>OK</v>
      </c>
      <c r="U594" t="str">
        <f t="shared" si="77"/>
        <v>OK</v>
      </c>
      <c r="V594">
        <f t="shared" si="78"/>
        <v>15</v>
      </c>
      <c r="W594" s="4">
        <f t="shared" si="79"/>
        <v>45519</v>
      </c>
    </row>
    <row r="595" spans="1:23" hidden="1" x14ac:dyDescent="0.25">
      <c r="A595" t="s">
        <v>608</v>
      </c>
      <c r="B595" s="4">
        <v>45823</v>
      </c>
      <c r="C595" s="4">
        <v>45850</v>
      </c>
      <c r="D595" t="s">
        <v>649</v>
      </c>
      <c r="E595" t="s">
        <v>657</v>
      </c>
      <c r="F595" t="s">
        <v>673</v>
      </c>
      <c r="G595" t="s">
        <v>704</v>
      </c>
      <c r="H595" t="s">
        <v>711</v>
      </c>
      <c r="I595" t="s">
        <v>712</v>
      </c>
      <c r="J595" t="s">
        <v>733</v>
      </c>
      <c r="K595" t="s">
        <v>1326</v>
      </c>
      <c r="L595" s="6">
        <v>318.83</v>
      </c>
      <c r="M595" s="6">
        <v>699.5</v>
      </c>
      <c r="N595" s="8">
        <v>0.08</v>
      </c>
      <c r="O595" s="6">
        <v>13</v>
      </c>
      <c r="P595" s="7" t="str">
        <f t="shared" si="73"/>
        <v>Marseille</v>
      </c>
      <c r="Q595" s="7" t="str">
        <f t="shared" si="74"/>
        <v>C. Otieno</v>
      </c>
      <c r="R595" s="7" t="str">
        <f t="shared" si="75"/>
        <v>Direct</v>
      </c>
      <c r="S595" t="str">
        <f t="shared" si="80"/>
        <v>OK</v>
      </c>
      <c r="T595" s="8" t="str">
        <f t="shared" si="76"/>
        <v>OK</v>
      </c>
      <c r="U595" t="str">
        <f t="shared" si="77"/>
        <v>OK</v>
      </c>
      <c r="V595">
        <f t="shared" si="78"/>
        <v>27</v>
      </c>
      <c r="W595" s="4">
        <f t="shared" si="79"/>
        <v>45850</v>
      </c>
    </row>
    <row r="596" spans="1:23" hidden="1" x14ac:dyDescent="0.25">
      <c r="A596" t="s">
        <v>609</v>
      </c>
      <c r="B596" s="4">
        <v>45473</v>
      </c>
      <c r="C596" s="4">
        <v>45494</v>
      </c>
      <c r="D596" t="s">
        <v>646</v>
      </c>
      <c r="E596" t="s">
        <v>650</v>
      </c>
      <c r="F596" t="s">
        <v>662</v>
      </c>
      <c r="G596" t="s">
        <v>705</v>
      </c>
      <c r="H596" t="s">
        <v>707</v>
      </c>
      <c r="I596" t="s">
        <v>723</v>
      </c>
      <c r="J596" t="s">
        <v>731</v>
      </c>
      <c r="K596" t="s">
        <v>1327</v>
      </c>
      <c r="L596" s="6">
        <v>753.43</v>
      </c>
      <c r="M596" s="6">
        <v>1787.2</v>
      </c>
      <c r="N596" s="8">
        <v>7.2999999999999995E-2</v>
      </c>
      <c r="O596" s="6">
        <v>9</v>
      </c>
      <c r="P596" s="7" t="str">
        <f t="shared" si="73"/>
        <v>Kisumu</v>
      </c>
      <c r="Q596" s="7" t="str">
        <f t="shared" si="74"/>
        <v>K. Singh</v>
      </c>
      <c r="R596" s="7" t="str">
        <f t="shared" si="75"/>
        <v>Retail</v>
      </c>
      <c r="S596" t="str">
        <f t="shared" si="80"/>
        <v>OK</v>
      </c>
      <c r="T596" s="8" t="str">
        <f t="shared" si="76"/>
        <v>OK</v>
      </c>
      <c r="U596" t="str">
        <f t="shared" si="77"/>
        <v>OK</v>
      </c>
      <c r="V596">
        <f t="shared" si="78"/>
        <v>21</v>
      </c>
      <c r="W596" s="4">
        <f t="shared" si="79"/>
        <v>45494</v>
      </c>
    </row>
    <row r="597" spans="1:23" hidden="1" x14ac:dyDescent="0.25">
      <c r="A597" t="s">
        <v>610</v>
      </c>
      <c r="B597" s="4">
        <v>45705</v>
      </c>
      <c r="C597" s="4">
        <v>45720</v>
      </c>
      <c r="D597" t="s">
        <v>648</v>
      </c>
      <c r="E597" t="s">
        <v>653</v>
      </c>
      <c r="F597" t="s">
        <v>667</v>
      </c>
      <c r="G597" t="s">
        <v>705</v>
      </c>
      <c r="H597" t="s">
        <v>707</v>
      </c>
      <c r="I597" t="s">
        <v>726</v>
      </c>
      <c r="J597" t="s">
        <v>727</v>
      </c>
      <c r="K597" t="s">
        <v>1328</v>
      </c>
      <c r="L597" s="6">
        <v>1133.47</v>
      </c>
      <c r="M597" s="6">
        <v>1698.75</v>
      </c>
      <c r="N597" s="8">
        <v>4.2999999999999997E-2</v>
      </c>
      <c r="O597" s="6">
        <v>5</v>
      </c>
      <c r="P597" s="7" t="str">
        <f t="shared" si="73"/>
        <v>Toronto</v>
      </c>
      <c r="Q597" s="7" t="str">
        <f t="shared" si="74"/>
        <v>D. Smith</v>
      </c>
      <c r="R597" s="7" t="str">
        <f t="shared" si="75"/>
        <v>Retail</v>
      </c>
      <c r="S597" t="str">
        <f t="shared" si="80"/>
        <v>OK</v>
      </c>
      <c r="T597" s="8" t="str">
        <f t="shared" si="76"/>
        <v>OK</v>
      </c>
      <c r="U597" t="str">
        <f t="shared" si="77"/>
        <v>OK</v>
      </c>
      <c r="V597">
        <f t="shared" si="78"/>
        <v>15</v>
      </c>
      <c r="W597" s="4">
        <f t="shared" si="79"/>
        <v>45720</v>
      </c>
    </row>
    <row r="598" spans="1:23" hidden="1" x14ac:dyDescent="0.25">
      <c r="A598" t="s">
        <v>611</v>
      </c>
      <c r="B598" s="4">
        <v>44933</v>
      </c>
      <c r="C598" s="4">
        <v>44956</v>
      </c>
      <c r="D598" t="s">
        <v>646</v>
      </c>
      <c r="E598" t="s">
        <v>661</v>
      </c>
      <c r="F598" t="s">
        <v>695</v>
      </c>
      <c r="G598" t="s">
        <v>704</v>
      </c>
      <c r="H598" t="s">
        <v>708</v>
      </c>
      <c r="I598" t="s">
        <v>720</v>
      </c>
      <c r="J598" t="s">
        <v>728</v>
      </c>
      <c r="K598" t="s">
        <v>1329</v>
      </c>
      <c r="L598" s="6">
        <v>299.02</v>
      </c>
      <c r="M598" s="6">
        <v>724.7</v>
      </c>
      <c r="N598" s="8">
        <v>0.14000000000000001</v>
      </c>
      <c r="O598" s="6">
        <v>5</v>
      </c>
      <c r="P598" s="7" t="str">
        <f t="shared" si="73"/>
        <v>Cape Town</v>
      </c>
      <c r="Q598" s="7" t="str">
        <f t="shared" si="74"/>
        <v>A. Patel</v>
      </c>
      <c r="R598" s="7" t="str">
        <f t="shared" si="75"/>
        <v>Online</v>
      </c>
      <c r="S598" t="str">
        <f t="shared" si="80"/>
        <v>OK</v>
      </c>
      <c r="T598" s="8" t="str">
        <f t="shared" si="76"/>
        <v>OK</v>
      </c>
      <c r="U598" t="str">
        <f t="shared" si="77"/>
        <v>OK</v>
      </c>
      <c r="V598">
        <f t="shared" si="78"/>
        <v>23</v>
      </c>
      <c r="W598" s="4">
        <f t="shared" si="79"/>
        <v>44956</v>
      </c>
    </row>
    <row r="599" spans="1:23" hidden="1" x14ac:dyDescent="0.25">
      <c r="A599" t="s">
        <v>612</v>
      </c>
      <c r="B599" s="4">
        <v>45726</v>
      </c>
      <c r="C599" s="4">
        <v>45751</v>
      </c>
      <c r="D599" t="s">
        <v>647</v>
      </c>
      <c r="E599" t="s">
        <v>652</v>
      </c>
      <c r="F599" t="s">
        <v>666</v>
      </c>
      <c r="G599" t="s">
        <v>701</v>
      </c>
      <c r="H599" t="s">
        <v>711</v>
      </c>
      <c r="I599" t="s">
        <v>722</v>
      </c>
      <c r="J599" t="s">
        <v>728</v>
      </c>
      <c r="K599" t="s">
        <v>1330</v>
      </c>
      <c r="L599" s="6">
        <v>783.72</v>
      </c>
      <c r="M599" s="6">
        <v>1355.94</v>
      </c>
      <c r="N599" s="8">
        <v>0.187</v>
      </c>
      <c r="O599" s="6">
        <v>4</v>
      </c>
      <c r="P599" s="7" t="str">
        <f t="shared" si="73"/>
        <v>Osaka</v>
      </c>
      <c r="Q599" s="7" t="str">
        <f t="shared" si="74"/>
        <v>H. Kim</v>
      </c>
      <c r="R599" s="7" t="str">
        <f t="shared" si="75"/>
        <v>Direct</v>
      </c>
      <c r="S599" t="str">
        <f t="shared" si="80"/>
        <v>OK</v>
      </c>
      <c r="T599" s="8" t="str">
        <f t="shared" si="76"/>
        <v>OK</v>
      </c>
      <c r="U599" t="str">
        <f t="shared" si="77"/>
        <v>OK</v>
      </c>
      <c r="V599">
        <f t="shared" si="78"/>
        <v>25</v>
      </c>
      <c r="W599" s="4">
        <f t="shared" si="79"/>
        <v>45751</v>
      </c>
    </row>
    <row r="600" spans="1:23" hidden="1" x14ac:dyDescent="0.25">
      <c r="A600" t="s">
        <v>613</v>
      </c>
      <c r="B600" s="4">
        <v>45521</v>
      </c>
      <c r="C600" s="4">
        <v>45536</v>
      </c>
      <c r="D600" t="s">
        <v>648</v>
      </c>
      <c r="E600" t="s">
        <v>655</v>
      </c>
      <c r="F600" t="s">
        <v>692</v>
      </c>
      <c r="G600" t="s">
        <v>704</v>
      </c>
      <c r="H600" t="s">
        <v>711</v>
      </c>
      <c r="I600" t="s">
        <v>724</v>
      </c>
      <c r="J600" t="s">
        <v>732</v>
      </c>
      <c r="K600" t="s">
        <v>1331</v>
      </c>
      <c r="L600" s="6">
        <v>165.3</v>
      </c>
      <c r="M600" s="6">
        <v>275.07</v>
      </c>
      <c r="N600" s="8">
        <v>0.13300000000000001</v>
      </c>
      <c r="O600" s="6">
        <v>25</v>
      </c>
      <c r="P600" s="7" t="str">
        <f t="shared" si="73"/>
        <v>Rio de Janeiro</v>
      </c>
      <c r="Q600" s="7" t="str">
        <f t="shared" si="74"/>
        <v>M. Rossi</v>
      </c>
      <c r="R600" s="7" t="str">
        <f t="shared" si="75"/>
        <v>Direct</v>
      </c>
      <c r="S600" t="str">
        <f t="shared" si="80"/>
        <v>OK</v>
      </c>
      <c r="T600" s="8" t="str">
        <f t="shared" si="76"/>
        <v>OK</v>
      </c>
      <c r="U600" t="str">
        <f t="shared" si="77"/>
        <v>OK</v>
      </c>
      <c r="V600">
        <f t="shared" si="78"/>
        <v>15</v>
      </c>
      <c r="W600" s="4">
        <f t="shared" si="79"/>
        <v>45536</v>
      </c>
    </row>
    <row r="601" spans="1:23" hidden="1" x14ac:dyDescent="0.25">
      <c r="A601" t="s">
        <v>614</v>
      </c>
      <c r="B601" s="4">
        <v>45360</v>
      </c>
      <c r="C601" s="4">
        <v>45373</v>
      </c>
      <c r="D601" t="s">
        <v>649</v>
      </c>
      <c r="E601" t="s">
        <v>658</v>
      </c>
      <c r="F601" t="s">
        <v>693</v>
      </c>
      <c r="G601" t="s">
        <v>704</v>
      </c>
      <c r="H601" t="s">
        <v>708</v>
      </c>
      <c r="I601" t="s">
        <v>718</v>
      </c>
      <c r="J601" t="s">
        <v>731</v>
      </c>
      <c r="K601" t="s">
        <v>1332</v>
      </c>
      <c r="L601" s="6">
        <v>985.45</v>
      </c>
      <c r="M601" s="6">
        <v>1802.44</v>
      </c>
      <c r="N601" s="8">
        <v>8.9999999999999993E-3</v>
      </c>
      <c r="O601" s="6">
        <v>19</v>
      </c>
      <c r="P601" s="7" t="str">
        <f t="shared" si="73"/>
        <v>Manchester</v>
      </c>
      <c r="Q601" s="7" t="str">
        <f t="shared" si="74"/>
        <v>E. Garcia</v>
      </c>
      <c r="R601" s="7" t="str">
        <f t="shared" si="75"/>
        <v>Online</v>
      </c>
      <c r="S601" t="str">
        <f t="shared" si="80"/>
        <v>OK</v>
      </c>
      <c r="T601" s="8" t="str">
        <f t="shared" si="76"/>
        <v>OK</v>
      </c>
      <c r="U601" t="str">
        <f t="shared" si="77"/>
        <v>OK</v>
      </c>
      <c r="V601">
        <f t="shared" si="78"/>
        <v>13</v>
      </c>
      <c r="W601" s="4">
        <f t="shared" si="79"/>
        <v>45373</v>
      </c>
    </row>
    <row r="602" spans="1:23" hidden="1" x14ac:dyDescent="0.25">
      <c r="A602" t="s">
        <v>615</v>
      </c>
      <c r="B602" s="4">
        <v>45523</v>
      </c>
      <c r="C602" s="4">
        <v>45537</v>
      </c>
      <c r="D602" t="s">
        <v>648</v>
      </c>
      <c r="E602" t="s">
        <v>653</v>
      </c>
      <c r="F602" t="s">
        <v>667</v>
      </c>
      <c r="G602" t="s">
        <v>704</v>
      </c>
      <c r="H602" t="s">
        <v>710</v>
      </c>
      <c r="I602" t="s">
        <v>712</v>
      </c>
      <c r="J602" t="s">
        <v>728</v>
      </c>
      <c r="K602" t="s">
        <v>1333</v>
      </c>
      <c r="L602" s="6">
        <v>1337.01</v>
      </c>
      <c r="M602" s="6">
        <v>1269.78</v>
      </c>
      <c r="N602" s="8">
        <v>0.16</v>
      </c>
      <c r="O602" s="6">
        <v>7</v>
      </c>
      <c r="P602" s="7" t="str">
        <f t="shared" si="73"/>
        <v>Toronto</v>
      </c>
      <c r="Q602" s="7" t="str">
        <f t="shared" si="74"/>
        <v>C. Otieno</v>
      </c>
      <c r="R602" s="7" t="str">
        <f t="shared" si="75"/>
        <v>Distributor</v>
      </c>
      <c r="S602" t="str">
        <f t="shared" si="80"/>
        <v>OK</v>
      </c>
      <c r="T602" s="8" t="str">
        <f t="shared" si="76"/>
        <v>OK</v>
      </c>
      <c r="U602" t="str">
        <f t="shared" si="77"/>
        <v>OK</v>
      </c>
      <c r="V602">
        <f t="shared" si="78"/>
        <v>14</v>
      </c>
      <c r="W602" s="4">
        <f t="shared" si="79"/>
        <v>45537</v>
      </c>
    </row>
    <row r="603" spans="1:23" hidden="1" x14ac:dyDescent="0.25">
      <c r="A603" t="s">
        <v>616</v>
      </c>
      <c r="B603" s="4">
        <v>45880</v>
      </c>
      <c r="C603" s="4">
        <v>45897</v>
      </c>
      <c r="D603" t="s">
        <v>649</v>
      </c>
      <c r="E603" t="s">
        <v>657</v>
      </c>
      <c r="F603" t="s">
        <v>690</v>
      </c>
      <c r="G603" t="s">
        <v>702</v>
      </c>
      <c r="H603" t="s">
        <v>708</v>
      </c>
      <c r="I603" t="s">
        <v>721</v>
      </c>
      <c r="J603" t="s">
        <v>729</v>
      </c>
      <c r="K603" t="s">
        <v>1334</v>
      </c>
      <c r="L603" s="6">
        <v>416.16</v>
      </c>
      <c r="M603" s="6">
        <v>571.9</v>
      </c>
      <c r="N603" s="8">
        <v>7.0999999999999994E-2</v>
      </c>
      <c r="O603" s="6">
        <v>2</v>
      </c>
      <c r="P603" s="7" t="str">
        <f t="shared" si="73"/>
        <v>Paris</v>
      </c>
      <c r="Q603" s="7" t="str">
        <f t="shared" si="74"/>
        <v>F. Müller</v>
      </c>
      <c r="R603" s="7" t="str">
        <f t="shared" si="75"/>
        <v>Online</v>
      </c>
      <c r="S603" t="str">
        <f t="shared" si="80"/>
        <v>OK</v>
      </c>
      <c r="T603" s="8" t="str">
        <f t="shared" si="76"/>
        <v>OK</v>
      </c>
      <c r="U603" t="str">
        <f t="shared" si="77"/>
        <v>OK</v>
      </c>
      <c r="V603">
        <f t="shared" si="78"/>
        <v>17</v>
      </c>
      <c r="W603" s="4">
        <f t="shared" si="79"/>
        <v>45897</v>
      </c>
    </row>
    <row r="604" spans="1:23" hidden="1" x14ac:dyDescent="0.25">
      <c r="A604" t="s">
        <v>617</v>
      </c>
      <c r="B604" s="4">
        <v>45793</v>
      </c>
      <c r="C604" s="4">
        <v>45795</v>
      </c>
      <c r="D604" t="s">
        <v>647</v>
      </c>
      <c r="E604" t="s">
        <v>652</v>
      </c>
      <c r="F604" t="s">
        <v>689</v>
      </c>
      <c r="G604" t="s">
        <v>706</v>
      </c>
      <c r="H604" t="s">
        <v>707</v>
      </c>
      <c r="I604" t="s">
        <v>713</v>
      </c>
      <c r="J604" t="s">
        <v>728</v>
      </c>
      <c r="K604" t="s">
        <v>1335</v>
      </c>
      <c r="L604" s="6">
        <v>1144.3800000000001</v>
      </c>
      <c r="M604" s="6">
        <v>2755.04</v>
      </c>
      <c r="N604" s="8">
        <v>0.15</v>
      </c>
      <c r="O604" s="6">
        <v>17</v>
      </c>
      <c r="P604" s="7" t="str">
        <f t="shared" si="73"/>
        <v>Tokyo</v>
      </c>
      <c r="Q604" s="7" t="str">
        <f t="shared" si="74"/>
        <v>J. Njeri</v>
      </c>
      <c r="R604" s="7" t="str">
        <f t="shared" si="75"/>
        <v>Retail</v>
      </c>
      <c r="S604" t="str">
        <f t="shared" si="80"/>
        <v>OK</v>
      </c>
      <c r="T604" s="8" t="str">
        <f t="shared" si="76"/>
        <v>OK</v>
      </c>
      <c r="U604" t="str">
        <f t="shared" si="77"/>
        <v>OK</v>
      </c>
      <c r="V604">
        <f t="shared" si="78"/>
        <v>2</v>
      </c>
      <c r="W604" s="4">
        <f t="shared" si="79"/>
        <v>45795</v>
      </c>
    </row>
    <row r="605" spans="1:23" hidden="1" x14ac:dyDescent="0.25">
      <c r="A605" t="s">
        <v>618</v>
      </c>
      <c r="B605" s="4">
        <v>45026</v>
      </c>
      <c r="C605" s="4">
        <v>45041</v>
      </c>
      <c r="D605" t="s">
        <v>649</v>
      </c>
      <c r="E605" t="s">
        <v>658</v>
      </c>
      <c r="F605" t="s">
        <v>683</v>
      </c>
      <c r="G605" t="s">
        <v>705</v>
      </c>
      <c r="H605" t="s">
        <v>707</v>
      </c>
      <c r="I605" t="s">
        <v>726</v>
      </c>
      <c r="J605" t="s">
        <v>728</v>
      </c>
      <c r="K605" t="s">
        <v>1336</v>
      </c>
      <c r="L605" s="6">
        <v>405.66</v>
      </c>
      <c r="M605" s="6">
        <v>962.51</v>
      </c>
      <c r="N605" s="8">
        <v>0.19</v>
      </c>
      <c r="O605" s="6">
        <v>7</v>
      </c>
      <c r="P605" s="7" t="str">
        <f t="shared" si="73"/>
        <v>London</v>
      </c>
      <c r="Q605" s="7" t="str">
        <f t="shared" si="74"/>
        <v>D. Smith</v>
      </c>
      <c r="R605" s="7" t="str">
        <f t="shared" si="75"/>
        <v>Retail</v>
      </c>
      <c r="S605" t="str">
        <f t="shared" si="80"/>
        <v>OK</v>
      </c>
      <c r="T605" s="8" t="str">
        <f t="shared" si="76"/>
        <v>OK</v>
      </c>
      <c r="U605" t="str">
        <f t="shared" si="77"/>
        <v>OK</v>
      </c>
      <c r="V605">
        <f t="shared" si="78"/>
        <v>15</v>
      </c>
      <c r="W605" s="4">
        <f t="shared" si="79"/>
        <v>45041</v>
      </c>
    </row>
    <row r="606" spans="1:23" hidden="1" x14ac:dyDescent="0.25">
      <c r="A606" t="s">
        <v>619</v>
      </c>
      <c r="B606" s="4">
        <v>45186</v>
      </c>
      <c r="C606" s="4">
        <v>45201</v>
      </c>
      <c r="D606" t="s">
        <v>648</v>
      </c>
      <c r="E606" t="s">
        <v>655</v>
      </c>
      <c r="F606" t="s">
        <v>692</v>
      </c>
      <c r="G606" t="s">
        <v>705</v>
      </c>
      <c r="H606" t="s">
        <v>707</v>
      </c>
      <c r="I606" t="s">
        <v>717</v>
      </c>
      <c r="J606" t="s">
        <v>731</v>
      </c>
      <c r="K606" t="s">
        <v>1337</v>
      </c>
      <c r="L606" s="6">
        <v>689.33</v>
      </c>
      <c r="M606" s="6">
        <v>668.27</v>
      </c>
      <c r="N606" s="8">
        <v>0.186</v>
      </c>
      <c r="O606" s="6">
        <v>13</v>
      </c>
      <c r="P606" s="7" t="str">
        <f t="shared" si="73"/>
        <v>Rio de Janeiro</v>
      </c>
      <c r="Q606" s="7" t="str">
        <f t="shared" si="74"/>
        <v>B. Chen</v>
      </c>
      <c r="R606" s="7" t="str">
        <f t="shared" si="75"/>
        <v>Retail</v>
      </c>
      <c r="S606" t="str">
        <f t="shared" si="80"/>
        <v>OK</v>
      </c>
      <c r="T606" s="8" t="str">
        <f t="shared" si="76"/>
        <v>OK</v>
      </c>
      <c r="U606" t="str">
        <f t="shared" si="77"/>
        <v>OK</v>
      </c>
      <c r="V606">
        <f t="shared" si="78"/>
        <v>15</v>
      </c>
      <c r="W606" s="4">
        <f t="shared" si="79"/>
        <v>45201</v>
      </c>
    </row>
    <row r="607" spans="1:23" hidden="1" x14ac:dyDescent="0.25">
      <c r="A607" t="s">
        <v>620</v>
      </c>
      <c r="B607" s="4">
        <v>45038</v>
      </c>
      <c r="C607" s="4">
        <v>45060</v>
      </c>
      <c r="D607" t="s">
        <v>647</v>
      </c>
      <c r="E607" t="s">
        <v>652</v>
      </c>
      <c r="F607" t="s">
        <v>694</v>
      </c>
      <c r="G607" t="s">
        <v>706</v>
      </c>
      <c r="H607" t="s">
        <v>707</v>
      </c>
      <c r="I607" t="s">
        <v>720</v>
      </c>
      <c r="J607" t="s">
        <v>733</v>
      </c>
      <c r="K607" t="s">
        <v>1338</v>
      </c>
      <c r="L607" s="6">
        <v>1209.22</v>
      </c>
      <c r="M607" s="6">
        <v>1404.33</v>
      </c>
      <c r="N607" s="8">
        <v>0.10299999999999999</v>
      </c>
      <c r="O607" s="6">
        <v>11</v>
      </c>
      <c r="P607" s="7" t="str">
        <f t="shared" si="73"/>
        <v>Nagoya</v>
      </c>
      <c r="Q607" s="7" t="str">
        <f t="shared" si="74"/>
        <v>A. Patel</v>
      </c>
      <c r="R607" s="7" t="str">
        <f t="shared" si="75"/>
        <v>Retail</v>
      </c>
      <c r="S607" t="str">
        <f t="shared" si="80"/>
        <v>OK</v>
      </c>
      <c r="T607" s="8" t="str">
        <f t="shared" si="76"/>
        <v>OK</v>
      </c>
      <c r="U607" t="str">
        <f t="shared" si="77"/>
        <v>OK</v>
      </c>
      <c r="V607">
        <f t="shared" si="78"/>
        <v>22</v>
      </c>
      <c r="W607" s="4">
        <f t="shared" si="79"/>
        <v>45060</v>
      </c>
    </row>
    <row r="608" spans="1:23" hidden="1" x14ac:dyDescent="0.25">
      <c r="A608" t="s">
        <v>621</v>
      </c>
      <c r="B608" s="4">
        <v>45827</v>
      </c>
      <c r="C608" s="4">
        <v>45829</v>
      </c>
      <c r="D608" t="s">
        <v>646</v>
      </c>
      <c r="E608" t="s">
        <v>661</v>
      </c>
      <c r="F608" t="s">
        <v>682</v>
      </c>
      <c r="G608" t="s">
        <v>705</v>
      </c>
      <c r="H608" t="s">
        <v>1379</v>
      </c>
      <c r="I608" t="s">
        <v>722</v>
      </c>
      <c r="J608" t="s">
        <v>730</v>
      </c>
      <c r="K608" t="s">
        <v>1339</v>
      </c>
      <c r="L608" s="6">
        <v>1466.27</v>
      </c>
      <c r="M608" s="6">
        <v>3589.89</v>
      </c>
      <c r="N608" s="8">
        <v>9.7000000000000003E-2</v>
      </c>
      <c r="O608" s="6">
        <v>9</v>
      </c>
      <c r="P608" s="7" t="str">
        <f t="shared" si="73"/>
        <v>Johannesburg</v>
      </c>
      <c r="Q608" s="7" t="str">
        <f t="shared" si="74"/>
        <v>H. Kim</v>
      </c>
      <c r="R608" s="7" t="str">
        <f t="shared" si="75"/>
        <v>Unspecified</v>
      </c>
      <c r="S608" t="str">
        <f t="shared" si="80"/>
        <v>OK</v>
      </c>
      <c r="T608" s="8" t="str">
        <f t="shared" si="76"/>
        <v>OK</v>
      </c>
      <c r="U608" t="str">
        <f t="shared" si="77"/>
        <v>OK</v>
      </c>
      <c r="V608">
        <f t="shared" si="78"/>
        <v>2</v>
      </c>
      <c r="W608" s="4">
        <f t="shared" si="79"/>
        <v>45829</v>
      </c>
    </row>
    <row r="609" spans="1:23" hidden="1" x14ac:dyDescent="0.25">
      <c r="A609" t="s">
        <v>622</v>
      </c>
      <c r="B609" s="4">
        <v>45623</v>
      </c>
      <c r="C609" s="4">
        <v>45650</v>
      </c>
      <c r="D609" t="s">
        <v>646</v>
      </c>
      <c r="E609" t="s">
        <v>650</v>
      </c>
      <c r="F609" t="s">
        <v>675</v>
      </c>
      <c r="G609" t="s">
        <v>701</v>
      </c>
      <c r="H609" t="s">
        <v>710</v>
      </c>
      <c r="I609" t="s">
        <v>717</v>
      </c>
      <c r="J609" t="s">
        <v>728</v>
      </c>
      <c r="K609" t="s">
        <v>1340</v>
      </c>
      <c r="L609" s="6">
        <v>143.33000000000001</v>
      </c>
      <c r="M609" s="6">
        <v>233.51</v>
      </c>
      <c r="N609" s="8">
        <v>0.16300000000000001</v>
      </c>
      <c r="O609" s="6">
        <v>14</v>
      </c>
      <c r="P609" s="7" t="str">
        <f t="shared" si="73"/>
        <v>Mombasa</v>
      </c>
      <c r="Q609" s="7" t="str">
        <f t="shared" si="74"/>
        <v>B. Chen</v>
      </c>
      <c r="R609" s="7" t="str">
        <f t="shared" si="75"/>
        <v>Distributor</v>
      </c>
      <c r="S609" t="str">
        <f t="shared" si="80"/>
        <v>OK</v>
      </c>
      <c r="T609" s="8" t="str">
        <f t="shared" si="76"/>
        <v>OK</v>
      </c>
      <c r="U609" t="str">
        <f t="shared" si="77"/>
        <v>OK</v>
      </c>
      <c r="V609">
        <f t="shared" si="78"/>
        <v>27</v>
      </c>
      <c r="W609" s="4">
        <f t="shared" si="79"/>
        <v>45650</v>
      </c>
    </row>
    <row r="610" spans="1:23" hidden="1" x14ac:dyDescent="0.25">
      <c r="A610" t="s">
        <v>623</v>
      </c>
      <c r="B610" s="4">
        <v>45319</v>
      </c>
      <c r="C610" s="4">
        <v>45334</v>
      </c>
      <c r="D610" t="s">
        <v>646</v>
      </c>
      <c r="E610" t="s">
        <v>661</v>
      </c>
      <c r="F610" t="s">
        <v>695</v>
      </c>
      <c r="G610" t="s">
        <v>706</v>
      </c>
      <c r="H610" t="s">
        <v>711</v>
      </c>
      <c r="I610" t="s">
        <v>719</v>
      </c>
      <c r="J610" t="s">
        <v>727</v>
      </c>
      <c r="K610" t="s">
        <v>1341</v>
      </c>
      <c r="L610" s="6">
        <v>109.75</v>
      </c>
      <c r="M610" s="6">
        <v>124.25</v>
      </c>
      <c r="N610" s="8">
        <v>0.12</v>
      </c>
      <c r="O610" s="6">
        <v>19</v>
      </c>
      <c r="P610" s="7" t="str">
        <f t="shared" si="73"/>
        <v>Cape Town</v>
      </c>
      <c r="Q610" s="7" t="str">
        <f t="shared" si="74"/>
        <v>O. Wang</v>
      </c>
      <c r="R610" s="7" t="str">
        <f t="shared" si="75"/>
        <v>Direct</v>
      </c>
      <c r="S610" t="str">
        <f t="shared" si="80"/>
        <v>OK</v>
      </c>
      <c r="T610" s="8" t="str">
        <f t="shared" si="76"/>
        <v>OK</v>
      </c>
      <c r="U610" t="str">
        <f t="shared" si="77"/>
        <v>OK</v>
      </c>
      <c r="V610">
        <f t="shared" si="78"/>
        <v>15</v>
      </c>
      <c r="W610" s="4">
        <f t="shared" si="79"/>
        <v>45334</v>
      </c>
    </row>
    <row r="611" spans="1:23" hidden="1" x14ac:dyDescent="0.25">
      <c r="A611" t="s">
        <v>624</v>
      </c>
      <c r="B611" s="4">
        <v>45032</v>
      </c>
      <c r="C611" s="4">
        <v>45039</v>
      </c>
      <c r="D611" t="s">
        <v>648</v>
      </c>
      <c r="E611" t="s">
        <v>660</v>
      </c>
      <c r="F611" t="s">
        <v>697</v>
      </c>
      <c r="G611" t="s">
        <v>701</v>
      </c>
      <c r="H611" t="s">
        <v>710</v>
      </c>
      <c r="I611" t="s">
        <v>719</v>
      </c>
      <c r="J611" t="s">
        <v>728</v>
      </c>
      <c r="K611" t="s">
        <v>1342</v>
      </c>
      <c r="L611" s="6">
        <v>1099.1500000000001</v>
      </c>
      <c r="M611" s="6">
        <v>1431.37</v>
      </c>
      <c r="N611" s="8">
        <v>0.104</v>
      </c>
      <c r="O611" s="6">
        <v>8</v>
      </c>
      <c r="P611" s="7" t="str">
        <f t="shared" si="73"/>
        <v>Austin</v>
      </c>
      <c r="Q611" s="7" t="str">
        <f t="shared" si="74"/>
        <v>O. Wang</v>
      </c>
      <c r="R611" s="7" t="str">
        <f t="shared" si="75"/>
        <v>Distributor</v>
      </c>
      <c r="S611" t="str">
        <f t="shared" si="80"/>
        <v>OK</v>
      </c>
      <c r="T611" s="8" t="str">
        <f t="shared" si="76"/>
        <v>OK</v>
      </c>
      <c r="U611" t="str">
        <f t="shared" si="77"/>
        <v>OK</v>
      </c>
      <c r="V611">
        <f t="shared" si="78"/>
        <v>7</v>
      </c>
      <c r="W611" s="4">
        <f t="shared" si="79"/>
        <v>45039</v>
      </c>
    </row>
    <row r="612" spans="1:23" hidden="1" x14ac:dyDescent="0.25">
      <c r="A612" t="s">
        <v>625</v>
      </c>
      <c r="B612" s="4">
        <v>45323</v>
      </c>
      <c r="C612" s="4">
        <v>45323</v>
      </c>
      <c r="D612" t="s">
        <v>648</v>
      </c>
      <c r="E612" t="s">
        <v>660</v>
      </c>
      <c r="F612" t="s">
        <v>697</v>
      </c>
      <c r="G612" t="s">
        <v>704</v>
      </c>
      <c r="H612" t="s">
        <v>710</v>
      </c>
      <c r="I612" t="s">
        <v>722</v>
      </c>
      <c r="J612" t="s">
        <v>728</v>
      </c>
      <c r="K612" t="s">
        <v>1343</v>
      </c>
      <c r="L612" s="6">
        <v>714.43</v>
      </c>
      <c r="M612" s="6">
        <v>1595.52</v>
      </c>
      <c r="N612" s="8">
        <v>0.19400000000000001</v>
      </c>
      <c r="O612" s="6">
        <v>14</v>
      </c>
      <c r="P612" s="7" t="str">
        <f t="shared" si="73"/>
        <v>Austin</v>
      </c>
      <c r="Q612" s="7" t="str">
        <f t="shared" si="74"/>
        <v>H. Kim</v>
      </c>
      <c r="R612" s="7" t="str">
        <f t="shared" si="75"/>
        <v>Distributor</v>
      </c>
      <c r="S612" t="str">
        <f t="shared" si="80"/>
        <v>OK</v>
      </c>
      <c r="T612" s="8" t="str">
        <f t="shared" si="76"/>
        <v>OK</v>
      </c>
      <c r="U612" t="str">
        <f t="shared" si="77"/>
        <v>OK</v>
      </c>
      <c r="V612">
        <f t="shared" si="78"/>
        <v>0</v>
      </c>
      <c r="W612" s="4">
        <f t="shared" si="79"/>
        <v>45323</v>
      </c>
    </row>
    <row r="613" spans="1:23" hidden="1" x14ac:dyDescent="0.25">
      <c r="A613" t="s">
        <v>626</v>
      </c>
      <c r="B613" s="4">
        <v>45584</v>
      </c>
      <c r="C613" s="4">
        <v>45602</v>
      </c>
      <c r="D613" t="s">
        <v>648</v>
      </c>
      <c r="E613" t="s">
        <v>660</v>
      </c>
      <c r="F613" t="s">
        <v>677</v>
      </c>
      <c r="G613" t="s">
        <v>702</v>
      </c>
      <c r="H613" t="s">
        <v>1379</v>
      </c>
      <c r="I613" t="s">
        <v>712</v>
      </c>
      <c r="J613" t="s">
        <v>732</v>
      </c>
      <c r="K613" t="s">
        <v>1344</v>
      </c>
      <c r="L613" s="6">
        <v>942.02</v>
      </c>
      <c r="M613" s="6">
        <v>1028.46</v>
      </c>
      <c r="N613" s="8">
        <v>0</v>
      </c>
      <c r="O613" s="6">
        <v>9</v>
      </c>
      <c r="P613" s="7" t="str">
        <f t="shared" si="73"/>
        <v>Chicago</v>
      </c>
      <c r="Q613" s="7" t="str">
        <f t="shared" si="74"/>
        <v>C. Otieno</v>
      </c>
      <c r="R613" s="7" t="str">
        <f t="shared" si="75"/>
        <v>Unspecified</v>
      </c>
      <c r="S613" t="str">
        <f t="shared" si="80"/>
        <v>OK</v>
      </c>
      <c r="T613" s="8" t="str">
        <f t="shared" si="76"/>
        <v>OK</v>
      </c>
      <c r="U613" t="str">
        <f t="shared" si="77"/>
        <v>OK</v>
      </c>
      <c r="V613">
        <f t="shared" si="78"/>
        <v>18</v>
      </c>
      <c r="W613" s="4">
        <f t="shared" si="79"/>
        <v>45602</v>
      </c>
    </row>
    <row r="614" spans="1:23" hidden="1" x14ac:dyDescent="0.25">
      <c r="A614" t="s">
        <v>627</v>
      </c>
      <c r="B614" s="4">
        <v>45468</v>
      </c>
      <c r="C614" s="4">
        <v>45473</v>
      </c>
      <c r="D614" t="s">
        <v>646</v>
      </c>
      <c r="E614" t="s">
        <v>650</v>
      </c>
      <c r="F614" t="s">
        <v>662</v>
      </c>
      <c r="G614" t="s">
        <v>702</v>
      </c>
      <c r="H614" t="s">
        <v>711</v>
      </c>
      <c r="I614" t="s">
        <v>724</v>
      </c>
      <c r="J614" t="s">
        <v>729</v>
      </c>
      <c r="K614" t="s">
        <v>1345</v>
      </c>
      <c r="L614" s="6">
        <v>1323.55</v>
      </c>
      <c r="M614" s="6">
        <v>3230.35</v>
      </c>
      <c r="N614" s="8">
        <v>2.1999999999999999E-2</v>
      </c>
      <c r="O614" s="6">
        <v>26</v>
      </c>
      <c r="P614" s="7" t="str">
        <f t="shared" si="73"/>
        <v>Kisumu</v>
      </c>
      <c r="Q614" s="7" t="str">
        <f t="shared" si="74"/>
        <v>M. Rossi</v>
      </c>
      <c r="R614" s="7" t="str">
        <f t="shared" si="75"/>
        <v>Direct</v>
      </c>
      <c r="S614" t="str">
        <f t="shared" si="80"/>
        <v>OK</v>
      </c>
      <c r="T614" s="8" t="str">
        <f t="shared" si="76"/>
        <v>OK</v>
      </c>
      <c r="U614" t="str">
        <f t="shared" si="77"/>
        <v>OK</v>
      </c>
      <c r="V614">
        <f t="shared" si="78"/>
        <v>5</v>
      </c>
      <c r="W614" s="4">
        <f t="shared" si="79"/>
        <v>45473</v>
      </c>
    </row>
    <row r="615" spans="1:23" hidden="1" x14ac:dyDescent="0.25">
      <c r="A615" t="s">
        <v>628</v>
      </c>
      <c r="B615" s="4">
        <v>45137</v>
      </c>
      <c r="C615" s="4">
        <v>45157</v>
      </c>
      <c r="D615" t="s">
        <v>649</v>
      </c>
      <c r="E615" t="s">
        <v>657</v>
      </c>
      <c r="F615" t="s">
        <v>690</v>
      </c>
      <c r="G615" t="s">
        <v>706</v>
      </c>
      <c r="H615" t="s">
        <v>709</v>
      </c>
      <c r="I615" t="s">
        <v>715</v>
      </c>
      <c r="J615" t="s">
        <v>729</v>
      </c>
      <c r="K615" t="s">
        <v>1346</v>
      </c>
      <c r="L615" s="6">
        <v>1418.51</v>
      </c>
      <c r="M615" s="6">
        <v>2789.61</v>
      </c>
      <c r="N615" s="8">
        <v>0.17100000000000001</v>
      </c>
      <c r="O615" s="6">
        <v>8</v>
      </c>
      <c r="P615" s="7" t="str">
        <f t="shared" si="73"/>
        <v>Paris</v>
      </c>
      <c r="Q615" s="7" t="str">
        <f t="shared" si="74"/>
        <v>G. Dubois</v>
      </c>
      <c r="R615" s="7" t="str">
        <f t="shared" si="75"/>
        <v>Marketplace</v>
      </c>
      <c r="S615" t="str">
        <f t="shared" si="80"/>
        <v>OK</v>
      </c>
      <c r="T615" s="8" t="str">
        <f t="shared" si="76"/>
        <v>OK</v>
      </c>
      <c r="U615" t="str">
        <f t="shared" si="77"/>
        <v>OK</v>
      </c>
      <c r="V615">
        <f t="shared" si="78"/>
        <v>20</v>
      </c>
      <c r="W615" s="4">
        <f t="shared" si="79"/>
        <v>45157</v>
      </c>
    </row>
    <row r="616" spans="1:23" hidden="1" x14ac:dyDescent="0.25">
      <c r="A616" t="s">
        <v>629</v>
      </c>
      <c r="B616" s="4">
        <v>45727</v>
      </c>
      <c r="C616" s="4">
        <v>45743</v>
      </c>
      <c r="D616" t="s">
        <v>647</v>
      </c>
      <c r="E616" t="s">
        <v>652</v>
      </c>
      <c r="F616" t="s">
        <v>689</v>
      </c>
      <c r="G616" t="s">
        <v>706</v>
      </c>
      <c r="H616" t="s">
        <v>710</v>
      </c>
      <c r="I616" t="s">
        <v>717</v>
      </c>
      <c r="J616" t="s">
        <v>728</v>
      </c>
      <c r="K616" t="s">
        <v>1347</v>
      </c>
      <c r="L616" s="6">
        <v>1317.58</v>
      </c>
      <c r="M616" s="6">
        <v>1897.74</v>
      </c>
      <c r="N616" s="8">
        <v>8.1000000000000003E-2</v>
      </c>
      <c r="O616" s="6">
        <v>6</v>
      </c>
      <c r="P616" s="7" t="str">
        <f t="shared" si="73"/>
        <v>Tokyo</v>
      </c>
      <c r="Q616" s="7" t="str">
        <f t="shared" si="74"/>
        <v>B. Chen</v>
      </c>
      <c r="R616" s="7" t="str">
        <f t="shared" si="75"/>
        <v>Distributor</v>
      </c>
      <c r="S616" t="str">
        <f t="shared" si="80"/>
        <v>OK</v>
      </c>
      <c r="T616" s="8" t="str">
        <f t="shared" si="76"/>
        <v>OK</v>
      </c>
      <c r="U616" t="str">
        <f t="shared" si="77"/>
        <v>OK</v>
      </c>
      <c r="V616">
        <f t="shared" si="78"/>
        <v>16</v>
      </c>
      <c r="W616" s="4">
        <f t="shared" si="79"/>
        <v>45743</v>
      </c>
    </row>
    <row r="617" spans="1:23" hidden="1" x14ac:dyDescent="0.25">
      <c r="A617" t="s">
        <v>630</v>
      </c>
      <c r="B617" s="4">
        <v>45208</v>
      </c>
      <c r="C617" s="4">
        <v>45210</v>
      </c>
      <c r="D617" t="s">
        <v>646</v>
      </c>
      <c r="E617" t="s">
        <v>651</v>
      </c>
      <c r="F617" t="s">
        <v>663</v>
      </c>
      <c r="G617" t="s">
        <v>702</v>
      </c>
      <c r="H617" t="s">
        <v>709</v>
      </c>
      <c r="I617" t="s">
        <v>723</v>
      </c>
      <c r="J617" t="s">
        <v>729</v>
      </c>
      <c r="K617" t="s">
        <v>1348</v>
      </c>
      <c r="L617" s="6">
        <v>391.16</v>
      </c>
      <c r="M617" s="6">
        <v>902.47</v>
      </c>
      <c r="N617" s="8">
        <v>4.0000000000000001E-3</v>
      </c>
      <c r="O617" s="6">
        <v>12</v>
      </c>
      <c r="P617" s="7" t="str">
        <f t="shared" si="73"/>
        <v>Port Harcourt</v>
      </c>
      <c r="Q617" s="7" t="str">
        <f t="shared" si="74"/>
        <v>K. Singh</v>
      </c>
      <c r="R617" s="7" t="str">
        <f t="shared" si="75"/>
        <v>Marketplace</v>
      </c>
      <c r="S617" t="str">
        <f t="shared" si="80"/>
        <v>OK</v>
      </c>
      <c r="T617" s="8" t="str">
        <f t="shared" si="76"/>
        <v>OK</v>
      </c>
      <c r="U617" t="str">
        <f t="shared" si="77"/>
        <v>OK</v>
      </c>
      <c r="V617">
        <f t="shared" si="78"/>
        <v>2</v>
      </c>
      <c r="W617" s="4">
        <f t="shared" si="79"/>
        <v>45210</v>
      </c>
    </row>
    <row r="618" spans="1:23" hidden="1" x14ac:dyDescent="0.25">
      <c r="A618" t="s">
        <v>631</v>
      </c>
      <c r="B618" s="4">
        <v>45643</v>
      </c>
      <c r="C618" s="4">
        <v>45673</v>
      </c>
      <c r="D618" t="s">
        <v>649</v>
      </c>
      <c r="E618" t="s">
        <v>658</v>
      </c>
      <c r="F618" t="s">
        <v>693</v>
      </c>
      <c r="G618" t="s">
        <v>701</v>
      </c>
      <c r="H618" t="s">
        <v>707</v>
      </c>
      <c r="I618" t="s">
        <v>726</v>
      </c>
      <c r="J618" t="s">
        <v>732</v>
      </c>
      <c r="K618" t="s">
        <v>1349</v>
      </c>
      <c r="L618" s="6">
        <v>722.87</v>
      </c>
      <c r="M618" s="6">
        <v>33.659999999999997</v>
      </c>
      <c r="N618" s="8">
        <v>0.10199999999999999</v>
      </c>
      <c r="O618" s="6">
        <v>28</v>
      </c>
      <c r="P618" s="7" t="str">
        <f t="shared" si="73"/>
        <v>Manchester</v>
      </c>
      <c r="Q618" s="7" t="str">
        <f t="shared" si="74"/>
        <v>D. Smith</v>
      </c>
      <c r="R618" s="7" t="str">
        <f t="shared" si="75"/>
        <v>Retail</v>
      </c>
      <c r="S618" s="7" t="str">
        <f>IFERROR(IF(M618&lt;0,"Correct (- Price)","OK"),"Error")</f>
        <v>OK</v>
      </c>
      <c r="T618" s="8" t="str">
        <f t="shared" si="76"/>
        <v>OK</v>
      </c>
      <c r="U618" t="str">
        <f t="shared" si="77"/>
        <v>OK</v>
      </c>
      <c r="V618">
        <f t="shared" si="78"/>
        <v>30</v>
      </c>
      <c r="W618" s="4">
        <f t="shared" si="79"/>
        <v>45673</v>
      </c>
    </row>
    <row r="619" spans="1:23" hidden="1" x14ac:dyDescent="0.25">
      <c r="A619" t="s">
        <v>632</v>
      </c>
      <c r="B619" s="4">
        <v>45849</v>
      </c>
      <c r="C619" s="4">
        <v>45854</v>
      </c>
      <c r="D619" t="s">
        <v>649</v>
      </c>
      <c r="E619" t="s">
        <v>658</v>
      </c>
      <c r="F619" t="s">
        <v>683</v>
      </c>
      <c r="G619" t="s">
        <v>706</v>
      </c>
      <c r="H619" t="s">
        <v>708</v>
      </c>
      <c r="I619" t="s">
        <v>723</v>
      </c>
      <c r="J619" t="s">
        <v>728</v>
      </c>
      <c r="K619" t="s">
        <v>1350</v>
      </c>
      <c r="L619" s="6">
        <v>930.03</v>
      </c>
      <c r="M619" s="6">
        <v>1086.68</v>
      </c>
      <c r="N619" s="8">
        <v>0.109</v>
      </c>
      <c r="O619" s="6">
        <v>26</v>
      </c>
      <c r="P619" s="7" t="str">
        <f t="shared" si="73"/>
        <v>London</v>
      </c>
      <c r="Q619" s="7" t="str">
        <f t="shared" si="74"/>
        <v>K. Singh</v>
      </c>
      <c r="R619" s="7" t="str">
        <f t="shared" si="75"/>
        <v>Online</v>
      </c>
      <c r="S619" t="str">
        <f t="shared" si="80"/>
        <v>OK</v>
      </c>
      <c r="T619" s="8" t="str">
        <f t="shared" si="76"/>
        <v>OK</v>
      </c>
      <c r="U619" t="str">
        <f t="shared" si="77"/>
        <v>OK</v>
      </c>
      <c r="V619">
        <f t="shared" si="78"/>
        <v>5</v>
      </c>
      <c r="W619" s="4">
        <f t="shared" si="79"/>
        <v>45854</v>
      </c>
    </row>
    <row r="620" spans="1:23" hidden="1" x14ac:dyDescent="0.25">
      <c r="A620" t="s">
        <v>633</v>
      </c>
      <c r="B620" s="4">
        <v>45578</v>
      </c>
      <c r="C620" s="4">
        <v>45589</v>
      </c>
      <c r="D620" t="s">
        <v>649</v>
      </c>
      <c r="E620" t="s">
        <v>657</v>
      </c>
      <c r="F620" t="s">
        <v>690</v>
      </c>
      <c r="G620" t="s">
        <v>702</v>
      </c>
      <c r="H620" t="s">
        <v>710</v>
      </c>
      <c r="I620" t="s">
        <v>721</v>
      </c>
      <c r="J620" t="s">
        <v>727</v>
      </c>
      <c r="K620" t="s">
        <v>1351</v>
      </c>
      <c r="L620" s="6">
        <v>816.7</v>
      </c>
      <c r="M620" s="6">
        <v>1010.75</v>
      </c>
      <c r="N620" s="8">
        <v>4.7E-2</v>
      </c>
      <c r="O620" s="6">
        <v>43</v>
      </c>
      <c r="P620" s="7" t="str">
        <f t="shared" si="73"/>
        <v>Paris</v>
      </c>
      <c r="Q620" s="7" t="str">
        <f t="shared" si="74"/>
        <v>F. Müller</v>
      </c>
      <c r="R620" s="7" t="str">
        <f t="shared" si="75"/>
        <v>Distributor</v>
      </c>
      <c r="S620" t="str">
        <f t="shared" si="80"/>
        <v>OK</v>
      </c>
      <c r="T620" s="8" t="str">
        <f t="shared" si="76"/>
        <v>OK</v>
      </c>
      <c r="U620" t="str">
        <f t="shared" si="77"/>
        <v>OK</v>
      </c>
      <c r="V620">
        <f t="shared" si="78"/>
        <v>11</v>
      </c>
      <c r="W620" s="4">
        <f t="shared" si="79"/>
        <v>45589</v>
      </c>
    </row>
    <row r="621" spans="1:23" hidden="1" x14ac:dyDescent="0.25">
      <c r="A621" t="s">
        <v>634</v>
      </c>
      <c r="B621" s="4">
        <v>45177</v>
      </c>
      <c r="C621" s="4">
        <v>45183</v>
      </c>
      <c r="D621" t="s">
        <v>646</v>
      </c>
      <c r="E621" t="s">
        <v>650</v>
      </c>
      <c r="F621" t="s">
        <v>678</v>
      </c>
      <c r="G621" t="s">
        <v>702</v>
      </c>
      <c r="H621" t="s">
        <v>711</v>
      </c>
      <c r="I621" t="s">
        <v>714</v>
      </c>
      <c r="J621" t="s">
        <v>733</v>
      </c>
      <c r="K621" t="s">
        <v>1352</v>
      </c>
      <c r="L621" s="6">
        <v>251.03</v>
      </c>
      <c r="M621" s="6">
        <v>411.48</v>
      </c>
      <c r="N621" s="8">
        <v>0.16500000000000001</v>
      </c>
      <c r="O621" s="6">
        <v>3</v>
      </c>
      <c r="P621" s="7" t="str">
        <f t="shared" si="73"/>
        <v>Nakuru</v>
      </c>
      <c r="Q621" s="7" t="str">
        <f t="shared" si="74"/>
        <v>I. Johnson</v>
      </c>
      <c r="R621" s="7" t="str">
        <f t="shared" si="75"/>
        <v>Direct</v>
      </c>
      <c r="S621" t="str">
        <f t="shared" si="80"/>
        <v>OK</v>
      </c>
      <c r="T621" s="8" t="str">
        <f t="shared" si="76"/>
        <v>OK</v>
      </c>
      <c r="U621" t="str">
        <f t="shared" si="77"/>
        <v>OK</v>
      </c>
      <c r="V621">
        <f t="shared" si="78"/>
        <v>6</v>
      </c>
      <c r="W621" s="4">
        <f t="shared" si="79"/>
        <v>45183</v>
      </c>
    </row>
    <row r="622" spans="1:23" hidden="1" x14ac:dyDescent="0.25">
      <c r="A622" t="s">
        <v>635</v>
      </c>
      <c r="B622" s="4">
        <v>45764</v>
      </c>
      <c r="C622" s="4">
        <v>45780</v>
      </c>
      <c r="D622" t="s">
        <v>648</v>
      </c>
      <c r="E622" t="s">
        <v>655</v>
      </c>
      <c r="F622" t="s">
        <v>692</v>
      </c>
      <c r="G622" t="s">
        <v>704</v>
      </c>
      <c r="H622" t="s">
        <v>709</v>
      </c>
      <c r="I622" t="s">
        <v>713</v>
      </c>
      <c r="J622" t="s">
        <v>729</v>
      </c>
      <c r="K622" t="s">
        <v>1353</v>
      </c>
      <c r="L622" s="6">
        <v>168.68</v>
      </c>
      <c r="M622" s="6">
        <v>413.34</v>
      </c>
      <c r="N622" s="8">
        <v>0.186</v>
      </c>
      <c r="O622" s="6">
        <v>7</v>
      </c>
      <c r="P622" s="7" t="str">
        <f t="shared" si="73"/>
        <v>Rio de Janeiro</v>
      </c>
      <c r="Q622" s="7" t="str">
        <f t="shared" si="74"/>
        <v>J. Njeri</v>
      </c>
      <c r="R622" s="7" t="str">
        <f t="shared" si="75"/>
        <v>Marketplace</v>
      </c>
      <c r="S622" t="str">
        <f t="shared" si="80"/>
        <v>OK</v>
      </c>
      <c r="T622" s="8" t="str">
        <f t="shared" si="76"/>
        <v>OK</v>
      </c>
      <c r="U622" t="str">
        <f t="shared" si="77"/>
        <v>OK</v>
      </c>
      <c r="V622">
        <f t="shared" si="78"/>
        <v>16</v>
      </c>
      <c r="W622" s="4">
        <f t="shared" si="79"/>
        <v>45780</v>
      </c>
    </row>
    <row r="623" spans="1:23" hidden="1" x14ac:dyDescent="0.25">
      <c r="A623" t="s">
        <v>636</v>
      </c>
      <c r="B623" s="4">
        <v>45501</v>
      </c>
      <c r="C623" s="4">
        <v>45527</v>
      </c>
      <c r="D623" t="s">
        <v>647</v>
      </c>
      <c r="E623" t="s">
        <v>654</v>
      </c>
      <c r="F623" t="s">
        <v>696</v>
      </c>
      <c r="G623" t="s">
        <v>701</v>
      </c>
      <c r="H623" t="s">
        <v>707</v>
      </c>
      <c r="I623" t="s">
        <v>713</v>
      </c>
      <c r="J623" t="s">
        <v>729</v>
      </c>
      <c r="K623" t="s">
        <v>1354</v>
      </c>
      <c r="L623" s="6">
        <v>1339.24</v>
      </c>
      <c r="M623" s="6">
        <v>1558.89</v>
      </c>
      <c r="N623" s="8">
        <v>0.192</v>
      </c>
      <c r="O623" s="6">
        <v>24</v>
      </c>
      <c r="P623" s="7" t="str">
        <f t="shared" si="73"/>
        <v>Hyderabad</v>
      </c>
      <c r="Q623" s="7" t="str">
        <f t="shared" si="74"/>
        <v>J. Njeri</v>
      </c>
      <c r="R623" s="7" t="str">
        <f t="shared" si="75"/>
        <v>Retail</v>
      </c>
      <c r="S623" t="str">
        <f t="shared" si="80"/>
        <v>OK</v>
      </c>
      <c r="T623" s="8" t="str">
        <f t="shared" si="76"/>
        <v>OK</v>
      </c>
      <c r="U623" t="str">
        <f t="shared" si="77"/>
        <v>OK</v>
      </c>
      <c r="V623">
        <f t="shared" si="78"/>
        <v>26</v>
      </c>
      <c r="W623" s="4">
        <f t="shared" si="79"/>
        <v>45527</v>
      </c>
    </row>
    <row r="624" spans="1:23" hidden="1" x14ac:dyDescent="0.25">
      <c r="A624" t="s">
        <v>637</v>
      </c>
      <c r="B624" s="4">
        <v>45857</v>
      </c>
      <c r="C624" s="4">
        <v>45869</v>
      </c>
      <c r="D624" t="s">
        <v>646</v>
      </c>
      <c r="E624" t="s">
        <v>650</v>
      </c>
      <c r="F624" t="s">
        <v>664</v>
      </c>
      <c r="G624" t="s">
        <v>705</v>
      </c>
      <c r="H624" t="s">
        <v>709</v>
      </c>
      <c r="I624" t="s">
        <v>719</v>
      </c>
      <c r="J624" t="s">
        <v>733</v>
      </c>
      <c r="K624" t="s">
        <v>1355</v>
      </c>
      <c r="L624" s="6">
        <v>619.64</v>
      </c>
      <c r="M624" s="6">
        <v>861.16</v>
      </c>
      <c r="N624" s="8">
        <v>0.113</v>
      </c>
      <c r="O624" s="6">
        <v>14</v>
      </c>
      <c r="P624" s="7" t="str">
        <f t="shared" si="73"/>
        <v>Nairobi</v>
      </c>
      <c r="Q624" s="7" t="str">
        <f t="shared" si="74"/>
        <v>O. Wang</v>
      </c>
      <c r="R624" s="7" t="str">
        <f t="shared" si="75"/>
        <v>Marketplace</v>
      </c>
      <c r="S624" t="str">
        <f t="shared" si="80"/>
        <v>OK</v>
      </c>
      <c r="T624" s="8" t="str">
        <f t="shared" si="76"/>
        <v>OK</v>
      </c>
      <c r="U624" t="str">
        <f t="shared" si="77"/>
        <v>OK</v>
      </c>
      <c r="V624">
        <f t="shared" si="78"/>
        <v>12</v>
      </c>
      <c r="W624" s="4">
        <f t="shared" si="79"/>
        <v>45869</v>
      </c>
    </row>
    <row r="625" spans="1:23" hidden="1" x14ac:dyDescent="0.25">
      <c r="A625" t="s">
        <v>638</v>
      </c>
      <c r="B625" s="4">
        <v>45141</v>
      </c>
      <c r="C625" s="4">
        <v>45156</v>
      </c>
      <c r="D625" t="s">
        <v>647</v>
      </c>
      <c r="E625" t="s">
        <v>659</v>
      </c>
      <c r="F625" t="s">
        <v>685</v>
      </c>
      <c r="G625" t="s">
        <v>703</v>
      </c>
      <c r="H625" t="s">
        <v>711</v>
      </c>
      <c r="I625" t="s">
        <v>713</v>
      </c>
      <c r="J625" t="s">
        <v>729</v>
      </c>
      <c r="K625" t="s">
        <v>1356</v>
      </c>
      <c r="L625" s="6">
        <v>1021.97</v>
      </c>
      <c r="M625" s="6">
        <v>2296.25</v>
      </c>
      <c r="N625" s="8">
        <v>0.161</v>
      </c>
      <c r="O625" s="6">
        <v>26</v>
      </c>
      <c r="P625" s="7" t="str">
        <f t="shared" si="73"/>
        <v>Shanghai</v>
      </c>
      <c r="Q625" s="7" t="str">
        <f t="shared" si="74"/>
        <v>J. Njeri</v>
      </c>
      <c r="R625" s="7" t="str">
        <f t="shared" si="75"/>
        <v>Direct</v>
      </c>
      <c r="S625" t="str">
        <f t="shared" si="80"/>
        <v>OK</v>
      </c>
      <c r="T625" s="8" t="str">
        <f t="shared" si="76"/>
        <v>OK</v>
      </c>
      <c r="U625" t="str">
        <f t="shared" si="77"/>
        <v>OK</v>
      </c>
      <c r="V625">
        <f t="shared" si="78"/>
        <v>15</v>
      </c>
      <c r="W625" s="4">
        <f t="shared" si="79"/>
        <v>45156</v>
      </c>
    </row>
    <row r="626" spans="1:23" hidden="1" x14ac:dyDescent="0.25">
      <c r="A626" t="s">
        <v>639</v>
      </c>
      <c r="B626" s="4">
        <v>45249</v>
      </c>
      <c r="C626" s="4">
        <v>45272</v>
      </c>
      <c r="D626" t="s">
        <v>647</v>
      </c>
      <c r="E626" t="s">
        <v>654</v>
      </c>
      <c r="F626" t="s">
        <v>680</v>
      </c>
      <c r="G626" t="s">
        <v>705</v>
      </c>
      <c r="H626" t="s">
        <v>711</v>
      </c>
      <c r="I626" t="s">
        <v>712</v>
      </c>
      <c r="J626" t="s">
        <v>729</v>
      </c>
      <c r="K626" t="s">
        <v>1357</v>
      </c>
      <c r="L626" s="6">
        <v>1349.04</v>
      </c>
      <c r="M626" s="6">
        <v>2636.6</v>
      </c>
      <c r="N626" s="8">
        <v>0.114</v>
      </c>
      <c r="O626" s="6">
        <v>14</v>
      </c>
      <c r="P626" s="7" t="str">
        <f t="shared" si="73"/>
        <v>Delhi</v>
      </c>
      <c r="Q626" s="7" t="str">
        <f t="shared" si="74"/>
        <v>C. Otieno</v>
      </c>
      <c r="R626" s="7" t="str">
        <f t="shared" si="75"/>
        <v>Direct</v>
      </c>
      <c r="S626" t="str">
        <f t="shared" si="80"/>
        <v>OK</v>
      </c>
      <c r="T626" s="8" t="str">
        <f t="shared" si="76"/>
        <v>OK</v>
      </c>
      <c r="U626" t="str">
        <f t="shared" si="77"/>
        <v>OK</v>
      </c>
      <c r="V626">
        <f t="shared" si="78"/>
        <v>23</v>
      </c>
      <c r="W626" s="4">
        <f t="shared" si="79"/>
        <v>45272</v>
      </c>
    </row>
    <row r="627" spans="1:23" hidden="1" x14ac:dyDescent="0.25">
      <c r="A627" t="s">
        <v>640</v>
      </c>
      <c r="B627" s="4">
        <v>45282</v>
      </c>
      <c r="C627" s="4">
        <v>45307</v>
      </c>
      <c r="D627" t="s">
        <v>647</v>
      </c>
      <c r="E627" t="s">
        <v>654</v>
      </c>
      <c r="F627" t="s">
        <v>696</v>
      </c>
      <c r="G627" t="s">
        <v>705</v>
      </c>
      <c r="H627" t="s">
        <v>707</v>
      </c>
      <c r="I627" t="s">
        <v>720</v>
      </c>
      <c r="J627" t="s">
        <v>727</v>
      </c>
      <c r="K627" t="s">
        <v>1358</v>
      </c>
      <c r="L627" s="6">
        <v>1346.81</v>
      </c>
      <c r="M627" s="6">
        <v>978.09</v>
      </c>
      <c r="N627" s="8">
        <v>0.159</v>
      </c>
      <c r="O627" s="6">
        <v>17</v>
      </c>
      <c r="P627" s="7" t="str">
        <f t="shared" si="73"/>
        <v>Hyderabad</v>
      </c>
      <c r="Q627" s="7" t="str">
        <f t="shared" si="74"/>
        <v>A. Patel</v>
      </c>
      <c r="R627" s="7" t="str">
        <f t="shared" si="75"/>
        <v>Retail</v>
      </c>
      <c r="S627" t="str">
        <f t="shared" si="80"/>
        <v>OK</v>
      </c>
      <c r="T627" s="8" t="str">
        <f t="shared" si="76"/>
        <v>OK</v>
      </c>
      <c r="U627" t="str">
        <f t="shared" si="77"/>
        <v>OK</v>
      </c>
      <c r="V627">
        <f t="shared" si="78"/>
        <v>25</v>
      </c>
      <c r="W627" s="4">
        <f t="shared" si="79"/>
        <v>45307</v>
      </c>
    </row>
    <row r="628" spans="1:23" hidden="1" x14ac:dyDescent="0.25">
      <c r="A628" t="s">
        <v>641</v>
      </c>
      <c r="B628" s="4">
        <v>45141</v>
      </c>
      <c r="C628" s="4">
        <v>45168</v>
      </c>
      <c r="D628" t="s">
        <v>647</v>
      </c>
      <c r="E628" t="s">
        <v>659</v>
      </c>
      <c r="F628" t="s">
        <v>685</v>
      </c>
      <c r="G628" t="s">
        <v>704</v>
      </c>
      <c r="H628" t="s">
        <v>710</v>
      </c>
      <c r="I628" t="s">
        <v>725</v>
      </c>
      <c r="J628" t="s">
        <v>732</v>
      </c>
      <c r="K628" t="s">
        <v>1359</v>
      </c>
      <c r="L628" s="6">
        <v>226.04</v>
      </c>
      <c r="M628" s="6">
        <v>545.72</v>
      </c>
      <c r="N628" s="8">
        <v>0.151</v>
      </c>
      <c r="O628" s="6">
        <v>11</v>
      </c>
      <c r="P628" s="7" t="str">
        <f t="shared" si="73"/>
        <v>Shanghai</v>
      </c>
      <c r="Q628" s="7" t="str">
        <f t="shared" si="74"/>
        <v>N. Brown</v>
      </c>
      <c r="R628" s="7" t="str">
        <f t="shared" si="75"/>
        <v>Distributor</v>
      </c>
      <c r="S628" t="str">
        <f t="shared" si="80"/>
        <v>OK</v>
      </c>
      <c r="T628" s="8" t="str">
        <f t="shared" si="76"/>
        <v>OK</v>
      </c>
      <c r="U628" t="str">
        <f t="shared" si="77"/>
        <v>OK</v>
      </c>
      <c r="V628">
        <f t="shared" si="78"/>
        <v>27</v>
      </c>
      <c r="W628" s="4">
        <f t="shared" si="79"/>
        <v>45168</v>
      </c>
    </row>
    <row r="629" spans="1:23" hidden="1" x14ac:dyDescent="0.25">
      <c r="A629" t="s">
        <v>642</v>
      </c>
      <c r="B629" s="4">
        <v>45100</v>
      </c>
      <c r="C629" s="4">
        <v>45125</v>
      </c>
      <c r="D629" t="s">
        <v>648</v>
      </c>
      <c r="E629" t="s">
        <v>653</v>
      </c>
      <c r="F629" t="s">
        <v>688</v>
      </c>
      <c r="G629" t="s">
        <v>706</v>
      </c>
      <c r="H629" t="s">
        <v>708</v>
      </c>
      <c r="I629" t="s">
        <v>725</v>
      </c>
      <c r="J629" t="s">
        <v>730</v>
      </c>
      <c r="K629" t="s">
        <v>1360</v>
      </c>
      <c r="L629" s="6">
        <v>807.02</v>
      </c>
      <c r="M629" s="6">
        <v>1435.54</v>
      </c>
      <c r="N629" s="8">
        <v>0</v>
      </c>
      <c r="O629" s="6">
        <v>23</v>
      </c>
      <c r="P629" s="7" t="str">
        <f t="shared" si="73"/>
        <v>Vancouver</v>
      </c>
      <c r="Q629" s="7" t="str">
        <f t="shared" si="74"/>
        <v>N. Brown</v>
      </c>
      <c r="R629" s="7" t="str">
        <f t="shared" si="75"/>
        <v>Online</v>
      </c>
      <c r="S629" t="str">
        <f t="shared" si="80"/>
        <v>OK</v>
      </c>
      <c r="T629" s="8" t="str">
        <f t="shared" si="76"/>
        <v>OK</v>
      </c>
      <c r="U629" t="str">
        <f t="shared" si="77"/>
        <v>OK</v>
      </c>
      <c r="V629">
        <f t="shared" si="78"/>
        <v>25</v>
      </c>
      <c r="W629" s="4">
        <f t="shared" si="79"/>
        <v>45125</v>
      </c>
    </row>
    <row r="630" spans="1:23" hidden="1" x14ac:dyDescent="0.25">
      <c r="A630" t="s">
        <v>643</v>
      </c>
      <c r="B630" s="4">
        <v>45267</v>
      </c>
      <c r="C630" s="4">
        <v>45293</v>
      </c>
      <c r="D630" t="s">
        <v>649</v>
      </c>
      <c r="E630" t="s">
        <v>656</v>
      </c>
      <c r="F630" t="s">
        <v>698</v>
      </c>
      <c r="G630" t="s">
        <v>706</v>
      </c>
      <c r="H630" t="s">
        <v>710</v>
      </c>
      <c r="I630" t="s">
        <v>718</v>
      </c>
      <c r="J630" t="s">
        <v>727</v>
      </c>
      <c r="K630" t="s">
        <v>1361</v>
      </c>
      <c r="L630" s="6">
        <v>1071.99</v>
      </c>
      <c r="M630" s="6">
        <v>2397.3000000000002</v>
      </c>
      <c r="N630" s="8">
        <v>6.2E-2</v>
      </c>
      <c r="O630" s="6">
        <v>18</v>
      </c>
      <c r="P630" s="7" t="str">
        <f t="shared" si="73"/>
        <v>Frankfurt</v>
      </c>
      <c r="Q630" s="7" t="str">
        <f t="shared" si="74"/>
        <v>E. Garcia</v>
      </c>
      <c r="R630" s="7" t="str">
        <f t="shared" si="75"/>
        <v>Distributor</v>
      </c>
      <c r="S630" t="str">
        <f t="shared" si="80"/>
        <v>OK</v>
      </c>
      <c r="T630" s="8" t="str">
        <f t="shared" si="76"/>
        <v>OK</v>
      </c>
      <c r="U630" t="str">
        <f t="shared" si="77"/>
        <v>OK</v>
      </c>
      <c r="V630">
        <f t="shared" si="78"/>
        <v>26</v>
      </c>
      <c r="W630" s="4">
        <f t="shared" si="79"/>
        <v>45293</v>
      </c>
    </row>
    <row r="631" spans="1:23" hidden="1" x14ac:dyDescent="0.25">
      <c r="A631" t="s">
        <v>644</v>
      </c>
      <c r="B631" s="4">
        <v>45249</v>
      </c>
      <c r="C631" s="4">
        <v>45279</v>
      </c>
      <c r="D631" t="s">
        <v>647</v>
      </c>
      <c r="E631" t="s">
        <v>652</v>
      </c>
      <c r="F631" t="s">
        <v>694</v>
      </c>
      <c r="G631" t="s">
        <v>704</v>
      </c>
      <c r="H631" t="s">
        <v>707</v>
      </c>
      <c r="I631" t="s">
        <v>1368</v>
      </c>
      <c r="J631" t="s">
        <v>730</v>
      </c>
      <c r="K631" t="s">
        <v>1362</v>
      </c>
      <c r="L631" s="6">
        <v>807.11</v>
      </c>
      <c r="M631" s="6">
        <v>1853.86</v>
      </c>
      <c r="N631" s="8">
        <v>0.13900000000000001</v>
      </c>
      <c r="O631" s="6">
        <v>8</v>
      </c>
      <c r="P631" s="7" t="str">
        <f t="shared" si="73"/>
        <v>Nagoya</v>
      </c>
      <c r="Q631" s="7" t="str">
        <f t="shared" si="74"/>
        <v>Unassigned</v>
      </c>
      <c r="R631" s="7" t="str">
        <f t="shared" si="75"/>
        <v>Retail</v>
      </c>
      <c r="S631" t="str">
        <f t="shared" si="80"/>
        <v>OK</v>
      </c>
      <c r="T631" s="8" t="str">
        <f t="shared" si="76"/>
        <v>OK</v>
      </c>
      <c r="U631" t="str">
        <f t="shared" si="77"/>
        <v>OK</v>
      </c>
      <c r="V631">
        <f t="shared" si="78"/>
        <v>30</v>
      </c>
      <c r="W631" s="4">
        <f t="shared" si="79"/>
        <v>45279</v>
      </c>
    </row>
    <row r="632" spans="1:23" hidden="1" x14ac:dyDescent="0.25">
      <c r="A632" t="s">
        <v>645</v>
      </c>
      <c r="B632" s="4">
        <v>45716</v>
      </c>
      <c r="C632" s="4">
        <v>45726</v>
      </c>
      <c r="D632" t="s">
        <v>647</v>
      </c>
      <c r="E632" t="s">
        <v>652</v>
      </c>
      <c r="F632" t="s">
        <v>666</v>
      </c>
      <c r="G632" t="s">
        <v>702</v>
      </c>
      <c r="H632" t="s">
        <v>710</v>
      </c>
      <c r="I632" t="s">
        <v>725</v>
      </c>
      <c r="J632" t="s">
        <v>731</v>
      </c>
      <c r="K632" t="s">
        <v>1363</v>
      </c>
      <c r="L632" s="6">
        <v>51.86</v>
      </c>
      <c r="M632" s="6">
        <v>45.98</v>
      </c>
      <c r="N632" s="8">
        <v>0.17299999999999999</v>
      </c>
      <c r="O632" s="6">
        <v>7</v>
      </c>
      <c r="P632" s="7" t="str">
        <f t="shared" si="73"/>
        <v>Osaka</v>
      </c>
      <c r="Q632" s="7" t="str">
        <f t="shared" si="74"/>
        <v>N. Brown</v>
      </c>
      <c r="R632" s="7" t="str">
        <f t="shared" si="75"/>
        <v>Distributor</v>
      </c>
      <c r="S632" t="str">
        <f t="shared" si="80"/>
        <v>OK</v>
      </c>
      <c r="T632" s="8" t="str">
        <f t="shared" si="76"/>
        <v>OK</v>
      </c>
      <c r="U632" t="str">
        <f t="shared" si="77"/>
        <v>OK</v>
      </c>
      <c r="V632">
        <f t="shared" si="78"/>
        <v>10</v>
      </c>
      <c r="W632" s="4">
        <f t="shared" si="79"/>
        <v>45726</v>
      </c>
    </row>
    <row r="634" spans="1:23" x14ac:dyDescent="0.25">
      <c r="E634" s="4"/>
    </row>
    <row r="635" spans="1:23" x14ac:dyDescent="0.25">
      <c r="E635" s="4"/>
    </row>
  </sheetData>
  <autoFilter ref="A1:W632" xr:uid="{00000000-0009-0000-0000-00000B000000}">
    <filterColumn colId="20">
      <colorFilter dxfId="73"/>
    </filterColumn>
  </autoFilter>
  <conditionalFormatting sqref="M1:M1048576">
    <cfRule type="cellIs" dxfId="72" priority="5" operator="lessThan">
      <formula>0</formula>
    </cfRule>
  </conditionalFormatting>
  <conditionalFormatting sqref="N2">
    <cfRule type="cellIs" dxfId="71" priority="4" operator="greaterThan">
      <formula>0.3</formula>
    </cfRule>
  </conditionalFormatting>
  <conditionalFormatting sqref="N2:N632">
    <cfRule type="cellIs" dxfId="70" priority="3" operator="greaterThan">
      <formula>0.3</formula>
    </cfRule>
  </conditionalFormatting>
  <conditionalFormatting sqref="V1:V1048576">
    <cfRule type="cellIs" dxfId="69" priority="2" operator="lessThan">
      <formula>0</formula>
    </cfRule>
  </conditionalFormatting>
  <conditionalFormatting sqref="A1:A1048576">
    <cfRule type="duplicateValues" dxfId="68" priority="1"/>
  </conditionalFormatting>
  <pageMargins left="0.7" right="0.7" top="0.75" bottom="0.75" header="0.3" footer="0.3"/>
  <pageSetup orientation="portrait" r:id="rId1"/>
  <ignoredErrors>
    <ignoredError sqref="Q2:Q632 S4:S618"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Original Data</vt:lpstr>
      <vt:lpstr>Sales by country &amp; Month</vt:lpstr>
      <vt:lpstr>SLA &lt;7 days</vt:lpstr>
      <vt:lpstr>Cannibalization</vt:lpstr>
      <vt:lpstr>Revenue by Month</vt:lpstr>
      <vt:lpstr>Total Revenue</vt:lpstr>
      <vt:lpstr>On-Time %</vt:lpstr>
      <vt:lpstr>Price compliance</vt:lpstr>
      <vt:lpstr>Price band</vt:lpstr>
      <vt:lpstr>Top 5 bottom 5 salespersons</vt:lpstr>
      <vt:lpstr>Profit by region</vt:lpstr>
      <vt:lpstr>ABC Analysis</vt:lpstr>
      <vt:lpstr>Region hierarchy</vt:lpstr>
      <vt:lpstr>Sheet1</vt:lpstr>
      <vt:lpstr>Scenario</vt:lpstr>
      <vt:lpstr>What If</vt:lpstr>
      <vt:lpstr>Sheet4</vt:lpstr>
      <vt:lpstr>Sheet5</vt:lpstr>
      <vt:lpstr>Staging data</vt:lpstr>
      <vt:lpstr>Staging data 2</vt:lpstr>
      <vt:lpstr>Dashboard</vt:lpstr>
      <vt:lpstr>Staging worksheet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Brigid Chepkemoi</dc:creator>
  <cp:lastModifiedBy>USER</cp:lastModifiedBy>
  <dcterms:created xsi:type="dcterms:W3CDTF">2025-09-28T10:49:35Z</dcterms:created>
  <dcterms:modified xsi:type="dcterms:W3CDTF">2026-02-01T07:41:26Z</dcterms:modified>
</cp:coreProperties>
</file>